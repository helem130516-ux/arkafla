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Dados" sheetId="2" state="visible" r:id="rId4"/>
    <sheet name="Notas" sheetId="3" state="visible" r:id="rId5"/>
  </sheets>
  <definedNames>
    <definedName function="false" hidden="true" localSheetId="1" name="_xlnm._FilterDatabase" vbProcedure="false">Dados!$A$1:$X$3971</definedName>
    <definedName function="false" hidden="false" localSheetId="0" name="_xlnm.Print_Titles" vbProcedure="false">Monitoramento!$4:$4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<sst xmlns="http://schemas.openxmlformats.org/spreadsheetml/2006/main" count="8116" uniqueCount="1681">
  <si>
    <t xml:space="preserve">ARKAFLA – Monitoramento diário do rebanho</t>
  </si>
  <si>
    <t xml:space="preserve">Relatório zootécnico diário · 1 dias mais recentes (14/10/2026 a 14/10/2026) · definições na aba Notas</t>
  </si>
  <si>
    <t xml:space="preserve">Indicador</t>
  </si>
  <si>
    <t xml:space="preserve">Unidade</t>
  </si>
  <si>
    <t xml:space="preserve">Variação
(último − anterior)</t>
  </si>
  <si>
    <t xml:space="preserve">Rebanho</t>
  </si>
  <si>
    <t xml:space="preserve">Total de animais</t>
  </si>
  <si>
    <t xml:space="preserve">cab</t>
  </si>
  <si>
    <t xml:space="preserve">Vacas em lactação (lotes 1 a 6 e 10)</t>
  </si>
  <si>
    <t xml:space="preserve">   em produção – leite no tanque (lotes 1 a 6)</t>
  </si>
  <si>
    <t xml:space="preserve">   em tratamento – leite descartado (lote 10)</t>
  </si>
  <si>
    <t xml:space="preserve">Vacas secas (LACT ≥ 1 fora dos lotes de lactação)</t>
  </si>
  <si>
    <t xml:space="preserve">Novilhas (em reprodução)</t>
  </si>
  <si>
    <t xml:space="preserve">Bezerras / recria</t>
  </si>
  <si>
    <t xml:space="preserve">Machos</t>
  </si>
  <si>
    <t xml:space="preserve">Animais com até 7 dias de idade</t>
  </si>
  <si>
    <t xml:space="preserve">Vacas paridas há até 21 dias (DEL ≤ 21)</t>
  </si>
  <si>
    <t xml:space="preserve">Produção – leite do tanque (lotes 1 a 6, vacas com leite &gt; 0)</t>
  </si>
  <si>
    <t xml:space="preserve">Vacas com pesagem de leite</t>
  </si>
  <si>
    <t xml:space="preserve">Leite total do dia</t>
  </si>
  <si>
    <t xml:space="preserve">kg</t>
  </si>
  <si>
    <t xml:space="preserve">Leite descartado – lote 10</t>
  </si>
  <si>
    <t xml:space="preserve">% do leite produzido que foi descartado</t>
  </si>
  <si>
    <t xml:space="preserve">%</t>
  </si>
  <si>
    <t xml:space="preserve">Média de leite por vaca</t>
  </si>
  <si>
    <t xml:space="preserve">kg/vaca</t>
  </si>
  <si>
    <t xml:space="preserve">Média de leite 7 dias</t>
  </si>
  <si>
    <t xml:space="preserve">Média primíparas (LACT 1)</t>
  </si>
  <si>
    <t xml:space="preserve">Média multíparas (LACT ≥ 2)</t>
  </si>
  <si>
    <t xml:space="preserve">Vacas com leite &lt; 20 kg</t>
  </si>
  <si>
    <t xml:space="preserve">DEL médio (lotes 1 a 6)</t>
  </si>
  <si>
    <t xml:space="preserve">dias</t>
  </si>
  <si>
    <t xml:space="preserve">Gordura média</t>
  </si>
  <si>
    <t xml:space="preserve">Proteína média</t>
  </si>
  <si>
    <t xml:space="preserve">Reprodução – vacas em lactação (lotes 1 a 6 e 10)</t>
  </si>
  <si>
    <t xml:space="preserve">Frescas (Fresca)</t>
  </si>
  <si>
    <t xml:space="preserve">Inseminadas (Bred)</t>
  </si>
  <si>
    <t xml:space="preserve">Prenhas</t>
  </si>
  <si>
    <t xml:space="preserve">Vazias</t>
  </si>
  <si>
    <t xml:space="preserve">Não inseminar (DNB)</t>
  </si>
  <si>
    <t xml:space="preserve">% prenhes das vacas em lactação</t>
  </si>
  <si>
    <t xml:space="preserve">DEL médio ao 1º serviço (DEL1S)</t>
  </si>
  <si>
    <t xml:space="preserve">Dias em aberto médios das prenhas</t>
  </si>
  <si>
    <t xml:space="preserve">IAs por prenhez (prenhas)</t>
  </si>
  <si>
    <t xml:space="preserve">IAs</t>
  </si>
  <si>
    <t xml:space="preserve">Reprodução – novilhas</t>
  </si>
  <si>
    <t xml:space="preserve">Novilhas inseminadas (Bred)</t>
  </si>
  <si>
    <t xml:space="preserve">Novilhas prenhas</t>
  </si>
  <si>
    <t xml:space="preserve">Novilhas vazias</t>
  </si>
  <si>
    <t xml:space="preserve">Animais por lote</t>
  </si>
  <si>
    <t xml:space="preserve">Lote 1</t>
  </si>
  <si>
    <t xml:space="preserve">Lote 2</t>
  </si>
  <si>
    <t xml:space="preserve">Lote 3</t>
  </si>
  <si>
    <t xml:space="preserve">Lote 4</t>
  </si>
  <si>
    <t xml:space="preserve">Lote 5</t>
  </si>
  <si>
    <t xml:space="preserve">Lote 6</t>
  </si>
  <si>
    <t xml:space="preserve">Lote 7</t>
  </si>
  <si>
    <t xml:space="preserve">Lote 8</t>
  </si>
  <si>
    <t xml:space="preserve">Lote 9</t>
  </si>
  <si>
    <t xml:space="preserve">Lote 10</t>
  </si>
  <si>
    <t xml:space="preserve">Lote 11</t>
  </si>
  <si>
    <t xml:space="preserve">Lote 13</t>
  </si>
  <si>
    <t xml:space="preserve">Lote 14</t>
  </si>
  <si>
    <t xml:space="preserve">Lote 15</t>
  </si>
  <si>
    <t xml:space="preserve">Lote 16</t>
  </si>
  <si>
    <t xml:space="preserve">Média de leite por lote de lactação (vacas com leite &gt; 0)</t>
  </si>
  <si>
    <t xml:space="preserve">Lote 10 (descarte)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</si>
  <si>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</si>
  <si>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</si>
  <si>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</si>
  <si>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</si>
  <si>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</si>
  <si>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</si>
  <si>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</si>
  <si>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</si>
  <si>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</si>
  <si>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</si>
  <si>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</si>
  <si>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</si>
  <si>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</si>
  <si>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</si>
  <si>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</si>
  <si>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</si>
  <si>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</si>
  <si>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</si>
  <si>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</si>
  <si>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</si>
  <si>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</si>
  <si>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</si>
  <si>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Categoria</t>
  </si>
  <si>
    <t xml:space="preserve">Destino</t>
  </si>
  <si>
    <t xml:space="preserve">2024-02-20</t>
  </si>
  <si>
    <t xml:space="preserve">Prenha</t>
  </si>
  <si>
    <t xml:space="preserve">2023-11-16</t>
  </si>
  <si>
    <t xml:space="preserve">Fresca</t>
  </si>
  <si>
    <t xml:space="preserve">2024-04-25</t>
  </si>
  <si>
    <t xml:space="preserve">2024-05-16</t>
  </si>
  <si>
    <t xml:space="preserve">Bred</t>
  </si>
  <si>
    <t xml:space="preserve">2024-05-11</t>
  </si>
  <si>
    <t xml:space="preserve">2024-06-13</t>
  </si>
  <si>
    <t xml:space="preserve">2024-06-04</t>
  </si>
  <si>
    <t xml:space="preserve">2024-06-01</t>
  </si>
  <si>
    <t xml:space="preserve">2024-05-23</t>
  </si>
  <si>
    <t xml:space="preserve">2024-07-16</t>
  </si>
  <si>
    <t xml:space="preserve">2024-07-21</t>
  </si>
  <si>
    <t xml:space="preserve">2024-07-24</t>
  </si>
  <si>
    <t xml:space="preserve">2024-07-11</t>
  </si>
  <si>
    <t xml:space="preserve">2024-07-13</t>
  </si>
  <si>
    <t xml:space="preserve">2024-06-26</t>
  </si>
  <si>
    <t xml:space="preserve">Vazia</t>
  </si>
  <si>
    <t xml:space="preserve">2024-06-28</t>
  </si>
  <si>
    <t xml:space="preserve">2024-06-30</t>
  </si>
  <si>
    <t xml:space="preserve">2024-07-03</t>
  </si>
  <si>
    <t xml:space="preserve">2024-07-04</t>
  </si>
  <si>
    <t xml:space="preserve">2024-07-05</t>
  </si>
  <si>
    <t xml:space="preserve">2024-06-16</t>
  </si>
  <si>
    <t xml:space="preserve">2024-06-18</t>
  </si>
  <si>
    <t xml:space="preserve">2024-06-20</t>
  </si>
  <si>
    <t xml:space="preserve">2024-06-21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</si>
  <si>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</si>
  <si>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</si>
  <si>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</si>
  <si>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</si>
  <si>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2024-08-11</t>
  </si>
  <si>
    <t xml:space="preserve">2024-08-13</t>
  </si>
  <si>
    <t xml:space="preserve">2024-08-14</t>
  </si>
  <si>
    <t xml:space="preserve">2024-08-03</t>
  </si>
  <si>
    <t xml:space="preserve">2024-08-05</t>
  </si>
  <si>
    <t xml:space="preserve">2024-08-08</t>
  </si>
  <si>
    <t xml:space="preserve">2024-07-27</t>
  </si>
  <si>
    <t xml:space="preserve">2024-07-28</t>
  </si>
  <si>
    <t xml:space="preserve">2024-07-30</t>
  </si>
  <si>
    <t xml:space="preserve">2024-09-13</t>
  </si>
  <si>
    <t xml:space="preserve">2024-09-12</t>
  </si>
  <si>
    <t xml:space="preserve">2024-09-16</t>
  </si>
  <si>
    <t xml:space="preserve">2024-09-17</t>
  </si>
  <si>
    <t xml:space="preserve">2024-09-18</t>
  </si>
  <si>
    <t xml:space="preserve">2024-09-19</t>
  </si>
  <si>
    <t xml:space="preserve">2024-09-09</t>
  </si>
  <si>
    <t xml:space="preserve">2024-09-11</t>
  </si>
  <si>
    <t xml:space="preserve">2024-08-28</t>
  </si>
  <si>
    <t xml:space="preserve">2024-08-29</t>
  </si>
  <si>
    <t xml:space="preserve">2024-08-31</t>
  </si>
  <si>
    <t xml:space="preserve">2024-09-02</t>
  </si>
  <si>
    <t xml:space="preserve">2024-09-04</t>
  </si>
  <si>
    <t xml:space="preserve">2024-09-06</t>
  </si>
  <si>
    <t xml:space="preserve">2024-08-22</t>
  </si>
  <si>
    <t xml:space="preserve">2024-08-25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</si>
  <si>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</si>
  <si>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</si>
  <si>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</si>
  <si>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</si>
  <si>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</si>
  <si>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2024-10-08</t>
  </si>
  <si>
    <t xml:space="preserve">2024-10-09</t>
  </si>
  <si>
    <t xml:space="preserve">2024-10-10</t>
  </si>
  <si>
    <t xml:space="preserve">2024-10-11</t>
  </si>
  <si>
    <t xml:space="preserve">2024-10-12</t>
  </si>
  <si>
    <t xml:space="preserve">2024-10-14</t>
  </si>
  <si>
    <t xml:space="preserve">2024-10-13</t>
  </si>
  <si>
    <t xml:space="preserve">2024-10-15</t>
  </si>
  <si>
    <t xml:space="preserve">2024-10-01</t>
  </si>
  <si>
    <t xml:space="preserve">2024-10-02</t>
  </si>
  <si>
    <t xml:space="preserve">2024-10-04</t>
  </si>
  <si>
    <t xml:space="preserve">2024-10-03</t>
  </si>
  <si>
    <t xml:space="preserve">2024-10-05</t>
  </si>
  <si>
    <t xml:space="preserve">2024-10-06</t>
  </si>
  <si>
    <t xml:space="preserve">2024-10-07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</si>
  <si>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</si>
  <si>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</si>
  <si>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</si>
  <si>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</si>
  <si>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2024-09-27</t>
  </si>
  <si>
    <t xml:space="preserve">2024-09-28</t>
  </si>
  <si>
    <t xml:space="preserve">2024-09-29</t>
  </si>
  <si>
    <t xml:space="preserve">2024-11-06</t>
  </si>
  <si>
    <t xml:space="preserve">2024-11-08</t>
  </si>
  <si>
    <t xml:space="preserve">2024-10-30</t>
  </si>
  <si>
    <t xml:space="preserve">2024-11-01</t>
  </si>
  <si>
    <t xml:space="preserve">2024-11-02</t>
  </si>
  <si>
    <t xml:space="preserve">2024-11-03</t>
  </si>
  <si>
    <t xml:space="preserve">2024-10-26</t>
  </si>
  <si>
    <t xml:space="preserve">2024-10-25</t>
  </si>
  <si>
    <t xml:space="preserve">2024-10-27</t>
  </si>
  <si>
    <t xml:space="preserve">2024-10-23</t>
  </si>
  <si>
    <t xml:space="preserve">2024-12-04</t>
  </si>
  <si>
    <t xml:space="preserve">2024-11-22</t>
  </si>
  <si>
    <t xml:space="preserve">2024-11-24</t>
  </si>
  <si>
    <t xml:space="preserve">2024-11-23</t>
  </si>
  <si>
    <t xml:space="preserve">2024-11-28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</si>
  <si>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</si>
  <si>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</si>
  <si>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</si>
  <si>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</si>
  <si>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</si>
  <si>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2024-11-11</t>
  </si>
  <si>
    <t xml:space="preserve">2024-11-09</t>
  </si>
  <si>
    <t xml:space="preserve">2024-11-10</t>
  </si>
  <si>
    <t xml:space="preserve">2024-11-12</t>
  </si>
  <si>
    <t xml:space="preserve">2024-11-13</t>
  </si>
  <si>
    <t xml:space="preserve">2025-01-02</t>
  </si>
  <si>
    <t xml:space="preserve">2025-01-06</t>
  </si>
  <si>
    <t xml:space="preserve">2025-01-07</t>
  </si>
  <si>
    <t xml:space="preserve">2024-12-21</t>
  </si>
  <si>
    <t xml:space="preserve">2024-12-22</t>
  </si>
  <si>
    <t xml:space="preserve">2024-12-19</t>
  </si>
  <si>
    <t xml:space="preserve">2024-12-20</t>
  </si>
  <si>
    <t xml:space="preserve">2024-12-24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</si>
  <si>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</si>
  <si>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</si>
  <si>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</si>
  <si>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</si>
  <si>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2024-12-31</t>
  </si>
  <si>
    <t xml:space="preserve">2024-12-12</t>
  </si>
  <si>
    <t xml:space="preserve">2024-12-13</t>
  </si>
  <si>
    <t xml:space="preserve">2024-12-14</t>
  </si>
  <si>
    <t xml:space="preserve">2024-12-11</t>
  </si>
  <si>
    <t xml:space="preserve">2024-12-16</t>
  </si>
  <si>
    <t xml:space="preserve">2024-12-18</t>
  </si>
  <si>
    <t xml:space="preserve">2024-12-06</t>
  </si>
  <si>
    <t xml:space="preserve">2024-12-08</t>
  </si>
  <si>
    <t xml:space="preserve">2024-12-07</t>
  </si>
  <si>
    <t xml:space="preserve">2024-12-09</t>
  </si>
  <si>
    <t xml:space="preserve">2025-11-24</t>
  </si>
  <si>
    <t xml:space="preserve">2021-11-26</t>
  </si>
  <si>
    <t xml:space="preserve">2021-11-01</t>
  </si>
  <si>
    <t xml:space="preserve">2021-11-03</t>
  </si>
  <si>
    <t xml:space="preserve">2022-02-08</t>
  </si>
  <si>
    <t xml:space="preserve">2021-12-14</t>
  </si>
  <si>
    <t xml:space="preserve">2022-01-08</t>
  </si>
  <si>
    <t xml:space="preserve">2021-08-03</t>
  </si>
  <si>
    <t xml:space="preserve">2021-08-18</t>
  </si>
  <si>
    <t xml:space="preserve">2021-08-15</t>
  </si>
  <si>
    <t xml:space="preserve">2021-08-12</t>
  </si>
  <si>
    <t xml:space="preserve">2021-10-16</t>
  </si>
  <si>
    <t xml:space="preserve">2021-10-09</t>
  </si>
  <si>
    <t xml:space="preserve">2021-09-24</t>
  </si>
  <si>
    <t xml:space="preserve">2021-09-21</t>
  </si>
  <si>
    <t xml:space="preserve">2022-05-14</t>
  </si>
  <si>
    <t xml:space="preserve">2022-05-11</t>
  </si>
  <si>
    <t xml:space="preserve">2022-05-17</t>
  </si>
  <si>
    <t xml:space="preserve">2022-05-16</t>
  </si>
  <si>
    <t xml:space="preserve">2022-05-24</t>
  </si>
  <si>
    <t xml:space="preserve">2022-05-20</t>
  </si>
  <si>
    <t xml:space="preserve">2022-04-15</t>
  </si>
  <si>
    <t xml:space="preserve">2022-06-29</t>
  </si>
  <si>
    <t xml:space="preserve">2022-07-05</t>
  </si>
  <si>
    <t xml:space="preserve">2022-07-11</t>
  </si>
  <si>
    <t xml:space="preserve">2022-06-03</t>
  </si>
  <si>
    <t xml:space="preserve">2022-06-20</t>
  </si>
  <si>
    <t xml:space="preserve">2022-03-11</t>
  </si>
  <si>
    <t xml:space="preserve">2022-03-16</t>
  </si>
  <si>
    <t xml:space="preserve">2022-03-01</t>
  </si>
  <si>
    <t xml:space="preserve">2022-04-11</t>
  </si>
  <si>
    <t xml:space="preserve">2022-03-19</t>
  </si>
  <si>
    <t xml:space="preserve">2022-03-25</t>
  </si>
  <si>
    <t xml:space="preserve">2020-12-12</t>
  </si>
  <si>
    <t xml:space="preserve">2020-12-15</t>
  </si>
  <si>
    <t xml:space="preserve">2020-06-27</t>
  </si>
  <si>
    <t xml:space="preserve">2021-05-13</t>
  </si>
  <si>
    <t xml:space="preserve">2021-05-29</t>
  </si>
  <si>
    <t xml:space="preserve">2021-05-28</t>
  </si>
  <si>
    <t xml:space="preserve">2021-06-11</t>
  </si>
  <si>
    <t xml:space="preserve">2021-07-08</t>
  </si>
  <si>
    <t xml:space="preserve">2021-07-14</t>
  </si>
  <si>
    <t xml:space="preserve">2021-07-02</t>
  </si>
  <si>
    <t xml:space="preserve">2021-01-11</t>
  </si>
  <si>
    <t xml:space="preserve">2021-01-21</t>
  </si>
  <si>
    <t xml:space="preserve">2021-04-10</t>
  </si>
  <si>
    <t xml:space="preserve">2021-03-16</t>
  </si>
  <si>
    <t xml:space="preserve">2020-05-18</t>
  </si>
  <si>
    <t xml:space="preserve">2020-05-29</t>
  </si>
  <si>
    <t xml:space="preserve">2019-12-12</t>
  </si>
  <si>
    <t xml:space="preserve">2019-11-17</t>
  </si>
  <si>
    <t xml:space="preserve">2018-07-19</t>
  </si>
  <si>
    <t xml:space="preserve">2024-02-11</t>
  </si>
  <si>
    <t xml:space="preserve">2024-02-07</t>
  </si>
  <si>
    <t xml:space="preserve">2024-02-17</t>
  </si>
  <si>
    <t xml:space="preserve">2023-11-01</t>
  </si>
  <si>
    <t xml:space="preserve">2023-11-05</t>
  </si>
  <si>
    <t xml:space="preserve">2023-11-24</t>
  </si>
  <si>
    <t xml:space="preserve">2023-11-12</t>
  </si>
  <si>
    <t xml:space="preserve">2023-11-13</t>
  </si>
  <si>
    <t xml:space="preserve">2023-09-21</t>
  </si>
  <si>
    <t xml:space="preserve">2023-09-24</t>
  </si>
  <si>
    <t xml:space="preserve">2023-09-18</t>
  </si>
  <si>
    <t xml:space="preserve">2023-10-15</t>
  </si>
  <si>
    <t xml:space="preserve">2023-09-28</t>
  </si>
  <si>
    <t xml:space="preserve">2023-10-01</t>
  </si>
  <si>
    <t xml:space="preserve">2024-01-10</t>
  </si>
  <si>
    <t xml:space="preserve">2024-01-15</t>
  </si>
  <si>
    <t xml:space="preserve">2024-01-14</t>
  </si>
  <si>
    <t xml:space="preserve">2024-01-01</t>
  </si>
  <si>
    <t xml:space="preserve">2024-01-02</t>
  </si>
  <si>
    <t xml:space="preserve">2024-01-05</t>
  </si>
  <si>
    <t xml:space="preserve">2024-01-20</t>
  </si>
  <si>
    <t xml:space="preserve">2023-12-06</t>
  </si>
  <si>
    <t xml:space="preserve">2023-12-11</t>
  </si>
  <si>
    <t xml:space="preserve">2023-12-01</t>
  </si>
  <si>
    <t xml:space="preserve">2023-12-28</t>
  </si>
  <si>
    <t xml:space="preserve">2023-12-15</t>
  </si>
  <si>
    <t xml:space="preserve">2023-12-17</t>
  </si>
  <si>
    <t xml:space="preserve">2023-06-17</t>
  </si>
  <si>
    <t xml:space="preserve">2023-06-23</t>
  </si>
  <si>
    <t xml:space="preserve">2023-06-22</t>
  </si>
  <si>
    <t xml:space="preserve">2023-06-10</t>
  </si>
  <si>
    <t xml:space="preserve">2023-06-06</t>
  </si>
  <si>
    <t xml:space="preserve">2023-06-12</t>
  </si>
  <si>
    <t xml:space="preserve">2023-07-04</t>
  </si>
  <si>
    <t xml:space="preserve">2023-07-07</t>
  </si>
  <si>
    <t xml:space="preserve">2023-07-06</t>
  </si>
  <si>
    <t xml:space="preserve">2023-06-27</t>
  </si>
  <si>
    <t xml:space="preserve">2023-06-26</t>
  </si>
  <si>
    <t xml:space="preserve">2023-04-15</t>
  </si>
  <si>
    <t xml:space="preserve">2023-04-23</t>
  </si>
  <si>
    <t xml:space="preserve">2023-04-25</t>
  </si>
  <si>
    <t xml:space="preserve">2023-03-24</t>
  </si>
  <si>
    <t xml:space="preserve">2023-04-05</t>
  </si>
  <si>
    <t xml:space="preserve">2023-04-04</t>
  </si>
  <si>
    <t xml:space="preserve">2023-04-03</t>
  </si>
  <si>
    <t xml:space="preserve">2023-04-09</t>
  </si>
  <si>
    <t xml:space="preserve">2023-04-06</t>
  </si>
  <si>
    <t xml:space="preserve">2023-04-12</t>
  </si>
  <si>
    <t xml:space="preserve">2023-05-28</t>
  </si>
  <si>
    <t xml:space="preserve">2023-06-01</t>
  </si>
  <si>
    <t xml:space="preserve">2023-05-31</t>
  </si>
  <si>
    <t xml:space="preserve">2023-06-02</t>
  </si>
  <si>
    <t xml:space="preserve">2023-05-11</t>
  </si>
  <si>
    <t xml:space="preserve">2023-05-18</t>
  </si>
  <si>
    <t xml:space="preserve">2023-05-21</t>
  </si>
  <si>
    <t xml:space="preserve">2023-08-20</t>
  </si>
  <si>
    <t xml:space="preserve">2023-08-21</t>
  </si>
  <si>
    <t xml:space="preserve">2023-08-22</t>
  </si>
  <si>
    <t xml:space="preserve">2023-08-14</t>
  </si>
  <si>
    <t xml:space="preserve">2023-08-17</t>
  </si>
  <si>
    <t xml:space="preserve">2023-09-02</t>
  </si>
  <si>
    <t xml:space="preserve">2023-08-25</t>
  </si>
  <si>
    <t xml:space="preserve">2023-08-27</t>
  </si>
  <si>
    <t xml:space="preserve">2023-08-26</t>
  </si>
  <si>
    <t xml:space="preserve">2023-08-30</t>
  </si>
  <si>
    <t xml:space="preserve">2023-07-20</t>
  </si>
  <si>
    <t xml:space="preserve">2023-07-21</t>
  </si>
  <si>
    <t xml:space="preserve">2023-07-09</t>
  </si>
  <si>
    <t xml:space="preserve">2023-07-11</t>
  </si>
  <si>
    <t xml:space="preserve">2023-07-13</t>
  </si>
  <si>
    <t xml:space="preserve">2023-07-12</t>
  </si>
  <si>
    <t xml:space="preserve">2023-07-15</t>
  </si>
  <si>
    <t xml:space="preserve">2023-08-05</t>
  </si>
  <si>
    <t xml:space="preserve">2023-08-03</t>
  </si>
  <si>
    <t xml:space="preserve">2023-08-10</t>
  </si>
  <si>
    <t xml:space="preserve">2023-08-13</t>
  </si>
  <si>
    <t xml:space="preserve">2023-07-27</t>
  </si>
  <si>
    <t xml:space="preserve">2023-07-29</t>
  </si>
  <si>
    <t xml:space="preserve">2022-10-11</t>
  </si>
  <si>
    <t xml:space="preserve">2022-10-16</t>
  </si>
  <si>
    <t xml:space="preserve">2022-10-26</t>
  </si>
  <si>
    <t xml:space="preserve">2022-09-16</t>
  </si>
  <si>
    <t xml:space="preserve">Dry</t>
  </si>
  <si>
    <t xml:space="preserve">2022-09-15</t>
  </si>
  <si>
    <t xml:space="preserve">2022-09-14</t>
  </si>
  <si>
    <t xml:space="preserve">2022-09-17</t>
  </si>
  <si>
    <t xml:space="preserve">2022-10-02</t>
  </si>
  <si>
    <t xml:space="preserve">2022-09-30</t>
  </si>
  <si>
    <t xml:space="preserve">2022-11-16</t>
  </si>
  <si>
    <t xml:space="preserve">2022-11-28</t>
  </si>
  <si>
    <t xml:space="preserve">2022-11-26</t>
  </si>
  <si>
    <t xml:space="preserve">2022-10-28</t>
  </si>
  <si>
    <t xml:space="preserve">2022-10-27</t>
  </si>
  <si>
    <t xml:space="preserve">2022-11-01</t>
  </si>
  <si>
    <t xml:space="preserve">2022-11-09</t>
  </si>
  <si>
    <t xml:space="preserve">2022-11-12</t>
  </si>
  <si>
    <t xml:space="preserve">2022-11-11</t>
  </si>
  <si>
    <t xml:space="preserve">2022-08-06</t>
  </si>
  <si>
    <t xml:space="preserve">2022-08-11</t>
  </si>
  <si>
    <t xml:space="preserve">2022-08-14</t>
  </si>
  <si>
    <t xml:space="preserve">2022-07-18</t>
  </si>
  <si>
    <t xml:space="preserve">2022-07-29</t>
  </si>
  <si>
    <t xml:space="preserve">2022-07-27</t>
  </si>
  <si>
    <t xml:space="preserve">2022-08-03</t>
  </si>
  <si>
    <t xml:space="preserve">2022-07-31</t>
  </si>
  <si>
    <t xml:space="preserve">2022-09-11</t>
  </si>
  <si>
    <t xml:space="preserve">2022-08-17</t>
  </si>
  <si>
    <t xml:space="preserve">2022-08-23</t>
  </si>
  <si>
    <t xml:space="preserve">2022-08-29</t>
  </si>
  <si>
    <t xml:space="preserve">2023-02-17</t>
  </si>
  <si>
    <t xml:space="preserve">2023-02-23</t>
  </si>
  <si>
    <t xml:space="preserve">2023-02-22</t>
  </si>
  <si>
    <t xml:space="preserve">2023-02-08</t>
  </si>
  <si>
    <t xml:space="preserve">2023-02-15</t>
  </si>
  <si>
    <t xml:space="preserve">2023-03-11</t>
  </si>
  <si>
    <t xml:space="preserve">2023-03-14</t>
  </si>
  <si>
    <t xml:space="preserve">2023-02-27</t>
  </si>
  <si>
    <t xml:space="preserve">2023-03-05</t>
  </si>
  <si>
    <t xml:space="preserve">2023-03-06</t>
  </si>
  <si>
    <t xml:space="preserve">2023-03-09</t>
  </si>
  <si>
    <t xml:space="preserve">2022-12-20</t>
  </si>
  <si>
    <t xml:space="preserve">2022-12-31</t>
  </si>
  <si>
    <t xml:space="preserve">2022-11-29</t>
  </si>
  <si>
    <t xml:space="preserve">2022-12-16</t>
  </si>
  <si>
    <t xml:space="preserve">2022-12-14</t>
  </si>
  <si>
    <t xml:space="preserve">2023-01-15</t>
  </si>
  <si>
    <t xml:space="preserve">2023-01-25</t>
  </si>
  <si>
    <t xml:space="preserve">2023-01-22</t>
  </si>
  <si>
    <t xml:space="preserve">2023-01-09</t>
  </si>
  <si>
    <t xml:space="preserve">2023-01-12</t>
  </si>
  <si>
    <t xml:space="preserve">2023-01-13</t>
  </si>
  <si>
    <t xml:space="preserve">2023-07-05</t>
  </si>
  <si>
    <t xml:space="preserve">2021-12-01</t>
  </si>
  <si>
    <t xml:space="preserve">2021-12-03</t>
  </si>
  <si>
    <t xml:space="preserve">2021-11-11</t>
  </si>
  <si>
    <t xml:space="preserve">2021-11-14</t>
  </si>
  <si>
    <t xml:space="preserve">2022-01-22</t>
  </si>
  <si>
    <t xml:space="preserve">2022-01-28</t>
  </si>
  <si>
    <t xml:space="preserve">2022-01-05</t>
  </si>
  <si>
    <t xml:space="preserve">2021-09-03</t>
  </si>
  <si>
    <t xml:space="preserve">2021-09-12</t>
  </si>
  <si>
    <t xml:space="preserve">2021-10-15</t>
  </si>
  <si>
    <t xml:space="preserve">2021-09-30</t>
  </si>
  <si>
    <t xml:space="preserve">2022-04-12</t>
  </si>
  <si>
    <t xml:space="preserve">2022-04-21</t>
  </si>
  <si>
    <t xml:space="preserve">2022-05-02</t>
  </si>
  <si>
    <t xml:space="preserve">2022-04-29</t>
  </si>
  <si>
    <t xml:space="preserve">2022-07-07</t>
  </si>
  <si>
    <t xml:space="preserve">2022-07-14</t>
  </si>
  <si>
    <t xml:space="preserve">2022-07-13</t>
  </si>
  <si>
    <t xml:space="preserve">2022-06-25</t>
  </si>
  <si>
    <t xml:space="preserve">2022-03-13</t>
  </si>
  <si>
    <t xml:space="preserve">2022-02-18</t>
  </si>
  <si>
    <t xml:space="preserve">2022-02-28</t>
  </si>
  <si>
    <t xml:space="preserve">2022-02-25</t>
  </si>
  <si>
    <t xml:space="preserve">2022-04-01</t>
  </si>
  <si>
    <t xml:space="preserve">2022-04-05</t>
  </si>
  <si>
    <t xml:space="preserve">2022-04-10</t>
  </si>
  <si>
    <t xml:space="preserve">2022-04-08</t>
  </si>
  <si>
    <t xml:space="preserve">2022-04-06</t>
  </si>
  <si>
    <t xml:space="preserve">2022-03-21</t>
  </si>
  <si>
    <t xml:space="preserve">2022-03-26</t>
  </si>
  <si>
    <t xml:space="preserve">2020-10-22</t>
  </si>
  <si>
    <t xml:space="preserve">2020-10-23</t>
  </si>
  <si>
    <t xml:space="preserve">2020-12-17</t>
  </si>
  <si>
    <t xml:space="preserve">2020-11-17</t>
  </si>
  <si>
    <t xml:space="preserve">2020-11-27</t>
  </si>
  <si>
    <t xml:space="preserve">2021-05-17</t>
  </si>
  <si>
    <t xml:space="preserve">2021-04-23</t>
  </si>
  <si>
    <t xml:space="preserve">2021-04-27</t>
  </si>
  <si>
    <t xml:space="preserve">2021-06-22</t>
  </si>
  <si>
    <t xml:space="preserve">2021-07-07</t>
  </si>
  <si>
    <t xml:space="preserve">2021-02-01</t>
  </si>
  <si>
    <t xml:space="preserve">2021-03-23</t>
  </si>
  <si>
    <t xml:space="preserve">2021-04-13</t>
  </si>
  <si>
    <t xml:space="preserve">2021-04-11</t>
  </si>
  <si>
    <t xml:space="preserve">2021-04-09</t>
  </si>
  <si>
    <t xml:space="preserve">2021-03-06</t>
  </si>
  <si>
    <t xml:space="preserve">2019-06-08</t>
  </si>
  <si>
    <t xml:space="preserve">2020-06-03</t>
  </si>
  <si>
    <t xml:space="preserve">2020-01-16</t>
  </si>
  <si>
    <t xml:space="preserve">2024-03-18</t>
  </si>
  <si>
    <t xml:space="preserve">2024-02-10</t>
  </si>
  <si>
    <t xml:space="preserve">2023-11-02</t>
  </si>
  <si>
    <t xml:space="preserve">2023-10-21</t>
  </si>
  <si>
    <t xml:space="preserve">2023-10-20</t>
  </si>
  <si>
    <t xml:space="preserve">2023-11-22</t>
  </si>
  <si>
    <t xml:space="preserve">2023-11-11</t>
  </si>
  <si>
    <t xml:space="preserve">2023-09-22</t>
  </si>
  <si>
    <t xml:space="preserve">2023-09-26</t>
  </si>
  <si>
    <t xml:space="preserve">2023-09-16</t>
  </si>
  <si>
    <t xml:space="preserve">2023-10-12</t>
  </si>
  <si>
    <t xml:space="preserve">2023-10-19</t>
  </si>
  <si>
    <t xml:space="preserve">2023-10-18</t>
  </si>
  <si>
    <t xml:space="preserve">2023-09-29</t>
  </si>
  <si>
    <t xml:space="preserve">2023-10-05</t>
  </si>
  <si>
    <t xml:space="preserve">2024-01-04</t>
  </si>
  <si>
    <t xml:space="preserve">2023-12-05</t>
  </si>
  <si>
    <t xml:space="preserve">2023-11-29</t>
  </si>
  <si>
    <t xml:space="preserve">2023-12-02</t>
  </si>
  <si>
    <t xml:space="preserve">2023-12-13</t>
  </si>
  <si>
    <t xml:space="preserve">2023-06-18</t>
  </si>
  <si>
    <t xml:space="preserve">2023-06-09</t>
  </si>
  <si>
    <t xml:space="preserve">2023-06-08</t>
  </si>
  <si>
    <t xml:space="preserve">2023-06-16</t>
  </si>
  <si>
    <t xml:space="preserve">2023-07-02</t>
  </si>
  <si>
    <t xml:space="preserve">2023-07-01</t>
  </si>
  <si>
    <t xml:space="preserve">2023-04-28</t>
  </si>
  <si>
    <t xml:space="preserve">2023-04-26</t>
  </si>
  <si>
    <t xml:space="preserve">2023-05-03</t>
  </si>
  <si>
    <t xml:space="preserve">2023-04-29</t>
  </si>
  <si>
    <t xml:space="preserve">2023-06-04</t>
  </si>
  <si>
    <t xml:space="preserve">2023-05-08</t>
  </si>
  <si>
    <t xml:space="preserve">2023-05-19</t>
  </si>
  <si>
    <t xml:space="preserve">2023-09-04</t>
  </si>
  <si>
    <t xml:space="preserve">2023-09-05</t>
  </si>
  <si>
    <t xml:space="preserve">2023-09-09</t>
  </si>
  <si>
    <t xml:space="preserve">2023-08-28</t>
  </si>
  <si>
    <t xml:space="preserve">2023-07-23</t>
  </si>
  <si>
    <t xml:space="preserve">2023-07-08</t>
  </si>
  <si>
    <t xml:space="preserve">2023-07-14</t>
  </si>
  <si>
    <t xml:space="preserve">2023-08-06</t>
  </si>
  <si>
    <t xml:space="preserve">2023-08-09</t>
  </si>
  <si>
    <t xml:space="preserve">2023-08-07</t>
  </si>
  <si>
    <t xml:space="preserve">2023-07-28</t>
  </si>
  <si>
    <t xml:space="preserve">2023-07-31</t>
  </si>
  <si>
    <t xml:space="preserve">2023-08-02</t>
  </si>
  <si>
    <t xml:space="preserve">2022-10-09</t>
  </si>
  <si>
    <t xml:space="preserve">2022-10-12</t>
  </si>
  <si>
    <t xml:space="preserve">2022-10-10</t>
  </si>
  <si>
    <t xml:space="preserve">2022-10-18</t>
  </si>
  <si>
    <t xml:space="preserve">DNB</t>
  </si>
  <si>
    <t xml:space="preserve">2022-09-24</t>
  </si>
  <si>
    <t xml:space="preserve">2022-09-20</t>
  </si>
  <si>
    <t xml:space="preserve">2022-11-14</t>
  </si>
  <si>
    <t xml:space="preserve">2022-11-13</t>
  </si>
  <si>
    <t xml:space="preserve">2022-11-02</t>
  </si>
  <si>
    <t xml:space="preserve">2022-11-10</t>
  </si>
  <si>
    <t xml:space="preserve">2022-08-04</t>
  </si>
  <si>
    <t xml:space="preserve">2022-07-19</t>
  </si>
  <si>
    <t xml:space="preserve">2022-07-22</t>
  </si>
  <si>
    <t xml:space="preserve">2022-08-31</t>
  </si>
  <si>
    <t xml:space="preserve">2022-09-12</t>
  </si>
  <si>
    <t xml:space="preserve">2022-08-25</t>
  </si>
  <si>
    <t xml:space="preserve">2022-08-28</t>
  </si>
  <si>
    <t xml:space="preserve">2023-02-21</t>
  </si>
  <si>
    <t xml:space="preserve">2023-02-24</t>
  </si>
  <si>
    <t xml:space="preserve">2023-02-07</t>
  </si>
  <si>
    <t xml:space="preserve">2023-02-10</t>
  </si>
  <si>
    <t xml:space="preserve">2023-03-12</t>
  </si>
  <si>
    <t xml:space="preserve">2023-03-15</t>
  </si>
  <si>
    <t xml:space="preserve">2023-03-16</t>
  </si>
  <si>
    <t xml:space="preserve">2023-03-21</t>
  </si>
  <si>
    <t xml:space="preserve">2023-03-20</t>
  </si>
  <si>
    <t xml:space="preserve">2023-03-04</t>
  </si>
  <si>
    <t xml:space="preserve">2023-03-07</t>
  </si>
  <si>
    <t xml:space="preserve">2022-12-19</t>
  </si>
  <si>
    <t xml:space="preserve">2022-12-22</t>
  </si>
  <si>
    <t xml:space="preserve">2022-12-21</t>
  </si>
  <si>
    <t xml:space="preserve">2022-12-29</t>
  </si>
  <si>
    <t xml:space="preserve">2023-01-03</t>
  </si>
  <si>
    <t xml:space="preserve">2022-12-02</t>
  </si>
  <si>
    <t xml:space="preserve">2022-12-03</t>
  </si>
  <si>
    <t xml:space="preserve">2022-12-11</t>
  </si>
  <si>
    <t xml:space="preserve">2022-12-15</t>
  </si>
  <si>
    <t xml:space="preserve">2023-01-18</t>
  </si>
  <si>
    <t xml:space="preserve">2023-01-07</t>
  </si>
  <si>
    <t xml:space="preserve">2023-01-04</t>
  </si>
  <si>
    <t xml:space="preserve">2024-04-18</t>
  </si>
  <si>
    <t xml:space="preserve">2024-04-19</t>
  </si>
  <si>
    <t xml:space="preserve">2024-04-20</t>
  </si>
  <si>
    <t xml:space="preserve">2024-04-17</t>
  </si>
  <si>
    <t xml:space="preserve">2024-04-15</t>
  </si>
  <si>
    <t xml:space="preserve">2024-04-16</t>
  </si>
  <si>
    <t xml:space="preserve">2024-03-12</t>
  </si>
  <si>
    <t xml:space="preserve">2024-03-11</t>
  </si>
  <si>
    <t xml:space="preserve">2024-03-14</t>
  </si>
  <si>
    <t xml:space="preserve">2024-03-15</t>
  </si>
  <si>
    <t xml:space="preserve">2024-03-17</t>
  </si>
  <si>
    <t xml:space="preserve">2024-03-02</t>
  </si>
  <si>
    <t xml:space="preserve">2024-03-06</t>
  </si>
  <si>
    <t xml:space="preserve">2024-03-05</t>
  </si>
  <si>
    <t xml:space="preserve">2024-03-04</t>
  </si>
  <si>
    <t xml:space="preserve">2024-03-08</t>
  </si>
  <si>
    <t xml:space="preserve">2024-03-10</t>
  </si>
  <si>
    <t xml:space="preserve">2024-03-28</t>
  </si>
  <si>
    <t xml:space="preserve">2024-03-27</t>
  </si>
  <si>
    <t xml:space="preserve">2024-03-29</t>
  </si>
  <si>
    <t xml:space="preserve">2024-04-01</t>
  </si>
  <si>
    <t xml:space="preserve">2024-03-31</t>
  </si>
  <si>
    <t xml:space="preserve">2024-03-20</t>
  </si>
  <si>
    <t xml:space="preserve">2024-03-19</t>
  </si>
  <si>
    <t xml:space="preserve">2024-03-23</t>
  </si>
  <si>
    <t xml:space="preserve">2024-03-22</t>
  </si>
  <si>
    <t xml:space="preserve">2024-03-25</t>
  </si>
  <si>
    <t xml:space="preserve">2024-03-24</t>
  </si>
  <si>
    <t xml:space="preserve">2024-03-26</t>
  </si>
  <si>
    <t xml:space="preserve">2024-02-12</t>
  </si>
  <si>
    <t xml:space="preserve">2024-02-14</t>
  </si>
  <si>
    <t xml:space="preserve">2024-02-15</t>
  </si>
  <si>
    <t xml:space="preserve">2024-02-05</t>
  </si>
  <si>
    <t xml:space="preserve">2024-02-04</t>
  </si>
  <si>
    <t xml:space="preserve">2024-02-06</t>
  </si>
  <si>
    <t xml:space="preserve">2024-02-08</t>
  </si>
  <si>
    <t xml:space="preserve">2024-02-25</t>
  </si>
  <si>
    <t xml:space="preserve">2024-02-24</t>
  </si>
  <si>
    <t xml:space="preserve">2024-02-27</t>
  </si>
  <si>
    <t xml:space="preserve">2024-02-26</t>
  </si>
  <si>
    <t xml:space="preserve">2024-02-29</t>
  </si>
  <si>
    <t xml:space="preserve">2024-02-28</t>
  </si>
  <si>
    <t xml:space="preserve">2024-02-16</t>
  </si>
  <si>
    <t xml:space="preserve">2024-02-23</t>
  </si>
  <si>
    <t xml:space="preserve">2024-04-02</t>
  </si>
  <si>
    <t xml:space="preserve">2024-04-04</t>
  </si>
  <si>
    <t xml:space="preserve">2024-04-03</t>
  </si>
  <si>
    <t xml:space="preserve">2024-04-05</t>
  </si>
  <si>
    <t xml:space="preserve">2024-04-07</t>
  </si>
  <si>
    <t xml:space="preserve">2023-11-07</t>
  </si>
  <si>
    <t xml:space="preserve">2023-11-25</t>
  </si>
  <si>
    <t xml:space="preserve">2023-11-23</t>
  </si>
  <si>
    <t xml:space="preserve">2023-11-14</t>
  </si>
  <si>
    <t xml:space="preserve">2023-11-15</t>
  </si>
  <si>
    <t xml:space="preserve">2024-01-09</t>
  </si>
  <si>
    <t xml:space="preserve">2024-01-08</t>
  </si>
  <si>
    <t xml:space="preserve">2024-01-11</t>
  </si>
  <si>
    <t xml:space="preserve">2024-01-12</t>
  </si>
  <si>
    <t xml:space="preserve">2024-01-26</t>
  </si>
  <si>
    <t xml:space="preserve">2024-02-01</t>
  </si>
  <si>
    <t xml:space="preserve">2024-01-17</t>
  </si>
  <si>
    <t xml:space="preserve">2024-01-19</t>
  </si>
  <si>
    <t xml:space="preserve">2024-01-22</t>
  </si>
  <si>
    <t xml:space="preserve">2024-01-21</t>
  </si>
  <si>
    <t xml:space="preserve">2024-01-25</t>
  </si>
  <si>
    <t xml:space="preserve">2023-12-09</t>
  </si>
  <si>
    <t xml:space="preserve">2023-11-27</t>
  </si>
  <si>
    <t xml:space="preserve">2023-12-22</t>
  </si>
  <si>
    <t xml:space="preserve">2023-12-24</t>
  </si>
  <si>
    <t xml:space="preserve">2023-12-12</t>
  </si>
  <si>
    <t xml:space="preserve">2023-12-14</t>
  </si>
  <si>
    <t xml:space="preserve">2023-12-18</t>
  </si>
  <si>
    <t xml:space="preserve">2024-04-10</t>
  </si>
  <si>
    <t xml:space="preserve">2024-04-08</t>
  </si>
  <si>
    <t xml:space="preserve">2024-04-11</t>
  </si>
  <si>
    <t xml:space="preserve">2024-04-26</t>
  </si>
  <si>
    <t xml:space="preserve">2024-04-23</t>
  </si>
  <si>
    <t xml:space="preserve">2024-04-24</t>
  </si>
  <si>
    <t xml:space="preserve">2024-05-05</t>
  </si>
  <si>
    <t xml:space="preserve">2024-05-04</t>
  </si>
  <si>
    <t xml:space="preserve">2024-05-02</t>
  </si>
  <si>
    <t xml:space="preserve">2024-05-03</t>
  </si>
  <si>
    <t xml:space="preserve">2024-05-01</t>
  </si>
  <si>
    <t xml:space="preserve">2024-04-28</t>
  </si>
  <si>
    <t xml:space="preserve">2024-04-27</t>
  </si>
  <si>
    <t xml:space="preserve">2024-04-29</t>
  </si>
  <si>
    <t xml:space="preserve">2024-04-30</t>
  </si>
  <si>
    <t xml:space="preserve">2024-05-15</t>
  </si>
  <si>
    <t xml:space="preserve">2024-03-30</t>
  </si>
  <si>
    <t xml:space="preserve">2024-05-19</t>
  </si>
  <si>
    <t xml:space="preserve">2024-05-09</t>
  </si>
  <si>
    <t xml:space="preserve">2024-05-10</t>
  </si>
  <si>
    <t xml:space="preserve">2024-05-13</t>
  </si>
  <si>
    <t xml:space="preserve">2024-05-12</t>
  </si>
  <si>
    <t xml:space="preserve">2024-05-14</t>
  </si>
  <si>
    <t xml:space="preserve">2024-05-06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</si>
  <si>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</si>
  <si>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</si>
  <si>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</si>
  <si>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</si>
  <si>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2024-06-03</t>
  </si>
  <si>
    <t xml:space="preserve">2024-06-05</t>
  </si>
  <si>
    <t xml:space="preserve">2024-06-06</t>
  </si>
  <si>
    <t xml:space="preserve">2024-06-07</t>
  </si>
  <si>
    <t xml:space="preserve">2024-05-30</t>
  </si>
  <si>
    <t xml:space="preserve">2024-05-31</t>
  </si>
  <si>
    <t xml:space="preserve">2024-06-02</t>
  </si>
  <si>
    <t xml:space="preserve">2024-05-21</t>
  </si>
  <si>
    <t xml:space="preserve">2024-05-22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</si>
  <si>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</si>
  <si>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</si>
  <si>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</si>
  <si>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</si>
  <si>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2024-07-17</t>
  </si>
  <si>
    <t xml:space="preserve">2024-07-18</t>
  </si>
  <si>
    <t xml:space="preserve">2024-07-22</t>
  </si>
  <si>
    <t xml:space="preserve">2024-07-19</t>
  </si>
  <si>
    <t xml:space="preserve">2024-07-07</t>
  </si>
  <si>
    <t xml:space="preserve">2024-07-08</t>
  </si>
  <si>
    <t xml:space="preserve">2024-07-09</t>
  </si>
  <si>
    <t xml:space="preserve">2024-06-27</t>
  </si>
  <si>
    <t xml:space="preserve">2024-06-29</t>
  </si>
  <si>
    <t xml:space="preserve">2024-07-02</t>
  </si>
  <si>
    <t xml:space="preserve">2024-07-06</t>
  </si>
  <si>
    <t xml:space="preserve">2024-06-14</t>
  </si>
  <si>
    <t xml:space="preserve">2024-06-15</t>
  </si>
  <si>
    <t xml:space="preserve">2024-06-19</t>
  </si>
  <si>
    <t xml:space="preserve">2024-06-22</t>
  </si>
  <si>
    <t xml:space="preserve">2024-06-25</t>
  </si>
  <si>
    <t xml:space="preserve">2024-06-24</t>
  </si>
  <si>
    <t xml:space="preserve">2024-08-12</t>
  </si>
  <si>
    <t xml:space="preserve">2024-08-09</t>
  </si>
  <si>
    <t xml:space="preserve">2024-07-31</t>
  </si>
  <si>
    <t xml:space="preserve">2024-08-01</t>
  </si>
  <si>
    <t xml:space="preserve">2024-08-06</t>
  </si>
  <si>
    <t xml:space="preserve">2024-07-25</t>
  </si>
  <si>
    <t xml:space="preserve">2024-07-26</t>
  </si>
  <si>
    <t xml:space="preserve">2024-07-29</t>
  </si>
  <si>
    <t xml:space="preserve">2024-09-07</t>
  </si>
  <si>
    <t xml:space="preserve">2024-08-30</t>
  </si>
  <si>
    <t xml:space="preserve">2024-09-03</t>
  </si>
  <si>
    <t xml:space="preserve">2024-08-24</t>
  </si>
  <si>
    <t xml:space="preserve">2024-08-27</t>
  </si>
  <si>
    <t xml:space="preserve">2024-08-26</t>
  </si>
  <si>
    <t xml:space="preserve">2023-03-17</t>
  </si>
  <si>
    <t xml:space="preserve">2016-05-24</t>
  </si>
  <si>
    <t xml:space="preserve">2021-12-07</t>
  </si>
  <si>
    <t xml:space="preserve">2021-10-30</t>
  </si>
  <si>
    <t xml:space="preserve">2021-11-13</t>
  </si>
  <si>
    <t xml:space="preserve">2021-11-05</t>
  </si>
  <si>
    <t xml:space="preserve">2022-01-19</t>
  </si>
  <si>
    <t xml:space="preserve">2022-01-23</t>
  </si>
  <si>
    <t xml:space="preserve">2022-01-20</t>
  </si>
  <si>
    <t xml:space="preserve">2022-02-06</t>
  </si>
  <si>
    <t xml:space="preserve">2022-02-05</t>
  </si>
  <si>
    <t xml:space="preserve">2022-02-07</t>
  </si>
  <si>
    <t xml:space="preserve">2021-12-11</t>
  </si>
  <si>
    <t xml:space="preserve">2022-01-03</t>
  </si>
  <si>
    <t xml:space="preserve">2022-01-02</t>
  </si>
  <si>
    <t xml:space="preserve">2021-12-31</t>
  </si>
  <si>
    <t xml:space="preserve">2022-01-06</t>
  </si>
  <si>
    <t xml:space="preserve">2021-08-29</t>
  </si>
  <si>
    <t xml:space="preserve">2021-08-27</t>
  </si>
  <si>
    <t xml:space="preserve">2021-08-30</t>
  </si>
  <si>
    <t xml:space="preserve">2021-08-02</t>
  </si>
  <si>
    <t xml:space="preserve">2021-08-06</t>
  </si>
  <si>
    <t xml:space="preserve">2021-08-13</t>
  </si>
  <si>
    <t xml:space="preserve">2021-10-08</t>
  </si>
  <si>
    <t xml:space="preserve">2021-10-07</t>
  </si>
  <si>
    <t xml:space="preserve">2021-10-06</t>
  </si>
  <si>
    <t xml:space="preserve">2021-10-05</t>
  </si>
  <si>
    <t xml:space="preserve">2021-10-18</t>
  </si>
  <si>
    <t xml:space="preserve">2021-10-12</t>
  </si>
  <si>
    <t xml:space="preserve">2021-10-26</t>
  </si>
  <si>
    <t xml:space="preserve">2021-10-23</t>
  </si>
  <si>
    <t xml:space="preserve">2021-09-14</t>
  </si>
  <si>
    <t xml:space="preserve">2022-05-12</t>
  </si>
  <si>
    <t xml:space="preserve">2022-05-26</t>
  </si>
  <si>
    <t xml:space="preserve">2022-04-18</t>
  </si>
  <si>
    <t xml:space="preserve">2022-04-25</t>
  </si>
  <si>
    <t xml:space="preserve">2022-05-07</t>
  </si>
  <si>
    <t xml:space="preserve">2022-06-30</t>
  </si>
  <si>
    <t xml:space="preserve">2022-06-28</t>
  </si>
  <si>
    <t xml:space="preserve">2022-07-03</t>
  </si>
  <si>
    <t xml:space="preserve">2022-06-17</t>
  </si>
  <si>
    <t xml:space="preserve">2022-06-16</t>
  </si>
  <si>
    <t xml:space="preserve">2022-06-23</t>
  </si>
  <si>
    <t xml:space="preserve">2022-03-03</t>
  </si>
  <si>
    <t xml:space="preserve">2022-03-07</t>
  </si>
  <si>
    <t xml:space="preserve">2022-03-14</t>
  </si>
  <si>
    <t xml:space="preserve">2022-02-14</t>
  </si>
  <si>
    <t xml:space="preserve">2022-02-15</t>
  </si>
  <si>
    <t xml:space="preserve">2022-02-23</t>
  </si>
  <si>
    <t xml:space="preserve">2022-02-22</t>
  </si>
  <si>
    <t xml:space="preserve">2022-02-20</t>
  </si>
  <si>
    <t xml:space="preserve">2022-04-04</t>
  </si>
  <si>
    <t xml:space="preserve">2022-04-09</t>
  </si>
  <si>
    <t xml:space="preserve">2022-03-24</t>
  </si>
  <si>
    <t xml:space="preserve">2022-03-23</t>
  </si>
  <si>
    <t xml:space="preserve">2022-03-22</t>
  </si>
  <si>
    <t xml:space="preserve">2022-03-27</t>
  </si>
  <si>
    <t xml:space="preserve">2020-11-14</t>
  </si>
  <si>
    <t xml:space="preserve">2020-10-16</t>
  </si>
  <si>
    <t xml:space="preserve">2020-10-14</t>
  </si>
  <si>
    <t xml:space="preserve">2020-12-11</t>
  </si>
  <si>
    <t xml:space="preserve">2020-12-19</t>
  </si>
  <si>
    <t xml:space="preserve">2020-11-28</t>
  </si>
  <si>
    <t xml:space="preserve">2020-12-03</t>
  </si>
  <si>
    <t xml:space="preserve">2020-11-30</t>
  </si>
  <si>
    <t xml:space="preserve">2020-07-21</t>
  </si>
  <si>
    <t xml:space="preserve">2020-08-22</t>
  </si>
  <si>
    <t xml:space="preserve">2020-09-25</t>
  </si>
  <si>
    <t xml:space="preserve">2021-05-11</t>
  </si>
  <si>
    <t xml:space="preserve">2021-04-26</t>
  </si>
  <si>
    <t xml:space="preserve">2021-05-01</t>
  </si>
  <si>
    <t xml:space="preserve">2021-07-12</t>
  </si>
  <si>
    <t xml:space="preserve">2021-07-19</t>
  </si>
  <si>
    <t xml:space="preserve">2021-06-13</t>
  </si>
  <si>
    <t xml:space="preserve">2021-06-20</t>
  </si>
  <si>
    <t xml:space="preserve">2021-06-18</t>
  </si>
  <si>
    <t xml:space="preserve">2021-06-24</t>
  </si>
  <si>
    <t xml:space="preserve">2021-07-03</t>
  </si>
  <si>
    <t xml:space="preserve">2021-02-11</t>
  </si>
  <si>
    <t xml:space="preserve">2021-02-17</t>
  </si>
  <si>
    <t xml:space="preserve">2021-01-04</t>
  </si>
  <si>
    <t xml:space="preserve">2021-01-12</t>
  </si>
  <si>
    <t xml:space="preserve">2021-03-27</t>
  </si>
  <si>
    <t xml:space="preserve">2021-04-03</t>
  </si>
  <si>
    <t xml:space="preserve">2021-04-12</t>
  </si>
  <si>
    <t xml:space="preserve">2021-03-19</t>
  </si>
  <si>
    <t xml:space="preserve">2019-10-31</t>
  </si>
  <si>
    <t xml:space="preserve">2019-09-08</t>
  </si>
  <si>
    <t xml:space="preserve">2019-01-23</t>
  </si>
  <si>
    <t xml:space="preserve">2020-04-05</t>
  </si>
  <si>
    <t xml:space="preserve">2020-04-01</t>
  </si>
  <si>
    <t xml:space="preserve">2020-05-15</t>
  </si>
  <si>
    <t xml:space="preserve">2020-05-25</t>
  </si>
  <si>
    <t xml:space="preserve">2020-04-24</t>
  </si>
  <si>
    <t xml:space="preserve">2019-12-21</t>
  </si>
  <si>
    <t xml:space="preserve">2020-01-15</t>
  </si>
  <si>
    <t xml:space="preserve">2018-09-07</t>
  </si>
  <si>
    <t xml:space="preserve">2024-03-21</t>
  </si>
  <si>
    <t xml:space="preserve">2023-10-31</t>
  </si>
  <si>
    <t xml:space="preserve">2023-11-10</t>
  </si>
  <si>
    <t xml:space="preserve">2023-11-08</t>
  </si>
  <si>
    <t xml:space="preserve">2023-10-22</t>
  </si>
  <si>
    <t xml:space="preserve">2023-10-24</t>
  </si>
  <si>
    <t xml:space="preserve">2023-10-29</t>
  </si>
  <si>
    <t xml:space="preserve">2023-11-18</t>
  </si>
  <si>
    <t xml:space="preserve">2023-11-17</t>
  </si>
  <si>
    <t xml:space="preserve">2023-11-19</t>
  </si>
  <si>
    <t xml:space="preserve">2023-09-23</t>
  </si>
  <si>
    <t xml:space="preserve">2023-09-27</t>
  </si>
  <si>
    <t xml:space="preserve">2023-09-12</t>
  </si>
  <si>
    <t xml:space="preserve">2023-09-11</t>
  </si>
  <si>
    <t xml:space="preserve">2023-09-10</t>
  </si>
  <si>
    <t xml:space="preserve">2023-09-14</t>
  </si>
  <si>
    <t xml:space="preserve">2023-09-13</t>
  </si>
  <si>
    <t xml:space="preserve">2023-09-17</t>
  </si>
  <si>
    <t xml:space="preserve">2023-10-17</t>
  </si>
  <si>
    <t xml:space="preserve">2024-01-13</t>
  </si>
  <si>
    <t xml:space="preserve">2024-01-30</t>
  </si>
  <si>
    <t xml:space="preserve">2023-12-08</t>
  </si>
  <si>
    <t xml:space="preserve">2023-12-07</t>
  </si>
  <si>
    <t xml:space="preserve">2023-11-28</t>
  </si>
  <si>
    <t xml:space="preserve">2023-12-20</t>
  </si>
  <si>
    <t xml:space="preserve">2023-12-23</t>
  </si>
  <si>
    <t xml:space="preserve">2023-06-20</t>
  </si>
  <si>
    <t xml:space="preserve">2023-06-24</t>
  </si>
  <si>
    <t xml:space="preserve">2023-06-15</t>
  </si>
  <si>
    <t xml:space="preserve">2023-06-29</t>
  </si>
  <si>
    <t xml:space="preserve">2023-04-18</t>
  </si>
  <si>
    <t xml:space="preserve">2023-04-14</t>
  </si>
  <si>
    <t xml:space="preserve">2023-04-13</t>
  </si>
  <si>
    <t xml:space="preserve">2023-04-19</t>
  </si>
  <si>
    <t xml:space="preserve">2023-03-23</t>
  </si>
  <si>
    <t xml:space="preserve">2023-04-11</t>
  </si>
  <si>
    <t xml:space="preserve">2023-05-24</t>
  </si>
  <si>
    <t xml:space="preserve">2023-05-30</t>
  </si>
  <si>
    <t xml:space="preserve">2023-06-05</t>
  </si>
  <si>
    <t xml:space="preserve">2023-06-03</t>
  </si>
  <si>
    <t xml:space="preserve">2023-05-07</t>
  </si>
  <si>
    <t xml:space="preserve">2023-05-06</t>
  </si>
  <si>
    <t xml:space="preserve">2023-05-13</t>
  </si>
  <si>
    <t xml:space="preserve">2023-05-09</t>
  </si>
  <si>
    <t xml:space="preserve">2023-05-17</t>
  </si>
  <si>
    <t xml:space="preserve">2023-05-22</t>
  </si>
  <si>
    <t xml:space="preserve">2023-08-19</t>
  </si>
  <si>
    <t xml:space="preserve">2023-08-24</t>
  </si>
  <si>
    <t xml:space="preserve">2023-08-23</t>
  </si>
  <si>
    <t xml:space="preserve">2023-08-15</t>
  </si>
  <si>
    <t xml:space="preserve">2023-09-01</t>
  </si>
  <si>
    <t xml:space="preserve">2023-09-03</t>
  </si>
  <si>
    <t xml:space="preserve">2023-07-17</t>
  </si>
  <si>
    <t xml:space="preserve">2023-08-12</t>
  </si>
  <si>
    <t xml:space="preserve">2023-07-30</t>
  </si>
  <si>
    <t xml:space="preserve">2022-10-15</t>
  </si>
  <si>
    <t xml:space="preserve">2022-10-20</t>
  </si>
  <si>
    <t xml:space="preserve">2022-09-19</t>
  </si>
  <si>
    <t xml:space="preserve">2022-10-01</t>
  </si>
  <si>
    <t xml:space="preserve">2022-11-27</t>
  </si>
  <si>
    <t xml:space="preserve">2022-11-21</t>
  </si>
  <si>
    <t xml:space="preserve">2022-10-31</t>
  </si>
  <si>
    <t xml:space="preserve">2022-10-30</t>
  </si>
  <si>
    <t xml:space="preserve">2022-11-08</t>
  </si>
  <si>
    <t xml:space="preserve">2022-08-12</t>
  </si>
  <si>
    <t xml:space="preserve">2022-07-20</t>
  </si>
  <si>
    <t xml:space="preserve">2022-07-16</t>
  </si>
  <si>
    <t xml:space="preserve">2022-07-26</t>
  </si>
  <si>
    <t xml:space="preserve">2022-07-23</t>
  </si>
  <si>
    <t xml:space="preserve">2022-07-21</t>
  </si>
  <si>
    <t xml:space="preserve">2022-07-28</t>
  </si>
  <si>
    <t xml:space="preserve">2022-09-03</t>
  </si>
  <si>
    <t xml:space="preserve">2022-09-02</t>
  </si>
  <si>
    <t xml:space="preserve">2022-09-06</t>
  </si>
  <si>
    <t xml:space="preserve">2022-09-05</t>
  </si>
  <si>
    <t xml:space="preserve">2022-09-08</t>
  </si>
  <si>
    <t xml:space="preserve">2022-09-13</t>
  </si>
  <si>
    <t xml:space="preserve">2022-08-16</t>
  </si>
  <si>
    <t xml:space="preserve">2023-02-18</t>
  </si>
  <si>
    <t xml:space="preserve">2023-02-16</t>
  </si>
  <si>
    <t xml:space="preserve">2023-02-20</t>
  </si>
  <si>
    <t xml:space="preserve">2023-02-19</t>
  </si>
  <si>
    <t xml:space="preserve">2023-02-25</t>
  </si>
  <si>
    <t xml:space="preserve">2023-02-01</t>
  </si>
  <si>
    <t xml:space="preserve">2023-02-03</t>
  </si>
  <si>
    <t xml:space="preserve">2023-02-09</t>
  </si>
  <si>
    <t xml:space="preserve">2023-02-12</t>
  </si>
  <si>
    <t xml:space="preserve">2023-03-13</t>
  </si>
  <si>
    <t xml:space="preserve">2023-03-18</t>
  </si>
  <si>
    <t xml:space="preserve">2023-03-02</t>
  </si>
  <si>
    <t xml:space="preserve">2022-12-25</t>
  </si>
  <si>
    <t xml:space="preserve">2022-12-24</t>
  </si>
  <si>
    <t xml:space="preserve">2022-12-30</t>
  </si>
  <si>
    <t xml:space="preserve">2022-12-27</t>
  </si>
  <si>
    <t xml:space="preserve">2022-12-26</t>
  </si>
  <si>
    <t xml:space="preserve">2022-12-01</t>
  </si>
  <si>
    <t xml:space="preserve">2022-12-06</t>
  </si>
  <si>
    <t xml:space="preserve">2022-12-05</t>
  </si>
  <si>
    <t xml:space="preserve">2022-12-13</t>
  </si>
  <si>
    <t xml:space="preserve">2023-01-20</t>
  </si>
  <si>
    <t xml:space="preserve">2023-01-19</t>
  </si>
  <si>
    <t xml:space="preserve">2023-01-21</t>
  </si>
  <si>
    <t xml:space="preserve">2023-01-06</t>
  </si>
  <si>
    <t xml:space="preserve">2024-03-07</t>
  </si>
  <si>
    <t xml:space="preserve">2017-11-26</t>
  </si>
  <si>
    <t xml:space="preserve">2021-11-29</t>
  </si>
  <si>
    <t xml:space="preserve">2021-11-27</t>
  </si>
  <si>
    <t xml:space="preserve">2021-11-02</t>
  </si>
  <si>
    <t xml:space="preserve">2022-01-11</t>
  </si>
  <si>
    <t xml:space="preserve">2022-02-03</t>
  </si>
  <si>
    <t xml:space="preserve">2022-02-10</t>
  </si>
  <si>
    <t xml:space="preserve">2021-12-21</t>
  </si>
  <si>
    <t xml:space="preserve">2021-12-29</t>
  </si>
  <si>
    <t xml:space="preserve">2021-08-26</t>
  </si>
  <si>
    <t xml:space="preserve">2021-09-01</t>
  </si>
  <si>
    <t xml:space="preserve">2021-08-10</t>
  </si>
  <si>
    <t xml:space="preserve">2021-08-22</t>
  </si>
  <si>
    <t xml:space="preserve">2021-09-13</t>
  </si>
  <si>
    <t xml:space="preserve">2021-09-15</t>
  </si>
  <si>
    <t xml:space="preserve">2022-05-25</t>
  </si>
  <si>
    <t xml:space="preserve">2022-07-01</t>
  </si>
  <si>
    <t xml:space="preserve">2022-07-06</t>
  </si>
  <si>
    <t xml:space="preserve">2022-06-02</t>
  </si>
  <si>
    <t xml:space="preserve">2022-05-31</t>
  </si>
  <si>
    <t xml:space="preserve">2022-02-19</t>
  </si>
  <si>
    <t xml:space="preserve">2022-03-30</t>
  </si>
  <si>
    <t xml:space="preserve">2020-10-26</t>
  </si>
  <si>
    <t xml:space="preserve">2020-11-13</t>
  </si>
  <si>
    <t xml:space="preserve">2020-10-18</t>
  </si>
  <si>
    <t xml:space="preserve">2020-11-16</t>
  </si>
  <si>
    <t xml:space="preserve">2020-11-22</t>
  </si>
  <si>
    <t xml:space="preserve">2020-07-13</t>
  </si>
  <si>
    <t xml:space="preserve">2020-07-01</t>
  </si>
  <si>
    <t xml:space="preserve">2020-09-27</t>
  </si>
  <si>
    <t xml:space="preserve">2020-09-06</t>
  </si>
  <si>
    <t xml:space="preserve">2020-09-13</t>
  </si>
  <si>
    <t xml:space="preserve">2020-09-20</t>
  </si>
  <si>
    <t xml:space="preserve">2021-05-03</t>
  </si>
  <si>
    <t xml:space="preserve">2021-05-19</t>
  </si>
  <si>
    <t xml:space="preserve">2021-05-30</t>
  </si>
  <si>
    <t xml:space="preserve">2021-04-29</t>
  </si>
  <si>
    <t xml:space="preserve">2021-06-16</t>
  </si>
  <si>
    <t xml:space="preserve">2021-02-03</t>
  </si>
  <si>
    <t xml:space="preserve">2021-01-03</t>
  </si>
  <si>
    <t xml:space="preserve">2021-01-23</t>
  </si>
  <si>
    <t xml:space="preserve">2021-03-18</t>
  </si>
  <si>
    <t xml:space="preserve">2019-07-14</t>
  </si>
  <si>
    <t xml:space="preserve">2019-05-14</t>
  </si>
  <si>
    <t xml:space="preserve">2018-11-23</t>
  </si>
  <si>
    <t xml:space="preserve">2019-04-09</t>
  </si>
  <si>
    <t xml:space="preserve">2020-04-10</t>
  </si>
  <si>
    <t xml:space="preserve">2020-04-19</t>
  </si>
  <si>
    <t xml:space="preserve">2020-03-07</t>
  </si>
  <si>
    <t xml:space="preserve">2020-04-28</t>
  </si>
  <si>
    <t xml:space="preserve">2020-02-06</t>
  </si>
  <si>
    <t xml:space="preserve">2020-02-21</t>
  </si>
  <si>
    <t xml:space="preserve">2020-02-19</t>
  </si>
  <si>
    <t xml:space="preserve">2020-01-17</t>
  </si>
  <si>
    <t xml:space="preserve">2024-02-22</t>
  </si>
  <si>
    <t xml:space="preserve">2023-11-04</t>
  </si>
  <si>
    <t xml:space="preserve">2023-11-21</t>
  </si>
  <si>
    <t xml:space="preserve">2023-09-15</t>
  </si>
  <si>
    <t xml:space="preserve">2023-10-11</t>
  </si>
  <si>
    <t xml:space="preserve">2024-02-02</t>
  </si>
  <si>
    <t xml:space="preserve">2023-11-26</t>
  </si>
  <si>
    <t xml:space="preserve">2023-12-03</t>
  </si>
  <si>
    <t xml:space="preserve">2023-12-26</t>
  </si>
  <si>
    <t xml:space="preserve">2023-06-14</t>
  </si>
  <si>
    <t xml:space="preserve">2023-04-24</t>
  </si>
  <si>
    <t xml:space="preserve">2023-04-10</t>
  </si>
  <si>
    <t xml:space="preserve">2023-05-26</t>
  </si>
  <si>
    <t xml:space="preserve">2023-05-10</t>
  </si>
  <si>
    <t xml:space="preserve">2023-05-20</t>
  </si>
  <si>
    <t xml:space="preserve">2023-08-16</t>
  </si>
  <si>
    <t xml:space="preserve">2023-07-16</t>
  </si>
  <si>
    <t xml:space="preserve">2023-07-26</t>
  </si>
  <si>
    <t xml:space="preserve">2022-11-15</t>
  </si>
  <si>
    <t xml:space="preserve">2022-07-17</t>
  </si>
  <si>
    <t xml:space="preserve">2022-07-30</t>
  </si>
  <si>
    <t xml:space="preserve">2022-09-01</t>
  </si>
  <si>
    <t xml:space="preserve">2022-08-19</t>
  </si>
  <si>
    <t xml:space="preserve">2022-08-26</t>
  </si>
  <si>
    <t xml:space="preserve">2023-01-26</t>
  </si>
  <si>
    <t xml:space="preserve">2024-05-17</t>
  </si>
  <si>
    <t xml:space="preserve">2024-06-23</t>
  </si>
  <si>
    <t xml:space="preserve">2024-09-14</t>
  </si>
  <si>
    <t xml:space="preserve">2021-11-06</t>
  </si>
  <si>
    <t xml:space="preserve">Dry DNB</t>
  </si>
  <si>
    <t xml:space="preserve">2022-01-04</t>
  </si>
  <si>
    <t xml:space="preserve">2021-12-30</t>
  </si>
  <si>
    <t xml:space="preserve">2021-08-17</t>
  </si>
  <si>
    <t xml:space="preserve">2021-08-25</t>
  </si>
  <si>
    <t xml:space="preserve">2021-08-21</t>
  </si>
  <si>
    <t xml:space="preserve">2021-08-19</t>
  </si>
  <si>
    <t xml:space="preserve">2022-05-18</t>
  </si>
  <si>
    <t xml:space="preserve">2022-04-13</t>
  </si>
  <si>
    <t xml:space="preserve">2022-06-15</t>
  </si>
  <si>
    <t xml:space="preserve">2022-06-09</t>
  </si>
  <si>
    <t xml:space="preserve">2020-10-24</t>
  </si>
  <si>
    <t xml:space="preserve">2020-11-21</t>
  </si>
  <si>
    <t xml:space="preserve">2020-07-06</t>
  </si>
  <si>
    <t xml:space="preserve">2020-10-05</t>
  </si>
  <si>
    <t xml:space="preserve">2020-09-03</t>
  </si>
  <si>
    <t xml:space="preserve">2020-09-17</t>
  </si>
  <si>
    <t xml:space="preserve">2020-09-23</t>
  </si>
  <si>
    <t xml:space="preserve">2021-04-15</t>
  </si>
  <si>
    <t xml:space="preserve">2021-05-02</t>
  </si>
  <si>
    <t xml:space="preserve">2021-07-18</t>
  </si>
  <si>
    <t xml:space="preserve">2021-07-29</t>
  </si>
  <si>
    <t xml:space="preserve">2021-06-19</t>
  </si>
  <si>
    <t xml:space="preserve">2021-02-04</t>
  </si>
  <si>
    <t xml:space="preserve">2021-03-04</t>
  </si>
  <si>
    <t xml:space="preserve">2019-05-30</t>
  </si>
  <si>
    <t xml:space="preserve">2019-10-01</t>
  </si>
  <si>
    <t xml:space="preserve">2020-02-10</t>
  </si>
  <si>
    <t xml:space="preserve">2018-09-08</t>
  </si>
  <si>
    <t xml:space="preserve">2024-02-13</t>
  </si>
  <si>
    <t xml:space="preserve">Dry Bred</t>
  </si>
  <si>
    <t xml:space="preserve">2023-10-23</t>
  </si>
  <si>
    <t xml:space="preserve">2023-11-20</t>
  </si>
  <si>
    <t xml:space="preserve">2023-09-25</t>
  </si>
  <si>
    <t xml:space="preserve">2024-01-06</t>
  </si>
  <si>
    <t xml:space="preserve">2024-01-28</t>
  </si>
  <si>
    <t xml:space="preserve">2024-02-03</t>
  </si>
  <si>
    <t xml:space="preserve">2023-05-01</t>
  </si>
  <si>
    <t xml:space="preserve">2023-03-31</t>
  </si>
  <si>
    <t xml:space="preserve">2023-08-04</t>
  </si>
  <si>
    <t xml:space="preserve">2023-07-25</t>
  </si>
  <si>
    <t xml:space="preserve">2022-10-05</t>
  </si>
  <si>
    <t xml:space="preserve">2022-10-19</t>
  </si>
  <si>
    <t xml:space="preserve">2022-11-19</t>
  </si>
  <si>
    <t xml:space="preserve">2022-08-20</t>
  </si>
  <si>
    <t xml:space="preserve">2023-02-04</t>
  </si>
  <si>
    <t xml:space="preserve">2023-02-11</t>
  </si>
  <si>
    <t xml:space="preserve">2023-03-10</t>
  </si>
  <si>
    <t xml:space="preserve">2023-01-24</t>
  </si>
  <si>
    <t xml:space="preserve">2023-01-23</t>
  </si>
  <si>
    <t xml:space="preserve">2023-01-05</t>
  </si>
  <si>
    <t xml:space="preserve">2024-04-12</t>
  </si>
  <si>
    <t xml:space="preserve">2024-05-24</t>
  </si>
  <si>
    <t xml:space="preserve">2024-11-07</t>
  </si>
  <si>
    <t xml:space="preserve">2024-12-03</t>
  </si>
  <si>
    <t xml:space="preserve">2024-11-27</t>
  </si>
  <si>
    <t xml:space="preserve">2025-01-30</t>
  </si>
  <si>
    <t xml:space="preserve">2025-02-04</t>
  </si>
  <si>
    <t xml:space="preserve">2025-01-18</t>
  </si>
  <si>
    <t xml:space="preserve">2025-01-24</t>
  </si>
  <si>
    <t xml:space="preserve">2025-01-27</t>
  </si>
  <si>
    <t xml:space="preserve">2025-01-11</t>
  </si>
  <si>
    <t xml:space="preserve">2025-01-13</t>
  </si>
  <si>
    <t xml:space="preserve">2025-02-08</t>
  </si>
  <si>
    <t xml:space="preserve">2025-02-13</t>
  </si>
  <si>
    <t xml:space="preserve">2025-02-07</t>
  </si>
  <si>
    <t xml:space="preserve">2025-02-06</t>
  </si>
  <si>
    <t xml:space="preserve">2024-10-16</t>
  </si>
  <si>
    <t xml:space="preserve">2024-09-25</t>
  </si>
  <si>
    <t xml:space="preserve">2024-11-21</t>
  </si>
  <si>
    <t xml:space="preserve">2024-11-25</t>
  </si>
  <si>
    <t xml:space="preserve">2025-01-04</t>
  </si>
  <si>
    <t xml:space="preserve">2025-01-01</t>
  </si>
  <si>
    <t xml:space="preserve">2024-12-29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</si>
  <si>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</si>
  <si>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</si>
  <si>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</si>
  <si>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</si>
  <si>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2025-02-05</t>
  </si>
  <si>
    <t xml:space="preserve">2025-01-21</t>
  </si>
  <si>
    <t xml:space="preserve">2025-01-23</t>
  </si>
  <si>
    <t xml:space="preserve">2025-01-26</t>
  </si>
  <si>
    <t xml:space="preserve">2025-01-16</t>
  </si>
  <si>
    <t xml:space="preserve">2025-01-17</t>
  </si>
  <si>
    <t xml:space="preserve">2025-01-15</t>
  </si>
  <si>
    <t xml:space="preserve">2025-01-10</t>
  </si>
  <si>
    <t xml:space="preserve">2025-01-12</t>
  </si>
  <si>
    <t xml:space="preserve">2025-01-14</t>
  </si>
  <si>
    <t xml:space="preserve">2025-02-25</t>
  </si>
  <si>
    <t xml:space="preserve">2025-02-26</t>
  </si>
  <si>
    <t xml:space="preserve">2025-02-27</t>
  </si>
  <si>
    <t xml:space="preserve">2025-02-17</t>
  </si>
  <si>
    <t xml:space="preserve">2025-02-16</t>
  </si>
  <si>
    <t xml:space="preserve">2025-02-15</t>
  </si>
  <si>
    <t xml:space="preserve">2025-02-20</t>
  </si>
  <si>
    <t xml:space="preserve">2025-02-22</t>
  </si>
  <si>
    <t xml:space="preserve">2025-02-12</t>
  </si>
  <si>
    <t xml:space="preserve">2024-12-17</t>
  </si>
  <si>
    <t xml:space="preserve">2025-02-14</t>
  </si>
  <si>
    <t xml:space="preserve">2025-02-09</t>
  </si>
  <si>
    <t xml:space="preserve">2025-02-11</t>
  </si>
  <si>
    <t xml:space="preserve">2025-03-19</t>
  </si>
  <si>
    <t xml:space="preserve">2025-03-21</t>
  </si>
  <si>
    <t xml:space="preserve">2025-03-24</t>
  </si>
  <si>
    <t xml:space="preserve">2025-03-16</t>
  </si>
  <si>
    <t xml:space="preserve">2025-03-26</t>
  </si>
  <si>
    <t xml:space="preserve">2025-03-27</t>
  </si>
  <si>
    <t xml:space="preserve">2025-03-10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</si>
  <si>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</si>
  <si>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</si>
  <si>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</si>
  <si>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</si>
  <si>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</si>
  <si>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2025-03-18</t>
  </si>
  <si>
    <t xml:space="preserve">2025-03-07</t>
  </si>
  <si>
    <t xml:space="preserve">2025-03-09</t>
  </si>
  <si>
    <t xml:space="preserve">2025-03-08</t>
  </si>
  <si>
    <t xml:space="preserve">2025-03-11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</si>
  <si>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</si>
  <si>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</si>
  <si>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</si>
  <si>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</si>
  <si>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</si>
  <si>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2025-04-18</t>
  </si>
  <si>
    <t xml:space="preserve">2025-04-16</t>
  </si>
  <si>
    <t xml:space="preserve">2025-04-19</t>
  </si>
  <si>
    <t xml:space="preserve">2025-04-21</t>
  </si>
  <si>
    <t xml:space="preserve">2025-04-20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</si>
  <si>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</si>
  <si>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</si>
  <si>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</si>
  <si>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</si>
  <si>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</si>
  <si>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2025-04-08</t>
  </si>
  <si>
    <t xml:space="preserve">2025-04-06</t>
  </si>
  <si>
    <t xml:space="preserve">2025-03-29</t>
  </si>
  <si>
    <t xml:space="preserve">2025-03-31</t>
  </si>
  <si>
    <t xml:space="preserve">2025-03-30</t>
  </si>
  <si>
    <t xml:space="preserve">2025-04-01</t>
  </si>
  <si>
    <t xml:space="preserve">2025-04-02</t>
  </si>
  <si>
    <t xml:space="preserve">2025-04-03</t>
  </si>
  <si>
    <t xml:space="preserve">2025-05-15</t>
  </si>
  <si>
    <t xml:space="preserve">2025-05-14</t>
  </si>
  <si>
    <t xml:space="preserve">2025-05-13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</si>
  <si>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</si>
  <si>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</si>
  <si>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</si>
  <si>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</si>
  <si>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</si>
  <si>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2025-05-10</t>
  </si>
  <si>
    <t xml:space="preserve">2025-05-11</t>
  </si>
  <si>
    <t xml:space="preserve">2025-05-12</t>
  </si>
  <si>
    <t xml:space="preserve">2025-04-30</t>
  </si>
  <si>
    <t xml:space="preserve">2025-05-01</t>
  </si>
  <si>
    <t xml:space="preserve">2025-05-03</t>
  </si>
  <si>
    <t xml:space="preserve">2025-05-02</t>
  </si>
  <si>
    <t xml:space="preserve">2025-05-06</t>
  </si>
  <si>
    <t xml:space="preserve">2025-05-08</t>
  </si>
  <si>
    <t xml:space="preserve">2025-05-09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</si>
  <si>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</si>
  <si>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</si>
  <si>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</si>
  <si>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</si>
  <si>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2025-06-10</t>
  </si>
  <si>
    <t xml:space="preserve">2025-06-11</t>
  </si>
  <si>
    <t xml:space="preserve">2025-06-14</t>
  </si>
  <si>
    <t xml:space="preserve">2025-06-13</t>
  </si>
  <si>
    <t xml:space="preserve">2025-06-12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</si>
  <si>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</si>
  <si>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</si>
  <si>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</si>
  <si>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</si>
  <si>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</si>
  <si>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</si>
  <si>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</si>
  <si>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</si>
  <si>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</si>
  <si>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2025-05-28</t>
  </si>
  <si>
    <t xml:space="preserve">2025-05-26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</si>
  <si>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</si>
  <si>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</si>
  <si>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</si>
  <si>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</si>
  <si>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2025-05-22</t>
  </si>
  <si>
    <t xml:space="preserve">2025-05-23</t>
  </si>
  <si>
    <t xml:space="preserve">2025-07-05</t>
  </si>
  <si>
    <t xml:space="preserve">2025-06-28</t>
  </si>
  <si>
    <t xml:space="preserve">2025-07-07</t>
  </si>
  <si>
    <t xml:space="preserve">2025-06-30</t>
  </si>
  <si>
    <t xml:space="preserve">2025-07-02</t>
  </si>
  <si>
    <t xml:space="preserve">2025-07-03</t>
  </si>
  <si>
    <t xml:space="preserve">2025-06-23</t>
  </si>
  <si>
    <t xml:space="preserve">2025-06-21</t>
  </si>
  <si>
    <t xml:space="preserve">2025-06-26</t>
  </si>
  <si>
    <t xml:space="preserve">2025-06-25</t>
  </si>
  <si>
    <t xml:space="preserve">2025-06-24</t>
  </si>
  <si>
    <t xml:space="preserve">2025-06-27</t>
  </si>
  <si>
    <t xml:space="preserve">2025-07-26</t>
  </si>
  <si>
    <t xml:space="preserve">2025-07-27</t>
  </si>
  <si>
    <t xml:space="preserve">2025-07-28</t>
  </si>
  <si>
    <t xml:space="preserve">2025-07-30</t>
  </si>
  <si>
    <t xml:space="preserve">2025-07-31</t>
  </si>
  <si>
    <t xml:space="preserve">2025-07-22</t>
  </si>
  <si>
    <t xml:space="preserve">2025-07-24</t>
  </si>
  <si>
    <t xml:space="preserve">2025-07-17</t>
  </si>
  <si>
    <t xml:space="preserve">2025-07-18</t>
  </si>
  <si>
    <t xml:space="preserve">2025-07-20</t>
  </si>
  <si>
    <t xml:space="preserve">2025-07-09</t>
  </si>
  <si>
    <t xml:space="preserve">2025-07-12</t>
  </si>
  <si>
    <t xml:space="preserve">2025-07-11</t>
  </si>
  <si>
    <t xml:space="preserve">2025-07-10</t>
  </si>
  <si>
    <t xml:space="preserve">2025-07-14</t>
  </si>
  <si>
    <t xml:space="preserve">2025-08-12</t>
  </si>
  <si>
    <t xml:space="preserve">2025-08-17</t>
  </si>
  <si>
    <t xml:space="preserve">2025-08-16</t>
  </si>
  <si>
    <t xml:space="preserve">2025-08-11</t>
  </si>
  <si>
    <t xml:space="preserve">2025-08-01</t>
  </si>
  <si>
    <t xml:space="preserve">2025-08-03</t>
  </si>
  <si>
    <t xml:space="preserve">2025-07-01</t>
  </si>
  <si>
    <t xml:space="preserve">2025-08-08</t>
  </si>
  <si>
    <t xml:space="preserve">2021-10-28</t>
  </si>
  <si>
    <t xml:space="preserve">2022-06-26</t>
  </si>
  <si>
    <t xml:space="preserve">2020-08-23</t>
  </si>
  <si>
    <t xml:space="preserve">2024-04-14</t>
  </si>
  <si>
    <t xml:space="preserve">2022-04-16</t>
  </si>
  <si>
    <t xml:space="preserve">2022-02-24</t>
  </si>
  <si>
    <t xml:space="preserve">2021-07-05</t>
  </si>
  <si>
    <t xml:space="preserve">2021-03-03</t>
  </si>
  <si>
    <t xml:space="preserve">2018-11-08</t>
  </si>
  <si>
    <t xml:space="preserve">2019-11-05</t>
  </si>
  <si>
    <t xml:space="preserve">2024-03-09</t>
  </si>
  <si>
    <t xml:space="preserve">2023-06-28</t>
  </si>
  <si>
    <t xml:space="preserve">2023-04-21</t>
  </si>
  <si>
    <t xml:space="preserve">2023-07-18</t>
  </si>
  <si>
    <t xml:space="preserve">2022-10-04</t>
  </si>
  <si>
    <t xml:space="preserve">2022-08-08</t>
  </si>
  <si>
    <t xml:space="preserve">2022-08-27</t>
  </si>
  <si>
    <t xml:space="preserve">2025-12-02</t>
  </si>
  <si>
    <t xml:space="preserve">Male</t>
  </si>
  <si>
    <t xml:space="preserve">2025-04-09</t>
  </si>
  <si>
    <t xml:space="preserve">2025-05-27</t>
  </si>
  <si>
    <t xml:space="preserve">2025-07-08</t>
  </si>
  <si>
    <t xml:space="preserve">2025-07-29</t>
  </si>
  <si>
    <t xml:space="preserve">2025-07-15</t>
  </si>
  <si>
    <t xml:space="preserve">2025-07-16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</si>
  <si>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</si>
  <si>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</si>
  <si>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</si>
  <si>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</si>
  <si>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</si>
  <si>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</si>
  <si>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</si>
  <si>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</si>
  <si>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2025-08-14</t>
  </si>
  <si>
    <t xml:space="preserve">2025-08-13</t>
  </si>
  <si>
    <t xml:space="preserve">2025-06-15</t>
  </si>
  <si>
    <t xml:space="preserve">2025-08-15</t>
  </si>
  <si>
    <t xml:space="preserve">2025-08-18</t>
  </si>
  <si>
    <t xml:space="preserve">2025-08-09</t>
  </si>
  <si>
    <t xml:space="preserve">2025-08-10</t>
  </si>
  <si>
    <t xml:space="preserve">2025-08-04</t>
  </si>
  <si>
    <t xml:space="preserve">2025-08-02</t>
  </si>
  <si>
    <t xml:space="preserve">2025-09-17</t>
  </si>
  <si>
    <t xml:space="preserve">2025-09-08</t>
  </si>
  <si>
    <t xml:space="preserve">2025-09-09</t>
  </si>
  <si>
    <t xml:space="preserve">2025-09-10</t>
  </si>
  <si>
    <t xml:space="preserve">2025-09-04</t>
  </si>
  <si>
    <t xml:space="preserve">2025-09-02</t>
  </si>
  <si>
    <t xml:space="preserve">2025-09-05</t>
  </si>
  <si>
    <t xml:space="preserve">2025-08-27</t>
  </si>
  <si>
    <t xml:space="preserve">2025-08-28</t>
  </si>
  <si>
    <t xml:space="preserve">2025-08-29</t>
  </si>
  <si>
    <t xml:space="preserve">2025-08-31</t>
  </si>
  <si>
    <t xml:space="preserve">2025-08-30</t>
  </si>
  <si>
    <t xml:space="preserve">2025-09-01</t>
  </si>
  <si>
    <t xml:space="preserve">2025-04-07</t>
  </si>
  <si>
    <t xml:space="preserve">2025-08-06</t>
  </si>
  <si>
    <t xml:space="preserve">2025-09-15</t>
  </si>
  <si>
    <t xml:space="preserve">Youngstock</t>
  </si>
  <si>
    <t xml:space="preserve">2025-09-11</t>
  </si>
  <si>
    <t xml:space="preserve">2025-09-16</t>
  </si>
  <si>
    <t xml:space="preserve">2025-09-07</t>
  </si>
  <si>
    <t xml:space="preserve">2025-10-07</t>
  </si>
  <si>
    <t xml:space="preserve">2025-10-08</t>
  </si>
  <si>
    <t xml:space="preserve">2025-10-09</t>
  </si>
  <si>
    <t xml:space="preserve">2025-10-11</t>
  </si>
  <si>
    <t xml:space="preserve">2025-10-10</t>
  </si>
  <si>
    <t xml:space="preserve">2025-10-04</t>
  </si>
  <si>
    <t xml:space="preserve">2025-10-03</t>
  </si>
  <si>
    <t xml:space="preserve">2025-10-06</t>
  </si>
  <si>
    <t xml:space="preserve">2025-09-26</t>
  </si>
  <si>
    <t xml:space="preserve">2025-09-25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</si>
  <si>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</si>
  <si>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</si>
  <si>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</si>
  <si>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</si>
  <si>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</si>
  <si>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2025-09-18</t>
  </si>
  <si>
    <t xml:space="preserve">2025-09-20</t>
  </si>
  <si>
    <t xml:space="preserve">2025-09-19</t>
  </si>
  <si>
    <t xml:space="preserve">2025-09-21</t>
  </si>
  <si>
    <t xml:space="preserve">2025-09-22</t>
  </si>
  <si>
    <t xml:space="preserve">2025-09-23</t>
  </si>
  <si>
    <t xml:space="preserve">2025-11-02</t>
  </si>
  <si>
    <t xml:space="preserve">2025-11-03</t>
  </si>
  <si>
    <t xml:space="preserve">2025-11-01</t>
  </si>
  <si>
    <t xml:space="preserve">2025-10-31</t>
  </si>
  <si>
    <t xml:space="preserve">2025-11-04</t>
  </si>
  <si>
    <t xml:space="preserve">2025-11-05</t>
  </si>
  <si>
    <t xml:space="preserve">2025-11-06</t>
  </si>
  <si>
    <t xml:space="preserve">2025-10-26</t>
  </si>
  <si>
    <t xml:space="preserve">2025-10-25</t>
  </si>
  <si>
    <t xml:space="preserve">2025-10-24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</si>
  <si>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</si>
  <si>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</si>
  <si>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</si>
  <si>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</si>
  <si>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2025-10-20</t>
  </si>
  <si>
    <t xml:space="preserve">2025-10-19</t>
  </si>
  <si>
    <t xml:space="preserve">2025-10-21</t>
  </si>
  <si>
    <t xml:space="preserve">2025-10-22</t>
  </si>
  <si>
    <t xml:space="preserve">2025-10-18</t>
  </si>
  <si>
    <t xml:space="preserve">2025-10-23</t>
  </si>
  <si>
    <t xml:space="preserve">2025-10-16</t>
  </si>
  <si>
    <t xml:space="preserve">2025-10-15</t>
  </si>
  <si>
    <t xml:space="preserve">2025-10-14</t>
  </si>
  <si>
    <t xml:space="preserve">2025-10-13</t>
  </si>
  <si>
    <t xml:space="preserve">2025-10-17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</si>
  <si>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</si>
  <si>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</si>
  <si>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</si>
  <si>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</si>
  <si>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2025-12-01</t>
  </si>
  <si>
    <t xml:space="preserve">2025-11-30</t>
  </si>
  <si>
    <t xml:space="preserve">2025-11-18</t>
  </si>
  <si>
    <t xml:space="preserve">2025-11-20</t>
  </si>
  <si>
    <t xml:space="preserve">2025-11-19</t>
  </si>
  <si>
    <t xml:space="preserve">2025-11-22</t>
  </si>
  <si>
    <t xml:space="preserve">2025-11-21</t>
  </si>
  <si>
    <t xml:space="preserve">2025-11-23</t>
  </si>
  <si>
    <t xml:space="preserve">2025-11-25</t>
  </si>
  <si>
    <t xml:space="preserve">2025-11-14</t>
  </si>
  <si>
    <t xml:space="preserve">2025-11-13</t>
  </si>
  <si>
    <t xml:space="preserve">2025-11-17</t>
  </si>
  <si>
    <t xml:space="preserve">2025-11-16</t>
  </si>
  <si>
    <t xml:space="preserve">2025-11-08</t>
  </si>
  <si>
    <t xml:space="preserve">2025-11-07</t>
  </si>
  <si>
    <t xml:space="preserve">2025-11-09</t>
  </si>
  <si>
    <t xml:space="preserve">2025-11-10</t>
  </si>
  <si>
    <t xml:space="preserve">2025-11-11</t>
  </si>
  <si>
    <t xml:space="preserve">2025-12-16</t>
  </si>
  <si>
    <t xml:space="preserve">2025-12-19</t>
  </si>
  <si>
    <t xml:space="preserve">2025-12-17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</si>
  <si>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</si>
  <si>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</si>
  <si>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</si>
  <si>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</si>
  <si>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</si>
  <si>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</si>
  <si>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</si>
  <si>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</si>
  <si>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</si>
  <si>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</si>
  <si>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</si>
  <si>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</si>
  <si>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2025-12-06</t>
  </si>
  <si>
    <t xml:space="preserve">2025-12-08</t>
  </si>
  <si>
    <t xml:space="preserve">2025-12-04</t>
  </si>
  <si>
    <t xml:space="preserve">2025-12-03</t>
  </si>
  <si>
    <t xml:space="preserve">2025-12-05</t>
  </si>
  <si>
    <t xml:space="preserve">2026-01-16</t>
  </si>
  <si>
    <t xml:space="preserve">2026-01-15</t>
  </si>
  <si>
    <t xml:space="preserve">2026-01-18</t>
  </si>
  <si>
    <t xml:space="preserve">2026-01-17</t>
  </si>
  <si>
    <t xml:space="preserve">2026-01-20</t>
  </si>
  <si>
    <t xml:space="preserve">2026-01-21</t>
  </si>
  <si>
    <t xml:space="preserve">2026-01-11</t>
  </si>
  <si>
    <t xml:space="preserve">2026-01-09</t>
  </si>
  <si>
    <t xml:space="preserve">2026-01-10</t>
  </si>
  <si>
    <t xml:space="preserve">2026-01-08</t>
  </si>
  <si>
    <t xml:space="preserve">2026-01-12</t>
  </si>
  <si>
    <t xml:space="preserve">2026-01-14</t>
  </si>
  <si>
    <t xml:space="preserve">2026-01-13</t>
  </si>
  <si>
    <t xml:space="preserve">2026-01-02</t>
  </si>
  <si>
    <t xml:space="preserve">2026-01-01</t>
  </si>
  <si>
    <t xml:space="preserve">2026-01-05</t>
  </si>
  <si>
    <t xml:space="preserve">2026-01-04</t>
  </si>
  <si>
    <t xml:space="preserve">2026-01-03</t>
  </si>
  <si>
    <t xml:space="preserve">2025-12-31</t>
  </si>
  <si>
    <t xml:space="preserve">2026-01-07</t>
  </si>
  <si>
    <t xml:space="preserve">2026-01-06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</si>
  <si>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</si>
  <si>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</si>
  <si>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</si>
  <si>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</si>
  <si>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</si>
  <si>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</si>
  <si>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</si>
  <si>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</si>
  <si>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</si>
  <si>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</si>
  <si>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</si>
  <si>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</si>
  <si>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</si>
  <si>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</si>
  <si>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2026-01-28</t>
  </si>
  <si>
    <t xml:space="preserve">2026-01-29</t>
  </si>
  <si>
    <t xml:space="preserve">2026-01-30</t>
  </si>
  <si>
    <t xml:space="preserve">2026-02-01</t>
  </si>
  <si>
    <t xml:space="preserve">2026-02-02</t>
  </si>
  <si>
    <t xml:space="preserve">2026-01-31</t>
  </si>
  <si>
    <t xml:space="preserve">2026-01-24</t>
  </si>
  <si>
    <t xml:space="preserve">2026-01-26</t>
  </si>
  <si>
    <t xml:space="preserve">2026-01-25</t>
  </si>
  <si>
    <t xml:space="preserve">2026-01-22</t>
  </si>
  <si>
    <t xml:space="preserve">2026-01-27</t>
  </si>
  <si>
    <t xml:space="preserve">2026-03-07</t>
  </si>
  <si>
    <t xml:space="preserve">2026-03-08</t>
  </si>
  <si>
    <t xml:space="preserve">2026-03-09</t>
  </si>
  <si>
    <t xml:space="preserve">2026-02-27</t>
  </si>
  <si>
    <t xml:space="preserve">2026-02-26</t>
  </si>
  <si>
    <t xml:space="preserve">2026-02-28</t>
  </si>
  <si>
    <t xml:space="preserve">2026-03-01</t>
  </si>
  <si>
    <t xml:space="preserve">2026-02-23</t>
  </si>
  <si>
    <t xml:space="preserve">2026-03-04</t>
  </si>
  <si>
    <t xml:space="preserve">2026-03-05</t>
  </si>
  <si>
    <t xml:space="preserve">2026-03-02</t>
  </si>
  <si>
    <t xml:space="preserve">2026-03-03</t>
  </si>
  <si>
    <t xml:space="preserve">2026-03-06</t>
  </si>
  <si>
    <t xml:space="preserve">2026-02-25</t>
  </si>
  <si>
    <t xml:space="preserve">2026-02-16</t>
  </si>
  <si>
    <t xml:space="preserve">2026-02-15</t>
  </si>
  <si>
    <t xml:space="preserve">2026-02-13</t>
  </si>
  <si>
    <t xml:space="preserve">2026-02-18</t>
  </si>
  <si>
    <t xml:space="preserve">2026-02-17</t>
  </si>
  <si>
    <t xml:space="preserve">2026-02-19</t>
  </si>
  <si>
    <t xml:space="preserve">2026-02-21</t>
  </si>
  <si>
    <t xml:space="preserve">2026-02-20</t>
  </si>
  <si>
    <t xml:space="preserve">2026-02-22</t>
  </si>
  <si>
    <t xml:space="preserve">2026-04-02</t>
  </si>
  <si>
    <t xml:space="preserve">2026-04-04</t>
  </si>
  <si>
    <t xml:space="preserve">2026-04-03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</si>
  <si>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</si>
  <si>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</si>
  <si>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</si>
  <si>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</si>
  <si>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</si>
  <si>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</si>
  <si>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</si>
  <si>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</si>
  <si>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</si>
  <si>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2026-03-26</t>
  </si>
  <si>
    <t xml:space="preserve">2026-03-25</t>
  </si>
  <si>
    <t xml:space="preserve">2026-03-24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</si>
  <si>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</si>
  <si>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</si>
  <si>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</si>
  <si>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</si>
  <si>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</si>
  <si>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</si>
  <si>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</si>
  <si>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</si>
  <si>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</si>
  <si>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</si>
  <si>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</si>
  <si>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</si>
  <si>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</si>
  <si>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</si>
  <si>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</si>
  <si>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</si>
  <si>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</si>
  <si>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</si>
  <si>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2026-04-24</t>
  </si>
  <si>
    <t xml:space="preserve">2026-04-27</t>
  </si>
  <si>
    <t xml:space="preserve">2026-04-26</t>
  </si>
  <si>
    <t xml:space="preserve">2026-04-28</t>
  </si>
  <si>
    <t xml:space="preserve">2026-04-29</t>
  </si>
  <si>
    <t xml:space="preserve">2026-04-30</t>
  </si>
  <si>
    <t xml:space="preserve">2026-04-21</t>
  </si>
  <si>
    <t xml:space="preserve">2026-04-22</t>
  </si>
  <si>
    <t xml:space="preserve">2026-04-23</t>
  </si>
  <si>
    <t xml:space="preserve">2026-04-16</t>
  </si>
  <si>
    <t xml:space="preserve">2026-04-17</t>
  </si>
  <si>
    <t xml:space="preserve">2026-04-20</t>
  </si>
  <si>
    <t xml:space="preserve">2026-04-19</t>
  </si>
  <si>
    <t xml:space="preserve">2026-04-18</t>
  </si>
  <si>
    <t xml:space="preserve">2026-04-14</t>
  </si>
  <si>
    <t xml:space="preserve">2026-04-15</t>
  </si>
  <si>
    <t xml:space="preserve">2026-05-21</t>
  </si>
  <si>
    <t xml:space="preserve">2026-05-20</t>
  </si>
  <si>
    <t xml:space="preserve">2026-05-22</t>
  </si>
  <si>
    <t xml:space="preserve">2026-05-24</t>
  </si>
  <si>
    <t xml:space="preserve">2026-05-23</t>
  </si>
  <si>
    <t xml:space="preserve">2026-05-25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</si>
  <si>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</si>
  <si>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</si>
  <si>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</si>
  <si>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</si>
  <si>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2026-05-17</t>
  </si>
  <si>
    <t xml:space="preserve">2026-05-16</t>
  </si>
  <si>
    <t xml:space="preserve">2026-05-19</t>
  </si>
  <si>
    <t xml:space="preserve">2026-05-18</t>
  </si>
  <si>
    <t xml:space="preserve">2026-05-08</t>
  </si>
  <si>
    <t xml:space="preserve">2026-05-07</t>
  </si>
  <si>
    <t xml:space="preserve">2026-05-11</t>
  </si>
  <si>
    <t xml:space="preserve">2026-05-10</t>
  </si>
  <si>
    <t xml:space="preserve">2026-05-09</t>
  </si>
  <si>
    <t xml:space="preserve">2026-05-01</t>
  </si>
  <si>
    <t xml:space="preserve">2026-05-02</t>
  </si>
  <si>
    <t xml:space="preserve">2026-05-03</t>
  </si>
  <si>
    <t xml:space="preserve">2026-05-05</t>
  </si>
  <si>
    <t xml:space="preserve">2026-05-04</t>
  </si>
  <si>
    <t xml:space="preserve">2026-05-06</t>
  </si>
  <si>
    <t xml:space="preserve">2026-06-14</t>
  </si>
  <si>
    <t xml:space="preserve">2026-06-12</t>
  </si>
  <si>
    <t xml:space="preserve">2026-06-15</t>
  </si>
  <si>
    <t xml:space="preserve">2026-06-08</t>
  </si>
  <si>
    <t xml:space="preserve">2026-06-09</t>
  </si>
  <si>
    <t xml:space="preserve">2026-06-11</t>
  </si>
  <si>
    <t xml:space="preserve">2026-06-10</t>
  </si>
  <si>
    <t xml:space="preserve">2026-06-03</t>
  </si>
  <si>
    <t xml:space="preserve">2026-06-02</t>
  </si>
  <si>
    <t xml:space="preserve">2026-06-01</t>
  </si>
  <si>
    <t xml:space="preserve">2026-06-05</t>
  </si>
  <si>
    <t xml:space="preserve">2026-06-04</t>
  </si>
  <si>
    <t xml:space="preserve">2026-06-06</t>
  </si>
  <si>
    <t xml:space="preserve">2026-06-07</t>
  </si>
  <si>
    <t xml:space="preserve">2026-05-26</t>
  </si>
  <si>
    <t xml:space="preserve">2026-05-27</t>
  </si>
  <si>
    <t xml:space="preserve">2026-05-28</t>
  </si>
  <si>
    <t xml:space="preserve">2026-05-31</t>
  </si>
  <si>
    <t xml:space="preserve">2026-05-30</t>
  </si>
  <si>
    <t xml:space="preserve">2026-07-03</t>
  </si>
  <si>
    <t xml:space="preserve">2026-07-01</t>
  </si>
  <si>
    <t xml:space="preserve">2026-07-05</t>
  </si>
  <si>
    <t xml:space="preserve">2026-07-04</t>
  </si>
  <si>
    <t xml:space="preserve">2026-07-06</t>
  </si>
  <si>
    <t xml:space="preserve">2026-06-26</t>
  </si>
  <si>
    <t xml:space="preserve">2026-06-25</t>
  </si>
  <si>
    <t xml:space="preserve">2026-06-23</t>
  </si>
  <si>
    <t xml:space="preserve">2026-06-24</t>
  </si>
  <si>
    <t xml:space="preserve">2026-06-27</t>
  </si>
  <si>
    <t xml:space="preserve">2026-06-29</t>
  </si>
  <si>
    <t xml:space="preserve">2026-06-28</t>
  </si>
  <si>
    <t xml:space="preserve">2026-06-16</t>
  </si>
  <si>
    <t xml:space="preserve">2026-06-17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</si>
  <si>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</si>
  <si>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</si>
  <si>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</si>
  <si>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</si>
  <si>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</si>
  <si>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</si>
  <si>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</si>
  <si>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</si>
  <si>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2021-11-16</t>
  </si>
  <si>
    <t xml:space="preserve">2022-03-02</t>
  </si>
  <si>
    <t xml:space="preserve">2020-07-20</t>
  </si>
  <si>
    <t xml:space="preserve">2020-08-08</t>
  </si>
  <si>
    <t xml:space="preserve">2020-06-04</t>
  </si>
  <si>
    <t xml:space="preserve">2020-06-21</t>
  </si>
  <si>
    <t xml:space="preserve">2021-04-01</t>
  </si>
  <si>
    <t xml:space="preserve">2021-04-05</t>
  </si>
  <si>
    <t xml:space="preserve">2019-06-17</t>
  </si>
  <si>
    <t xml:space="preserve">2018-10-22</t>
  </si>
  <si>
    <t xml:space="preserve">2018-09-15</t>
  </si>
  <si>
    <t xml:space="preserve">2023-03-30</t>
  </si>
  <si>
    <t xml:space="preserve">2023-05-23</t>
  </si>
  <si>
    <t xml:space="preserve">2023-05-14</t>
  </si>
  <si>
    <t xml:space="preserve">2023-03-03</t>
  </si>
  <si>
    <t xml:space="preserve">2024-10-31</t>
  </si>
  <si>
    <t xml:space="preserve">2024-12-02</t>
  </si>
  <si>
    <t xml:space="preserve">2024-11-30</t>
  </si>
  <si>
    <t xml:space="preserve">2024-11-29</t>
  </si>
  <si>
    <t xml:space="preserve">2024-11-14</t>
  </si>
  <si>
    <t xml:space="preserve">2024-12-30</t>
  </si>
  <si>
    <t xml:space="preserve">2025-01-20</t>
  </si>
  <si>
    <t xml:space="preserve">2025-01-25</t>
  </si>
  <si>
    <t xml:space="preserve">2025-01-28</t>
  </si>
  <si>
    <t xml:space="preserve">2025-01-09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</si>
  <si>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</si>
  <si>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</si>
  <si>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</si>
  <si>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</si>
  <si>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</si>
  <si>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</si>
  <si>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</si>
  <si>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2026-06-13</t>
  </si>
  <si>
    <t xml:space="preserve">2026-05-29</t>
  </si>
  <si>
    <t xml:space="preserve">2026-07-02</t>
  </si>
  <si>
    <t xml:space="preserve">2026-06-22</t>
  </si>
  <si>
    <t xml:space="preserve">2026-07-28</t>
  </si>
  <si>
    <t xml:space="preserve">2026-07-24</t>
  </si>
  <si>
    <t xml:space="preserve">2026-07-23</t>
  </si>
  <si>
    <t xml:space="preserve">2026-07-25</t>
  </si>
  <si>
    <t xml:space="preserve">2026-07-15</t>
  </si>
  <si>
    <t xml:space="preserve">2026-07-16</t>
  </si>
  <si>
    <t xml:space="preserve">2026-07-21</t>
  </si>
  <si>
    <t xml:space="preserve">2026-07-22</t>
  </si>
  <si>
    <t xml:space="preserve">2026-08-07</t>
  </si>
  <si>
    <t xml:space="preserve">2026-07-11</t>
  </si>
  <si>
    <t xml:space="preserve">2026-07-12</t>
  </si>
  <si>
    <t xml:space="preserve">2026-08-21</t>
  </si>
  <si>
    <t xml:space="preserve">2026-08-19</t>
  </si>
  <si>
    <t xml:space="preserve">2026-08-22</t>
  </si>
  <si>
    <t xml:space="preserve">2026-08-10</t>
  </si>
  <si>
    <t xml:space="preserve">2026-08-11</t>
  </si>
  <si>
    <t xml:space="preserve">2026-08-13</t>
  </si>
  <si>
    <t xml:space="preserve">2026-08-14</t>
  </si>
  <si>
    <t xml:space="preserve">2026-08-01</t>
  </si>
  <si>
    <t xml:space="preserve">2026-08-02</t>
  </si>
  <si>
    <t xml:space="preserve">2026-09-20</t>
  </si>
  <si>
    <t xml:space="preserve">2026-09-22</t>
  </si>
  <si>
    <t xml:space="preserve">2026-09-10</t>
  </si>
  <si>
    <t xml:space="preserve">2026-09-11</t>
  </si>
  <si>
    <t xml:space="preserve">2026-09-15</t>
  </si>
  <si>
    <t xml:space="preserve">2026-09-02</t>
  </si>
  <si>
    <t xml:space="preserve">2026-09-03</t>
  </si>
  <si>
    <t xml:space="preserve">2026-09-05</t>
  </si>
  <si>
    <t xml:space="preserve">2026-09-09</t>
  </si>
  <si>
    <t xml:space="preserve">2026-08-30</t>
  </si>
  <si>
    <t xml:space="preserve">2026-08-31</t>
  </si>
  <si>
    <t xml:space="preserve">2026-10-08</t>
  </si>
  <si>
    <t xml:space="preserve">2026-10-09</t>
  </si>
  <si>
    <t xml:space="preserve">2026-10-11</t>
  </si>
  <si>
    <t xml:space="preserve">2026-10-12</t>
  </si>
  <si>
    <t xml:space="preserve">2026-10-13</t>
  </si>
  <si>
    <t xml:space="preserve">2026-10-03</t>
  </si>
  <si>
    <t xml:space="preserve">2026-09-28</t>
  </si>
  <si>
    <t xml:space="preserve">2026-09-29</t>
  </si>
  <si>
    <t xml:space="preserve">2026-07-29</t>
  </si>
  <si>
    <t xml:space="preserve">2026-07-30</t>
  </si>
  <si>
    <t xml:space="preserve">2026-07-26</t>
  </si>
  <si>
    <t xml:space="preserve">2026-07-14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</si>
  <si>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</si>
  <si>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</si>
  <si>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</si>
  <si>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</si>
  <si>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2026-07-13</t>
  </si>
  <si>
    <t xml:space="preserve">2026-08-17</t>
  </si>
  <si>
    <t xml:space="preserve">2026-08-18</t>
  </si>
  <si>
    <t xml:space="preserve">2026-08-20</t>
  </si>
  <si>
    <t xml:space="preserve">2026-08-23</t>
  </si>
  <si>
    <t xml:space="preserve">2026-08-24</t>
  </si>
  <si>
    <t xml:space="preserve">2026-08-12</t>
  </si>
  <si>
    <t xml:space="preserve">2026-08-16</t>
  </si>
  <si>
    <t xml:space="preserve">2026-08-15</t>
  </si>
  <si>
    <t xml:space="preserve">2026-08-04</t>
  </si>
  <si>
    <t xml:space="preserve">2026-08-03</t>
  </si>
  <si>
    <t xml:space="preserve">2026-08-05</t>
  </si>
  <si>
    <t xml:space="preserve">2026-08-06</t>
  </si>
  <si>
    <t xml:space="preserve">2026-08-08</t>
  </si>
  <si>
    <t xml:space="preserve">2026-08-09</t>
  </si>
  <si>
    <t xml:space="preserve">2026-09-19</t>
  </si>
  <si>
    <t xml:space="preserve">2026-09-21</t>
  </si>
  <si>
    <t xml:space="preserve">2026-09-23</t>
  </si>
  <si>
    <t xml:space="preserve">2026-09-24</t>
  </si>
  <si>
    <t xml:space="preserve">2026-09-14</t>
  </si>
  <si>
    <t xml:space="preserve">2026-09-13</t>
  </si>
  <si>
    <t xml:space="preserve">2026-09-12</t>
  </si>
  <si>
    <t xml:space="preserve">2026-09-16</t>
  </si>
  <si>
    <t xml:space="preserve">2026-09-17</t>
  </si>
  <si>
    <t xml:space="preserve">2026-09-04</t>
  </si>
  <si>
    <t xml:space="preserve">2026-09-06</t>
  </si>
  <si>
    <t xml:space="preserve">2026-09-08</t>
  </si>
  <si>
    <t xml:space="preserve">2026-09-07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</si>
  <si>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</si>
  <si>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</si>
  <si>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</si>
  <si>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</si>
  <si>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2026-09-01</t>
  </si>
  <si>
    <t xml:space="preserve">2026-10-07</t>
  </si>
  <si>
    <t xml:space="preserve">2026-10-10</t>
  </si>
  <si>
    <t xml:space="preserve">2026-10-14</t>
  </si>
  <si>
    <t xml:space="preserve">2026-10-02</t>
  </si>
  <si>
    <t xml:space="preserve">2026-10-05</t>
  </si>
  <si>
    <t xml:space="preserve">2026-10-04</t>
  </si>
  <si>
    <t xml:space="preserve">2026-10-06</t>
  </si>
  <si>
    <t xml:space="preserve">2026-09-26</t>
  </si>
  <si>
    <t xml:space="preserve">2026-09-25</t>
  </si>
  <si>
    <t xml:space="preserve">2026-09-27</t>
  </si>
  <si>
    <t xml:space="preserve">2026-09-30</t>
  </si>
  <si>
    <t xml:space="preserve">2026-10-01</t>
  </si>
  <si>
    <t xml:space="preserve">Notas e definições</t>
  </si>
  <si>
    <t xml:space="preserve">Fonte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</si>
  <si>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</si>
  <si>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</si>
  <si>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</si>
  <si>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</si>
  <si>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</si>
  <si>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Aba Dados</t>
  </si>
  <si>
    <t xml:space="preserve">Linhas dos relatórios dos dias exibidos, empilhadas, com a coluna Data. Todos os indicadores são fórmulas (CONT.SES/SOMASES/MÉDIASES) sobre esta aba.</t>
  </si>
  <si>
    <t xml:space="preserve">Vacas em lactação</t>
  </si>
  <si>
    <t xml:space="preserve">Regra da fazenda: lotes 1, 2, 3, 4, 5, 6 e 10. O lote 10 são vacas em tratamento com leite descartado (coluna Destino = Descarte); os lotes 1 a 6 vão para o tanque (Destino = Tanque).</t>
  </si>
  <si>
    <t xml:space="preserve">Fórmula na aba Dados: lotes 1 a 6 e 10 → Vaca em lactação; nos demais lotes: Male → Macho; LACT ≥ 1 → Vaca seca; LACT = 0 e Youngstock → Bezerra/recria; LACT = 0 nos demais (Bred, Prenha, Vazia, Sterile…) → Novilha.</t>
  </si>
  <si>
    <t xml:space="preserve">Produção</t>
  </si>
  <si>
    <t xml:space="preserve">Leite do tanque: lotes 1 a 6, só vacas com Leite &gt; 0. O leite do lote 10 aparece à parte como descartado. Pesagens antigas de vacas em outros lotes (ex.: secas do lote 7) ficam de fora.</t>
  </si>
  <si>
    <t xml:space="preserve">Gordura / proteína</t>
  </si>
  <si>
    <t xml:space="preserve">Média simples de %Gord e Prot% das vacas em lactação com valor &gt; 0.</t>
  </si>
  <si>
    <t xml:space="preserve">% prenhes</t>
  </si>
  <si>
    <t xml:space="preserve">Vacas em lactação com StatRepro = Prenha ÷ vacas em lactação.</t>
  </si>
  <si>
    <t xml:space="preserve">Dias em aberto</t>
  </si>
  <si>
    <t xml:space="preserve">Média de DiasVazia das vacas em lactação prenhas (dias do parto à concepção).</t>
  </si>
  <si>
    <t xml:space="preserve">IAs por prenhez</t>
  </si>
  <si>
    <t xml:space="preserve">Média de NumIAs das vacas em lactação prenhas.</t>
  </si>
  <si>
    <t xml:space="preserve">Variação</t>
  </si>
  <si>
    <t xml:space="preserve">Último dia menos o dia anterior exibido. Verde = subiu, vermelho = caiu (a cor não indica se é bom ou ruim).</t>
  </si>
  <si>
    <t xml:space="preserve">Lotes</t>
  </si>
  <si>
    <t xml:space="preserve">A lista de lotes é a união dos lotes presentes nos dias exibidos.</t>
  </si>
  <si>
    <t xml:space="preserve">Arquivos usados</t>
  </si>
  <si>
    <t xml:space="preserve">Zootecnico_2026-10-14.xlsx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</si>
</sst>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0"/>
    <numFmt numFmtId="167" formatCode="#,##0"/>
    <numFmt numFmtId="168" formatCode="0.0%"/>
    <numFmt numFmtId="169" formatCode="0.0"/>
    <numFmt numFmtId="170" formatCode="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6ECE8"/>
        <bgColor rgb="FFF5F8F6"/>
      </patternFill>
    </fill>
    <fill>
      <patternFill patternType="solid">
        <fgColor rgb="FF1F5F8B"/>
        <bgColor rgb="FF008080"/>
      </patternFill>
    </fill>
    <fill>
      <patternFill patternType="solid">
        <fgColor rgb="FFF5F8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D1CB"/>
      <rgbColor rgb="FF808080"/>
      <rgbColor rgb="FF9999FF"/>
      <rgbColor rgb="FF993366"/>
      <rgbColor rgb="FFF5F8F6"/>
      <rgbColor rgb="FFE6ECE8"/>
      <rgbColor rgb="FF660066"/>
      <rgbColor rgb="FFFF8080"/>
      <rgbColor rgb="FF1F5F8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" min="3" style="0" width="11.5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3" t="s">
        <v>4</v>
      </c>
    </row>
    <row r="5" customFormat="false" ht="15" hidden="false" customHeight="false" outlineLevel="0" collapsed="false">
      <c r="A5" s="5" t="s">
        <v>5</v>
      </c>
      <c r="B5" s="6"/>
      <c r="C5" s="6"/>
      <c r="D5" s="6"/>
    </row>
    <row r="6" customFormat="false" ht="15" hidden="false" customHeight="false" outlineLevel="0" collapsed="false">
      <c r="A6" s="7" t="s">
        <v>6</v>
      </c>
      <c r="B6" s="8" t="s">
        <v>7</v>
      </c>
      <c r="C6" s="9" t="n">
        <f aca="false">COUNTIFS(Dados!$A$2:$A$3971,C$4)</f>
        <v>3970</v>
      </c>
      <c r="D6" s="10"/>
    </row>
    <row r="7" customFormat="false" ht="15" hidden="false" customHeight="false" outlineLevel="0" collapsed="false">
      <c r="A7" s="11" t="s">
        <v>8</v>
      </c>
      <c r="B7" s="12" t="s">
        <v>7</v>
      </c>
      <c r="C7" s="13" t="n">
        <f aca="false">COUNTIFS(Dados!$A$2:$A$3971,C$4,Dados!$W$2:$W$3971,"Vaca em lactação")</f>
        <v>1653</v>
      </c>
      <c r="D7" s="14"/>
    </row>
    <row r="8" customFormat="false" ht="15" hidden="false" customHeight="false" outlineLevel="0" collapsed="false">
      <c r="A8" s="7" t="s">
        <v>9</v>
      </c>
      <c r="B8" s="8" t="s">
        <v>7</v>
      </c>
      <c r="C8" s="9" t="n">
        <f aca="false">COUNTIFS(Dados!$A$2:$A$3971,C$4,Dados!$X$2:$X$3971,"Tanque")</f>
        <v>1595</v>
      </c>
      <c r="D8" s="10"/>
    </row>
    <row r="9" customFormat="false" ht="15" hidden="false" customHeight="false" outlineLevel="0" collapsed="false">
      <c r="A9" s="11" t="s">
        <v>10</v>
      </c>
      <c r="B9" s="12" t="s">
        <v>7</v>
      </c>
      <c r="C9" s="13" t="n">
        <f aca="false">COUNTIFS(Dados!$A$2:$A$3971,C$4,Dados!$X$2:$X$3971,"Descarte")</f>
        <v>58</v>
      </c>
      <c r="D9" s="14"/>
    </row>
    <row r="10" customFormat="false" ht="15" hidden="false" customHeight="false" outlineLevel="0" collapsed="false">
      <c r="A10" s="7" t="s">
        <v>11</v>
      </c>
      <c r="B10" s="8" t="s">
        <v>7</v>
      </c>
      <c r="C10" s="9" t="n">
        <f aca="false">COUNTIFS(Dados!$A$2:$A$3971,C$4,Dados!$W$2:$W$3971,"Vaca seca")</f>
        <v>204</v>
      </c>
      <c r="D10" s="10"/>
    </row>
    <row r="11" customFormat="false" ht="15" hidden="false" customHeight="false" outlineLevel="0" collapsed="false">
      <c r="A11" s="11" t="s">
        <v>12</v>
      </c>
      <c r="B11" s="12" t="s">
        <v>7</v>
      </c>
      <c r="C11" s="13" t="n">
        <f aca="false">COUNTIFS(Dados!$A$2:$A$3971,C$4,Dados!$W$2:$W$3971,"Novilha")</f>
        <v>750</v>
      </c>
      <c r="D11" s="14"/>
    </row>
    <row r="12" customFormat="false" ht="15" hidden="false" customHeight="false" outlineLevel="0" collapsed="false">
      <c r="A12" s="7" t="s">
        <v>13</v>
      </c>
      <c r="B12" s="8" t="s">
        <v>7</v>
      </c>
      <c r="C12" s="9" t="n">
        <f aca="false">COUNTIFS(Dados!$A$2:$A$3971,C$4,Dados!$W$2:$W$3971,"Bezerra/recria")</f>
        <v>1155</v>
      </c>
      <c r="D12" s="10"/>
    </row>
    <row r="13" customFormat="false" ht="15" hidden="false" customHeight="false" outlineLevel="0" collapsed="false">
      <c r="A13" s="11" t="s">
        <v>14</v>
      </c>
      <c r="B13" s="12" t="s">
        <v>7</v>
      </c>
      <c r="C13" s="13" t="n">
        <f aca="false">COUNTIFS(Dados!$A$2:$A$3971,C$4,Dados!$W$2:$W$3971,"Macho")</f>
        <v>208</v>
      </c>
      <c r="D13" s="14"/>
    </row>
    <row r="14" customFormat="false" ht="15" hidden="false" customHeight="false" outlineLevel="0" collapsed="false">
      <c r="A14" s="7" t="s">
        <v>15</v>
      </c>
      <c r="B14" s="8" t="s">
        <v>7</v>
      </c>
      <c r="C14" s="9" t="n">
        <f aca="false">COUNTIFS(Dados!$A$2:$A$3971,C$4,Dados!$U$2:$U$3971,"&lt;=7")</f>
        <v>23</v>
      </c>
      <c r="D14" s="10"/>
    </row>
    <row r="15" customFormat="false" ht="15" hidden="false" customHeight="false" outlineLevel="0" collapsed="false">
      <c r="A15" s="11" t="s">
        <v>16</v>
      </c>
      <c r="B15" s="12" t="s">
        <v>7</v>
      </c>
      <c r="C15" s="13" t="n">
        <f aca="false">COUNTIFS(Dados!$A$2:$A$3971,C$4,Dados!$W$2:$W$3971,"Vaca em lactação",Dados!$D$2:$D$3971,"&lt;=21")</f>
        <v>94</v>
      </c>
      <c r="D15" s="14"/>
    </row>
    <row r="16" customFormat="false" ht="15" hidden="false" customHeight="false" outlineLevel="0" collapsed="false">
      <c r="A16" s="5" t="s">
        <v>17</v>
      </c>
      <c r="B16" s="6"/>
      <c r="C16" s="6"/>
      <c r="D16" s="6"/>
    </row>
    <row r="17" customFormat="false" ht="15" hidden="false" customHeight="false" outlineLevel="0" collapsed="false">
      <c r="A17" s="7" t="s">
        <v>18</v>
      </c>
      <c r="B17" s="8" t="s">
        <v>7</v>
      </c>
      <c r="C17" s="9" t="n">
        <f aca="false">COUNTIFS(Dados!$A$2:$A$3971,C$4,Dados!$X$2:$X$3971,"Tanque",Dados!$G$2:$G$3971,"&gt;0")</f>
        <v>1547</v>
      </c>
      <c r="D17" s="10"/>
    </row>
    <row r="18" customFormat="false" ht="15" hidden="false" customHeight="false" outlineLevel="0" collapsed="false">
      <c r="A18" s="11" t="s">
        <v>19</v>
      </c>
      <c r="B18" s="12" t="s">
        <v>20</v>
      </c>
      <c r="C18" s="15" t="n">
        <f aca="false">SUMIFS(Dados!$G$2:$G$3971,Dados!$A$2:$A$3971,C$4,Dados!$X$2:$X$3971,"Tanque",Dados!$G$2:$G$3971,"&gt;0")</f>
        <v>67643.4</v>
      </c>
      <c r="D18" s="14"/>
    </row>
    <row r="19" customFormat="false" ht="15" hidden="false" customHeight="false" outlineLevel="0" collapsed="false">
      <c r="A19" s="7" t="s">
        <v>21</v>
      </c>
      <c r="B19" s="8" t="s">
        <v>20</v>
      </c>
      <c r="C19" s="16" t="n">
        <f aca="false">SUMIFS(Dados!$G$2:$G$3971,Dados!$A$2:$A$3971,C$4,Dados!$X$2:$X$3971,"Descarte",Dados!$G$2:$G$3971,"&gt;0")</f>
        <v>767.8</v>
      </c>
      <c r="D19" s="10"/>
    </row>
    <row r="20" customFormat="false" ht="15" hidden="false" customHeight="false" outlineLevel="0" collapsed="false">
      <c r="A20" s="11" t="s">
        <v>22</v>
      </c>
      <c r="B20" s="12" t="s">
        <v>23</v>
      </c>
      <c r="C20" s="17" t="n">
        <f aca="false">IFERROR(SUMIFS(Dados!$G$2:$G$3971,Dados!$A$2:$A$3971,C$4,Dados!$X$2:$X$3971,"Descarte",Dados!$G$2:$G$3971,"&gt;0")/(SUMIFS(Dados!$G$2:$G$3971,Dados!$A$2:$A$3971,C$4,Dados!$X$2:$X$3971,"Tanque",Dados!$G$2:$G$3971,"&gt;0")+SUMIFS(Dados!$G$2:$G$3971,Dados!$A$2:$A$3971,C$4,Dados!$X$2:$X$3971,"Descarte",Dados!$G$2:$G$3971,"&gt;0")),"")</f>
        <v>0.0112233084641111</v>
      </c>
      <c r="D20" s="14"/>
    </row>
    <row r="21" customFormat="false" ht="15" hidden="false" customHeight="false" outlineLevel="0" collapsed="false">
      <c r="A21" s="7" t="s">
        <v>24</v>
      </c>
      <c r="B21" s="8" t="s">
        <v>25</v>
      </c>
      <c r="C21" s="18" t="n">
        <f aca="false">IFERROR(AVERAGEIFS(Dados!$G$2:$G$3971,Dados!$A$2:$A$3971,C$4,Dados!$X$2:$X$3971,"Tanque",Dados!$G$2:$G$3971,"&gt;0"),"")</f>
        <v>43.7255332902392</v>
      </c>
      <c r="D21" s="10"/>
    </row>
    <row r="22" customFormat="false" ht="15" hidden="false" customHeight="false" outlineLevel="0" collapsed="false">
      <c r="A22" s="11" t="s">
        <v>26</v>
      </c>
      <c r="B22" s="12" t="s">
        <v>25</v>
      </c>
      <c r="C22" s="19" t="n">
        <f aca="false">IFERROR(AVERAGEIFS(Dados!$H$2:$H$3971,Dados!$A$2:$A$3971,C$4,Dados!$X$2:$X$3971,"Tanque",Dados!$H$2:$H$3971,"&gt;0"),"")</f>
        <v>42.5241116751269</v>
      </c>
      <c r="D22" s="14"/>
    </row>
    <row r="23" customFormat="false" ht="15" hidden="false" customHeight="false" outlineLevel="0" collapsed="false">
      <c r="A23" s="7" t="s">
        <v>27</v>
      </c>
      <c r="B23" s="8" t="s">
        <v>25</v>
      </c>
      <c r="C23" s="18" t="n">
        <f aca="false">IFERROR(AVERAGEIFS(Dados!$G$2:$G$3971,Dados!$A$2:$A$3971,C$4,Dados!$X$2:$X$3971,"Tanque",Dados!$G$2:$G$3971,"&gt;0",Dados!$E$2:$E$3971,1),"")</f>
        <v>43.1134670487106</v>
      </c>
      <c r="D23" s="10"/>
    </row>
    <row r="24" customFormat="false" ht="15" hidden="false" customHeight="false" outlineLevel="0" collapsed="false">
      <c r="A24" s="11" t="s">
        <v>28</v>
      </c>
      <c r="B24" s="12" t="s">
        <v>25</v>
      </c>
      <c r="C24" s="19" t="n">
        <f aca="false">IFERROR(AVERAGEIFS(Dados!$G$2:$G$3971,Dados!$A$2:$A$3971,C$4,Dados!$X$2:$X$3971,"Tanque",Dados!$G$2:$G$3971,"&gt;0",Dados!$E$2:$E$3971,"&gt;=2"),"")</f>
        <v>44.2287396937574</v>
      </c>
      <c r="D24" s="14"/>
    </row>
    <row r="25" customFormat="false" ht="15" hidden="false" customHeight="false" outlineLevel="0" collapsed="false">
      <c r="A25" s="7" t="s">
        <v>29</v>
      </c>
      <c r="B25" s="8" t="s">
        <v>7</v>
      </c>
      <c r="C25" s="9" t="n">
        <f aca="false">COUNTIFS(Dados!$A$2:$A$3971,C$4,Dados!$X$2:$X$3971,"Tanque",Dados!$G$2:$G$3971,"&gt;0",Dados!$G$2:$G$3971,"&lt;20")</f>
        <v>45</v>
      </c>
      <c r="D25" s="10"/>
    </row>
    <row r="26" customFormat="false" ht="15" hidden="false" customHeight="false" outlineLevel="0" collapsed="false">
      <c r="A26" s="11" t="s">
        <v>30</v>
      </c>
      <c r="B26" s="12" t="s">
        <v>31</v>
      </c>
      <c r="C26" s="13" t="n">
        <f aca="false">IFERROR(AVERAGEIFS(Dados!$D$2:$D$3971,Dados!$A$2:$A$3971,C$4,Dados!$X$2:$X$3971,"Tanque"),"")</f>
        <v>188.575548589342</v>
      </c>
      <c r="D26" s="14"/>
    </row>
    <row r="27" customFormat="false" ht="15" hidden="false" customHeight="false" outlineLevel="0" collapsed="false">
      <c r="A27" s="7" t="s">
        <v>32</v>
      </c>
      <c r="B27" s="8" t="s">
        <v>23</v>
      </c>
      <c r="C27" s="20" t="n">
        <f aca="false">IFERROR(AVERAGEIFS(Dados!$P$2:$P$3971,Dados!$A$2:$A$3971,C$4,Dados!$X$2:$X$3971,"Tanque",Dados!$P$2:$P$3971,"&gt;0"),"")</f>
        <v>4.0107718579235</v>
      </c>
      <c r="D27" s="10"/>
    </row>
    <row r="28" customFormat="false" ht="15" hidden="false" customHeight="false" outlineLevel="0" collapsed="false">
      <c r="A28" s="11" t="s">
        <v>33</v>
      </c>
      <c r="B28" s="12" t="s">
        <v>23</v>
      </c>
      <c r="C28" s="21" t="n">
        <f aca="false">IFERROR(AVERAGEIFS(Dados!$Q$2:$Q$3971,Dados!$A$2:$A$3971,C$4,Dados!$X$2:$X$3971,"Tanque",Dados!$Q$2:$Q$3971,"&gt;0"),"")</f>
        <v>3.53262295081967</v>
      </c>
      <c r="D28" s="14"/>
    </row>
    <row r="29" customFormat="false" ht="15" hidden="false" customHeight="false" outlineLevel="0" collapsed="false">
      <c r="A29" s="5" t="s">
        <v>34</v>
      </c>
      <c r="B29" s="6"/>
      <c r="C29" s="6"/>
      <c r="D29" s="6"/>
    </row>
    <row r="30" customFormat="false" ht="15" hidden="false" customHeight="false" outlineLevel="0" collapsed="false">
      <c r="A30" s="7" t="s">
        <v>35</v>
      </c>
      <c r="B30" s="8" t="s">
        <v>7</v>
      </c>
      <c r="C30" s="9" t="n">
        <f aca="false">COUNTIFS(Dados!$A$2:$A$3971,C$4,Dados!$W$2:$W$3971,"Vaca em lactação",Dados!$I$2:$I$3971,"Fresca")</f>
        <v>287</v>
      </c>
      <c r="D30" s="10"/>
    </row>
    <row r="31" customFormat="false" ht="15" hidden="false" customHeight="false" outlineLevel="0" collapsed="false">
      <c r="A31" s="11" t="s">
        <v>36</v>
      </c>
      <c r="B31" s="12" t="s">
        <v>7</v>
      </c>
      <c r="C31" s="13" t="n">
        <f aca="false">COUNTIFS(Dados!$A$2:$A$3971,C$4,Dados!$W$2:$W$3971,"Vaca em lactação",Dados!$I$2:$I$3971,"Bred")</f>
        <v>375</v>
      </c>
      <c r="D31" s="14"/>
    </row>
    <row r="32" customFormat="false" ht="15" hidden="false" customHeight="false" outlineLevel="0" collapsed="false">
      <c r="A32" s="7" t="s">
        <v>37</v>
      </c>
      <c r="B32" s="8" t="s">
        <v>7</v>
      </c>
      <c r="C32" s="9" t="n">
        <f aca="false">COUNTIFS(Dados!$A$2:$A$3971,C$4,Dados!$W$2:$W$3971,"Vaca em lactação",Dados!$I$2:$I$3971,"Prenha")</f>
        <v>787</v>
      </c>
      <c r="D32" s="10"/>
    </row>
    <row r="33" customFormat="false" ht="15" hidden="false" customHeight="false" outlineLevel="0" collapsed="false">
      <c r="A33" s="11" t="s">
        <v>38</v>
      </c>
      <c r="B33" s="12" t="s">
        <v>7</v>
      </c>
      <c r="C33" s="13" t="n">
        <f aca="false">COUNTIFS(Dados!$A$2:$A$3971,C$4,Dados!$W$2:$W$3971,"Vaca em lactação",Dados!$I$2:$I$3971,"Vazia")</f>
        <v>144</v>
      </c>
      <c r="D33" s="14"/>
    </row>
    <row r="34" customFormat="false" ht="15" hidden="false" customHeight="false" outlineLevel="0" collapsed="false">
      <c r="A34" s="7" t="s">
        <v>39</v>
      </c>
      <c r="B34" s="8" t="s">
        <v>7</v>
      </c>
      <c r="C34" s="9" t="n">
        <f aca="false">COUNTIFS(Dados!$A$2:$A$3971,C$4,Dados!$W$2:$W$3971,"Vaca em lactação",Dados!$I$2:$I$3971,"DNB")</f>
        <v>57</v>
      </c>
      <c r="D34" s="10"/>
    </row>
    <row r="35" customFormat="false" ht="15" hidden="false" customHeight="false" outlineLevel="0" collapsed="false">
      <c r="A35" s="11" t="s">
        <v>40</v>
      </c>
      <c r="B35" s="12" t="s">
        <v>23</v>
      </c>
      <c r="C35" s="17" t="n">
        <f aca="false">IFERROR(COUNTIFS(Dados!$A$2:$A$3971,C$4,Dados!$W$2:$W$3971,"Vaca em lactação",Dados!$I$2:$I$3971,"Prenha")/COUNTIFS(Dados!$A$2:$A$3971,C$4,Dados!$W$2:$W$3971,"Vaca em lactação"),"")</f>
        <v>0.47610405323654</v>
      </c>
      <c r="D35" s="14"/>
    </row>
    <row r="36" customFormat="false" ht="15" hidden="false" customHeight="false" outlineLevel="0" collapsed="false">
      <c r="A36" s="7" t="s">
        <v>41</v>
      </c>
      <c r="B36" s="8" t="s">
        <v>31</v>
      </c>
      <c r="C36" s="9" t="n">
        <f aca="false">IFERROR(AVERAGEIFS(Dados!$K$2:$K$3971,Dados!$A$2:$A$3971,C$4,Dados!$W$2:$W$3971,"Vaca em lactação",Dados!$K$2:$K$3971,"&gt;0"),"")</f>
        <v>67.7021593447506</v>
      </c>
      <c r="D36" s="10"/>
    </row>
    <row r="37" customFormat="false" ht="15" hidden="false" customHeight="false" outlineLevel="0" collapsed="false">
      <c r="A37" s="11" t="s">
        <v>42</v>
      </c>
      <c r="B37" s="12" t="s">
        <v>31</v>
      </c>
      <c r="C37" s="13" t="n">
        <f aca="false">IFERROR(AVERAGEIFS(Dados!$J$2:$J$3971,Dados!$A$2:$A$3971,C$4,Dados!$W$2:$W$3971,"Vaca em lactação",Dados!$I$2:$I$3971,"Prenha"),"")</f>
        <v>132.852604828463</v>
      </c>
      <c r="D37" s="14"/>
    </row>
    <row r="38" customFormat="false" ht="15" hidden="false" customHeight="false" outlineLevel="0" collapsed="false">
      <c r="A38" s="7" t="s">
        <v>43</v>
      </c>
      <c r="B38" s="8" t="s">
        <v>44</v>
      </c>
      <c r="C38" s="20" t="n">
        <f aca="false">IFERROR(AVERAGEIFS(Dados!$V$2:$V$3971,Dados!$A$2:$A$3971,C$4,Dados!$W$2:$W$3971,"Vaca em lactação",Dados!$I$2:$I$3971,"Prenha"),"")</f>
        <v>2.73697585768742</v>
      </c>
      <c r="D38" s="10"/>
    </row>
    <row r="39" customFormat="false" ht="15" hidden="false" customHeight="false" outlineLevel="0" collapsed="false">
      <c r="A39" s="5" t="s">
        <v>45</v>
      </c>
      <c r="B39" s="6"/>
      <c r="C39" s="6"/>
      <c r="D39" s="6"/>
    </row>
    <row r="40" customFormat="false" ht="15" hidden="false" customHeight="false" outlineLevel="0" collapsed="false">
      <c r="A40" s="7" t="s">
        <v>46</v>
      </c>
      <c r="B40" s="8" t="s">
        <v>7</v>
      </c>
      <c r="C40" s="9" t="n">
        <f aca="false">COUNTIFS(Dados!$A$2:$A$3971,C$4,Dados!$W$2:$W$3971,"Novilha",Dados!$I$2:$I$3971,"Bred")</f>
        <v>136</v>
      </c>
      <c r="D40" s="10"/>
    </row>
    <row r="41" customFormat="false" ht="15" hidden="false" customHeight="false" outlineLevel="0" collapsed="false">
      <c r="A41" s="11" t="s">
        <v>47</v>
      </c>
      <c r="B41" s="12" t="s">
        <v>7</v>
      </c>
      <c r="C41" s="13" t="n">
        <f aca="false">COUNTIFS(Dados!$A$2:$A$3971,C$4,Dados!$W$2:$W$3971,"Novilha",Dados!$I$2:$I$3971,"Prenha")</f>
        <v>542</v>
      </c>
      <c r="D41" s="14"/>
    </row>
    <row r="42" customFormat="false" ht="15" hidden="false" customHeight="false" outlineLevel="0" collapsed="false">
      <c r="A42" s="7" t="s">
        <v>48</v>
      </c>
      <c r="B42" s="8" t="s">
        <v>7</v>
      </c>
      <c r="C42" s="9" t="n">
        <f aca="false">COUNTIFS(Dados!$A$2:$A$3971,C$4,Dados!$W$2:$W$3971,"Novilha",Dados!$I$2:$I$3971,"Vazia")</f>
        <v>59</v>
      </c>
      <c r="D42" s="10"/>
    </row>
    <row r="43" customFormat="false" ht="15" hidden="false" customHeight="false" outlineLevel="0" collapsed="false">
      <c r="A43" s="5" t="s">
        <v>49</v>
      </c>
      <c r="B43" s="6"/>
      <c r="C43" s="6"/>
      <c r="D43" s="6"/>
    </row>
    <row r="44" customFormat="false" ht="15" hidden="false" customHeight="false" outlineLevel="0" collapsed="false">
      <c r="A44" s="7" t="s">
        <v>50</v>
      </c>
      <c r="B44" s="8" t="s">
        <v>7</v>
      </c>
      <c r="C44" s="9" t="n">
        <f aca="false">COUNTIFS(Dados!$A$2:$A$3971,C$4,Dados!$B$2:$B$3971,1)</f>
        <v>218</v>
      </c>
      <c r="D44" s="10"/>
    </row>
    <row r="45" customFormat="false" ht="15" hidden="false" customHeight="false" outlineLevel="0" collapsed="false">
      <c r="A45" s="11" t="s">
        <v>51</v>
      </c>
      <c r="B45" s="12" t="s">
        <v>7</v>
      </c>
      <c r="C45" s="13" t="n">
        <f aca="false">COUNTIFS(Dados!$A$2:$A$3971,C$4,Dados!$B$2:$B$3971,2)</f>
        <v>210</v>
      </c>
      <c r="D45" s="14"/>
    </row>
    <row r="46" customFormat="false" ht="15" hidden="false" customHeight="false" outlineLevel="0" collapsed="false">
      <c r="A46" s="7" t="s">
        <v>52</v>
      </c>
      <c r="B46" s="8" t="s">
        <v>7</v>
      </c>
      <c r="C46" s="9" t="n">
        <f aca="false">COUNTIFS(Dados!$A$2:$A$3971,C$4,Dados!$B$2:$B$3971,3)</f>
        <v>210</v>
      </c>
      <c r="D46" s="10"/>
    </row>
    <row r="47" customFormat="false" ht="15" hidden="false" customHeight="false" outlineLevel="0" collapsed="false">
      <c r="A47" s="11" t="s">
        <v>53</v>
      </c>
      <c r="B47" s="12" t="s">
        <v>7</v>
      </c>
      <c r="C47" s="13" t="n">
        <f aca="false">COUNTIFS(Dados!$A$2:$A$3971,C$4,Dados!$B$2:$B$3971,4)</f>
        <v>398</v>
      </c>
      <c r="D47" s="14"/>
    </row>
    <row r="48" customFormat="false" ht="15" hidden="false" customHeight="false" outlineLevel="0" collapsed="false">
      <c r="A48" s="7" t="s">
        <v>54</v>
      </c>
      <c r="B48" s="8" t="s">
        <v>7</v>
      </c>
      <c r="C48" s="9" t="n">
        <f aca="false">COUNTIFS(Dados!$A$2:$A$3971,C$4,Dados!$B$2:$B$3971,5)</f>
        <v>401</v>
      </c>
      <c r="D48" s="10"/>
    </row>
    <row r="49" customFormat="false" ht="15" hidden="false" customHeight="false" outlineLevel="0" collapsed="false">
      <c r="A49" s="11" t="s">
        <v>55</v>
      </c>
      <c r="B49" s="12" t="s">
        <v>7</v>
      </c>
      <c r="C49" s="13" t="n">
        <f aca="false">COUNTIFS(Dados!$A$2:$A$3971,C$4,Dados!$B$2:$B$3971,6)</f>
        <v>158</v>
      </c>
      <c r="D49" s="14"/>
    </row>
    <row r="50" customFormat="false" ht="15" hidden="false" customHeight="false" outlineLevel="0" collapsed="false">
      <c r="A50" s="7" t="s">
        <v>56</v>
      </c>
      <c r="B50" s="8" t="s">
        <v>7</v>
      </c>
      <c r="C50" s="9" t="n">
        <f aca="false">COUNTIFS(Dados!$A$2:$A$3971,C$4,Dados!$B$2:$B$3971,7)</f>
        <v>196</v>
      </c>
      <c r="D50" s="10"/>
    </row>
    <row r="51" customFormat="false" ht="15" hidden="false" customHeight="false" outlineLevel="0" collapsed="false">
      <c r="A51" s="11" t="s">
        <v>57</v>
      </c>
      <c r="B51" s="12" t="s">
        <v>7</v>
      </c>
      <c r="C51" s="13" t="n">
        <f aca="false">COUNTIFS(Dados!$A$2:$A$3971,C$4,Dados!$B$2:$B$3971,8)</f>
        <v>472</v>
      </c>
      <c r="D51" s="14"/>
    </row>
    <row r="52" customFormat="false" ht="15" hidden="false" customHeight="false" outlineLevel="0" collapsed="false">
      <c r="A52" s="7" t="s">
        <v>58</v>
      </c>
      <c r="B52" s="8" t="s">
        <v>7</v>
      </c>
      <c r="C52" s="9" t="n">
        <f aca="false">COUNTIFS(Dados!$A$2:$A$3971,C$4,Dados!$B$2:$B$3971,9)</f>
        <v>6</v>
      </c>
      <c r="D52" s="10"/>
    </row>
    <row r="53" customFormat="false" ht="15" hidden="false" customHeight="false" outlineLevel="0" collapsed="false">
      <c r="A53" s="11" t="s">
        <v>59</v>
      </c>
      <c r="B53" s="12" t="s">
        <v>7</v>
      </c>
      <c r="C53" s="13" t="n">
        <f aca="false">COUNTIFS(Dados!$A$2:$A$3971,C$4,Dados!$B$2:$B$3971,10)</f>
        <v>58</v>
      </c>
      <c r="D53" s="14"/>
    </row>
    <row r="54" customFormat="false" ht="15" hidden="false" customHeight="false" outlineLevel="0" collapsed="false">
      <c r="A54" s="7" t="s">
        <v>60</v>
      </c>
      <c r="B54" s="8" t="s">
        <v>7</v>
      </c>
      <c r="C54" s="9" t="n">
        <f aca="false">COUNTIFS(Dados!$A$2:$A$3971,C$4,Dados!$B$2:$B$3971,11)</f>
        <v>144</v>
      </c>
      <c r="D54" s="10"/>
    </row>
    <row r="55" customFormat="false" ht="15" hidden="false" customHeight="false" outlineLevel="0" collapsed="false">
      <c r="A55" s="11" t="s">
        <v>61</v>
      </c>
      <c r="B55" s="12" t="s">
        <v>7</v>
      </c>
      <c r="C55" s="13" t="n">
        <f aca="false">COUNTIFS(Dados!$A$2:$A$3971,C$4,Dados!$B$2:$B$3971,13)</f>
        <v>939</v>
      </c>
      <c r="D55" s="14"/>
    </row>
    <row r="56" customFormat="false" ht="15" hidden="false" customHeight="false" outlineLevel="0" collapsed="false">
      <c r="A56" s="7" t="s">
        <v>62</v>
      </c>
      <c r="B56" s="8" t="s">
        <v>7</v>
      </c>
      <c r="C56" s="9" t="n">
        <f aca="false">COUNTIFS(Dados!$A$2:$A$3971,C$4,Dados!$B$2:$B$3971,14)</f>
        <v>73</v>
      </c>
      <c r="D56" s="10"/>
    </row>
    <row r="57" customFormat="false" ht="15" hidden="false" customHeight="false" outlineLevel="0" collapsed="false">
      <c r="A57" s="11" t="s">
        <v>63</v>
      </c>
      <c r="B57" s="12" t="s">
        <v>7</v>
      </c>
      <c r="C57" s="13" t="n">
        <f aca="false">COUNTIFS(Dados!$A$2:$A$3971,C$4,Dados!$B$2:$B$3971,15)</f>
        <v>220</v>
      </c>
      <c r="D57" s="14"/>
    </row>
    <row r="58" customFormat="false" ht="15" hidden="false" customHeight="false" outlineLevel="0" collapsed="false">
      <c r="A58" s="7" t="s">
        <v>64</v>
      </c>
      <c r="B58" s="8" t="s">
        <v>7</v>
      </c>
      <c r="C58" s="9" t="n">
        <f aca="false">COUNTIFS(Dados!$A$2:$A$3971,C$4,Dados!$B$2:$B$3971,16)</f>
        <v>267</v>
      </c>
      <c r="D58" s="10"/>
    </row>
    <row r="59" customFormat="false" ht="15" hidden="false" customHeight="false" outlineLevel="0" collapsed="false">
      <c r="A59" s="5" t="s">
        <v>65</v>
      </c>
      <c r="B59" s="6"/>
      <c r="C59" s="6"/>
      <c r="D59" s="6"/>
    </row>
    <row r="60" customFormat="false" ht="15" hidden="false" customHeight="false" outlineLevel="0" collapsed="false">
      <c r="A60" s="7" t="s">
        <v>50</v>
      </c>
      <c r="B60" s="8" t="s">
        <v>25</v>
      </c>
      <c r="C60" s="18" t="n">
        <f aca="false">IFERROR(AVERAGEIFS(Dados!$G$2:$G$3971,Dados!$A$2:$A$3971,C$4,Dados!$W$2:$W$3971,"Vaca em lactação",Dados!$G$2:$G$3971,"&gt;0",Dados!$B$2:$B$3971,1),"")</f>
        <v>43.5710784313726</v>
      </c>
      <c r="D60" s="10"/>
    </row>
    <row r="61" customFormat="false" ht="15" hidden="false" customHeight="false" outlineLevel="0" collapsed="false">
      <c r="A61" s="11" t="s">
        <v>51</v>
      </c>
      <c r="B61" s="12" t="s">
        <v>25</v>
      </c>
      <c r="C61" s="19" t="n">
        <f aca="false">IFERROR(AVERAGEIFS(Dados!$G$2:$G$3971,Dados!$A$2:$A$3971,C$4,Dados!$W$2:$W$3971,"Vaca em lactação",Dados!$G$2:$G$3971,"&gt;0",Dados!$B$2:$B$3971,2),"")</f>
        <v>53.3717703349282</v>
      </c>
      <c r="D61" s="14"/>
    </row>
    <row r="62" customFormat="false" ht="15" hidden="false" customHeight="false" outlineLevel="0" collapsed="false">
      <c r="A62" s="7" t="s">
        <v>52</v>
      </c>
      <c r="B62" s="8" t="s">
        <v>25</v>
      </c>
      <c r="C62" s="18" t="n">
        <f aca="false">IFERROR(AVERAGEIFS(Dados!$G$2:$G$3971,Dados!$A$2:$A$3971,C$4,Dados!$W$2:$W$3971,"Vaca em lactação",Dados!$G$2:$G$3971,"&gt;0",Dados!$B$2:$B$3971,3),"")</f>
        <v>54.7116504854369</v>
      </c>
      <c r="D62" s="10"/>
    </row>
    <row r="63" customFormat="false" ht="15" hidden="false" customHeight="false" outlineLevel="0" collapsed="false">
      <c r="A63" s="11" t="s">
        <v>53</v>
      </c>
      <c r="B63" s="12" t="s">
        <v>25</v>
      </c>
      <c r="C63" s="19" t="n">
        <f aca="false">IFERROR(AVERAGEIFS(Dados!$G$2:$G$3971,Dados!$A$2:$A$3971,C$4,Dados!$W$2:$W$3971,"Vaca em lactação",Dados!$G$2:$G$3971,"&gt;0",Dados!$B$2:$B$3971,4),"")</f>
        <v>45.1829145728643</v>
      </c>
      <c r="D63" s="14"/>
    </row>
    <row r="64" customFormat="false" ht="15" hidden="false" customHeight="false" outlineLevel="0" collapsed="false">
      <c r="A64" s="7" t="s">
        <v>54</v>
      </c>
      <c r="B64" s="8" t="s">
        <v>25</v>
      </c>
      <c r="C64" s="18" t="n">
        <f aca="false">IFERROR(AVERAGEIFS(Dados!$G$2:$G$3971,Dados!$A$2:$A$3971,C$4,Dados!$W$2:$W$3971,"Vaca em lactação",Dados!$G$2:$G$3971,"&gt;0",Dados!$B$2:$B$3971,5),"")</f>
        <v>37.9517766497462</v>
      </c>
      <c r="D64" s="10"/>
    </row>
    <row r="65" customFormat="false" ht="15" hidden="false" customHeight="false" outlineLevel="0" collapsed="false">
      <c r="A65" s="11" t="s">
        <v>55</v>
      </c>
      <c r="B65" s="12" t="s">
        <v>25</v>
      </c>
      <c r="C65" s="19" t="n">
        <f aca="false">IFERROR(AVERAGEIFS(Dados!$G$2:$G$3971,Dados!$A$2:$A$3971,C$4,Dados!$W$2:$W$3971,"Vaca em lactação",Dados!$G$2:$G$3971,"&gt;0",Dados!$B$2:$B$3971,6),"")</f>
        <v>24.9544117647059</v>
      </c>
      <c r="D65" s="14"/>
    </row>
    <row r="66" customFormat="false" ht="15" hidden="false" customHeight="false" outlineLevel="0" collapsed="false">
      <c r="A66" s="7" t="s">
        <v>66</v>
      </c>
      <c r="B66" s="8" t="s">
        <v>25</v>
      </c>
      <c r="C66" s="18" t="n">
        <f aca="false">IFERROR(AVERAGEIFS(Dados!$G$2:$G$3971,Dados!$A$2:$A$3971,C$4,Dados!$W$2:$W$3971,"Vaca em lactação",Dados!$G$2:$G$3971,"&gt;0",Dados!$B$2:$B$3971,10),"")</f>
        <v>23.2666666666667</v>
      </c>
      <c r="D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3" min="23" style="0" width="17"/>
    <col collapsed="false" customWidth="true" hidden="false" outlineLevel="0" max="24" min="24" style="0" width="10"/>
  </cols>
  <sheetData>
    <row r="1" customFormat="false" ht="43.25" hidden="false" customHeight="false" outlineLevel="0" collapsed="false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82</v>
      </c>
      <c r="Q1" s="3" t="s">
        <v>83</v>
      </c>
      <c r="R1" s="3" t="s">
        <v>84</v>
      </c>
      <c r="S1" s="3" t="s">
        <v>85</v>
      </c>
      <c r="T1" s="3" t="s">
        <v>86</v>
      </c>
      <c r="U1" s="3" t="s">
        <v>87</v>
      </c>
      <c r="V1" s="3" t="s">
        <v>88</v>
      </c>
      <c r="W1" s="3" t="s">
        <v>89</v>
      </c>
      <c r="X1" s="3" t="s">
        <v>90</v>
      </c>
    </row>
    <row r="2" customFormat="false" ht="15" hidden="false" customHeight="false" outlineLevel="0" collapsed="false">
      <c r="A2" s="22" t="n">
        <v>46309</v>
      </c>
      <c r="B2" s="0" t="n">
        <v>1</v>
      </c>
      <c r="C2" s="0" t="n">
        <v>5339</v>
      </c>
      <c r="D2" s="0" t="n">
        <v>110</v>
      </c>
      <c r="E2" s="0" t="n">
        <v>1</v>
      </c>
      <c r="F2" s="23" t="s">
        <v>91</v>
      </c>
      <c r="G2" s="0" t="n">
        <v>57.1</v>
      </c>
      <c r="H2" s="0" t="n">
        <v>54</v>
      </c>
      <c r="I2" s="23" t="s">
        <v>92</v>
      </c>
      <c r="J2" s="0" t="n">
        <v>68</v>
      </c>
      <c r="K2" s="0" t="n">
        <v>68</v>
      </c>
      <c r="L2" s="0" t="n">
        <v>42</v>
      </c>
      <c r="M2" s="0" t="n">
        <v>1420.55</v>
      </c>
      <c r="N2" s="0" t="n">
        <v>75.21</v>
      </c>
      <c r="O2" s="0" t="n">
        <v>30.4</v>
      </c>
      <c r="P2" s="0" t="n">
        <v>3.87</v>
      </c>
      <c r="Q2" s="0" t="n">
        <v>2.72</v>
      </c>
      <c r="R2" s="0" t="n">
        <v>5198</v>
      </c>
      <c r="S2" s="0" t="n">
        <v>10553</v>
      </c>
      <c r="T2" s="0" t="n">
        <v>60.6</v>
      </c>
      <c r="U2" s="0" t="n">
        <v>968</v>
      </c>
      <c r="V2" s="0" t="n">
        <v>1</v>
      </c>
      <c r="W2" s="0" t="str">
        <f aca="false">IF(OR(AND(B2&gt;=1,B2&lt;=6),B2=10),"Vaca em lactação",IF(I2="Male","Macho",IF(E2&gt;=1,"Vaca seca",IF(I2="Youngstock","Bezerra/recria","Novilha"))))</f>
        <v>Vaca em lactação</v>
      </c>
      <c r="X2" s="0" t="str">
        <f aca="false">IF(AND(B2&gt;=1,B2&lt;=6),"Tanque",IF(B2=10,"Descarte",""))</f>
        <v>Tanque</v>
      </c>
    </row>
    <row r="3" customFormat="false" ht="15" hidden="false" customHeight="false" outlineLevel="0" collapsed="false">
      <c r="A3" s="22" t="n">
        <v>46309</v>
      </c>
      <c r="B3" s="0" t="n">
        <v>1</v>
      </c>
      <c r="C3" s="0" t="n">
        <v>5104</v>
      </c>
      <c r="D3" s="0" t="n">
        <v>19</v>
      </c>
      <c r="E3" s="0" t="n">
        <v>1</v>
      </c>
      <c r="F3" s="23" t="s">
        <v>93</v>
      </c>
      <c r="G3" s="0" t="n">
        <v>49.2</v>
      </c>
      <c r="H3" s="0" t="n">
        <v>46</v>
      </c>
      <c r="I3" s="23" t="s">
        <v>94</v>
      </c>
      <c r="J3" s="0" t="n">
        <v>19</v>
      </c>
      <c r="M3" s="0" t="n">
        <v>745.76</v>
      </c>
      <c r="N3" s="0" t="n">
        <v>43.51</v>
      </c>
      <c r="O3" s="0" t="n">
        <v>39.87</v>
      </c>
      <c r="R3" s="0" t="n">
        <v>3733</v>
      </c>
      <c r="S3" s="0" t="n">
        <v>7505</v>
      </c>
      <c r="U3" s="0" t="n">
        <v>1064</v>
      </c>
      <c r="V3" s="0" t="n">
        <v>0</v>
      </c>
      <c r="W3" s="0" t="str">
        <f aca="false">IF(OR(AND(B3&gt;=1,B3&lt;=6),B3=10),"Vaca em lactação",IF(I3="Male","Macho",IF(E3&gt;=1,"Vaca seca",IF(I3="Youngstock","Bezerra/recria","Novilha"))))</f>
        <v>Vaca em lactação</v>
      </c>
      <c r="X3" s="0" t="str">
        <f aca="false">IF(AND(B3&gt;=1,B3&lt;=6),"Tanque",IF(B3=10,"Descarte",""))</f>
        <v>Tanque</v>
      </c>
    </row>
    <row r="4" customFormat="false" ht="15" hidden="false" customHeight="false" outlineLevel="0" collapsed="false">
      <c r="A4" s="22" t="n">
        <v>46309</v>
      </c>
      <c r="B4" s="0" t="n">
        <v>1</v>
      </c>
      <c r="C4" s="0" t="n">
        <v>5491</v>
      </c>
      <c r="D4" s="0" t="n">
        <v>213</v>
      </c>
      <c r="E4" s="0" t="n">
        <v>1</v>
      </c>
      <c r="F4" s="23" t="s">
        <v>95</v>
      </c>
      <c r="G4" s="0" t="n">
        <v>29.4</v>
      </c>
      <c r="H4" s="0" t="n">
        <v>24</v>
      </c>
      <c r="I4" s="23" t="s">
        <v>92</v>
      </c>
      <c r="J4" s="0" t="n">
        <v>122</v>
      </c>
      <c r="K4" s="0" t="n">
        <v>66</v>
      </c>
      <c r="L4" s="0" t="n">
        <v>91</v>
      </c>
      <c r="M4" s="0" t="n">
        <v>482.58</v>
      </c>
      <c r="N4" s="0" t="n">
        <v>35.45</v>
      </c>
      <c r="O4" s="0" t="n">
        <v>24.97</v>
      </c>
      <c r="P4" s="0" t="n">
        <v>4.07</v>
      </c>
      <c r="Q4" s="0" t="n">
        <v>3.23</v>
      </c>
      <c r="R4" s="0" t="n">
        <v>3522</v>
      </c>
      <c r="S4" s="0" t="n">
        <v>7998</v>
      </c>
      <c r="T4" s="0" t="n">
        <v>41.05</v>
      </c>
      <c r="U4" s="0" t="n">
        <v>903</v>
      </c>
      <c r="V4" s="0" t="n">
        <v>3</v>
      </c>
      <c r="W4" s="0" t="str">
        <f aca="false">IF(OR(AND(B4&gt;=1,B4&lt;=6),B4=10),"Vaca em lactação",IF(I4="Male","Macho",IF(E4&gt;=1,"Vaca seca",IF(I4="Youngstock","Bezerra/recria","Novilha"))))</f>
        <v>Vaca em lactação</v>
      </c>
      <c r="X4" s="0" t="str">
        <f aca="false">IF(AND(B4&gt;=1,B4&lt;=6),"Tanque",IF(B4=10,"Descarte",""))</f>
        <v>Tanque</v>
      </c>
    </row>
    <row r="5" customFormat="false" ht="15" hidden="false" customHeight="false" outlineLevel="0" collapsed="false">
      <c r="A5" s="22" t="n">
        <v>46309</v>
      </c>
      <c r="B5" s="0" t="n">
        <v>1</v>
      </c>
      <c r="C5" s="0" t="n">
        <v>5557</v>
      </c>
      <c r="D5" s="0" t="n">
        <v>105</v>
      </c>
      <c r="E5" s="0" t="n">
        <v>1</v>
      </c>
      <c r="F5" s="23" t="s">
        <v>96</v>
      </c>
      <c r="G5" s="0" t="n">
        <v>39.3</v>
      </c>
      <c r="H5" s="0" t="n">
        <v>40</v>
      </c>
      <c r="I5" s="23" t="s">
        <v>97</v>
      </c>
      <c r="J5" s="0" t="n">
        <v>105</v>
      </c>
      <c r="K5" s="0" t="n">
        <v>98</v>
      </c>
      <c r="P5" s="0" t="n">
        <v>3.59</v>
      </c>
      <c r="Q5" s="0" t="n">
        <v>3.17</v>
      </c>
      <c r="R5" s="0" t="n">
        <v>2846</v>
      </c>
      <c r="S5" s="0" t="n">
        <v>5832</v>
      </c>
      <c r="T5" s="0" t="n">
        <v>33.6</v>
      </c>
      <c r="U5" s="0" t="n">
        <v>882</v>
      </c>
      <c r="V5" s="0" t="n">
        <v>1</v>
      </c>
      <c r="W5" s="0" t="str">
        <f aca="false">IF(OR(AND(B5&gt;=1,B5&lt;=6),B5=10),"Vaca em lactação",IF(I5="Male","Macho",IF(E5&gt;=1,"Vaca seca",IF(I5="Youngstock","Bezerra/recria","Novilha"))))</f>
        <v>Vaca em lactação</v>
      </c>
      <c r="X5" s="0" t="str">
        <f aca="false">IF(AND(B5&gt;=1,B5&lt;=6),"Tanque",IF(B5=10,"Descarte",""))</f>
        <v>Tanque</v>
      </c>
    </row>
    <row r="6" customFormat="false" ht="15" hidden="false" customHeight="false" outlineLevel="0" collapsed="false">
      <c r="A6" s="22" t="n">
        <v>46309</v>
      </c>
      <c r="B6" s="0" t="n">
        <v>1</v>
      </c>
      <c r="C6" s="0" t="n">
        <v>5538</v>
      </c>
      <c r="D6" s="0" t="n">
        <v>105</v>
      </c>
      <c r="E6" s="0" t="n">
        <v>1</v>
      </c>
      <c r="F6" s="23" t="s">
        <v>98</v>
      </c>
      <c r="G6" s="0" t="n">
        <v>55.4</v>
      </c>
      <c r="H6" s="0" t="n">
        <v>57</v>
      </c>
      <c r="I6" s="23" t="s">
        <v>92</v>
      </c>
      <c r="J6" s="0" t="n">
        <v>70</v>
      </c>
      <c r="K6" s="0" t="n">
        <v>70</v>
      </c>
      <c r="L6" s="0" t="n">
        <v>35</v>
      </c>
      <c r="P6" s="0" t="n">
        <v>4.24</v>
      </c>
      <c r="Q6" s="0" t="n">
        <v>2.91</v>
      </c>
      <c r="R6" s="0" t="n">
        <v>4667</v>
      </c>
      <c r="S6" s="0" t="n">
        <v>9491</v>
      </c>
      <c r="T6" s="0" t="n">
        <v>49.45</v>
      </c>
      <c r="U6" s="0" t="n">
        <v>887</v>
      </c>
      <c r="V6" s="0" t="n">
        <v>1</v>
      </c>
      <c r="W6" s="0" t="str">
        <f aca="false">IF(OR(AND(B6&gt;=1,B6&lt;=6),B6=10),"Vaca em lactação",IF(I6="Male","Macho",IF(E6&gt;=1,"Vaca seca",IF(I6="Youngstock","Bezerra/recria","Novilha"))))</f>
        <v>Vaca em lactação</v>
      </c>
      <c r="X6" s="0" t="str">
        <f aca="false">IF(AND(B6&gt;=1,B6&lt;=6),"Tanque",IF(B6=10,"Descarte",""))</f>
        <v>Tanque</v>
      </c>
    </row>
    <row r="7" customFormat="false" ht="15" hidden="false" customHeight="false" outlineLevel="0" collapsed="false">
      <c r="A7" s="22" t="n">
        <v>46309</v>
      </c>
      <c r="B7" s="0" t="n">
        <v>1</v>
      </c>
      <c r="C7" s="0" t="n">
        <v>5539</v>
      </c>
      <c r="D7" s="0" t="n">
        <v>70</v>
      </c>
      <c r="E7" s="0" t="n">
        <v>1</v>
      </c>
      <c r="F7" s="23" t="s">
        <v>98</v>
      </c>
      <c r="G7" s="0" t="n">
        <v>44.7</v>
      </c>
      <c r="H7" s="0" t="n">
        <v>47</v>
      </c>
      <c r="I7" s="23" t="s">
        <v>97</v>
      </c>
      <c r="J7" s="0" t="n">
        <v>70</v>
      </c>
      <c r="K7" s="0" t="n">
        <v>63</v>
      </c>
      <c r="P7" s="0" t="n">
        <v>4.55</v>
      </c>
      <c r="Q7" s="0" t="n">
        <v>2.72</v>
      </c>
      <c r="R7" s="0" t="n">
        <v>4179</v>
      </c>
      <c r="S7" s="0" t="n">
        <v>8401</v>
      </c>
      <c r="U7" s="0" t="n">
        <v>887</v>
      </c>
      <c r="V7" s="0" t="n">
        <v>1</v>
      </c>
      <c r="W7" s="0" t="str">
        <f aca="false">IF(OR(AND(B7&gt;=1,B7&lt;=6),B7=10),"Vaca em lactação",IF(I7="Male","Macho",IF(E7&gt;=1,"Vaca seca",IF(I7="Youngstock","Bezerra/recria","Novilha"))))</f>
        <v>Vaca em lactação</v>
      </c>
      <c r="X7" s="0" t="str">
        <f aca="false">IF(AND(B7&gt;=1,B7&lt;=6),"Tanque",IF(B7=10,"Descarte",""))</f>
        <v>Tanque</v>
      </c>
    </row>
    <row r="8" customFormat="false" ht="15" hidden="false" customHeight="false" outlineLevel="0" collapsed="false">
      <c r="A8" s="22" t="n">
        <v>46309</v>
      </c>
      <c r="B8" s="0" t="n">
        <v>1</v>
      </c>
      <c r="C8" s="0" t="n">
        <v>5642</v>
      </c>
      <c r="D8" s="0" t="n">
        <v>110</v>
      </c>
      <c r="E8" s="0" t="n">
        <v>1</v>
      </c>
      <c r="F8" s="23" t="s">
        <v>99</v>
      </c>
      <c r="G8" s="0" t="n">
        <v>43.7</v>
      </c>
      <c r="H8" s="0" t="n">
        <v>47</v>
      </c>
      <c r="I8" s="23" t="s">
        <v>92</v>
      </c>
      <c r="J8" s="0" t="n">
        <v>70</v>
      </c>
      <c r="K8" s="0" t="n">
        <v>70</v>
      </c>
      <c r="L8" s="0" t="n">
        <v>40</v>
      </c>
      <c r="P8" s="0" t="n">
        <v>2.98</v>
      </c>
      <c r="Q8" s="0" t="n">
        <v>2.91</v>
      </c>
      <c r="R8" s="0" t="n">
        <v>3861</v>
      </c>
      <c r="S8" s="0" t="n">
        <v>7962</v>
      </c>
      <c r="T8" s="0" t="n">
        <v>44</v>
      </c>
      <c r="U8" s="0" t="n">
        <v>854</v>
      </c>
      <c r="V8" s="0" t="n">
        <v>1</v>
      </c>
      <c r="W8" s="0" t="str">
        <f aca="false">IF(OR(AND(B8&gt;=1,B8&lt;=6),B8=10),"Vaca em lactação",IF(I8="Male","Macho",IF(E8&gt;=1,"Vaca seca",IF(I8="Youngstock","Bezerra/recria","Novilha"))))</f>
        <v>Vaca em lactação</v>
      </c>
      <c r="X8" s="0" t="str">
        <f aca="false">IF(AND(B8&gt;=1,B8&lt;=6),"Tanque",IF(B8=10,"Descarte",""))</f>
        <v>Tanque</v>
      </c>
    </row>
    <row r="9" customFormat="false" ht="15" hidden="false" customHeight="false" outlineLevel="0" collapsed="false">
      <c r="A9" s="22" t="n">
        <v>46309</v>
      </c>
      <c r="B9" s="0" t="n">
        <v>1</v>
      </c>
      <c r="C9" s="0" t="n">
        <v>5612</v>
      </c>
      <c r="D9" s="0" t="n">
        <v>60</v>
      </c>
      <c r="E9" s="0" t="n">
        <v>1</v>
      </c>
      <c r="F9" s="23" t="s">
        <v>100</v>
      </c>
      <c r="G9" s="0" t="n">
        <v>52.2</v>
      </c>
      <c r="H9" s="0" t="n">
        <v>52</v>
      </c>
      <c r="I9" s="23" t="s">
        <v>94</v>
      </c>
      <c r="J9" s="0" t="n">
        <v>60</v>
      </c>
      <c r="P9" s="0" t="n">
        <v>3.66</v>
      </c>
      <c r="Q9" s="0" t="n">
        <v>3.04</v>
      </c>
      <c r="R9" s="0" t="n">
        <v>4506</v>
      </c>
      <c r="S9" s="0" t="n">
        <v>9057</v>
      </c>
      <c r="U9" s="0" t="n">
        <v>863</v>
      </c>
      <c r="V9" s="0" t="n">
        <v>0</v>
      </c>
      <c r="W9" s="0" t="str">
        <f aca="false">IF(OR(AND(B9&gt;=1,B9&lt;=6),B9=10),"Vaca em lactação",IF(I9="Male","Macho",IF(E9&gt;=1,"Vaca seca",IF(I9="Youngstock","Bezerra/recria","Novilha"))))</f>
        <v>Vaca em lactação</v>
      </c>
      <c r="X9" s="0" t="str">
        <f aca="false">IF(AND(B9&gt;=1,B9&lt;=6),"Tanque",IF(B9=10,"Descarte",""))</f>
        <v>Tanque</v>
      </c>
    </row>
    <row r="10" customFormat="false" ht="15" hidden="false" customHeight="false" outlineLevel="0" collapsed="false">
      <c r="A10" s="22" t="n">
        <v>46309</v>
      </c>
      <c r="B10" s="0" t="n">
        <v>1</v>
      </c>
      <c r="C10" s="0" t="n">
        <v>5602</v>
      </c>
      <c r="D10" s="0" t="n">
        <v>75</v>
      </c>
      <c r="E10" s="0" t="n">
        <v>1</v>
      </c>
      <c r="F10" s="23" t="s">
        <v>101</v>
      </c>
      <c r="G10" s="0" t="n">
        <v>48</v>
      </c>
      <c r="H10" s="0" t="n">
        <v>46</v>
      </c>
      <c r="I10" s="23" t="s">
        <v>97</v>
      </c>
      <c r="J10" s="0" t="n">
        <v>75</v>
      </c>
      <c r="K10" s="0" t="n">
        <v>68</v>
      </c>
      <c r="P10" s="0" t="n">
        <v>4.19</v>
      </c>
      <c r="Q10" s="0" t="n">
        <v>3.08</v>
      </c>
      <c r="R10" s="0" t="n">
        <v>4390</v>
      </c>
      <c r="S10" s="0" t="n">
        <v>8824</v>
      </c>
      <c r="U10" s="0" t="n">
        <v>866</v>
      </c>
      <c r="V10" s="0" t="n">
        <v>1</v>
      </c>
      <c r="W10" s="0" t="str">
        <f aca="false">IF(OR(AND(B10&gt;=1,B10&lt;=6),B10=10),"Vaca em lactação",IF(I10="Male","Macho",IF(E10&gt;=1,"Vaca seca",IF(I10="Youngstock","Bezerra/recria","Novilha"))))</f>
        <v>Vaca em lactação</v>
      </c>
      <c r="X10" s="0" t="str">
        <f aca="false">IF(AND(B10&gt;=1,B10&lt;=6),"Tanque",IF(B10=10,"Descarte",""))</f>
        <v>Tanque</v>
      </c>
    </row>
    <row r="11" customFormat="false" ht="15" hidden="false" customHeight="false" outlineLevel="0" collapsed="false">
      <c r="A11" s="22" t="n">
        <v>46309</v>
      </c>
      <c r="B11" s="0" t="n">
        <v>1</v>
      </c>
      <c r="C11" s="0" t="n">
        <v>5584</v>
      </c>
      <c r="D11" s="0" t="n">
        <v>203</v>
      </c>
      <c r="E11" s="0" t="n">
        <v>1</v>
      </c>
      <c r="F11" s="23" t="s">
        <v>102</v>
      </c>
      <c r="G11" s="0" t="n">
        <v>32</v>
      </c>
      <c r="H11" s="0" t="n">
        <v>34</v>
      </c>
      <c r="I11" s="23" t="s">
        <v>92</v>
      </c>
      <c r="J11" s="0" t="n">
        <v>63</v>
      </c>
      <c r="K11" s="0" t="n">
        <v>63</v>
      </c>
      <c r="L11" s="0" t="n">
        <v>140</v>
      </c>
      <c r="P11" s="0" t="n">
        <v>3.17</v>
      </c>
      <c r="Q11" s="0" t="n">
        <v>3.6</v>
      </c>
      <c r="R11" s="0" t="n">
        <v>4328</v>
      </c>
      <c r="S11" s="0" t="n">
        <v>7629</v>
      </c>
      <c r="T11" s="0" t="n">
        <v>50.5</v>
      </c>
      <c r="U11" s="0" t="n">
        <v>875</v>
      </c>
      <c r="V11" s="0" t="n">
        <v>1</v>
      </c>
      <c r="W11" s="0" t="str">
        <f aca="false">IF(OR(AND(B11&gt;=1,B11&lt;=6),B11=10),"Vaca em lactação",IF(I11="Male","Macho",IF(E11&gt;=1,"Vaca seca",IF(I11="Youngstock","Bezerra/recria","Novilha"))))</f>
        <v>Vaca em lactação</v>
      </c>
      <c r="X11" s="0" t="str">
        <f aca="false">IF(AND(B11&gt;=1,B11&lt;=6),"Tanque",IF(B11=10,"Descarte",""))</f>
        <v>Tanque</v>
      </c>
    </row>
    <row r="12" customFormat="false" ht="15" hidden="false" customHeight="false" outlineLevel="0" collapsed="false">
      <c r="A12" s="22" t="n">
        <v>46309</v>
      </c>
      <c r="B12" s="0" t="n">
        <v>1</v>
      </c>
      <c r="C12" s="0" t="n">
        <v>5725</v>
      </c>
      <c r="D12" s="0" t="n">
        <v>66</v>
      </c>
      <c r="E12" s="0" t="n">
        <v>1</v>
      </c>
      <c r="F12" s="23" t="s">
        <v>103</v>
      </c>
      <c r="G12" s="0" t="n">
        <v>33.6</v>
      </c>
      <c r="H12" s="0" t="n">
        <v>33</v>
      </c>
      <c r="I12" s="23" t="s">
        <v>97</v>
      </c>
      <c r="J12" s="0" t="n">
        <v>66</v>
      </c>
      <c r="K12" s="0" t="n">
        <v>66</v>
      </c>
      <c r="P12" s="0" t="n">
        <v>4.23</v>
      </c>
      <c r="Q12" s="0" t="n">
        <v>3.16</v>
      </c>
      <c r="R12" s="0" t="n">
        <v>2783</v>
      </c>
      <c r="S12" s="0" t="n">
        <v>5596</v>
      </c>
      <c r="U12" s="0" t="n">
        <v>821</v>
      </c>
      <c r="V12" s="0" t="n">
        <v>1</v>
      </c>
      <c r="W12" s="0" t="str">
        <f aca="false">IF(OR(AND(B12&gt;=1,B12&lt;=6),B12=10),"Vaca em lactação",IF(I12="Male","Macho",IF(E12&gt;=1,"Vaca seca",IF(I12="Youngstock","Bezerra/recria","Novilha"))))</f>
        <v>Vaca em lactação</v>
      </c>
      <c r="X12" s="0" t="str">
        <f aca="false">IF(AND(B12&gt;=1,B12&lt;=6),"Tanque",IF(B12=10,"Descarte",""))</f>
        <v>Tanque</v>
      </c>
    </row>
    <row r="13" customFormat="false" ht="15" hidden="false" customHeight="false" outlineLevel="0" collapsed="false">
      <c r="A13" s="22" t="n">
        <v>46309</v>
      </c>
      <c r="B13" s="0" t="n">
        <v>1</v>
      </c>
      <c r="C13" s="0" t="n">
        <v>5737</v>
      </c>
      <c r="D13" s="0" t="n">
        <v>4</v>
      </c>
      <c r="E13" s="0" t="n">
        <v>1</v>
      </c>
      <c r="F13" s="23" t="s">
        <v>104</v>
      </c>
      <c r="I13" s="23" t="s">
        <v>94</v>
      </c>
      <c r="J13" s="0" t="n">
        <v>4</v>
      </c>
      <c r="U13" s="0" t="n">
        <v>816</v>
      </c>
      <c r="V13" s="0" t="n">
        <v>0</v>
      </c>
      <c r="W13" s="0" t="str">
        <f aca="false">IF(OR(AND(B13&gt;=1,B13&lt;=6),B13=10),"Vaca em lactação",IF(I13="Male","Macho",IF(E13&gt;=1,"Vaca seca",IF(I13="Youngstock","Bezerra/recria","Novilha"))))</f>
        <v>Vaca em lactação</v>
      </c>
      <c r="X13" s="0" t="str">
        <f aca="false">IF(AND(B13&gt;=1,B13&lt;=6),"Tanque",IF(B13=10,"Descarte",""))</f>
        <v>Tanque</v>
      </c>
    </row>
    <row r="14" customFormat="false" ht="15" hidden="false" customHeight="false" outlineLevel="0" collapsed="false">
      <c r="A14" s="22" t="n">
        <v>46309</v>
      </c>
      <c r="B14" s="0" t="n">
        <v>1</v>
      </c>
      <c r="C14" s="0" t="n">
        <v>5742</v>
      </c>
      <c r="D14" s="0" t="n">
        <v>91</v>
      </c>
      <c r="E14" s="0" t="n">
        <v>1</v>
      </c>
      <c r="F14" s="23" t="s">
        <v>105</v>
      </c>
      <c r="G14" s="0" t="n">
        <v>47.5</v>
      </c>
      <c r="H14" s="0" t="n">
        <v>52</v>
      </c>
      <c r="I14" s="23" t="s">
        <v>97</v>
      </c>
      <c r="J14" s="0" t="n">
        <v>91</v>
      </c>
      <c r="K14" s="0" t="n">
        <v>63</v>
      </c>
      <c r="P14" s="0" t="n">
        <v>3.39</v>
      </c>
      <c r="Q14" s="0" t="n">
        <v>2.94</v>
      </c>
      <c r="R14" s="0" t="n">
        <v>4410</v>
      </c>
      <c r="S14" s="0" t="n">
        <v>8864</v>
      </c>
      <c r="U14" s="0" t="n">
        <v>813</v>
      </c>
      <c r="V14" s="0" t="n">
        <v>1</v>
      </c>
      <c r="W14" s="0" t="str">
        <f aca="false">IF(OR(AND(B14&gt;=1,B14&lt;=6),B14=10),"Vaca em lactação",IF(I14="Male","Macho",IF(E14&gt;=1,"Vaca seca",IF(I14="Youngstock","Bezerra/recria","Novilha"))))</f>
        <v>Vaca em lactação</v>
      </c>
      <c r="X14" s="0" t="str">
        <f aca="false">IF(AND(B14&gt;=1,B14&lt;=6),"Tanque",IF(B14=10,"Descarte",""))</f>
        <v>Tanque</v>
      </c>
    </row>
    <row r="15" customFormat="false" ht="15" hidden="false" customHeight="false" outlineLevel="0" collapsed="false">
      <c r="A15" s="22" t="n">
        <v>46309</v>
      </c>
      <c r="B15" s="0" t="n">
        <v>1</v>
      </c>
      <c r="C15" s="0" t="n">
        <v>5741</v>
      </c>
      <c r="D15" s="0" t="n">
        <v>55</v>
      </c>
      <c r="E15" s="0" t="n">
        <v>1</v>
      </c>
      <c r="F15" s="23" t="s">
        <v>105</v>
      </c>
      <c r="G15" s="0" t="n">
        <v>21.2</v>
      </c>
      <c r="H15" s="0" t="n">
        <v>21</v>
      </c>
      <c r="I15" s="23" t="s">
        <v>94</v>
      </c>
      <c r="J15" s="0" t="n">
        <v>55</v>
      </c>
      <c r="P15" s="0" t="n">
        <v>3.96</v>
      </c>
      <c r="Q15" s="0" t="n">
        <v>3.22</v>
      </c>
      <c r="R15" s="0" t="n">
        <v>2320</v>
      </c>
      <c r="S15" s="0" t="n">
        <v>4663</v>
      </c>
      <c r="U15" s="0" t="n">
        <v>813</v>
      </c>
      <c r="V15" s="0" t="n">
        <v>0</v>
      </c>
      <c r="W15" s="0" t="str">
        <f aca="false">IF(OR(AND(B15&gt;=1,B15&lt;=6),B15=10),"Vaca em lactação",IF(I15="Male","Macho",IF(E15&gt;=1,"Vaca seca",IF(I15="Youngstock","Bezerra/recria","Novilha"))))</f>
        <v>Vaca em lactação</v>
      </c>
      <c r="X15" s="0" t="str">
        <f aca="false">IF(AND(B15&gt;=1,B15&lt;=6),"Tanque",IF(B15=10,"Descarte",""))</f>
        <v>Tanque</v>
      </c>
    </row>
    <row r="16" customFormat="false" ht="15" hidden="false" customHeight="false" outlineLevel="0" collapsed="false">
      <c r="A16" s="22" t="n">
        <v>46309</v>
      </c>
      <c r="B16" s="0" t="n">
        <v>1</v>
      </c>
      <c r="C16" s="0" t="n">
        <v>5720</v>
      </c>
      <c r="D16" s="0" t="n">
        <v>106</v>
      </c>
      <c r="E16" s="0" t="n">
        <v>1</v>
      </c>
      <c r="F16" s="23" t="s">
        <v>106</v>
      </c>
      <c r="G16" s="0" t="n">
        <v>57.7</v>
      </c>
      <c r="H16" s="0" t="n">
        <v>58</v>
      </c>
      <c r="I16" s="23" t="s">
        <v>92</v>
      </c>
      <c r="J16" s="0" t="n">
        <v>64</v>
      </c>
      <c r="K16" s="0" t="n">
        <v>63</v>
      </c>
      <c r="L16" s="0" t="n">
        <v>42</v>
      </c>
      <c r="P16" s="0" t="n">
        <v>3.02</v>
      </c>
      <c r="Q16" s="0" t="n">
        <v>2.88</v>
      </c>
      <c r="R16" s="0" t="n">
        <v>5018</v>
      </c>
      <c r="S16" s="0" t="n">
        <v>10181</v>
      </c>
      <c r="T16" s="0" t="n">
        <v>54.65</v>
      </c>
      <c r="U16" s="0" t="n">
        <v>826</v>
      </c>
      <c r="V16" s="0" t="n">
        <v>1</v>
      </c>
      <c r="W16" s="0" t="str">
        <f aca="false">IF(OR(AND(B16&gt;=1,B16&lt;=6),B16=10),"Vaca em lactação",IF(I16="Male","Macho",IF(E16&gt;=1,"Vaca seca",IF(I16="Youngstock","Bezerra/recria","Novilha"))))</f>
        <v>Vaca em lactação</v>
      </c>
      <c r="X16" s="0" t="str">
        <f aca="false">IF(AND(B16&gt;=1,B16&lt;=6),"Tanque",IF(B16=10,"Descarte",""))</f>
        <v>Tanque</v>
      </c>
    </row>
    <row r="17" customFormat="false" ht="15" hidden="false" customHeight="false" outlineLevel="0" collapsed="false">
      <c r="A17" s="22" t="n">
        <v>46309</v>
      </c>
      <c r="B17" s="0" t="n">
        <v>1</v>
      </c>
      <c r="C17" s="0" t="n">
        <v>5721</v>
      </c>
      <c r="D17" s="0" t="n">
        <v>75</v>
      </c>
      <c r="E17" s="0" t="n">
        <v>1</v>
      </c>
      <c r="F17" s="23" t="s">
        <v>107</v>
      </c>
      <c r="G17" s="0" t="n">
        <v>45.6</v>
      </c>
      <c r="H17" s="0" t="n">
        <v>46</v>
      </c>
      <c r="I17" s="23" t="s">
        <v>97</v>
      </c>
      <c r="J17" s="0" t="n">
        <v>75</v>
      </c>
      <c r="K17" s="0" t="n">
        <v>68</v>
      </c>
      <c r="P17" s="0" t="n">
        <v>4.51</v>
      </c>
      <c r="Q17" s="0" t="n">
        <v>3.15</v>
      </c>
      <c r="R17" s="0" t="n">
        <v>4016</v>
      </c>
      <c r="S17" s="0" t="n">
        <v>8074</v>
      </c>
      <c r="U17" s="0" t="n">
        <v>824</v>
      </c>
      <c r="V17" s="0" t="n">
        <v>1</v>
      </c>
      <c r="W17" s="0" t="str">
        <f aca="false">IF(OR(AND(B17&gt;=1,B17&lt;=6),B17=10),"Vaca em lactação",IF(I17="Male","Macho",IF(E17&gt;=1,"Vaca seca",IF(I17="Youngstock","Bezerra/recria","Novilha"))))</f>
        <v>Vaca em lactação</v>
      </c>
      <c r="X17" s="0" t="str">
        <f aca="false">IF(AND(B17&gt;=1,B17&lt;=6),"Tanque",IF(B17=10,"Descarte",""))</f>
        <v>Tanque</v>
      </c>
    </row>
    <row r="18" customFormat="false" ht="15" hidden="false" customHeight="false" outlineLevel="0" collapsed="false">
      <c r="A18" s="22" t="n">
        <v>46309</v>
      </c>
      <c r="B18" s="0" t="n">
        <v>1</v>
      </c>
      <c r="C18" s="0" t="n">
        <v>5687</v>
      </c>
      <c r="D18" s="0" t="n">
        <v>101</v>
      </c>
      <c r="E18" s="0" t="n">
        <v>1</v>
      </c>
      <c r="F18" s="23" t="s">
        <v>108</v>
      </c>
      <c r="G18" s="0" t="n">
        <v>51.6</v>
      </c>
      <c r="H18" s="0" t="n">
        <v>50</v>
      </c>
      <c r="I18" s="23" t="s">
        <v>109</v>
      </c>
      <c r="J18" s="0" t="n">
        <v>101</v>
      </c>
      <c r="K18" s="0" t="n">
        <v>66</v>
      </c>
      <c r="P18" s="0" t="n">
        <v>4.58</v>
      </c>
      <c r="Q18" s="0" t="n">
        <v>3.02</v>
      </c>
      <c r="R18" s="0" t="n">
        <v>4328</v>
      </c>
      <c r="S18" s="0" t="n">
        <v>8714</v>
      </c>
      <c r="T18" s="0" t="n">
        <v>47.55</v>
      </c>
      <c r="U18" s="0" t="n">
        <v>841</v>
      </c>
      <c r="V18" s="0" t="n">
        <v>1</v>
      </c>
      <c r="W18" s="0" t="str">
        <f aca="false">IF(OR(AND(B18&gt;=1,B18&lt;=6),B18=10),"Vaca em lactação",IF(I18="Male","Macho",IF(E18&gt;=1,"Vaca seca",IF(I18="Youngstock","Bezerra/recria","Novilha"))))</f>
        <v>Vaca em lactação</v>
      </c>
      <c r="X18" s="0" t="str">
        <f aca="false">IF(AND(B18&gt;=1,B18&lt;=6),"Tanque",IF(B18=10,"Descarte",""))</f>
        <v>Tanque</v>
      </c>
    </row>
    <row r="19" customFormat="false" ht="15" hidden="false" customHeight="false" outlineLevel="0" collapsed="false">
      <c r="A19" s="22" t="n">
        <v>46309</v>
      </c>
      <c r="B19" s="0" t="n">
        <v>1</v>
      </c>
      <c r="C19" s="0" t="n">
        <v>5693</v>
      </c>
      <c r="D19" s="0" t="n">
        <v>100</v>
      </c>
      <c r="E19" s="0" t="n">
        <v>1</v>
      </c>
      <c r="F19" s="23" t="s">
        <v>110</v>
      </c>
      <c r="G19" s="0" t="n">
        <v>37.6</v>
      </c>
      <c r="H19" s="0" t="n">
        <v>39</v>
      </c>
      <c r="I19" s="23" t="s">
        <v>109</v>
      </c>
      <c r="J19" s="0" t="n">
        <v>100</v>
      </c>
      <c r="K19" s="0" t="n">
        <v>65</v>
      </c>
      <c r="P19" s="0" t="n">
        <v>3.93</v>
      </c>
      <c r="Q19" s="0" t="n">
        <v>3.08</v>
      </c>
      <c r="R19" s="0" t="n">
        <v>3715</v>
      </c>
      <c r="S19" s="0" t="n">
        <v>7467</v>
      </c>
      <c r="T19" s="0" t="n">
        <v>43.5</v>
      </c>
      <c r="U19" s="0" t="n">
        <v>839</v>
      </c>
      <c r="V19" s="0" t="n">
        <v>1</v>
      </c>
      <c r="W19" s="0" t="str">
        <f aca="false">IF(OR(AND(B19&gt;=1,B19&lt;=6),B19=10),"Vaca em lactação",IF(I19="Male","Macho",IF(E19&gt;=1,"Vaca seca",IF(I19="Youngstock","Bezerra/recria","Novilha"))))</f>
        <v>Vaca em lactação</v>
      </c>
      <c r="X19" s="0" t="str">
        <f aca="false">IF(AND(B19&gt;=1,B19&lt;=6),"Tanque",IF(B19=10,"Descarte",""))</f>
        <v>Tanque</v>
      </c>
    </row>
    <row r="20" customFormat="false" ht="15" hidden="false" customHeight="false" outlineLevel="0" collapsed="false">
      <c r="A20" s="22" t="n">
        <v>46309</v>
      </c>
      <c r="B20" s="0" t="n">
        <v>1</v>
      </c>
      <c r="C20" s="0" t="n">
        <v>5699</v>
      </c>
      <c r="D20" s="0" t="n">
        <v>96</v>
      </c>
      <c r="E20" s="0" t="n">
        <v>1</v>
      </c>
      <c r="F20" s="23" t="s">
        <v>111</v>
      </c>
      <c r="G20" s="0" t="n">
        <v>61.1</v>
      </c>
      <c r="H20" s="0" t="n">
        <v>60</v>
      </c>
      <c r="I20" s="23" t="s">
        <v>97</v>
      </c>
      <c r="J20" s="0" t="n">
        <v>96</v>
      </c>
      <c r="K20" s="0" t="n">
        <v>68</v>
      </c>
      <c r="P20" s="0" t="n">
        <v>3.58</v>
      </c>
      <c r="Q20" s="0" t="n">
        <v>2.9</v>
      </c>
      <c r="R20" s="0" t="n">
        <v>4923</v>
      </c>
      <c r="S20" s="0" t="n">
        <v>9896</v>
      </c>
      <c r="T20" s="0" t="n">
        <v>49.35</v>
      </c>
      <c r="U20" s="0" t="n">
        <v>837</v>
      </c>
      <c r="V20" s="0" t="n">
        <v>2</v>
      </c>
      <c r="W20" s="0" t="str">
        <f aca="false">IF(OR(AND(B20&gt;=1,B20&lt;=6),B20=10),"Vaca em lactação",IF(I20="Male","Macho",IF(E20&gt;=1,"Vaca seca",IF(I20="Youngstock","Bezerra/recria","Novilha"))))</f>
        <v>Vaca em lactação</v>
      </c>
      <c r="X20" s="0" t="str">
        <f aca="false">IF(AND(B20&gt;=1,B20&lt;=6),"Tanque",IF(B20=10,"Descarte",""))</f>
        <v>Tanque</v>
      </c>
    </row>
    <row r="21" customFormat="false" ht="15" hidden="false" customHeight="false" outlineLevel="0" collapsed="false">
      <c r="A21" s="22" t="n">
        <v>46309</v>
      </c>
      <c r="B21" s="0" t="n">
        <v>1</v>
      </c>
      <c r="C21" s="0" t="n">
        <v>5698</v>
      </c>
      <c r="D21" s="0" t="n">
        <v>91</v>
      </c>
      <c r="E21" s="0" t="n">
        <v>1</v>
      </c>
      <c r="F21" s="23" t="s">
        <v>111</v>
      </c>
      <c r="G21" s="0" t="n">
        <v>53.6</v>
      </c>
      <c r="H21" s="0" t="n">
        <v>49</v>
      </c>
      <c r="I21" s="23" t="s">
        <v>97</v>
      </c>
      <c r="J21" s="0" t="n">
        <v>91</v>
      </c>
      <c r="K21" s="0" t="n">
        <v>63</v>
      </c>
      <c r="P21" s="0" t="n">
        <v>3.35</v>
      </c>
      <c r="Q21" s="0" t="n">
        <v>3</v>
      </c>
      <c r="R21" s="0" t="n">
        <v>4107</v>
      </c>
      <c r="S21" s="0" t="n">
        <v>8256</v>
      </c>
      <c r="U21" s="0" t="n">
        <v>837</v>
      </c>
      <c r="V21" s="0" t="n">
        <v>2</v>
      </c>
      <c r="W21" s="0" t="str">
        <f aca="false">IF(OR(AND(B21&gt;=1,B21&lt;=6),B21=10),"Vaca em lactação",IF(I21="Male","Macho",IF(E21&gt;=1,"Vaca seca",IF(I21="Youngstock","Bezerra/recria","Novilha"))))</f>
        <v>Vaca em lactação</v>
      </c>
      <c r="X21" s="0" t="str">
        <f aca="false">IF(AND(B21&gt;=1,B21&lt;=6),"Tanque",IF(B21=10,"Descarte",""))</f>
        <v>Tanque</v>
      </c>
    </row>
    <row r="22" customFormat="false" ht="15" hidden="false" customHeight="false" outlineLevel="0" collapsed="false">
      <c r="A22" s="22" t="n">
        <v>46309</v>
      </c>
      <c r="B22" s="0" t="n">
        <v>1</v>
      </c>
      <c r="C22" s="0" t="n">
        <v>5704</v>
      </c>
      <c r="D22" s="0" t="n">
        <v>89</v>
      </c>
      <c r="E22" s="0" t="n">
        <v>1</v>
      </c>
      <c r="F22" s="23" t="s">
        <v>112</v>
      </c>
      <c r="G22" s="0" t="n">
        <v>48.9</v>
      </c>
      <c r="H22" s="0" t="n">
        <v>48</v>
      </c>
      <c r="I22" s="23" t="s">
        <v>97</v>
      </c>
      <c r="J22" s="0" t="n">
        <v>89</v>
      </c>
      <c r="K22" s="0" t="n">
        <v>68</v>
      </c>
      <c r="P22" s="0" t="n">
        <v>3.12</v>
      </c>
      <c r="Q22" s="0" t="n">
        <v>2.98</v>
      </c>
      <c r="R22" s="0" t="n">
        <v>4640</v>
      </c>
      <c r="S22" s="0" t="n">
        <v>9326</v>
      </c>
      <c r="U22" s="0" t="n">
        <v>834</v>
      </c>
      <c r="V22" s="0" t="n">
        <v>1</v>
      </c>
      <c r="W22" s="0" t="str">
        <f aca="false">IF(OR(AND(B22&gt;=1,B22&lt;=6),B22=10),"Vaca em lactação",IF(I22="Male","Macho",IF(E22&gt;=1,"Vaca seca",IF(I22="Youngstock","Bezerra/recria","Novilha"))))</f>
        <v>Vaca em lactação</v>
      </c>
      <c r="X22" s="0" t="str">
        <f aca="false">IF(AND(B22&gt;=1,B22&lt;=6),"Tanque",IF(B22=10,"Descarte",""))</f>
        <v>Tanque</v>
      </c>
    </row>
    <row r="23" customFormat="false" ht="15" hidden="false" customHeight="false" outlineLevel="0" collapsed="false">
      <c r="A23" s="22" t="n">
        <v>46309</v>
      </c>
      <c r="B23" s="0" t="n">
        <v>1</v>
      </c>
      <c r="C23" s="0" t="n">
        <v>5708</v>
      </c>
      <c r="D23" s="0" t="n">
        <v>101</v>
      </c>
      <c r="E23" s="0" t="n">
        <v>1</v>
      </c>
      <c r="F23" s="23" t="s">
        <v>113</v>
      </c>
      <c r="G23" s="0" t="n">
        <v>50.8</v>
      </c>
      <c r="H23" s="0" t="n">
        <v>51</v>
      </c>
      <c r="I23" s="23" t="s">
        <v>92</v>
      </c>
      <c r="J23" s="0" t="n">
        <v>66</v>
      </c>
      <c r="K23" s="0" t="n">
        <v>66</v>
      </c>
      <c r="L23" s="0" t="n">
        <v>35</v>
      </c>
      <c r="P23" s="0" t="n">
        <v>3.84</v>
      </c>
      <c r="Q23" s="0" t="n">
        <v>3.12</v>
      </c>
      <c r="R23" s="0" t="n">
        <v>3779</v>
      </c>
      <c r="S23" s="0" t="n">
        <v>7621</v>
      </c>
      <c r="T23" s="0" t="n">
        <v>43.8</v>
      </c>
      <c r="U23" s="0" t="n">
        <v>833</v>
      </c>
      <c r="V23" s="0" t="n">
        <v>1</v>
      </c>
      <c r="W23" s="0" t="str">
        <f aca="false">IF(OR(AND(B23&gt;=1,B23&lt;=6),B23=10),"Vaca em lactação",IF(I23="Male","Macho",IF(E23&gt;=1,"Vaca seca",IF(I23="Youngstock","Bezerra/recria","Novilha"))))</f>
        <v>Vaca em lactação</v>
      </c>
      <c r="X23" s="0" t="str">
        <f aca="false">IF(AND(B23&gt;=1,B23&lt;=6),"Tanque",IF(B23=10,"Descarte",""))</f>
        <v>Tanque</v>
      </c>
    </row>
    <row r="24" customFormat="false" ht="15" hidden="false" customHeight="false" outlineLevel="0" collapsed="false">
      <c r="A24" s="22" t="n">
        <v>46309</v>
      </c>
      <c r="B24" s="0" t="n">
        <v>1</v>
      </c>
      <c r="C24" s="0" t="n">
        <v>5711</v>
      </c>
      <c r="D24" s="0" t="n">
        <v>35</v>
      </c>
      <c r="E24" s="0" t="n">
        <v>1</v>
      </c>
      <c r="F24" s="23" t="s">
        <v>114</v>
      </c>
      <c r="G24" s="0" t="n">
        <v>47.8</v>
      </c>
      <c r="H24" s="0" t="n">
        <v>45</v>
      </c>
      <c r="I24" s="23" t="s">
        <v>94</v>
      </c>
      <c r="J24" s="0" t="n">
        <v>35</v>
      </c>
      <c r="P24" s="0" t="n">
        <v>5.29</v>
      </c>
      <c r="Q24" s="0" t="n">
        <v>3.36</v>
      </c>
      <c r="R24" s="0" t="n">
        <v>3633</v>
      </c>
      <c r="S24" s="0" t="n">
        <v>7303</v>
      </c>
      <c r="U24" s="0" t="n">
        <v>832</v>
      </c>
      <c r="V24" s="0" t="n">
        <v>0</v>
      </c>
      <c r="W24" s="0" t="str">
        <f aca="false">IF(OR(AND(B24&gt;=1,B24&lt;=6),B24=10),"Vaca em lactação",IF(I24="Male","Macho",IF(E24&gt;=1,"Vaca seca",IF(I24="Youngstock","Bezerra/recria","Novilha"))))</f>
        <v>Vaca em lactação</v>
      </c>
      <c r="X24" s="0" t="str">
        <f aca="false">IF(AND(B24&gt;=1,B24&lt;=6),"Tanque",IF(B24=10,"Descarte",""))</f>
        <v>Tanque</v>
      </c>
    </row>
    <row r="25" customFormat="false" ht="15" hidden="false" customHeight="false" outlineLevel="0" collapsed="false">
      <c r="A25" s="22" t="n">
        <v>46309</v>
      </c>
      <c r="B25" s="0" t="n">
        <v>1</v>
      </c>
      <c r="C25" s="0" t="n">
        <v>5651</v>
      </c>
      <c r="D25" s="0" t="n">
        <v>88</v>
      </c>
      <c r="E25" s="0" t="n">
        <v>1</v>
      </c>
      <c r="F25" s="23" t="s">
        <v>115</v>
      </c>
      <c r="G25" s="0" t="n">
        <v>43.9</v>
      </c>
      <c r="H25" s="0" t="n">
        <v>43</v>
      </c>
      <c r="I25" s="23" t="s">
        <v>97</v>
      </c>
      <c r="J25" s="0" t="n">
        <v>88</v>
      </c>
      <c r="K25" s="0" t="n">
        <v>67</v>
      </c>
      <c r="P25" s="0" t="n">
        <v>2.98</v>
      </c>
      <c r="Q25" s="0" t="n">
        <v>3.04</v>
      </c>
      <c r="R25" s="0" t="n">
        <v>4138</v>
      </c>
      <c r="S25" s="0" t="n">
        <v>8318</v>
      </c>
      <c r="U25" s="0" t="n">
        <v>851</v>
      </c>
      <c r="V25" s="0" t="n">
        <v>1</v>
      </c>
      <c r="W25" s="0" t="str">
        <f aca="false">IF(OR(AND(B25&gt;=1,B25&lt;=6),B25=10),"Vaca em lactação",IF(I25="Male","Macho",IF(E25&gt;=1,"Vaca seca",IF(I25="Youngstock","Bezerra/recria","Novilha"))))</f>
        <v>Vaca em lactação</v>
      </c>
      <c r="X25" s="0" t="str">
        <f aca="false">IF(AND(B25&gt;=1,B25&lt;=6),"Tanque",IF(B25=10,"Descarte",""))</f>
        <v>Tanque</v>
      </c>
    </row>
    <row r="26" customFormat="false" ht="15" hidden="false" customHeight="false" outlineLevel="0" collapsed="false">
      <c r="A26" s="22" t="n">
        <v>46309</v>
      </c>
      <c r="B26" s="0" t="n">
        <v>1</v>
      </c>
      <c r="C26" s="0" t="n">
        <v>5652</v>
      </c>
      <c r="D26" s="0" t="n">
        <v>31</v>
      </c>
      <c r="E26" s="0" t="n">
        <v>1</v>
      </c>
      <c r="F26" s="23" t="s">
        <v>116</v>
      </c>
      <c r="G26" s="0" t="n">
        <v>41.7</v>
      </c>
      <c r="H26" s="0" t="n">
        <v>40</v>
      </c>
      <c r="I26" s="23" t="s">
        <v>94</v>
      </c>
      <c r="J26" s="0" t="n">
        <v>31</v>
      </c>
      <c r="P26" s="0" t="n">
        <v>7.33</v>
      </c>
      <c r="Q26" s="0" t="n">
        <v>4.51</v>
      </c>
      <c r="R26" s="0" t="n">
        <v>3185</v>
      </c>
      <c r="S26" s="0" t="n">
        <v>6402</v>
      </c>
      <c r="U26" s="0" t="n">
        <v>849</v>
      </c>
      <c r="V26" s="0" t="n">
        <v>0</v>
      </c>
      <c r="W26" s="0" t="str">
        <f aca="false">IF(OR(AND(B26&gt;=1,B26&lt;=6),B26=10),"Vaca em lactação",IF(I26="Male","Macho",IF(E26&gt;=1,"Vaca seca",IF(I26="Youngstock","Bezerra/recria","Novilha"))))</f>
        <v>Vaca em lactação</v>
      </c>
      <c r="X26" s="0" t="str">
        <f aca="false">IF(AND(B26&gt;=1,B26&lt;=6),"Tanque",IF(B26=10,"Descarte",""))</f>
        <v>Tanque</v>
      </c>
    </row>
    <row r="27" customFormat="false" ht="15" hidden="false" customHeight="false" outlineLevel="0" collapsed="false">
      <c r="A27" s="22" t="n">
        <v>46309</v>
      </c>
      <c r="B27" s="0" t="n">
        <v>1</v>
      </c>
      <c r="C27" s="0" t="n">
        <v>5658</v>
      </c>
      <c r="D27" s="0" t="n">
        <v>90</v>
      </c>
      <c r="E27" s="0" t="n">
        <v>1</v>
      </c>
      <c r="F27" s="23" t="s">
        <v>117</v>
      </c>
      <c r="G27" s="0" t="n">
        <v>45.3</v>
      </c>
      <c r="H27" s="0" t="n">
        <v>49</v>
      </c>
      <c r="I27" s="23" t="s">
        <v>97</v>
      </c>
      <c r="J27" s="0" t="n">
        <v>90</v>
      </c>
      <c r="K27" s="0" t="n">
        <v>62</v>
      </c>
      <c r="P27" s="0" t="n">
        <v>4.02</v>
      </c>
      <c r="Q27" s="0" t="n">
        <v>3.3</v>
      </c>
      <c r="R27" s="0" t="n">
        <v>4463</v>
      </c>
      <c r="S27" s="0" t="n">
        <v>8972</v>
      </c>
      <c r="U27" s="0" t="n">
        <v>847</v>
      </c>
      <c r="V27" s="0" t="n">
        <v>1</v>
      </c>
      <c r="W27" s="0" t="str">
        <f aca="false">IF(OR(AND(B27&gt;=1,B27&lt;=6),B27=10),"Vaca em lactação",IF(I27="Male","Macho",IF(E27&gt;=1,"Vaca seca",IF(I27="Youngstock","Bezerra/recria","Novilha"))))</f>
        <v>Vaca em lactação</v>
      </c>
      <c r="X27" s="0" t="str">
        <f aca="false">IF(AND(B27&gt;=1,B27&lt;=6),"Tanque",IF(B27=10,"Descarte",""))</f>
        <v>Tanque</v>
      </c>
    </row>
    <row r="28" customFormat="false" ht="15" hidden="false" customHeight="false" outlineLevel="0" collapsed="false">
      <c r="A28" s="22" t="n">
        <v>46309</v>
      </c>
      <c r="B28" s="0" t="n">
        <v>1</v>
      </c>
      <c r="C28" s="0" t="n">
        <v>5670</v>
      </c>
      <c r="D28" s="0" t="n">
        <v>94</v>
      </c>
      <c r="E28" s="0" t="n">
        <v>1</v>
      </c>
      <c r="F28" s="23" t="s">
        <v>118</v>
      </c>
      <c r="G28" s="0" t="n">
        <v>51.5</v>
      </c>
      <c r="H28" s="0" t="n">
        <v>52</v>
      </c>
      <c r="I28" s="23" t="s">
        <v>97</v>
      </c>
      <c r="J28" s="0" t="n">
        <v>94</v>
      </c>
      <c r="K28" s="0" t="n">
        <v>77</v>
      </c>
      <c r="P28" s="0" t="n">
        <v>2.83</v>
      </c>
      <c r="Q28" s="0" t="n">
        <v>2.99</v>
      </c>
      <c r="R28" s="0" t="n">
        <v>4729</v>
      </c>
      <c r="S28" s="0" t="n">
        <v>9506</v>
      </c>
      <c r="T28" s="0" t="n">
        <v>48.9</v>
      </c>
      <c r="U28" s="0" t="n">
        <v>846</v>
      </c>
      <c r="V28" s="0" t="n">
        <v>1</v>
      </c>
      <c r="W28" s="0" t="str">
        <f aca="false">IF(OR(AND(B28&gt;=1,B28&lt;=6),B28=10),"Vaca em lactação",IF(I28="Male","Macho",IF(E28&gt;=1,"Vaca seca",IF(I28="Youngstock","Bezerra/recria","Novilha"))))</f>
        <v>Vaca em lactação</v>
      </c>
      <c r="X28" s="0" t="str">
        <f aca="false">IF(AND(B28&gt;=1,B28&lt;=6),"Tanque",IF(B28=10,"Descarte",""))</f>
        <v>Tanque</v>
      </c>
    </row>
    <row r="29" customFormat="false" ht="15" hidden="false" customHeight="false" outlineLevel="0" collapsed="false">
      <c r="A29" s="22" t="n">
        <v>46309</v>
      </c>
      <c r="B29" s="0" t="n">
        <v>1</v>
      </c>
      <c r="C29" s="0" t="n">
        <v>5669</v>
      </c>
      <c r="D29" s="0" t="n">
        <v>104</v>
      </c>
      <c r="E29" s="0" t="n">
        <v>1</v>
      </c>
      <c r="F29" s="23" t="s">
        <v>118</v>
      </c>
      <c r="G29" s="0" t="n">
        <v>31.5</v>
      </c>
      <c r="H29" s="0" t="n">
        <v>41</v>
      </c>
      <c r="I29" s="23" t="s">
        <v>109</v>
      </c>
      <c r="J29" s="0" t="n">
        <v>104</v>
      </c>
      <c r="K29" s="0" t="n">
        <v>69</v>
      </c>
      <c r="P29" s="0" t="n">
        <v>4.3</v>
      </c>
      <c r="Q29" s="0" t="n">
        <v>3.15</v>
      </c>
      <c r="R29" s="0" t="n">
        <v>4272</v>
      </c>
      <c r="S29" s="0" t="n">
        <v>8594</v>
      </c>
      <c r="T29" s="0" t="n">
        <v>47.1</v>
      </c>
      <c r="U29" s="0" t="n">
        <v>846</v>
      </c>
      <c r="V29" s="0" t="n">
        <v>1</v>
      </c>
      <c r="W29" s="0" t="str">
        <f aca="false">IF(OR(AND(B29&gt;=1,B29&lt;=6),B29=10),"Vaca em lactação",IF(I29="Male","Macho",IF(E29&gt;=1,"Vaca seca",IF(I29="Youngstock","Bezerra/recria","Novilha"))))</f>
        <v>Vaca em lactação</v>
      </c>
      <c r="X29" s="0" t="str">
        <f aca="false">IF(AND(B29&gt;=1,B29&lt;=6),"Tanque",IF(B29=10,"Descarte",""))</f>
        <v>Tanque</v>
      </c>
    </row>
    <row r="30" customFormat="false" ht="15" hidden="false" customHeight="false" outlineLevel="0" collapsed="false">
      <c r="A30" s="22" t="n">
        <v>46309</v>
      </c>
      <c r="B30" s="0" t="n">
        <v>1</v>
      </c>
      <c r="C30" s="0" t="n">
        <v>5811</v>
      </c>
      <c r="D30" s="0" t="n">
        <v>106</v>
      </c>
      <c r="E30" s="0" t="n">
        <v>1</v>
      </c>
      <c r="F30" s="23" t="s">
        <v>119</v>
      </c>
      <c r="G30" s="0" t="n">
        <v>55.5</v>
      </c>
      <c r="H30" s="0" t="n">
        <v>56</v>
      </c>
      <c r="I30" s="23" t="s">
        <v>92</v>
      </c>
      <c r="J30" s="0" t="n">
        <v>64</v>
      </c>
      <c r="K30" s="0" t="n">
        <v>64</v>
      </c>
      <c r="L30" s="0" t="n">
        <v>42</v>
      </c>
      <c r="P30" s="0" t="n">
        <v>2.89</v>
      </c>
      <c r="Q30" s="0" t="n">
        <v>2.86</v>
      </c>
      <c r="R30" s="0" t="n">
        <v>5358</v>
      </c>
      <c r="S30" s="0" t="n">
        <v>10806</v>
      </c>
      <c r="T30" s="0" t="n">
        <v>59.4</v>
      </c>
      <c r="U30" s="0" t="n">
        <v>790</v>
      </c>
      <c r="V30" s="0" t="n">
        <v>1</v>
      </c>
      <c r="W30" s="0" t="str">
        <f aca="false">IF(OR(AND(B30&gt;=1,B30&lt;=6),B30=10),"Vaca em lactação",IF(I30="Male","Macho",IF(E30&gt;=1,"Vaca seca",IF(I30="Youngstock","Bezerra/recria","Novilha"))))</f>
        <v>Vaca em lactação</v>
      </c>
      <c r="X30" s="0" t="str">
        <f aca="false">IF(AND(B30&gt;=1,B30&lt;=6),"Tanque",IF(B30=10,"Descarte",""))</f>
        <v>Tanque</v>
      </c>
    </row>
    <row r="31" customFormat="false" ht="15" hidden="false" customHeight="false" outlineLevel="0" collapsed="false">
      <c r="A31" s="22" t="n">
        <v>46309</v>
      </c>
      <c r="B31" s="0" t="n">
        <v>1</v>
      </c>
      <c r="C31" s="0" t="n">
        <v>5812</v>
      </c>
      <c r="D31" s="0" t="n">
        <v>111</v>
      </c>
      <c r="E31" s="0" t="n">
        <v>1</v>
      </c>
      <c r="F31" s="23" t="s">
        <v>119</v>
      </c>
      <c r="G31" s="0" t="n">
        <v>63.7</v>
      </c>
      <c r="H31" s="0" t="n">
        <v>62</v>
      </c>
      <c r="I31" s="23" t="s">
        <v>92</v>
      </c>
      <c r="J31" s="0" t="n">
        <v>62</v>
      </c>
      <c r="K31" s="0" t="n">
        <v>62</v>
      </c>
      <c r="L31" s="0" t="n">
        <v>49</v>
      </c>
      <c r="P31" s="0" t="n">
        <v>3.43</v>
      </c>
      <c r="Q31" s="0" t="n">
        <v>3.05</v>
      </c>
      <c r="R31" s="0" t="n">
        <v>5250</v>
      </c>
      <c r="S31" s="0" t="n">
        <v>10749</v>
      </c>
      <c r="T31" s="0" t="n">
        <v>54.6</v>
      </c>
      <c r="U31" s="0" t="n">
        <v>790</v>
      </c>
      <c r="V31" s="0" t="n">
        <v>1</v>
      </c>
      <c r="W31" s="0" t="str">
        <f aca="false">IF(OR(AND(B31&gt;=1,B31&lt;=6),B31=10),"Vaca em lactação",IF(I31="Male","Macho",IF(E31&gt;=1,"Vaca seca",IF(I31="Youngstock","Bezerra/recria","Novilha"))))</f>
        <v>Vaca em lactação</v>
      </c>
      <c r="X31" s="0" t="str">
        <f aca="false">IF(AND(B31&gt;=1,B31&lt;=6),"Tanque",IF(B31=10,"Descarte",""))</f>
        <v>Tanque</v>
      </c>
    </row>
    <row r="32" customFormat="false" ht="15" hidden="false" customHeight="false" outlineLevel="0" collapsed="false">
      <c r="A32" s="22" t="n">
        <v>46309</v>
      </c>
      <c r="B32" s="0" t="n">
        <v>1</v>
      </c>
      <c r="C32" s="0" t="n">
        <v>5814</v>
      </c>
      <c r="D32" s="0" t="n">
        <v>65</v>
      </c>
      <c r="E32" s="0" t="n">
        <v>1</v>
      </c>
      <c r="F32" s="23" t="s">
        <v>120</v>
      </c>
      <c r="G32" s="0" t="n">
        <v>48.6</v>
      </c>
      <c r="H32" s="0" t="n">
        <v>53</v>
      </c>
      <c r="I32" s="23" t="s">
        <v>97</v>
      </c>
      <c r="J32" s="0" t="n">
        <v>65</v>
      </c>
      <c r="K32" s="0" t="n">
        <v>65</v>
      </c>
      <c r="P32" s="0" t="n">
        <v>3.44</v>
      </c>
      <c r="Q32" s="0" t="n">
        <v>3.11</v>
      </c>
      <c r="R32" s="0" t="n">
        <v>4609</v>
      </c>
      <c r="S32" s="0" t="n">
        <v>9265</v>
      </c>
      <c r="U32" s="0" t="n">
        <v>789</v>
      </c>
      <c r="V32" s="0" t="n">
        <v>1</v>
      </c>
      <c r="W32" s="0" t="str">
        <f aca="false">IF(OR(AND(B32&gt;=1,B32&lt;=6),B32=10),"Vaca em lactação",IF(I32="Male","Macho",IF(E32&gt;=1,"Vaca seca",IF(I32="Youngstock","Bezerra/recria","Novilha"))))</f>
        <v>Vaca em lactação</v>
      </c>
      <c r="X32" s="0" t="str">
        <f aca="false">IF(AND(B32&gt;=1,B32&lt;=6),"Tanque",IF(B32=10,"Descarte",""))</f>
        <v>Tanque</v>
      </c>
    </row>
    <row r="33" customFormat="false" ht="15" hidden="false" customHeight="false" outlineLevel="0" collapsed="false">
      <c r="A33" s="22" t="n">
        <v>46309</v>
      </c>
      <c r="B33" s="0" t="n">
        <v>1</v>
      </c>
      <c r="C33" s="0" t="n">
        <v>5818</v>
      </c>
      <c r="D33" s="0" t="n">
        <v>3</v>
      </c>
      <c r="E33" s="0" t="n">
        <v>1</v>
      </c>
      <c r="F33" s="23" t="s">
        <v>121</v>
      </c>
      <c r="G33" s="0" t="n">
        <v>20</v>
      </c>
      <c r="H33" s="0" t="n">
        <v>17</v>
      </c>
      <c r="I33" s="23" t="s">
        <v>94</v>
      </c>
      <c r="J33" s="0" t="n">
        <v>3</v>
      </c>
      <c r="R33" s="0" t="n">
        <v>1955</v>
      </c>
      <c r="S33" s="0" t="n">
        <v>3930</v>
      </c>
      <c r="U33" s="0" t="n">
        <v>788</v>
      </c>
      <c r="V33" s="0" t="n">
        <v>0</v>
      </c>
      <c r="W33" s="0" t="str">
        <f aca="false">IF(OR(AND(B33&gt;=1,B33&lt;=6),B33=10),"Vaca em lactação",IF(I33="Male","Macho",IF(E33&gt;=1,"Vaca seca",IF(I33="Youngstock","Bezerra/recria","Novilha"))))</f>
        <v>Vaca em lactação</v>
      </c>
      <c r="X33" s="0" t="str">
        <f aca="false">IF(AND(B33&gt;=1,B33&lt;=6),"Tanque",IF(B33=10,"Descarte",""))</f>
        <v>Tanque</v>
      </c>
    </row>
    <row r="34" customFormat="false" ht="15" hidden="false" customHeight="false" outlineLevel="0" collapsed="false">
      <c r="A34" s="22" t="n">
        <v>46309</v>
      </c>
      <c r="B34" s="0" t="n">
        <v>1</v>
      </c>
      <c r="C34" s="0" t="n">
        <v>5816</v>
      </c>
      <c r="D34" s="0" t="n">
        <v>59</v>
      </c>
      <c r="E34" s="0" t="n">
        <v>1</v>
      </c>
      <c r="F34" s="23" t="s">
        <v>120</v>
      </c>
      <c r="G34" s="0" t="n">
        <v>31.7</v>
      </c>
      <c r="H34" s="0" t="n">
        <v>29</v>
      </c>
      <c r="I34" s="23" t="s">
        <v>94</v>
      </c>
      <c r="J34" s="0" t="n">
        <v>59</v>
      </c>
      <c r="P34" s="0" t="n">
        <v>3.33</v>
      </c>
      <c r="Q34" s="0" t="n">
        <v>3.4</v>
      </c>
      <c r="R34" s="0" t="n">
        <v>2736</v>
      </c>
      <c r="S34" s="0" t="n">
        <v>5500</v>
      </c>
      <c r="U34" s="0" t="n">
        <v>789</v>
      </c>
      <c r="V34" s="0" t="n">
        <v>0</v>
      </c>
      <c r="W34" s="0" t="str">
        <f aca="false">IF(OR(AND(B34&gt;=1,B34&lt;=6),B34=10),"Vaca em lactação",IF(I34="Male","Macho",IF(E34&gt;=1,"Vaca seca",IF(I34="Youngstock","Bezerra/recria","Novilha"))))</f>
        <v>Vaca em lactação</v>
      </c>
      <c r="X34" s="0" t="str">
        <f aca="false">IF(AND(B34&gt;=1,B34&lt;=6),"Tanque",IF(B34=10,"Descarte",""))</f>
        <v>Tanque</v>
      </c>
    </row>
    <row r="35" customFormat="false" ht="15" hidden="false" customHeight="false" outlineLevel="0" collapsed="false">
      <c r="A35" s="22" t="n">
        <v>46309</v>
      </c>
      <c r="B35" s="0" t="n">
        <v>1</v>
      </c>
      <c r="C35" s="0" t="n">
        <v>5821</v>
      </c>
      <c r="D35" s="0" t="n">
        <v>100</v>
      </c>
      <c r="E35" s="0" t="n">
        <v>1</v>
      </c>
      <c r="F35" s="23" t="s">
        <v>122</v>
      </c>
      <c r="G35" s="0" t="n">
        <v>50.5</v>
      </c>
      <c r="H35" s="0" t="n">
        <v>50</v>
      </c>
      <c r="I35" s="23" t="s">
        <v>92</v>
      </c>
      <c r="J35" s="0" t="n">
        <v>65</v>
      </c>
      <c r="K35" s="0" t="n">
        <v>65</v>
      </c>
      <c r="L35" s="0" t="n">
        <v>35</v>
      </c>
      <c r="P35" s="0" t="n">
        <v>3.26</v>
      </c>
      <c r="Q35" s="0" t="n">
        <v>3.19</v>
      </c>
      <c r="R35" s="0" t="n">
        <v>4051</v>
      </c>
      <c r="S35" s="0" t="n">
        <v>8144</v>
      </c>
      <c r="T35" s="0" t="n">
        <v>43.35</v>
      </c>
      <c r="U35" s="0" t="n">
        <v>786</v>
      </c>
      <c r="V35" s="0" t="n">
        <v>1</v>
      </c>
      <c r="W35" s="0" t="str">
        <f aca="false">IF(OR(AND(B35&gt;=1,B35&lt;=6),B35=10),"Vaca em lactação",IF(I35="Male","Macho",IF(E35&gt;=1,"Vaca seca",IF(I35="Youngstock","Bezerra/recria","Novilha"))))</f>
        <v>Vaca em lactação</v>
      </c>
      <c r="X35" s="0" t="str">
        <f aca="false">IF(AND(B35&gt;=1,B35&lt;=6),"Tanque",IF(B35=10,"Descarte",""))</f>
        <v>Tanque</v>
      </c>
    </row>
    <row r="36" customFormat="false" ht="15" hidden="false" customHeight="false" outlineLevel="0" collapsed="false">
      <c r="A36" s="22" t="n">
        <v>46309</v>
      </c>
      <c r="B36" s="0" t="n">
        <v>1</v>
      </c>
      <c r="C36" s="0" t="n">
        <v>5820</v>
      </c>
      <c r="D36" s="0" t="n">
        <v>111</v>
      </c>
      <c r="E36" s="0" t="n">
        <v>1</v>
      </c>
      <c r="F36" s="23" t="s">
        <v>122</v>
      </c>
      <c r="G36" s="0" t="n">
        <v>48.4</v>
      </c>
      <c r="H36" s="0" t="n">
        <v>49</v>
      </c>
      <c r="I36" s="23" t="s">
        <v>97</v>
      </c>
      <c r="J36" s="0" t="n">
        <v>111</v>
      </c>
      <c r="K36" s="0" t="n">
        <v>65</v>
      </c>
      <c r="P36" s="0" t="n">
        <v>4.14</v>
      </c>
      <c r="Q36" s="0" t="n">
        <v>3.04</v>
      </c>
      <c r="R36" s="0" t="n">
        <v>4577</v>
      </c>
      <c r="S36" s="0" t="n">
        <v>9286</v>
      </c>
      <c r="T36" s="0" t="n">
        <v>46.3</v>
      </c>
      <c r="U36" s="0" t="n">
        <v>786</v>
      </c>
      <c r="V36" s="0" t="n">
        <v>2</v>
      </c>
      <c r="W36" s="0" t="str">
        <f aca="false">IF(OR(AND(B36&gt;=1,B36&lt;=6),B36=10),"Vaca em lactação",IF(I36="Male","Macho",IF(E36&gt;=1,"Vaca seca",IF(I36="Youngstock","Bezerra/recria","Novilha"))))</f>
        <v>Vaca em lactação</v>
      </c>
      <c r="X36" s="0" t="str">
        <f aca="false">IF(AND(B36&gt;=1,B36&lt;=6),"Tanque",IF(B36=10,"Descarte",""))</f>
        <v>Tanque</v>
      </c>
    </row>
    <row r="37" customFormat="false" ht="15" hidden="false" customHeight="false" outlineLevel="0" collapsed="false">
      <c r="A37" s="22" t="n">
        <v>46309</v>
      </c>
      <c r="B37" s="0" t="n">
        <v>1</v>
      </c>
      <c r="C37" s="0" t="n">
        <v>5792</v>
      </c>
      <c r="D37" s="0" t="n">
        <v>57</v>
      </c>
      <c r="E37" s="0" t="n">
        <v>1</v>
      </c>
      <c r="F37" s="23" t="s">
        <v>123</v>
      </c>
      <c r="G37" s="0" t="n">
        <v>47.2</v>
      </c>
      <c r="H37" s="0" t="n">
        <v>50</v>
      </c>
      <c r="I37" s="23" t="s">
        <v>94</v>
      </c>
      <c r="J37" s="0" t="n">
        <v>57</v>
      </c>
      <c r="P37" s="0" t="n">
        <v>3.65</v>
      </c>
      <c r="Q37" s="0" t="n">
        <v>2.93</v>
      </c>
      <c r="R37" s="0" t="n">
        <v>4061</v>
      </c>
      <c r="S37" s="0" t="n">
        <v>8164</v>
      </c>
      <c r="U37" s="0" t="n">
        <v>795</v>
      </c>
      <c r="V37" s="0" t="n">
        <v>0</v>
      </c>
      <c r="W37" s="0" t="str">
        <f aca="false">IF(OR(AND(B37&gt;=1,B37&lt;=6),B37=10),"Vaca em lactação",IF(I37="Male","Macho",IF(E37&gt;=1,"Vaca seca",IF(I37="Youngstock","Bezerra/recria","Novilha"))))</f>
        <v>Vaca em lactação</v>
      </c>
      <c r="X37" s="0" t="str">
        <f aca="false">IF(AND(B37&gt;=1,B37&lt;=6),"Tanque",IF(B37=10,"Descarte",""))</f>
        <v>Tanque</v>
      </c>
    </row>
    <row r="38" customFormat="false" ht="15" hidden="false" customHeight="false" outlineLevel="0" collapsed="false">
      <c r="A38" s="22" t="n">
        <v>46309</v>
      </c>
      <c r="B38" s="0" t="n">
        <v>1</v>
      </c>
      <c r="C38" s="0" t="n">
        <v>5799</v>
      </c>
      <c r="D38" s="0" t="n">
        <v>103</v>
      </c>
      <c r="E38" s="0" t="n">
        <v>1</v>
      </c>
      <c r="F38" s="23" t="s">
        <v>123</v>
      </c>
      <c r="G38" s="0" t="n">
        <v>51.9</v>
      </c>
      <c r="H38" s="0" t="n">
        <v>51</v>
      </c>
      <c r="I38" s="23" t="s">
        <v>109</v>
      </c>
      <c r="J38" s="0" t="n">
        <v>103</v>
      </c>
      <c r="K38" s="0" t="n">
        <v>68</v>
      </c>
      <c r="P38" s="0" t="n">
        <v>3.13</v>
      </c>
      <c r="Q38" s="0" t="n">
        <v>2.84</v>
      </c>
      <c r="R38" s="0" t="n">
        <v>4587</v>
      </c>
      <c r="S38" s="0" t="n">
        <v>9249</v>
      </c>
      <c r="T38" s="0" t="n">
        <v>49.75</v>
      </c>
      <c r="U38" s="0" t="n">
        <v>795</v>
      </c>
      <c r="V38" s="0" t="n">
        <v>1</v>
      </c>
      <c r="W38" s="0" t="str">
        <f aca="false">IF(OR(AND(B38&gt;=1,B38&lt;=6),B38=10),"Vaca em lactação",IF(I38="Male","Macho",IF(E38&gt;=1,"Vaca seca",IF(I38="Youngstock","Bezerra/recria","Novilha"))))</f>
        <v>Vaca em lactação</v>
      </c>
      <c r="X38" s="0" t="str">
        <f aca="false">IF(AND(B38&gt;=1,B38&lt;=6),"Tanque",IF(B38=10,"Descarte",""))</f>
        <v>Tanque</v>
      </c>
    </row>
    <row r="39" customFormat="false" ht="15" hidden="false" customHeight="false" outlineLevel="0" collapsed="false">
      <c r="A39" s="22" t="n">
        <v>46309</v>
      </c>
      <c r="B39" s="0" t="n">
        <v>1</v>
      </c>
      <c r="C39" s="0" t="n">
        <v>5805</v>
      </c>
      <c r="D39" s="0" t="n">
        <v>83</v>
      </c>
      <c r="E39" s="0" t="n">
        <v>1</v>
      </c>
      <c r="F39" s="23" t="s">
        <v>124</v>
      </c>
      <c r="G39" s="0" t="n">
        <v>53.3</v>
      </c>
      <c r="H39" s="0" t="n">
        <v>52</v>
      </c>
      <c r="I39" s="23" t="s">
        <v>97</v>
      </c>
      <c r="J39" s="0" t="n">
        <v>83</v>
      </c>
      <c r="K39" s="0" t="n">
        <v>62</v>
      </c>
      <c r="P39" s="0" t="n">
        <v>3.86</v>
      </c>
      <c r="Q39" s="0" t="n">
        <v>3.16</v>
      </c>
      <c r="R39" s="0" t="n">
        <v>4151</v>
      </c>
      <c r="S39" s="0" t="n">
        <v>8344</v>
      </c>
      <c r="U39" s="0" t="n">
        <v>793</v>
      </c>
      <c r="V39" s="0" t="n">
        <v>1</v>
      </c>
      <c r="W39" s="0" t="str">
        <f aca="false">IF(OR(AND(B39&gt;=1,B39&lt;=6),B39=10),"Vaca em lactação",IF(I39="Male","Macho",IF(E39&gt;=1,"Vaca seca",IF(I39="Youngstock","Bezerra/recria","Novilha"))))</f>
        <v>Vaca em lactação</v>
      </c>
      <c r="X39" s="0" t="str">
        <f aca="false">IF(AND(B39&gt;=1,B39&lt;=6),"Tanque",IF(B39=10,"Descarte",""))</f>
        <v>Tanque</v>
      </c>
    </row>
    <row r="40" customFormat="false" ht="15" hidden="false" customHeight="false" outlineLevel="0" collapsed="false">
      <c r="A40" s="22" t="n">
        <v>46309</v>
      </c>
      <c r="B40" s="0" t="n">
        <v>1</v>
      </c>
      <c r="C40" s="0" t="n">
        <v>5809</v>
      </c>
      <c r="D40" s="0" t="n">
        <v>65</v>
      </c>
      <c r="E40" s="0" t="n">
        <v>1</v>
      </c>
      <c r="F40" s="23" t="s">
        <v>125</v>
      </c>
      <c r="G40" s="0" t="n">
        <v>46.9</v>
      </c>
      <c r="H40" s="0" t="n">
        <v>44</v>
      </c>
      <c r="I40" s="23" t="s">
        <v>97</v>
      </c>
      <c r="J40" s="0" t="n">
        <v>65</v>
      </c>
      <c r="K40" s="0" t="n">
        <v>65</v>
      </c>
      <c r="P40" s="0" t="n">
        <v>4.48</v>
      </c>
      <c r="Q40" s="0" t="n">
        <v>2.85</v>
      </c>
      <c r="R40" s="0" t="n">
        <v>4342</v>
      </c>
      <c r="S40" s="0" t="n">
        <v>8729</v>
      </c>
      <c r="U40" s="0" t="n">
        <v>792</v>
      </c>
      <c r="V40" s="0" t="n">
        <v>1</v>
      </c>
      <c r="W40" s="0" t="str">
        <f aca="false">IF(OR(AND(B40&gt;=1,B40&lt;=6),B40=10),"Vaca em lactação",IF(I40="Male","Macho",IF(E40&gt;=1,"Vaca seca",IF(I40="Youngstock","Bezerra/recria","Novilha"))))</f>
        <v>Vaca em lactação</v>
      </c>
      <c r="X40" s="0" t="str">
        <f aca="false">IF(AND(B40&gt;=1,B40&lt;=6),"Tanque",IF(B40=10,"Descarte",""))</f>
        <v>Tanque</v>
      </c>
    </row>
    <row r="41" customFormat="false" ht="15" hidden="false" customHeight="false" outlineLevel="0" collapsed="false">
      <c r="A41" s="22" t="n">
        <v>46309</v>
      </c>
      <c r="B41" s="0" t="n">
        <v>1</v>
      </c>
      <c r="C41" s="0" t="n">
        <v>5770</v>
      </c>
      <c r="D41" s="0" t="n">
        <v>100</v>
      </c>
      <c r="E41" s="0" t="n">
        <v>1</v>
      </c>
      <c r="F41" s="23" t="s">
        <v>126</v>
      </c>
      <c r="G41" s="0" t="n">
        <v>50.3</v>
      </c>
      <c r="H41" s="0" t="n">
        <v>49</v>
      </c>
      <c r="I41" s="23" t="s">
        <v>97</v>
      </c>
      <c r="J41" s="0" t="n">
        <v>100</v>
      </c>
      <c r="K41" s="0" t="n">
        <v>65</v>
      </c>
      <c r="P41" s="0" t="n">
        <v>2.94</v>
      </c>
      <c r="Q41" s="0" t="n">
        <v>3.3</v>
      </c>
      <c r="R41" s="0" t="n">
        <v>4328</v>
      </c>
      <c r="S41" s="0" t="n">
        <v>8699</v>
      </c>
      <c r="U41" s="0" t="n">
        <v>803</v>
      </c>
      <c r="V41" s="0" t="n">
        <v>2</v>
      </c>
      <c r="W41" s="0" t="str">
        <f aca="false">IF(OR(AND(B41&gt;=1,B41&lt;=6),B41=10),"Vaca em lactação",IF(I41="Male","Macho",IF(E41&gt;=1,"Vaca seca",IF(I41="Youngstock","Bezerra/recria","Novilha"))))</f>
        <v>Vaca em lactação</v>
      </c>
      <c r="X41" s="0" t="str">
        <f aca="false">IF(AND(B41&gt;=1,B41&lt;=6),"Tanque",IF(B41=10,"Descarte",""))</f>
        <v>Tanque</v>
      </c>
    </row>
    <row r="42" customFormat="false" ht="15" hidden="false" customHeight="false" outlineLevel="0" collapsed="false">
      <c r="A42" s="22" t="n">
        <v>46309</v>
      </c>
      <c r="B42" s="0" t="n">
        <v>1</v>
      </c>
      <c r="C42" s="0" t="n">
        <v>5777</v>
      </c>
      <c r="D42" s="0" t="n">
        <v>59</v>
      </c>
      <c r="E42" s="0" t="n">
        <v>1</v>
      </c>
      <c r="F42" s="23" t="s">
        <v>127</v>
      </c>
      <c r="G42" s="0" t="n">
        <v>42.3</v>
      </c>
      <c r="H42" s="0" t="n">
        <v>39</v>
      </c>
      <c r="I42" s="23" t="s">
        <v>94</v>
      </c>
      <c r="J42" s="0" t="n">
        <v>59</v>
      </c>
      <c r="P42" s="0" t="n">
        <v>5.66</v>
      </c>
      <c r="Q42" s="0" t="n">
        <v>3.21</v>
      </c>
      <c r="R42" s="0" t="n">
        <v>3345</v>
      </c>
      <c r="S42" s="0" t="n">
        <v>6725</v>
      </c>
      <c r="U42" s="0" t="n">
        <v>801</v>
      </c>
      <c r="V42" s="0" t="n">
        <v>0</v>
      </c>
      <c r="W42" s="0" t="str">
        <f aca="false">IF(OR(AND(B42&gt;=1,B42&lt;=6),B42=10),"Vaca em lactação",IF(I42="Male","Macho",IF(E42&gt;=1,"Vaca seca",IF(I42="Youngstock","Bezerra/recria","Novilha"))))</f>
        <v>Vaca em lactação</v>
      </c>
      <c r="X42" s="0" t="str">
        <f aca="false">IF(AND(B42&gt;=1,B42&lt;=6),"Tanque",IF(B42=10,"Descarte",""))</f>
        <v>Tanque</v>
      </c>
    </row>
    <row r="43" customFormat="false" ht="15" hidden="false" customHeight="false" outlineLevel="0" collapsed="false">
      <c r="A43" s="22" t="n">
        <v>46309</v>
      </c>
      <c r="B43" s="0" t="n">
        <v>1</v>
      </c>
      <c r="C43" s="0" t="n">
        <v>5785</v>
      </c>
      <c r="D43" s="0" t="n">
        <v>25</v>
      </c>
      <c r="E43" s="0" t="n">
        <v>1</v>
      </c>
      <c r="F43" s="23" t="s">
        <v>128</v>
      </c>
      <c r="G43" s="0" t="n">
        <v>43.2</v>
      </c>
      <c r="H43" s="0" t="n">
        <v>40</v>
      </c>
      <c r="I43" s="23" t="s">
        <v>94</v>
      </c>
      <c r="J43" s="0" t="n">
        <v>25</v>
      </c>
      <c r="R43" s="0" t="n">
        <v>3547</v>
      </c>
      <c r="S43" s="0" t="n">
        <v>7130</v>
      </c>
      <c r="U43" s="0" t="n">
        <v>798</v>
      </c>
      <c r="V43" s="0" t="n">
        <v>0</v>
      </c>
      <c r="W43" s="0" t="str">
        <f aca="false">IF(OR(AND(B43&gt;=1,B43&lt;=6),B43=10),"Vaca em lactação",IF(I43="Male","Macho",IF(E43&gt;=1,"Vaca seca",IF(I43="Youngstock","Bezerra/recria","Novilha"))))</f>
        <v>Vaca em lactação</v>
      </c>
      <c r="X43" s="0" t="str">
        <f aca="false">IF(AND(B43&gt;=1,B43&lt;=6),"Tanque",IF(B43=10,"Descarte",""))</f>
        <v>Tanque</v>
      </c>
    </row>
    <row r="44" customFormat="false" ht="15" hidden="false" customHeight="false" outlineLevel="0" collapsed="false">
      <c r="A44" s="22" t="n">
        <v>46309</v>
      </c>
      <c r="B44" s="0" t="n">
        <v>1</v>
      </c>
      <c r="C44" s="0" t="n">
        <v>5788</v>
      </c>
      <c r="D44" s="0" t="n">
        <v>106</v>
      </c>
      <c r="E44" s="0" t="n">
        <v>1</v>
      </c>
      <c r="F44" s="23" t="s">
        <v>128</v>
      </c>
      <c r="G44" s="0" t="n">
        <v>46.4</v>
      </c>
      <c r="H44" s="0" t="n">
        <v>45</v>
      </c>
      <c r="I44" s="23" t="s">
        <v>97</v>
      </c>
      <c r="J44" s="0" t="n">
        <v>106</v>
      </c>
      <c r="K44" s="0" t="n">
        <v>64</v>
      </c>
      <c r="P44" s="0" t="n">
        <v>3.47</v>
      </c>
      <c r="Q44" s="0" t="n">
        <v>2.95</v>
      </c>
      <c r="R44" s="0" t="n">
        <v>4038</v>
      </c>
      <c r="S44" s="0" t="n">
        <v>8160</v>
      </c>
      <c r="T44" s="0" t="n">
        <v>45.85</v>
      </c>
      <c r="U44" s="0" t="n">
        <v>798</v>
      </c>
      <c r="V44" s="0" t="n">
        <v>2</v>
      </c>
      <c r="W44" s="0" t="str">
        <f aca="false">IF(OR(AND(B44&gt;=1,B44&lt;=6),B44=10),"Vaca em lactação",IF(I44="Male","Macho",IF(E44&gt;=1,"Vaca seca",IF(I44="Youngstock","Bezerra/recria","Novilha"))))</f>
        <v>Vaca em lactação</v>
      </c>
      <c r="X44" s="0" t="str">
        <f aca="false">IF(AND(B44&gt;=1,B44&lt;=6),"Tanque",IF(B44=10,"Descarte",""))</f>
        <v>Tanque</v>
      </c>
    </row>
    <row r="45" customFormat="false" ht="15" hidden="false" customHeight="false" outlineLevel="0" collapsed="false">
      <c r="A45" s="22" t="n">
        <v>46309</v>
      </c>
      <c r="B45" s="0" t="n">
        <v>1</v>
      </c>
      <c r="C45" s="0" t="n">
        <v>5786</v>
      </c>
      <c r="D45" s="0" t="n">
        <v>68</v>
      </c>
      <c r="E45" s="0" t="n">
        <v>1</v>
      </c>
      <c r="F45" s="23" t="s">
        <v>128</v>
      </c>
      <c r="G45" s="0" t="n">
        <v>43.5</v>
      </c>
      <c r="H45" s="0" t="n">
        <v>49</v>
      </c>
      <c r="I45" s="23" t="s">
        <v>97</v>
      </c>
      <c r="J45" s="0" t="n">
        <v>68</v>
      </c>
      <c r="K45" s="0" t="n">
        <v>68</v>
      </c>
      <c r="P45" s="0" t="n">
        <v>3.7</v>
      </c>
      <c r="Q45" s="0" t="n">
        <v>3.18</v>
      </c>
      <c r="R45" s="0" t="n">
        <v>4118</v>
      </c>
      <c r="S45" s="0" t="n">
        <v>8278</v>
      </c>
      <c r="U45" s="0" t="n">
        <v>798</v>
      </c>
      <c r="V45" s="0" t="n">
        <v>1</v>
      </c>
      <c r="W45" s="0" t="str">
        <f aca="false">IF(OR(AND(B45&gt;=1,B45&lt;=6),B45=10),"Vaca em lactação",IF(I45="Male","Macho",IF(E45&gt;=1,"Vaca seca",IF(I45="Youngstock","Bezerra/recria","Novilha"))))</f>
        <v>Vaca em lactação</v>
      </c>
      <c r="X45" s="0" t="str">
        <f aca="false">IF(AND(B45&gt;=1,B45&lt;=6),"Tanque",IF(B45=10,"Descarte",""))</f>
        <v>Tanque</v>
      </c>
    </row>
    <row r="46" customFormat="false" ht="15" hidden="false" customHeight="false" outlineLevel="0" collapsed="false">
      <c r="A46" s="22" t="n">
        <v>46309</v>
      </c>
      <c r="B46" s="0" t="n">
        <v>1</v>
      </c>
      <c r="C46" s="0" t="n">
        <v>5753</v>
      </c>
      <c r="D46" s="0" t="n">
        <v>106</v>
      </c>
      <c r="E46" s="0" t="n">
        <v>1</v>
      </c>
      <c r="F46" s="23" t="s">
        <v>129</v>
      </c>
      <c r="G46" s="0" t="n">
        <v>50.9</v>
      </c>
      <c r="H46" s="0" t="n">
        <v>50</v>
      </c>
      <c r="I46" s="23" t="s">
        <v>92</v>
      </c>
      <c r="J46" s="0" t="n">
        <v>64</v>
      </c>
      <c r="K46" s="0" t="n">
        <v>64</v>
      </c>
      <c r="L46" s="0" t="n">
        <v>42</v>
      </c>
      <c r="P46" s="0" t="n">
        <v>4.03</v>
      </c>
      <c r="Q46" s="0" t="n">
        <v>3.03</v>
      </c>
      <c r="R46" s="0" t="n">
        <v>3947</v>
      </c>
      <c r="S46" s="0" t="n">
        <v>8054</v>
      </c>
      <c r="T46" s="0" t="n">
        <v>42.15</v>
      </c>
      <c r="U46" s="0" t="n">
        <v>810</v>
      </c>
      <c r="V46" s="0" t="n">
        <v>1</v>
      </c>
      <c r="W46" s="0" t="str">
        <f aca="false">IF(OR(AND(B46&gt;=1,B46&lt;=6),B46=10),"Vaca em lactação",IF(I46="Male","Macho",IF(E46&gt;=1,"Vaca seca",IF(I46="Youngstock","Bezerra/recria","Novilha"))))</f>
        <v>Vaca em lactação</v>
      </c>
      <c r="X46" s="0" t="str">
        <f aca="false">IF(AND(B46&gt;=1,B46&lt;=6),"Tanque",IF(B46=10,"Descarte",""))</f>
        <v>Tanque</v>
      </c>
    </row>
    <row r="47" customFormat="false" ht="15" hidden="false" customHeight="false" outlineLevel="0" collapsed="false">
      <c r="A47" s="22" t="n">
        <v>46309</v>
      </c>
      <c r="B47" s="0" t="n">
        <v>1</v>
      </c>
      <c r="C47" s="0" t="n">
        <v>5756</v>
      </c>
      <c r="D47" s="0" t="n">
        <v>106</v>
      </c>
      <c r="E47" s="0" t="n">
        <v>1</v>
      </c>
      <c r="F47" s="23" t="s">
        <v>130</v>
      </c>
      <c r="G47" s="0" t="n">
        <v>49</v>
      </c>
      <c r="H47" s="0" t="n">
        <v>49</v>
      </c>
      <c r="I47" s="23" t="s">
        <v>97</v>
      </c>
      <c r="J47" s="0" t="n">
        <v>106</v>
      </c>
      <c r="K47" s="0" t="n">
        <v>64</v>
      </c>
      <c r="P47" s="0" t="n">
        <v>2.98</v>
      </c>
      <c r="Q47" s="0" t="n">
        <v>3.15</v>
      </c>
      <c r="R47" s="0" t="n">
        <v>4041</v>
      </c>
      <c r="S47" s="0" t="n">
        <v>8224</v>
      </c>
      <c r="T47" s="0" t="n">
        <v>46.6</v>
      </c>
      <c r="U47" s="0" t="n">
        <v>809</v>
      </c>
      <c r="V47" s="0" t="n">
        <v>2</v>
      </c>
      <c r="W47" s="0" t="str">
        <f aca="false">IF(OR(AND(B47&gt;=1,B47&lt;=6),B47=10),"Vaca em lactação",IF(I47="Male","Macho",IF(E47&gt;=1,"Vaca seca",IF(I47="Youngstock","Bezerra/recria","Novilha"))))</f>
        <v>Vaca em lactação</v>
      </c>
      <c r="X47" s="0" t="str">
        <f aca="false">IF(AND(B47&gt;=1,B47&lt;=6),"Tanque",IF(B47=10,"Descarte",""))</f>
        <v>Tanque</v>
      </c>
    </row>
    <row r="48" customFormat="false" ht="15" hidden="false" customHeight="false" outlineLevel="0" collapsed="false">
      <c r="A48" s="22" t="n">
        <v>46309</v>
      </c>
      <c r="B48" s="0" t="n">
        <v>1</v>
      </c>
      <c r="C48" s="0" t="n">
        <v>5761</v>
      </c>
      <c r="D48" s="0" t="n">
        <v>42</v>
      </c>
      <c r="E48" s="0" t="n">
        <v>1</v>
      </c>
      <c r="F48" s="23" t="s">
        <v>131</v>
      </c>
      <c r="G48" s="0" t="n">
        <v>45.1</v>
      </c>
      <c r="H48" s="0" t="n">
        <v>44</v>
      </c>
      <c r="I48" s="23" t="s">
        <v>94</v>
      </c>
      <c r="J48" s="0" t="n">
        <v>42</v>
      </c>
      <c r="P48" s="0" t="n">
        <v>3.81</v>
      </c>
      <c r="Q48" s="0" t="n">
        <v>3.57</v>
      </c>
      <c r="R48" s="0" t="n">
        <v>3502</v>
      </c>
      <c r="S48" s="0" t="n">
        <v>7040</v>
      </c>
      <c r="U48" s="0" t="n">
        <v>807</v>
      </c>
      <c r="V48" s="0" t="n">
        <v>0</v>
      </c>
      <c r="W48" s="0" t="str">
        <f aca="false">IF(OR(AND(B48&gt;=1,B48&lt;=6),B48=10),"Vaca em lactação",IF(I48="Male","Macho",IF(E48&gt;=1,"Vaca seca",IF(I48="Youngstock","Bezerra/recria","Novilha"))))</f>
        <v>Vaca em lactação</v>
      </c>
      <c r="X48" s="0" t="str">
        <f aca="false">IF(AND(B48&gt;=1,B48&lt;=6),"Tanque",IF(B48=10,"Descarte",""))</f>
        <v>Tanque</v>
      </c>
    </row>
    <row r="49" customFormat="false" ht="15" hidden="false" customHeight="false" outlineLevel="0" collapsed="false">
      <c r="A49" s="22" t="n">
        <v>46309</v>
      </c>
      <c r="B49" s="0" t="n">
        <v>1</v>
      </c>
      <c r="C49" s="0" t="n">
        <v>5878</v>
      </c>
      <c r="D49" s="0" t="n">
        <v>64</v>
      </c>
      <c r="E49" s="0" t="n">
        <v>1</v>
      </c>
      <c r="F49" s="23" t="s">
        <v>132</v>
      </c>
      <c r="G49" s="0" t="n">
        <v>48.4</v>
      </c>
      <c r="H49" s="0" t="n">
        <v>51</v>
      </c>
      <c r="I49" s="23" t="s">
        <v>94</v>
      </c>
      <c r="J49" s="0" t="n">
        <v>64</v>
      </c>
      <c r="P49" s="0" t="n">
        <v>3.73</v>
      </c>
      <c r="Q49" s="0" t="n">
        <v>3.29</v>
      </c>
      <c r="R49" s="0" t="n">
        <v>4355</v>
      </c>
      <c r="S49" s="0" t="n">
        <v>8754</v>
      </c>
      <c r="U49" s="0" t="n">
        <v>762</v>
      </c>
      <c r="V49" s="0" t="n">
        <v>0</v>
      </c>
      <c r="W49" s="0" t="str">
        <f aca="false">IF(OR(AND(B49&gt;=1,B49&lt;=6),B49=10),"Vaca em lactação",IF(I49="Male","Macho",IF(E49&gt;=1,"Vaca seca",IF(I49="Youngstock","Bezerra/recria","Novilha"))))</f>
        <v>Vaca em lactação</v>
      </c>
      <c r="X49" s="0" t="str">
        <f aca="false">IF(AND(B49&gt;=1,B49&lt;=6),"Tanque",IF(B49=10,"Descarte",""))</f>
        <v>Tanque</v>
      </c>
    </row>
    <row r="50" customFormat="false" ht="15" hidden="false" customHeight="false" outlineLevel="0" collapsed="false">
      <c r="A50" s="22" t="n">
        <v>46309</v>
      </c>
      <c r="B50" s="0" t="n">
        <v>1</v>
      </c>
      <c r="C50" s="0" t="n">
        <v>5876</v>
      </c>
      <c r="D50" s="0" t="n">
        <v>106</v>
      </c>
      <c r="E50" s="0" t="n">
        <v>1</v>
      </c>
      <c r="F50" s="23" t="s">
        <v>133</v>
      </c>
      <c r="G50" s="0" t="n">
        <v>60.5</v>
      </c>
      <c r="H50" s="0" t="n">
        <v>61</v>
      </c>
      <c r="I50" s="23" t="s">
        <v>92</v>
      </c>
      <c r="J50" s="0" t="n">
        <v>64</v>
      </c>
      <c r="K50" s="0" t="n">
        <v>64</v>
      </c>
      <c r="L50" s="0" t="n">
        <v>42</v>
      </c>
      <c r="P50" s="0" t="n">
        <v>2.99</v>
      </c>
      <c r="Q50" s="0" t="n">
        <v>3.12</v>
      </c>
      <c r="R50" s="0" t="n">
        <v>4523</v>
      </c>
      <c r="S50" s="0" t="n">
        <v>9285</v>
      </c>
      <c r="T50" s="0" t="n">
        <v>54</v>
      </c>
      <c r="U50" s="0" t="n">
        <v>763</v>
      </c>
      <c r="V50" s="0" t="n">
        <v>1</v>
      </c>
      <c r="W50" s="0" t="str">
        <f aca="false">IF(OR(AND(B50&gt;=1,B50&lt;=6),B50=10),"Vaca em lactação",IF(I50="Male","Macho",IF(E50&gt;=1,"Vaca seca",IF(I50="Youngstock","Bezerra/recria","Novilha"))))</f>
        <v>Vaca em lactação</v>
      </c>
      <c r="X50" s="0" t="str">
        <f aca="false">IF(AND(B50&gt;=1,B50&lt;=6),"Tanque",IF(B50=10,"Descarte",""))</f>
        <v>Tanque</v>
      </c>
    </row>
    <row r="51" customFormat="false" ht="15" hidden="false" customHeight="false" outlineLevel="0" collapsed="false">
      <c r="A51" s="22" t="n">
        <v>46309</v>
      </c>
      <c r="B51" s="0" t="n">
        <v>1</v>
      </c>
      <c r="C51" s="0" t="n">
        <v>5875</v>
      </c>
      <c r="D51" s="0" t="n">
        <v>78</v>
      </c>
      <c r="E51" s="0" t="n">
        <v>1</v>
      </c>
      <c r="F51" s="23" t="s">
        <v>133</v>
      </c>
      <c r="G51" s="0" t="n">
        <v>48.1</v>
      </c>
      <c r="H51" s="0" t="n">
        <v>51</v>
      </c>
      <c r="I51" s="23" t="s">
        <v>97</v>
      </c>
      <c r="J51" s="0" t="n">
        <v>78</v>
      </c>
      <c r="K51" s="0" t="n">
        <v>64</v>
      </c>
      <c r="P51" s="0" t="n">
        <v>3.51</v>
      </c>
      <c r="Q51" s="0" t="n">
        <v>3.29</v>
      </c>
      <c r="R51" s="0" t="n">
        <v>4151</v>
      </c>
      <c r="S51" s="0" t="n">
        <v>8345</v>
      </c>
      <c r="U51" s="0" t="n">
        <v>763</v>
      </c>
      <c r="V51" s="0" t="n">
        <v>1</v>
      </c>
      <c r="W51" s="0" t="str">
        <f aca="false">IF(OR(AND(B51&gt;=1,B51&lt;=6),B51=10),"Vaca em lactação",IF(I51="Male","Macho",IF(E51&gt;=1,"Vaca seca",IF(I51="Youngstock","Bezerra/recria","Novilha"))))</f>
        <v>Vaca em lactação</v>
      </c>
      <c r="X51" s="0" t="str">
        <f aca="false">IF(AND(B51&gt;=1,B51&lt;=6),"Tanque",IF(B51=10,"Descarte",""))</f>
        <v>Tanque</v>
      </c>
    </row>
    <row r="52" customFormat="false" ht="15" hidden="false" customHeight="false" outlineLevel="0" collapsed="false">
      <c r="A52" s="22" t="n">
        <v>46309</v>
      </c>
      <c r="B52" s="0" t="n">
        <v>1</v>
      </c>
      <c r="C52" s="0" t="n">
        <v>5881</v>
      </c>
      <c r="D52" s="0" t="n">
        <v>75</v>
      </c>
      <c r="E52" s="0" t="n">
        <v>1</v>
      </c>
      <c r="F52" s="23" t="s">
        <v>134</v>
      </c>
      <c r="G52" s="0" t="n">
        <v>42.1</v>
      </c>
      <c r="H52" s="0" t="n">
        <v>49</v>
      </c>
      <c r="I52" s="23" t="s">
        <v>97</v>
      </c>
      <c r="J52" s="0" t="n">
        <v>75</v>
      </c>
      <c r="K52" s="0" t="n">
        <v>75</v>
      </c>
      <c r="P52" s="0" t="n">
        <v>3.9</v>
      </c>
      <c r="Q52" s="0" t="n">
        <v>3.16</v>
      </c>
      <c r="R52" s="0" t="n">
        <v>4381</v>
      </c>
      <c r="S52" s="0" t="n">
        <v>8806</v>
      </c>
      <c r="U52" s="0" t="n">
        <v>759</v>
      </c>
      <c r="V52" s="0" t="n">
        <v>1</v>
      </c>
      <c r="W52" s="0" t="str">
        <f aca="false">IF(OR(AND(B52&gt;=1,B52&lt;=6),B52=10),"Vaca em lactação",IF(I52="Male","Macho",IF(E52&gt;=1,"Vaca seca",IF(I52="Youngstock","Bezerra/recria","Novilha"))))</f>
        <v>Vaca em lactação</v>
      </c>
      <c r="X52" s="0" t="str">
        <f aca="false">IF(AND(B52&gt;=1,B52&lt;=6),"Tanque",IF(B52=10,"Descarte",""))</f>
        <v>Tanque</v>
      </c>
    </row>
    <row r="53" customFormat="false" ht="15" hidden="false" customHeight="false" outlineLevel="0" collapsed="false">
      <c r="A53" s="22" t="n">
        <v>46309</v>
      </c>
      <c r="B53" s="0" t="n">
        <v>1</v>
      </c>
      <c r="C53" s="0" t="n">
        <v>5886</v>
      </c>
      <c r="D53" s="0" t="n">
        <v>108</v>
      </c>
      <c r="E53" s="0" t="n">
        <v>1</v>
      </c>
      <c r="F53" s="23" t="s">
        <v>135</v>
      </c>
      <c r="G53" s="0" t="n">
        <v>49.1</v>
      </c>
      <c r="H53" s="0" t="n">
        <v>52</v>
      </c>
      <c r="I53" s="23" t="s">
        <v>92</v>
      </c>
      <c r="J53" s="0" t="n">
        <v>66</v>
      </c>
      <c r="K53" s="0" t="n">
        <v>66</v>
      </c>
      <c r="L53" s="0" t="n">
        <v>42</v>
      </c>
      <c r="P53" s="0" t="n">
        <v>2.88</v>
      </c>
      <c r="Q53" s="0" t="n">
        <v>3.18</v>
      </c>
      <c r="R53" s="0" t="n">
        <v>4803</v>
      </c>
      <c r="S53" s="0" t="n">
        <v>9744</v>
      </c>
      <c r="T53" s="0" t="n">
        <v>51.5</v>
      </c>
      <c r="U53" s="0" t="n">
        <v>758</v>
      </c>
      <c r="V53" s="0" t="n">
        <v>1</v>
      </c>
      <c r="W53" s="0" t="str">
        <f aca="false">IF(OR(AND(B53&gt;=1,B53&lt;=6),B53=10),"Vaca em lactação",IF(I53="Male","Macho",IF(E53&gt;=1,"Vaca seca",IF(I53="Youngstock","Bezerra/recria","Novilha"))))</f>
        <v>Vaca em lactação</v>
      </c>
      <c r="X53" s="0" t="str">
        <f aca="false">IF(AND(B53&gt;=1,B53&lt;=6),"Tanque",IF(B53=10,"Descarte",""))</f>
        <v>Tanque</v>
      </c>
    </row>
    <row r="54" customFormat="false" ht="15" hidden="false" customHeight="false" outlineLevel="0" collapsed="false">
      <c r="A54" s="22" t="n">
        <v>46309</v>
      </c>
      <c r="B54" s="0" t="n">
        <v>1</v>
      </c>
      <c r="C54" s="0" t="n">
        <v>5885</v>
      </c>
      <c r="D54" s="0" t="n">
        <v>90</v>
      </c>
      <c r="E54" s="0" t="n">
        <v>1</v>
      </c>
      <c r="F54" s="23" t="s">
        <v>135</v>
      </c>
      <c r="G54" s="0" t="n">
        <v>33.3</v>
      </c>
      <c r="H54" s="0" t="n">
        <v>34</v>
      </c>
      <c r="I54" s="23" t="s">
        <v>97</v>
      </c>
      <c r="J54" s="0" t="n">
        <v>90</v>
      </c>
      <c r="K54" s="0" t="n">
        <v>69</v>
      </c>
      <c r="P54" s="0" t="n">
        <v>3.62</v>
      </c>
      <c r="Q54" s="0" t="n">
        <v>3</v>
      </c>
      <c r="R54" s="0" t="n">
        <v>3180</v>
      </c>
      <c r="S54" s="0" t="n">
        <v>6393</v>
      </c>
      <c r="U54" s="0" t="n">
        <v>758</v>
      </c>
      <c r="V54" s="0" t="n">
        <v>1</v>
      </c>
      <c r="W54" s="0" t="str">
        <f aca="false">IF(OR(AND(B54&gt;=1,B54&lt;=6),B54=10),"Vaca em lactação",IF(I54="Male","Macho",IF(E54&gt;=1,"Vaca seca",IF(I54="Youngstock","Bezerra/recria","Novilha"))))</f>
        <v>Vaca em lactação</v>
      </c>
      <c r="X54" s="0" t="str">
        <f aca="false">IF(AND(B54&gt;=1,B54&lt;=6),"Tanque",IF(B54=10,"Descarte",""))</f>
        <v>Tanque</v>
      </c>
    </row>
    <row r="55" customFormat="false" ht="15" hidden="false" customHeight="false" outlineLevel="0" collapsed="false">
      <c r="A55" s="22" t="n">
        <v>46309</v>
      </c>
      <c r="B55" s="0" t="n">
        <v>1</v>
      </c>
      <c r="C55" s="0" t="n">
        <v>5887</v>
      </c>
      <c r="D55" s="0" t="n">
        <v>22</v>
      </c>
      <c r="E55" s="0" t="n">
        <v>1</v>
      </c>
      <c r="F55" s="23" t="s">
        <v>136</v>
      </c>
      <c r="G55" s="0" t="n">
        <v>36.6</v>
      </c>
      <c r="H55" s="0" t="n">
        <v>35</v>
      </c>
      <c r="I55" s="23" t="s">
        <v>94</v>
      </c>
      <c r="J55" s="0" t="n">
        <v>22</v>
      </c>
      <c r="R55" s="0" t="n">
        <v>2784</v>
      </c>
      <c r="S55" s="0" t="n">
        <v>5596</v>
      </c>
      <c r="U55" s="0" t="n">
        <v>757</v>
      </c>
      <c r="V55" s="0" t="n">
        <v>0</v>
      </c>
      <c r="W55" s="0" t="str">
        <f aca="false">IF(OR(AND(B55&gt;=1,B55&lt;=6),B55=10),"Vaca em lactação",IF(I55="Male","Macho",IF(E55&gt;=1,"Vaca seca",IF(I55="Youngstock","Bezerra/recria","Novilha"))))</f>
        <v>Vaca em lactação</v>
      </c>
      <c r="X55" s="0" t="str">
        <f aca="false">IF(AND(B55&gt;=1,B55&lt;=6),"Tanque",IF(B55=10,"Descarte",""))</f>
        <v>Tanque</v>
      </c>
    </row>
    <row r="56" customFormat="false" ht="15" hidden="false" customHeight="false" outlineLevel="0" collapsed="false">
      <c r="A56" s="22" t="n">
        <v>46309</v>
      </c>
      <c r="B56" s="0" t="n">
        <v>1</v>
      </c>
      <c r="C56" s="0" t="n">
        <v>5889</v>
      </c>
      <c r="D56" s="0" t="n">
        <v>13</v>
      </c>
      <c r="E56" s="0" t="n">
        <v>1</v>
      </c>
      <c r="F56" s="23" t="s">
        <v>136</v>
      </c>
      <c r="G56" s="0" t="n">
        <v>18.1</v>
      </c>
      <c r="H56" s="0" t="n">
        <v>21</v>
      </c>
      <c r="I56" s="23" t="s">
        <v>94</v>
      </c>
      <c r="J56" s="0" t="n">
        <v>13</v>
      </c>
      <c r="R56" s="0" t="n">
        <v>2305</v>
      </c>
      <c r="S56" s="0" t="n">
        <v>4634</v>
      </c>
      <c r="U56" s="0" t="n">
        <v>757</v>
      </c>
      <c r="V56" s="0" t="n">
        <v>0</v>
      </c>
      <c r="W56" s="0" t="str">
        <f aca="false">IF(OR(AND(B56&gt;=1,B56&lt;=6),B56=10),"Vaca em lactação",IF(I56="Male","Macho",IF(E56&gt;=1,"Vaca seca",IF(I56="Youngstock","Bezerra/recria","Novilha"))))</f>
        <v>Vaca em lactação</v>
      </c>
      <c r="X56" s="0" t="str">
        <f aca="false">IF(AND(B56&gt;=1,B56&lt;=6),"Tanque",IF(B56=10,"Descarte",""))</f>
        <v>Tanque</v>
      </c>
    </row>
    <row r="57" customFormat="false" ht="15" hidden="false" customHeight="false" outlineLevel="0" collapsed="false">
      <c r="A57" s="22" t="n">
        <v>46309</v>
      </c>
      <c r="B57" s="0" t="n">
        <v>1</v>
      </c>
      <c r="C57" s="0" t="n">
        <v>5891</v>
      </c>
      <c r="D57" s="0" t="n">
        <v>26</v>
      </c>
      <c r="E57" s="0" t="n">
        <v>1</v>
      </c>
      <c r="F57" s="23" t="s">
        <v>137</v>
      </c>
      <c r="G57" s="0" t="n">
        <v>47.3</v>
      </c>
      <c r="H57" s="0" t="n">
        <v>44</v>
      </c>
      <c r="I57" s="23" t="s">
        <v>94</v>
      </c>
      <c r="J57" s="0" t="n">
        <v>26</v>
      </c>
      <c r="R57" s="0" t="n">
        <v>3339</v>
      </c>
      <c r="S57" s="0" t="n">
        <v>6712</v>
      </c>
      <c r="U57" s="0" t="n">
        <v>756</v>
      </c>
      <c r="V57" s="0" t="n">
        <v>0</v>
      </c>
      <c r="W57" s="0" t="str">
        <f aca="false">IF(OR(AND(B57&gt;=1,B57&lt;=6),B57=10),"Vaca em lactação",IF(I57="Male","Macho",IF(E57&gt;=1,"Vaca seca",IF(I57="Youngstock","Bezerra/recria","Novilha"))))</f>
        <v>Vaca em lactação</v>
      </c>
      <c r="X57" s="0" t="str">
        <f aca="false">IF(AND(B57&gt;=1,B57&lt;=6),"Tanque",IF(B57=10,"Descarte",""))</f>
        <v>Tanque</v>
      </c>
    </row>
    <row r="58" customFormat="false" ht="15" hidden="false" customHeight="false" outlineLevel="0" collapsed="false">
      <c r="A58" s="22" t="n">
        <v>46309</v>
      </c>
      <c r="B58" s="0" t="n">
        <v>1</v>
      </c>
      <c r="C58" s="0" t="n">
        <v>5890</v>
      </c>
      <c r="D58" s="0" t="n">
        <v>73</v>
      </c>
      <c r="E58" s="0" t="n">
        <v>1</v>
      </c>
      <c r="F58" s="23" t="s">
        <v>137</v>
      </c>
      <c r="G58" s="0" t="n">
        <v>46.8</v>
      </c>
      <c r="H58" s="0" t="n">
        <v>46</v>
      </c>
      <c r="I58" s="23" t="s">
        <v>97</v>
      </c>
      <c r="J58" s="0" t="n">
        <v>73</v>
      </c>
      <c r="K58" s="0" t="n">
        <v>66</v>
      </c>
      <c r="P58" s="0" t="n">
        <v>3.35</v>
      </c>
      <c r="Q58" s="0" t="n">
        <v>3.14</v>
      </c>
      <c r="R58" s="0" t="n">
        <v>4175</v>
      </c>
      <c r="S58" s="0" t="n">
        <v>8394</v>
      </c>
      <c r="U58" s="0" t="n">
        <v>756</v>
      </c>
      <c r="V58" s="0" t="n">
        <v>1</v>
      </c>
      <c r="W58" s="0" t="str">
        <f aca="false">IF(OR(AND(B58&gt;=1,B58&lt;=6),B58=10),"Vaca em lactação",IF(I58="Male","Macho",IF(E58&gt;=1,"Vaca seca",IF(I58="Youngstock","Bezerra/recria","Novilha"))))</f>
        <v>Vaca em lactação</v>
      </c>
      <c r="X58" s="0" t="str">
        <f aca="false">IF(AND(B58&gt;=1,B58&lt;=6),"Tanque",IF(B58=10,"Descarte",""))</f>
        <v>Tanque</v>
      </c>
    </row>
    <row r="59" customFormat="false" ht="15" hidden="false" customHeight="false" outlineLevel="0" collapsed="false">
      <c r="A59" s="22" t="n">
        <v>46309</v>
      </c>
      <c r="B59" s="0" t="n">
        <v>1</v>
      </c>
      <c r="C59" s="0" t="n">
        <v>5897</v>
      </c>
      <c r="D59" s="0" t="n">
        <v>105</v>
      </c>
      <c r="E59" s="0" t="n">
        <v>1</v>
      </c>
      <c r="F59" s="23" t="s">
        <v>137</v>
      </c>
      <c r="G59" s="0" t="n">
        <v>50.2</v>
      </c>
      <c r="H59" s="0" t="n">
        <v>47</v>
      </c>
      <c r="I59" s="23" t="s">
        <v>109</v>
      </c>
      <c r="J59" s="0" t="n">
        <v>105</v>
      </c>
      <c r="K59" s="0" t="n">
        <v>63</v>
      </c>
      <c r="P59" s="0" t="n">
        <v>4.34</v>
      </c>
      <c r="Q59" s="0" t="n">
        <v>2.87</v>
      </c>
      <c r="R59" s="0" t="n">
        <v>4130</v>
      </c>
      <c r="S59" s="0" t="n">
        <v>8355</v>
      </c>
      <c r="T59" s="0" t="n">
        <v>47.35</v>
      </c>
      <c r="U59" s="0" t="n">
        <v>756</v>
      </c>
      <c r="V59" s="0" t="n">
        <v>1</v>
      </c>
      <c r="W59" s="0" t="str">
        <f aca="false">IF(OR(AND(B59&gt;=1,B59&lt;=6),B59=10),"Vaca em lactação",IF(I59="Male","Macho",IF(E59&gt;=1,"Vaca seca",IF(I59="Youngstock","Bezerra/recria","Novilha"))))</f>
        <v>Vaca em lactação</v>
      </c>
      <c r="X59" s="0" t="str">
        <f aca="false">IF(AND(B59&gt;=1,B59&lt;=6),"Tanque",IF(B59=10,"Descarte",""))</f>
        <v>Tanque</v>
      </c>
    </row>
    <row r="60" customFormat="false" ht="15" hidden="false" customHeight="false" outlineLevel="0" collapsed="false">
      <c r="A60" s="22" t="n">
        <v>46309</v>
      </c>
      <c r="B60" s="0" t="n">
        <v>1</v>
      </c>
      <c r="C60" s="0" t="n">
        <v>5894</v>
      </c>
      <c r="D60" s="0" t="n">
        <v>56</v>
      </c>
      <c r="E60" s="0" t="n">
        <v>1</v>
      </c>
      <c r="F60" s="23" t="s">
        <v>137</v>
      </c>
      <c r="G60" s="0" t="n">
        <v>51</v>
      </c>
      <c r="H60" s="0" t="n">
        <v>49</v>
      </c>
      <c r="I60" s="23" t="s">
        <v>94</v>
      </c>
      <c r="J60" s="0" t="n">
        <v>56</v>
      </c>
      <c r="P60" s="0" t="n">
        <v>5.03</v>
      </c>
      <c r="Q60" s="0" t="n">
        <v>3.23</v>
      </c>
      <c r="R60" s="0" t="n">
        <v>3597</v>
      </c>
      <c r="S60" s="0" t="n">
        <v>7231</v>
      </c>
      <c r="U60" s="0" t="n">
        <v>756</v>
      </c>
      <c r="V60" s="0" t="n">
        <v>0</v>
      </c>
      <c r="W60" s="0" t="str">
        <f aca="false">IF(OR(AND(B60&gt;=1,B60&lt;=6),B60=10),"Vaca em lactação",IF(I60="Male","Macho",IF(E60&gt;=1,"Vaca seca",IF(I60="Youngstock","Bezerra/recria","Novilha"))))</f>
        <v>Vaca em lactação</v>
      </c>
      <c r="X60" s="0" t="str">
        <f aca="false">IF(AND(B60&gt;=1,B60&lt;=6),"Tanque",IF(B60=10,"Descarte",""))</f>
        <v>Tanque</v>
      </c>
    </row>
    <row r="61" customFormat="false" ht="15" hidden="false" customHeight="false" outlineLevel="0" collapsed="false">
      <c r="A61" s="22" t="n">
        <v>46309</v>
      </c>
      <c r="B61" s="0" t="n">
        <v>1</v>
      </c>
      <c r="C61" s="0" t="n">
        <v>5893</v>
      </c>
      <c r="D61" s="0" t="n">
        <v>77</v>
      </c>
      <c r="E61" s="0" t="n">
        <v>1</v>
      </c>
      <c r="F61" s="23" t="s">
        <v>137</v>
      </c>
      <c r="G61" s="0" t="n">
        <v>51.5</v>
      </c>
      <c r="H61" s="0" t="n">
        <v>51</v>
      </c>
      <c r="I61" s="23" t="s">
        <v>97</v>
      </c>
      <c r="J61" s="0" t="n">
        <v>77</v>
      </c>
      <c r="K61" s="0" t="n">
        <v>63</v>
      </c>
      <c r="P61" s="0" t="n">
        <v>3.95</v>
      </c>
      <c r="Q61" s="0" t="n">
        <v>2.85</v>
      </c>
      <c r="R61" s="0" t="n">
        <v>4384</v>
      </c>
      <c r="S61" s="0" t="n">
        <v>8813</v>
      </c>
      <c r="U61" s="0" t="n">
        <v>756</v>
      </c>
      <c r="V61" s="0" t="n">
        <v>1</v>
      </c>
      <c r="W61" s="0" t="str">
        <f aca="false">IF(OR(AND(B61&gt;=1,B61&lt;=6),B61=10),"Vaca em lactação",IF(I61="Male","Macho",IF(E61&gt;=1,"Vaca seca",IF(I61="Youngstock","Bezerra/recria","Novilha"))))</f>
        <v>Vaca em lactação</v>
      </c>
      <c r="X61" s="0" t="str">
        <f aca="false">IF(AND(B61&gt;=1,B61&lt;=6),"Tanque",IF(B61=10,"Descarte",""))</f>
        <v>Tanque</v>
      </c>
    </row>
    <row r="62" customFormat="false" ht="15" hidden="false" customHeight="false" outlineLevel="0" collapsed="false">
      <c r="A62" s="22" t="n">
        <v>46309</v>
      </c>
      <c r="B62" s="0" t="n">
        <v>1</v>
      </c>
      <c r="C62" s="0" t="n">
        <v>5868</v>
      </c>
      <c r="D62" s="0" t="n">
        <v>108</v>
      </c>
      <c r="E62" s="0" t="n">
        <v>1</v>
      </c>
      <c r="F62" s="23" t="s">
        <v>138</v>
      </c>
      <c r="G62" s="0" t="n">
        <v>42.3</v>
      </c>
      <c r="H62" s="0" t="n">
        <v>41</v>
      </c>
      <c r="I62" s="23" t="s">
        <v>92</v>
      </c>
      <c r="J62" s="0" t="n">
        <v>66</v>
      </c>
      <c r="K62" s="0" t="n">
        <v>66</v>
      </c>
      <c r="L62" s="0" t="n">
        <v>42</v>
      </c>
      <c r="P62" s="0" t="n">
        <v>2.84</v>
      </c>
      <c r="Q62" s="0" t="n">
        <v>3.05</v>
      </c>
      <c r="R62" s="0" t="n">
        <v>3478</v>
      </c>
      <c r="S62" s="0" t="n">
        <v>7112</v>
      </c>
      <c r="T62" s="0" t="n">
        <v>38.75</v>
      </c>
      <c r="U62" s="0" t="n">
        <v>766</v>
      </c>
      <c r="V62" s="0" t="n">
        <v>1</v>
      </c>
      <c r="W62" s="0" t="str">
        <f aca="false">IF(OR(AND(B62&gt;=1,B62&lt;=6),B62=10),"Vaca em lactação",IF(I62="Male","Macho",IF(E62&gt;=1,"Vaca seca",IF(I62="Youngstock","Bezerra/recria","Novilha"))))</f>
        <v>Vaca em lactação</v>
      </c>
      <c r="X62" s="0" t="str">
        <f aca="false">IF(AND(B62&gt;=1,B62&lt;=6),"Tanque",IF(B62=10,"Descarte",""))</f>
        <v>Tanque</v>
      </c>
    </row>
    <row r="63" customFormat="false" ht="15" hidden="false" customHeight="false" outlineLevel="0" collapsed="false">
      <c r="A63" s="22" t="n">
        <v>46309</v>
      </c>
      <c r="B63" s="0" t="n">
        <v>1</v>
      </c>
      <c r="C63" s="0" t="n">
        <v>5866</v>
      </c>
      <c r="D63" s="0" t="n">
        <v>38</v>
      </c>
      <c r="E63" s="0" t="n">
        <v>1</v>
      </c>
      <c r="F63" s="23" t="s">
        <v>138</v>
      </c>
      <c r="G63" s="0" t="n">
        <v>50</v>
      </c>
      <c r="H63" s="0" t="n">
        <v>47</v>
      </c>
      <c r="I63" s="23" t="s">
        <v>94</v>
      </c>
      <c r="J63" s="0" t="n">
        <v>38</v>
      </c>
      <c r="P63" s="0" t="n">
        <v>4.71</v>
      </c>
      <c r="Q63" s="0" t="n">
        <v>3.2</v>
      </c>
      <c r="R63" s="0" t="n">
        <v>4287</v>
      </c>
      <c r="S63" s="0" t="n">
        <v>8617</v>
      </c>
      <c r="U63" s="0" t="n">
        <v>766</v>
      </c>
      <c r="V63" s="0" t="n">
        <v>0</v>
      </c>
      <c r="W63" s="0" t="str">
        <f aca="false">IF(OR(AND(B63&gt;=1,B63&lt;=6),B63=10),"Vaca em lactação",IF(I63="Male","Macho",IF(E63&gt;=1,"Vaca seca",IF(I63="Youngstock","Bezerra/recria","Novilha"))))</f>
        <v>Vaca em lactação</v>
      </c>
      <c r="X63" s="0" t="str">
        <f aca="false">IF(AND(B63&gt;=1,B63&lt;=6),"Tanque",IF(B63=10,"Descarte",""))</f>
        <v>Tanque</v>
      </c>
    </row>
    <row r="64" customFormat="false" ht="15" hidden="false" customHeight="false" outlineLevel="0" collapsed="false">
      <c r="A64" s="22" t="n">
        <v>46309</v>
      </c>
      <c r="B64" s="0" t="n">
        <v>1</v>
      </c>
      <c r="C64" s="0" t="n">
        <v>5869</v>
      </c>
      <c r="D64" s="0" t="n">
        <v>31</v>
      </c>
      <c r="E64" s="0" t="n">
        <v>1</v>
      </c>
      <c r="F64" s="23" t="s">
        <v>138</v>
      </c>
      <c r="G64" s="0" t="n">
        <v>36.8</v>
      </c>
      <c r="H64" s="0" t="n">
        <v>31</v>
      </c>
      <c r="I64" s="23" t="s">
        <v>94</v>
      </c>
      <c r="J64" s="0" t="n">
        <v>31</v>
      </c>
      <c r="P64" s="0" t="n">
        <v>3.3</v>
      </c>
      <c r="Q64" s="0" t="n">
        <v>4.71</v>
      </c>
      <c r="R64" s="0" t="n">
        <v>1723</v>
      </c>
      <c r="S64" s="0" t="n">
        <v>3465</v>
      </c>
      <c r="U64" s="0" t="n">
        <v>766</v>
      </c>
      <c r="V64" s="0" t="n">
        <v>0</v>
      </c>
      <c r="W64" s="0" t="str">
        <f aca="false">IF(OR(AND(B64&gt;=1,B64&lt;=6),B64=10),"Vaca em lactação",IF(I64="Male","Macho",IF(E64&gt;=1,"Vaca seca",IF(I64="Youngstock","Bezerra/recria","Novilha"))))</f>
        <v>Vaca em lactação</v>
      </c>
      <c r="X64" s="0" t="str">
        <f aca="false">IF(AND(B64&gt;=1,B64&lt;=6),"Tanque",IF(B64=10,"Descarte",""))</f>
        <v>Tanque</v>
      </c>
    </row>
    <row r="65" customFormat="false" ht="15" hidden="false" customHeight="false" outlineLevel="0" collapsed="false">
      <c r="A65" s="22" t="n">
        <v>46309</v>
      </c>
      <c r="B65" s="0" t="n">
        <v>1</v>
      </c>
      <c r="C65" s="0" t="n">
        <v>5872</v>
      </c>
      <c r="D65" s="0" t="n">
        <v>65</v>
      </c>
      <c r="E65" s="0" t="n">
        <v>1</v>
      </c>
      <c r="F65" s="23" t="s">
        <v>139</v>
      </c>
      <c r="G65" s="0" t="n">
        <v>45.3</v>
      </c>
      <c r="H65" s="0" t="n">
        <v>44</v>
      </c>
      <c r="I65" s="23" t="s">
        <v>97</v>
      </c>
      <c r="J65" s="0" t="n">
        <v>65</v>
      </c>
      <c r="K65" s="0" t="n">
        <v>65</v>
      </c>
      <c r="P65" s="0" t="n">
        <v>4.02</v>
      </c>
      <c r="Q65" s="0" t="n">
        <v>3.32</v>
      </c>
      <c r="R65" s="0" t="n">
        <v>3470</v>
      </c>
      <c r="S65" s="0" t="n">
        <v>6976</v>
      </c>
      <c r="U65" s="0" t="n">
        <v>764</v>
      </c>
      <c r="V65" s="0" t="n">
        <v>1</v>
      </c>
      <c r="W65" s="0" t="str">
        <f aca="false">IF(OR(AND(B65&gt;=1,B65&lt;=6),B65=10),"Vaca em lactação",IF(I65="Male","Macho",IF(E65&gt;=1,"Vaca seca",IF(I65="Youngstock","Bezerra/recria","Novilha"))))</f>
        <v>Vaca em lactação</v>
      </c>
      <c r="X65" s="0" t="str">
        <f aca="false">IF(AND(B65&gt;=1,B65&lt;=6),"Tanque",IF(B65=10,"Descarte",""))</f>
        <v>Tanque</v>
      </c>
    </row>
    <row r="66" customFormat="false" ht="15" hidden="false" customHeight="false" outlineLevel="0" collapsed="false">
      <c r="A66" s="22" t="n">
        <v>46309</v>
      </c>
      <c r="B66" s="0" t="n">
        <v>1</v>
      </c>
      <c r="C66" s="0" t="n">
        <v>5871</v>
      </c>
      <c r="D66" s="0" t="n">
        <v>75</v>
      </c>
      <c r="E66" s="0" t="n">
        <v>1</v>
      </c>
      <c r="F66" s="23" t="s">
        <v>139</v>
      </c>
      <c r="G66" s="0" t="n">
        <v>52.7</v>
      </c>
      <c r="H66" s="0" t="n">
        <v>45</v>
      </c>
      <c r="I66" s="23" t="s">
        <v>97</v>
      </c>
      <c r="J66" s="0" t="n">
        <v>75</v>
      </c>
      <c r="K66" s="0" t="n">
        <v>68</v>
      </c>
      <c r="P66" s="0" t="n">
        <v>3.56</v>
      </c>
      <c r="Q66" s="0" t="n">
        <v>3.01</v>
      </c>
      <c r="R66" s="0" t="n">
        <v>4193</v>
      </c>
      <c r="S66" s="0" t="n">
        <v>8429</v>
      </c>
      <c r="U66" s="0" t="n">
        <v>764</v>
      </c>
      <c r="V66" s="0" t="n">
        <v>1</v>
      </c>
      <c r="W66" s="0" t="str">
        <f aca="false">IF(OR(AND(B66&gt;=1,B66&lt;=6),B66=10),"Vaca em lactação",IF(I66="Male","Macho",IF(E66&gt;=1,"Vaca seca",IF(I66="Youngstock","Bezerra/recria","Novilha"))))</f>
        <v>Vaca em lactação</v>
      </c>
      <c r="X66" s="0" t="str">
        <f aca="false">IF(AND(B66&gt;=1,B66&lt;=6),"Tanque",IF(B66=10,"Descarte",""))</f>
        <v>Tanque</v>
      </c>
    </row>
    <row r="67" customFormat="false" ht="15" hidden="false" customHeight="false" outlineLevel="0" collapsed="false">
      <c r="A67" s="22" t="n">
        <v>46309</v>
      </c>
      <c r="B67" s="0" t="n">
        <v>1</v>
      </c>
      <c r="C67" s="0" t="n">
        <v>5874</v>
      </c>
      <c r="D67" s="0" t="n">
        <v>46</v>
      </c>
      <c r="E67" s="0" t="n">
        <v>1</v>
      </c>
      <c r="F67" s="23" t="s">
        <v>133</v>
      </c>
      <c r="G67" s="0" t="n">
        <v>39.8</v>
      </c>
      <c r="H67" s="0" t="n">
        <v>38</v>
      </c>
      <c r="I67" s="23" t="s">
        <v>94</v>
      </c>
      <c r="J67" s="0" t="n">
        <v>46</v>
      </c>
      <c r="P67" s="0" t="n">
        <v>3.9</v>
      </c>
      <c r="Q67" s="0" t="n">
        <v>3.48</v>
      </c>
      <c r="R67" s="0" t="n">
        <v>3218</v>
      </c>
      <c r="S67" s="0" t="n">
        <v>6469</v>
      </c>
      <c r="U67" s="0" t="n">
        <v>763</v>
      </c>
      <c r="V67" s="0" t="n">
        <v>0</v>
      </c>
      <c r="W67" s="0" t="str">
        <f aca="false">IF(OR(AND(B67&gt;=1,B67&lt;=6),B67=10),"Vaca em lactação",IF(I67="Male","Macho",IF(E67&gt;=1,"Vaca seca",IF(I67="Youngstock","Bezerra/recria","Novilha"))))</f>
        <v>Vaca em lactação</v>
      </c>
      <c r="X67" s="0" t="str">
        <f aca="false">IF(AND(B67&gt;=1,B67&lt;=6),"Tanque",IF(B67=10,"Descarte",""))</f>
        <v>Tanque</v>
      </c>
    </row>
    <row r="68" customFormat="false" ht="15" hidden="false" customHeight="false" outlineLevel="0" collapsed="false">
      <c r="A68" s="22" t="n">
        <v>46309</v>
      </c>
      <c r="B68" s="0" t="n">
        <v>1</v>
      </c>
      <c r="C68" s="0" t="n">
        <v>5873</v>
      </c>
      <c r="D68" s="0" t="n">
        <v>39</v>
      </c>
      <c r="E68" s="0" t="n">
        <v>1</v>
      </c>
      <c r="F68" s="23" t="s">
        <v>133</v>
      </c>
      <c r="G68" s="0" t="n">
        <v>50.2</v>
      </c>
      <c r="H68" s="0" t="n">
        <v>53</v>
      </c>
      <c r="I68" s="23" t="s">
        <v>94</v>
      </c>
      <c r="J68" s="0" t="n">
        <v>39</v>
      </c>
      <c r="P68" s="0" t="n">
        <v>4.47</v>
      </c>
      <c r="Q68" s="0" t="n">
        <v>3.22</v>
      </c>
      <c r="R68" s="0" t="n">
        <v>5021</v>
      </c>
      <c r="S68" s="0" t="n">
        <v>10093</v>
      </c>
      <c r="U68" s="0" t="n">
        <v>763</v>
      </c>
      <c r="V68" s="0" t="n">
        <v>0</v>
      </c>
      <c r="W68" s="0" t="str">
        <f aca="false">IF(OR(AND(B68&gt;=1,B68&lt;=6),B68=10),"Vaca em lactação",IF(I68="Male","Macho",IF(E68&gt;=1,"Vaca seca",IF(I68="Youngstock","Bezerra/recria","Novilha"))))</f>
        <v>Vaca em lactação</v>
      </c>
      <c r="X68" s="0" t="str">
        <f aca="false">IF(AND(B68&gt;=1,B68&lt;=6),"Tanque",IF(B68=10,"Descarte",""))</f>
        <v>Tanque</v>
      </c>
    </row>
    <row r="69" customFormat="false" ht="15" hidden="false" customHeight="false" outlineLevel="0" collapsed="false">
      <c r="A69" s="22" t="n">
        <v>46309</v>
      </c>
      <c r="B69" s="0" t="n">
        <v>1</v>
      </c>
      <c r="C69" s="0" t="n">
        <v>5840</v>
      </c>
      <c r="D69" s="0" t="n">
        <v>88</v>
      </c>
      <c r="E69" s="0" t="n">
        <v>1</v>
      </c>
      <c r="F69" s="23" t="s">
        <v>140</v>
      </c>
      <c r="G69" s="0" t="n">
        <v>58.1</v>
      </c>
      <c r="H69" s="0" t="n">
        <v>57</v>
      </c>
      <c r="I69" s="23" t="s">
        <v>97</v>
      </c>
      <c r="J69" s="0" t="n">
        <v>88</v>
      </c>
      <c r="K69" s="0" t="n">
        <v>67</v>
      </c>
      <c r="P69" s="0" t="n">
        <v>3.16</v>
      </c>
      <c r="Q69" s="0" t="n">
        <v>3.18</v>
      </c>
      <c r="R69" s="0" t="n">
        <v>4593</v>
      </c>
      <c r="S69" s="0" t="n">
        <v>9233</v>
      </c>
      <c r="U69" s="0" t="n">
        <v>778</v>
      </c>
      <c r="V69" s="0" t="n">
        <v>1</v>
      </c>
      <c r="W69" s="0" t="str">
        <f aca="false">IF(OR(AND(B69&gt;=1,B69&lt;=6),B69=10),"Vaca em lactação",IF(I69="Male","Macho",IF(E69&gt;=1,"Vaca seca",IF(I69="Youngstock","Bezerra/recria","Novilha"))))</f>
        <v>Vaca em lactação</v>
      </c>
      <c r="X69" s="0" t="str">
        <f aca="false">IF(AND(B69&gt;=1,B69&lt;=6),"Tanque",IF(B69=10,"Descarte",""))</f>
        <v>Tanque</v>
      </c>
    </row>
    <row r="70" customFormat="false" ht="15" hidden="false" customHeight="false" outlineLevel="0" collapsed="false">
      <c r="A70" s="22" t="n">
        <v>46309</v>
      </c>
      <c r="B70" s="0" t="n">
        <v>1</v>
      </c>
      <c r="C70" s="0" t="n">
        <v>5839</v>
      </c>
      <c r="D70" s="0" t="n">
        <v>101</v>
      </c>
      <c r="E70" s="0" t="n">
        <v>1</v>
      </c>
      <c r="F70" s="23" t="s">
        <v>140</v>
      </c>
      <c r="G70" s="0" t="n">
        <v>49.1</v>
      </c>
      <c r="H70" s="0" t="n">
        <v>47</v>
      </c>
      <c r="I70" s="23" t="s">
        <v>97</v>
      </c>
      <c r="J70" s="0" t="n">
        <v>101</v>
      </c>
      <c r="K70" s="0" t="n">
        <v>66</v>
      </c>
      <c r="P70" s="0" t="n">
        <v>3.7</v>
      </c>
      <c r="Q70" s="0" t="n">
        <v>3.37</v>
      </c>
      <c r="R70" s="0" t="n">
        <v>4280</v>
      </c>
      <c r="S70" s="0" t="n">
        <v>8613</v>
      </c>
      <c r="T70" s="0" t="n">
        <v>47.8</v>
      </c>
      <c r="U70" s="0" t="n">
        <v>778</v>
      </c>
      <c r="V70" s="0" t="n">
        <v>2</v>
      </c>
      <c r="W70" s="0" t="str">
        <f aca="false">IF(OR(AND(B70&gt;=1,B70&lt;=6),B70=10),"Vaca em lactação",IF(I70="Male","Macho",IF(E70&gt;=1,"Vaca seca",IF(I70="Youngstock","Bezerra/recria","Novilha"))))</f>
        <v>Vaca em lactação</v>
      </c>
      <c r="X70" s="0" t="str">
        <f aca="false">IF(AND(B70&gt;=1,B70&lt;=6),"Tanque",IF(B70=10,"Descarte",""))</f>
        <v>Tanque</v>
      </c>
    </row>
    <row r="71" customFormat="false" ht="15" hidden="false" customHeight="false" outlineLevel="0" collapsed="false">
      <c r="A71" s="22" t="n">
        <v>46309</v>
      </c>
      <c r="B71" s="0" t="n">
        <v>1</v>
      </c>
      <c r="C71" s="0" t="n">
        <v>5846</v>
      </c>
      <c r="D71" s="0" t="n">
        <v>41</v>
      </c>
      <c r="E71" s="0" t="n">
        <v>1</v>
      </c>
      <c r="F71" s="23" t="s">
        <v>141</v>
      </c>
      <c r="G71" s="0" t="n">
        <v>47.5</v>
      </c>
      <c r="H71" s="0" t="n">
        <v>46</v>
      </c>
      <c r="I71" s="23" t="s">
        <v>94</v>
      </c>
      <c r="J71" s="0" t="n">
        <v>41</v>
      </c>
      <c r="P71" s="0" t="n">
        <v>4.23</v>
      </c>
      <c r="Q71" s="0" t="n">
        <v>3.55</v>
      </c>
      <c r="R71" s="0" t="n">
        <v>3952</v>
      </c>
      <c r="S71" s="0" t="n">
        <v>7945</v>
      </c>
      <c r="U71" s="0" t="n">
        <v>777</v>
      </c>
      <c r="V71" s="0" t="n">
        <v>0</v>
      </c>
      <c r="W71" s="0" t="str">
        <f aca="false">IF(OR(AND(B71&gt;=1,B71&lt;=6),B71=10),"Vaca em lactação",IF(I71="Male","Macho",IF(E71&gt;=1,"Vaca seca",IF(I71="Youngstock","Bezerra/recria","Novilha"))))</f>
        <v>Vaca em lactação</v>
      </c>
      <c r="X71" s="0" t="str">
        <f aca="false">IF(AND(B71&gt;=1,B71&lt;=6),"Tanque",IF(B71=10,"Descarte",""))</f>
        <v>Tanque</v>
      </c>
    </row>
    <row r="72" customFormat="false" ht="15" hidden="false" customHeight="false" outlineLevel="0" collapsed="false">
      <c r="A72" s="22" t="n">
        <v>46309</v>
      </c>
      <c r="B72" s="0" t="n">
        <v>1</v>
      </c>
      <c r="C72" s="0" t="n">
        <v>5850</v>
      </c>
      <c r="D72" s="0" t="n">
        <v>53</v>
      </c>
      <c r="E72" s="0" t="n">
        <v>1</v>
      </c>
      <c r="F72" s="23" t="s">
        <v>142</v>
      </c>
      <c r="G72" s="0" t="n">
        <v>50.8</v>
      </c>
      <c r="H72" s="0" t="n">
        <v>51</v>
      </c>
      <c r="I72" s="23" t="s">
        <v>94</v>
      </c>
      <c r="J72" s="0" t="n">
        <v>53</v>
      </c>
      <c r="P72" s="0" t="n">
        <v>3.84</v>
      </c>
      <c r="Q72" s="0" t="n">
        <v>3.1</v>
      </c>
      <c r="R72" s="0" t="n">
        <v>4275</v>
      </c>
      <c r="S72" s="0" t="n">
        <v>8594</v>
      </c>
      <c r="U72" s="0" t="n">
        <v>775</v>
      </c>
      <c r="V72" s="0" t="n">
        <v>0</v>
      </c>
      <c r="W72" s="0" t="str">
        <f aca="false">IF(OR(AND(B72&gt;=1,B72&lt;=6),B72=10),"Vaca em lactação",IF(I72="Male","Macho",IF(E72&gt;=1,"Vaca seca",IF(I72="Youngstock","Bezerra/recria","Novilha"))))</f>
        <v>Vaca em lactação</v>
      </c>
      <c r="X72" s="0" t="str">
        <f aca="false">IF(AND(B72&gt;=1,B72&lt;=6),"Tanque",IF(B72=10,"Descarte",""))</f>
        <v>Tanque</v>
      </c>
    </row>
    <row r="73" customFormat="false" ht="15" hidden="false" customHeight="false" outlineLevel="0" collapsed="false">
      <c r="A73" s="22" t="n">
        <v>46309</v>
      </c>
      <c r="B73" s="0" t="n">
        <v>1</v>
      </c>
      <c r="C73" s="0" t="n">
        <v>5854</v>
      </c>
      <c r="D73" s="0" t="n">
        <v>102</v>
      </c>
      <c r="E73" s="0" t="n">
        <v>1</v>
      </c>
      <c r="F73" s="23" t="s">
        <v>143</v>
      </c>
      <c r="G73" s="0" t="n">
        <v>46.9</v>
      </c>
      <c r="H73" s="0" t="n">
        <v>48</v>
      </c>
      <c r="I73" s="23" t="s">
        <v>92</v>
      </c>
      <c r="J73" s="0" t="n">
        <v>67</v>
      </c>
      <c r="K73" s="0" t="n">
        <v>67</v>
      </c>
      <c r="L73" s="0" t="n">
        <v>35</v>
      </c>
      <c r="P73" s="0" t="n">
        <v>3.44</v>
      </c>
      <c r="Q73" s="0" t="n">
        <v>3.15</v>
      </c>
      <c r="R73" s="0" t="n">
        <v>3991</v>
      </c>
      <c r="S73" s="0" t="n">
        <v>8052</v>
      </c>
      <c r="T73" s="0" t="n">
        <v>46.55</v>
      </c>
      <c r="U73" s="0" t="n">
        <v>773</v>
      </c>
      <c r="V73" s="0" t="n">
        <v>1</v>
      </c>
      <c r="W73" s="0" t="str">
        <f aca="false">IF(OR(AND(B73&gt;=1,B73&lt;=6),B73=10),"Vaca em lactação",IF(I73="Male","Macho",IF(E73&gt;=1,"Vaca seca",IF(I73="Youngstock","Bezerra/recria","Novilha"))))</f>
        <v>Vaca em lactação</v>
      </c>
      <c r="X73" s="0" t="str">
        <f aca="false">IF(AND(B73&gt;=1,B73&lt;=6),"Tanque",IF(B73=10,"Descarte",""))</f>
        <v>Tanque</v>
      </c>
    </row>
    <row r="74" customFormat="false" ht="15" hidden="false" customHeight="false" outlineLevel="0" collapsed="false">
      <c r="A74" s="22" t="n">
        <v>46309</v>
      </c>
      <c r="B74" s="0" t="n">
        <v>1</v>
      </c>
      <c r="C74" s="0" t="n">
        <v>5858</v>
      </c>
      <c r="D74" s="0" t="n">
        <v>42</v>
      </c>
      <c r="E74" s="0" t="n">
        <v>1</v>
      </c>
      <c r="F74" s="23" t="s">
        <v>144</v>
      </c>
      <c r="G74" s="0" t="n">
        <v>15.7</v>
      </c>
      <c r="H74" s="0" t="n">
        <v>15</v>
      </c>
      <c r="I74" s="23" t="s">
        <v>94</v>
      </c>
      <c r="J74" s="0" t="n">
        <v>42</v>
      </c>
      <c r="P74" s="0" t="n">
        <v>6.36</v>
      </c>
      <c r="Q74" s="0" t="n">
        <v>2.75</v>
      </c>
      <c r="R74" s="0" t="n">
        <v>1228</v>
      </c>
      <c r="S74" s="0" t="n">
        <v>2470</v>
      </c>
      <c r="U74" s="0" t="n">
        <v>771</v>
      </c>
      <c r="V74" s="0" t="n">
        <v>0</v>
      </c>
      <c r="W74" s="0" t="str">
        <f aca="false">IF(OR(AND(B74&gt;=1,B74&lt;=6),B74=10),"Vaca em lactação",IF(I74="Male","Macho",IF(E74&gt;=1,"Vaca seca",IF(I74="Youngstock","Bezerra/recria","Novilha"))))</f>
        <v>Vaca em lactação</v>
      </c>
      <c r="X74" s="0" t="str">
        <f aca="false">IF(AND(B74&gt;=1,B74&lt;=6),"Tanque",IF(B74=10,"Descarte",""))</f>
        <v>Tanque</v>
      </c>
    </row>
    <row r="75" customFormat="false" ht="15" hidden="false" customHeight="false" outlineLevel="0" collapsed="false">
      <c r="A75" s="22" t="n">
        <v>46309</v>
      </c>
      <c r="B75" s="0" t="n">
        <v>1</v>
      </c>
      <c r="C75" s="0" t="n">
        <v>5862</v>
      </c>
      <c r="D75" s="0" t="n">
        <v>106</v>
      </c>
      <c r="E75" s="0" t="n">
        <v>1</v>
      </c>
      <c r="F75" s="23" t="s">
        <v>145</v>
      </c>
      <c r="G75" s="0" t="n">
        <v>22.8</v>
      </c>
      <c r="H75" s="0" t="n">
        <v>22</v>
      </c>
      <c r="I75" s="23" t="s">
        <v>92</v>
      </c>
      <c r="J75" s="0" t="n">
        <v>64</v>
      </c>
      <c r="K75" s="0" t="n">
        <v>64</v>
      </c>
      <c r="L75" s="0" t="n">
        <v>42</v>
      </c>
      <c r="P75" s="0" t="n">
        <v>5.36</v>
      </c>
      <c r="Q75" s="0" t="n">
        <v>2.96</v>
      </c>
      <c r="R75" s="0" t="n">
        <v>2982</v>
      </c>
      <c r="S75" s="0" t="n">
        <v>5929</v>
      </c>
      <c r="T75" s="0" t="n">
        <v>32.5</v>
      </c>
      <c r="U75" s="0" t="n">
        <v>769</v>
      </c>
      <c r="V75" s="0" t="n">
        <v>1</v>
      </c>
      <c r="W75" s="0" t="str">
        <f aca="false">IF(OR(AND(B75&gt;=1,B75&lt;=6),B75=10),"Vaca em lactação",IF(I75="Male","Macho",IF(E75&gt;=1,"Vaca seca",IF(I75="Youngstock","Bezerra/recria","Novilha"))))</f>
        <v>Vaca em lactação</v>
      </c>
      <c r="X75" s="0" t="str">
        <f aca="false">IF(AND(B75&gt;=1,B75&lt;=6),"Tanque",IF(B75=10,"Descarte",""))</f>
        <v>Tanque</v>
      </c>
    </row>
    <row r="76" customFormat="false" ht="15" hidden="false" customHeight="false" outlineLevel="0" collapsed="false">
      <c r="A76" s="22" t="n">
        <v>46309</v>
      </c>
      <c r="B76" s="0" t="n">
        <v>1</v>
      </c>
      <c r="C76" s="0" t="n">
        <v>5824</v>
      </c>
      <c r="D76" s="0" t="n">
        <v>65</v>
      </c>
      <c r="E76" s="0" t="n">
        <v>1</v>
      </c>
      <c r="F76" s="23" t="s">
        <v>146</v>
      </c>
      <c r="G76" s="0" t="n">
        <v>56.1</v>
      </c>
      <c r="H76" s="0" t="n">
        <v>55</v>
      </c>
      <c r="I76" s="23" t="s">
        <v>97</v>
      </c>
      <c r="J76" s="0" t="n">
        <v>65</v>
      </c>
      <c r="K76" s="0" t="n">
        <v>65</v>
      </c>
      <c r="P76" s="0" t="n">
        <v>3.12</v>
      </c>
      <c r="Q76" s="0" t="n">
        <v>3.21</v>
      </c>
      <c r="R76" s="0" t="n">
        <v>4679</v>
      </c>
      <c r="S76" s="0" t="n">
        <v>9405</v>
      </c>
      <c r="U76" s="0" t="n">
        <v>784</v>
      </c>
      <c r="V76" s="0" t="n">
        <v>1</v>
      </c>
      <c r="W76" s="0" t="str">
        <f aca="false">IF(OR(AND(B76&gt;=1,B76&lt;=6),B76=10),"Vaca em lactação",IF(I76="Male","Macho",IF(E76&gt;=1,"Vaca seca",IF(I76="Youngstock","Bezerra/recria","Novilha"))))</f>
        <v>Vaca em lactação</v>
      </c>
      <c r="X76" s="0" t="str">
        <f aca="false">IF(AND(B76&gt;=1,B76&lt;=6),"Tanque",IF(B76=10,"Descarte",""))</f>
        <v>Tanque</v>
      </c>
    </row>
    <row r="77" customFormat="false" ht="15" hidden="false" customHeight="false" outlineLevel="0" collapsed="false">
      <c r="A77" s="22" t="n">
        <v>46309</v>
      </c>
      <c r="B77" s="0" t="n">
        <v>1</v>
      </c>
      <c r="C77" s="0" t="n">
        <v>5834</v>
      </c>
      <c r="D77" s="0" t="n">
        <v>89</v>
      </c>
      <c r="E77" s="0" t="n">
        <v>1</v>
      </c>
      <c r="F77" s="23" t="s">
        <v>147</v>
      </c>
      <c r="G77" s="0" t="n">
        <v>56.7</v>
      </c>
      <c r="H77" s="0" t="n">
        <v>57</v>
      </c>
      <c r="I77" s="23" t="s">
        <v>97</v>
      </c>
      <c r="J77" s="0" t="n">
        <v>89</v>
      </c>
      <c r="K77" s="0" t="n">
        <v>68</v>
      </c>
      <c r="P77" s="0" t="n">
        <v>4.14</v>
      </c>
      <c r="Q77" s="0" t="n">
        <v>3.1</v>
      </c>
      <c r="R77" s="0" t="n">
        <v>4913</v>
      </c>
      <c r="S77" s="0" t="n">
        <v>9877</v>
      </c>
      <c r="U77" s="0" t="n">
        <v>781</v>
      </c>
      <c r="V77" s="0" t="n">
        <v>1</v>
      </c>
      <c r="W77" s="0" t="str">
        <f aca="false">IF(OR(AND(B77&gt;=1,B77&lt;=6),B77=10),"Vaca em lactação",IF(I77="Male","Macho",IF(E77&gt;=1,"Vaca seca",IF(I77="Youngstock","Bezerra/recria","Novilha"))))</f>
        <v>Vaca em lactação</v>
      </c>
      <c r="X77" s="0" t="str">
        <f aca="false">IF(AND(B77&gt;=1,B77&lt;=6),"Tanque",IF(B77=10,"Descarte",""))</f>
        <v>Tanque</v>
      </c>
    </row>
    <row r="78" customFormat="false" ht="15" hidden="false" customHeight="false" outlineLevel="0" collapsed="false">
      <c r="A78" s="22" t="n">
        <v>46309</v>
      </c>
      <c r="B78" s="0" t="n">
        <v>1</v>
      </c>
      <c r="C78" s="0" t="n">
        <v>5979</v>
      </c>
      <c r="D78" s="0" t="n">
        <v>65</v>
      </c>
      <c r="E78" s="0" t="n">
        <v>1</v>
      </c>
      <c r="F78" s="23" t="s">
        <v>148</v>
      </c>
      <c r="H78" s="0" t="n">
        <v>20</v>
      </c>
      <c r="I78" s="23" t="s">
        <v>97</v>
      </c>
      <c r="J78" s="0" t="n">
        <v>65</v>
      </c>
      <c r="K78" s="0" t="n">
        <v>65</v>
      </c>
      <c r="P78" s="0" t="n">
        <v>3.95</v>
      </c>
      <c r="Q78" s="0" t="n">
        <v>3.38</v>
      </c>
      <c r="R78" s="0" t="n">
        <v>1682</v>
      </c>
      <c r="S78" s="0" t="n">
        <v>3381</v>
      </c>
      <c r="U78" s="0" t="n">
        <v>728</v>
      </c>
      <c r="V78" s="0" t="n">
        <v>1</v>
      </c>
      <c r="W78" s="0" t="str">
        <f aca="false">IF(OR(AND(B78&gt;=1,B78&lt;=6),B78=10),"Vaca em lactação",IF(I78="Male","Macho",IF(E78&gt;=1,"Vaca seca",IF(I78="Youngstock","Bezerra/recria","Novilha"))))</f>
        <v>Vaca em lactação</v>
      </c>
      <c r="X78" s="0" t="str">
        <f aca="false">IF(AND(B78&gt;=1,B78&lt;=6),"Tanque",IF(B78=10,"Descarte",""))</f>
        <v>Tanque</v>
      </c>
    </row>
    <row r="79" customFormat="false" ht="15" hidden="false" customHeight="false" outlineLevel="0" collapsed="false">
      <c r="A79" s="22" t="n">
        <v>46309</v>
      </c>
      <c r="B79" s="0" t="n">
        <v>1</v>
      </c>
      <c r="C79" s="0" t="n">
        <v>5980</v>
      </c>
      <c r="D79" s="0" t="n">
        <v>51</v>
      </c>
      <c r="E79" s="0" t="n">
        <v>1</v>
      </c>
      <c r="F79" s="23" t="s">
        <v>148</v>
      </c>
      <c r="G79" s="0" t="n">
        <v>43.9</v>
      </c>
      <c r="H79" s="0" t="n">
        <v>49</v>
      </c>
      <c r="I79" s="23" t="s">
        <v>94</v>
      </c>
      <c r="J79" s="0" t="n">
        <v>51</v>
      </c>
      <c r="P79" s="0" t="n">
        <v>3.48</v>
      </c>
      <c r="Q79" s="0" t="n">
        <v>3.18</v>
      </c>
      <c r="R79" s="0" t="n">
        <v>4137</v>
      </c>
      <c r="S79" s="0" t="n">
        <v>8317</v>
      </c>
      <c r="U79" s="0" t="n">
        <v>728</v>
      </c>
      <c r="V79" s="0" t="n">
        <v>0</v>
      </c>
      <c r="W79" s="0" t="str">
        <f aca="false">IF(OR(AND(B79&gt;=1,B79&lt;=6),B79=10),"Vaca em lactação",IF(I79="Male","Macho",IF(E79&gt;=1,"Vaca seca",IF(I79="Youngstock","Bezerra/recria","Novilha"))))</f>
        <v>Vaca em lactação</v>
      </c>
      <c r="X79" s="0" t="str">
        <f aca="false">IF(AND(B79&gt;=1,B79&lt;=6),"Tanque",IF(B79=10,"Descarte",""))</f>
        <v>Tanque</v>
      </c>
    </row>
    <row r="80" customFormat="false" ht="15" hidden="false" customHeight="false" outlineLevel="0" collapsed="false">
      <c r="A80" s="22" t="n">
        <v>46309</v>
      </c>
      <c r="B80" s="0" t="n">
        <v>1</v>
      </c>
      <c r="C80" s="0" t="n">
        <v>5986</v>
      </c>
      <c r="D80" s="0" t="n">
        <v>98</v>
      </c>
      <c r="E80" s="0" t="n">
        <v>1</v>
      </c>
      <c r="F80" s="23" t="s">
        <v>149</v>
      </c>
      <c r="G80" s="0" t="n">
        <v>44.2</v>
      </c>
      <c r="H80" s="0" t="n">
        <v>43</v>
      </c>
      <c r="I80" s="23" t="s">
        <v>92</v>
      </c>
      <c r="J80" s="0" t="n">
        <v>63</v>
      </c>
      <c r="K80" s="0" t="n">
        <v>63</v>
      </c>
      <c r="L80" s="0" t="n">
        <v>35</v>
      </c>
      <c r="P80" s="0" t="n">
        <v>3.19</v>
      </c>
      <c r="Q80" s="0" t="n">
        <v>3.22</v>
      </c>
      <c r="R80" s="0" t="n">
        <v>3494</v>
      </c>
      <c r="S80" s="0" t="n">
        <v>7023</v>
      </c>
      <c r="T80" s="0" t="n">
        <v>39.25</v>
      </c>
      <c r="U80" s="0" t="n">
        <v>727</v>
      </c>
      <c r="V80" s="0" t="n">
        <v>1</v>
      </c>
      <c r="W80" s="0" t="str">
        <f aca="false">IF(OR(AND(B80&gt;=1,B80&lt;=6),B80=10),"Vaca em lactação",IF(I80="Male","Macho",IF(E80&gt;=1,"Vaca seca",IF(I80="Youngstock","Bezerra/recria","Novilha"))))</f>
        <v>Vaca em lactação</v>
      </c>
      <c r="X80" s="0" t="str">
        <f aca="false">IF(AND(B80&gt;=1,B80&lt;=6),"Tanque",IF(B80=10,"Descarte",""))</f>
        <v>Tanque</v>
      </c>
    </row>
    <row r="81" customFormat="false" ht="15" hidden="false" customHeight="false" outlineLevel="0" collapsed="false">
      <c r="A81" s="22" t="n">
        <v>46309</v>
      </c>
      <c r="B81" s="0" t="n">
        <v>1</v>
      </c>
      <c r="C81" s="0" t="n">
        <v>5985</v>
      </c>
      <c r="D81" s="0" t="n">
        <v>100</v>
      </c>
      <c r="E81" s="0" t="n">
        <v>1</v>
      </c>
      <c r="F81" s="23" t="s">
        <v>149</v>
      </c>
      <c r="G81" s="0" t="n">
        <v>39.7</v>
      </c>
      <c r="H81" s="0" t="n">
        <v>40</v>
      </c>
      <c r="I81" s="23" t="s">
        <v>92</v>
      </c>
      <c r="J81" s="0" t="n">
        <v>65</v>
      </c>
      <c r="K81" s="0" t="n">
        <v>65</v>
      </c>
      <c r="L81" s="0" t="n">
        <v>35</v>
      </c>
      <c r="P81" s="0" t="n">
        <v>4.1</v>
      </c>
      <c r="Q81" s="0" t="n">
        <v>3.51</v>
      </c>
      <c r="R81" s="0" t="n">
        <v>3425</v>
      </c>
      <c r="S81" s="0" t="n">
        <v>6885</v>
      </c>
      <c r="T81" s="0" t="n">
        <v>37.55</v>
      </c>
      <c r="U81" s="0" t="n">
        <v>727</v>
      </c>
      <c r="V81" s="0" t="n">
        <v>1</v>
      </c>
      <c r="W81" s="0" t="str">
        <f aca="false">IF(OR(AND(B81&gt;=1,B81&lt;=6),B81=10),"Vaca em lactação",IF(I81="Male","Macho",IF(E81&gt;=1,"Vaca seca",IF(I81="Youngstock","Bezerra/recria","Novilha"))))</f>
        <v>Vaca em lactação</v>
      </c>
      <c r="X81" s="0" t="str">
        <f aca="false">IF(AND(B81&gt;=1,B81&lt;=6),"Tanque",IF(B81=10,"Descarte",""))</f>
        <v>Tanque</v>
      </c>
    </row>
    <row r="82" customFormat="false" ht="15" hidden="false" customHeight="false" outlineLevel="0" collapsed="false">
      <c r="A82" s="22" t="n">
        <v>46309</v>
      </c>
      <c r="B82" s="0" t="n">
        <v>1</v>
      </c>
      <c r="C82" s="0" t="n">
        <v>5983</v>
      </c>
      <c r="D82" s="0" t="n">
        <v>99</v>
      </c>
      <c r="E82" s="0" t="n">
        <v>1</v>
      </c>
      <c r="F82" s="23" t="s">
        <v>149</v>
      </c>
      <c r="G82" s="0" t="n">
        <v>50.8</v>
      </c>
      <c r="H82" s="0" t="n">
        <v>47</v>
      </c>
      <c r="I82" s="23" t="s">
        <v>109</v>
      </c>
      <c r="J82" s="0" t="n">
        <v>99</v>
      </c>
      <c r="K82" s="0" t="n">
        <v>64</v>
      </c>
      <c r="P82" s="0" t="n">
        <v>3.5</v>
      </c>
      <c r="Q82" s="0" t="n">
        <v>2.94</v>
      </c>
      <c r="R82" s="0" t="n">
        <v>4193</v>
      </c>
      <c r="S82" s="0" t="n">
        <v>8428</v>
      </c>
      <c r="T82" s="0" t="n">
        <v>47</v>
      </c>
      <c r="U82" s="0" t="n">
        <v>727</v>
      </c>
      <c r="V82" s="0" t="n">
        <v>1</v>
      </c>
      <c r="W82" s="0" t="str">
        <f aca="false">IF(OR(AND(B82&gt;=1,B82&lt;=6),B82=10),"Vaca em lactação",IF(I82="Male","Macho",IF(E82&gt;=1,"Vaca seca",IF(I82="Youngstock","Bezerra/recria","Novilha"))))</f>
        <v>Vaca em lactação</v>
      </c>
      <c r="X82" s="0" t="str">
        <f aca="false">IF(AND(B82&gt;=1,B82&lt;=6),"Tanque",IF(B82=10,"Descarte",""))</f>
        <v>Tanque</v>
      </c>
    </row>
    <row r="83" customFormat="false" ht="15" hidden="false" customHeight="false" outlineLevel="0" collapsed="false">
      <c r="A83" s="22" t="n">
        <v>46309</v>
      </c>
      <c r="B83" s="0" t="n">
        <v>1</v>
      </c>
      <c r="C83" s="0" t="n">
        <v>5989</v>
      </c>
      <c r="D83" s="0" t="n">
        <v>98</v>
      </c>
      <c r="E83" s="0" t="n">
        <v>1</v>
      </c>
      <c r="F83" s="23" t="s">
        <v>150</v>
      </c>
      <c r="G83" s="0" t="n">
        <v>40.8</v>
      </c>
      <c r="H83" s="0" t="n">
        <v>48</v>
      </c>
      <c r="I83" s="23" t="s">
        <v>97</v>
      </c>
      <c r="J83" s="0" t="n">
        <v>98</v>
      </c>
      <c r="K83" s="0" t="n">
        <v>63</v>
      </c>
      <c r="P83" s="0" t="n">
        <v>3.76</v>
      </c>
      <c r="Q83" s="0" t="n">
        <v>2.74</v>
      </c>
      <c r="R83" s="0" t="n">
        <v>4210</v>
      </c>
      <c r="S83" s="0" t="n">
        <v>8463</v>
      </c>
      <c r="T83" s="0" t="n">
        <v>46.95</v>
      </c>
      <c r="U83" s="0" t="n">
        <v>726</v>
      </c>
      <c r="V83" s="0" t="n">
        <v>2</v>
      </c>
      <c r="W83" s="0" t="str">
        <f aca="false">IF(OR(AND(B83&gt;=1,B83&lt;=6),B83=10),"Vaca em lactação",IF(I83="Male","Macho",IF(E83&gt;=1,"Vaca seca",IF(I83="Youngstock","Bezerra/recria","Novilha"))))</f>
        <v>Vaca em lactação</v>
      </c>
      <c r="X83" s="0" t="str">
        <f aca="false">IF(AND(B83&gt;=1,B83&lt;=6),"Tanque",IF(B83=10,"Descarte",""))</f>
        <v>Tanque</v>
      </c>
    </row>
    <row r="84" customFormat="false" ht="15" hidden="false" customHeight="false" outlineLevel="0" collapsed="false">
      <c r="A84" s="22" t="n">
        <v>46309</v>
      </c>
      <c r="B84" s="0" t="n">
        <v>1</v>
      </c>
      <c r="C84" s="0" t="n">
        <v>5995</v>
      </c>
      <c r="D84" s="0" t="n">
        <v>51</v>
      </c>
      <c r="E84" s="0" t="n">
        <v>1</v>
      </c>
      <c r="F84" s="23" t="s">
        <v>151</v>
      </c>
      <c r="G84" s="0" t="n">
        <v>42.5</v>
      </c>
      <c r="H84" s="0" t="n">
        <v>40</v>
      </c>
      <c r="I84" s="23" t="s">
        <v>94</v>
      </c>
      <c r="J84" s="0" t="n">
        <v>51</v>
      </c>
      <c r="P84" s="0" t="n">
        <v>5.38</v>
      </c>
      <c r="Q84" s="0" t="n">
        <v>2.98</v>
      </c>
      <c r="R84" s="0" t="n">
        <v>3644</v>
      </c>
      <c r="S84" s="0" t="n">
        <v>7325</v>
      </c>
      <c r="U84" s="0" t="n">
        <v>724</v>
      </c>
      <c r="V84" s="0" t="n">
        <v>0</v>
      </c>
      <c r="W84" s="0" t="str">
        <f aca="false">IF(OR(AND(B84&gt;=1,B84&lt;=6),B84=10),"Vaca em lactação",IF(I84="Male","Macho",IF(E84&gt;=1,"Vaca seca",IF(I84="Youngstock","Bezerra/recria","Novilha"))))</f>
        <v>Vaca em lactação</v>
      </c>
      <c r="X84" s="0" t="str">
        <f aca="false">IF(AND(B84&gt;=1,B84&lt;=6),"Tanque",IF(B84=10,"Descarte",""))</f>
        <v>Tanque</v>
      </c>
    </row>
    <row r="85" customFormat="false" ht="15" hidden="false" customHeight="false" outlineLevel="0" collapsed="false">
      <c r="A85" s="22" t="n">
        <v>46309</v>
      </c>
      <c r="B85" s="0" t="n">
        <v>1</v>
      </c>
      <c r="C85" s="0" t="n">
        <v>5991</v>
      </c>
      <c r="D85" s="0" t="n">
        <v>43</v>
      </c>
      <c r="E85" s="0" t="n">
        <v>1</v>
      </c>
      <c r="F85" s="23" t="s">
        <v>151</v>
      </c>
      <c r="G85" s="0" t="n">
        <v>46</v>
      </c>
      <c r="H85" s="0" t="n">
        <v>44</v>
      </c>
      <c r="I85" s="23" t="s">
        <v>94</v>
      </c>
      <c r="J85" s="0" t="n">
        <v>43</v>
      </c>
      <c r="P85" s="0" t="n">
        <v>4.95</v>
      </c>
      <c r="Q85" s="0" t="n">
        <v>3.74</v>
      </c>
      <c r="R85" s="0" t="n">
        <v>3927</v>
      </c>
      <c r="S85" s="0" t="n">
        <v>7895</v>
      </c>
      <c r="U85" s="0" t="n">
        <v>724</v>
      </c>
      <c r="V85" s="0" t="n">
        <v>0</v>
      </c>
      <c r="W85" s="0" t="str">
        <f aca="false">IF(OR(AND(B85&gt;=1,B85&lt;=6),B85=10),"Vaca em lactação",IF(I85="Male","Macho",IF(E85&gt;=1,"Vaca seca",IF(I85="Youngstock","Bezerra/recria","Novilha"))))</f>
        <v>Vaca em lactação</v>
      </c>
      <c r="X85" s="0" t="str">
        <f aca="false">IF(AND(B85&gt;=1,B85&lt;=6),"Tanque",IF(B85=10,"Descarte",""))</f>
        <v>Tanque</v>
      </c>
    </row>
    <row r="86" customFormat="false" ht="15" hidden="false" customHeight="false" outlineLevel="0" collapsed="false">
      <c r="A86" s="22" t="n">
        <v>46309</v>
      </c>
      <c r="B86" s="0" t="n">
        <v>1</v>
      </c>
      <c r="C86" s="0" t="n">
        <v>5994</v>
      </c>
      <c r="D86" s="0" t="n">
        <v>65</v>
      </c>
      <c r="E86" s="0" t="n">
        <v>1</v>
      </c>
      <c r="F86" s="23" t="s">
        <v>151</v>
      </c>
      <c r="G86" s="0" t="n">
        <v>46.9</v>
      </c>
      <c r="H86" s="0" t="n">
        <v>44</v>
      </c>
      <c r="I86" s="23" t="s">
        <v>97</v>
      </c>
      <c r="J86" s="0" t="n">
        <v>65</v>
      </c>
      <c r="K86" s="0" t="n">
        <v>65</v>
      </c>
      <c r="P86" s="0" t="n">
        <v>4.16</v>
      </c>
      <c r="Q86" s="0" t="n">
        <v>3.17</v>
      </c>
      <c r="R86" s="0" t="n">
        <v>3856</v>
      </c>
      <c r="S86" s="0" t="n">
        <v>7752</v>
      </c>
      <c r="U86" s="0" t="n">
        <v>724</v>
      </c>
      <c r="V86" s="0" t="n">
        <v>1</v>
      </c>
      <c r="W86" s="0" t="str">
        <f aca="false">IF(OR(AND(B86&gt;=1,B86&lt;=6),B86=10),"Vaca em lactação",IF(I86="Male","Macho",IF(E86&gt;=1,"Vaca seca",IF(I86="Youngstock","Bezerra/recria","Novilha"))))</f>
        <v>Vaca em lactação</v>
      </c>
      <c r="X86" s="0" t="str">
        <f aca="false">IF(AND(B86&gt;=1,B86&lt;=6),"Tanque",IF(B86=10,"Descarte",""))</f>
        <v>Tanque</v>
      </c>
    </row>
    <row r="87" customFormat="false" ht="15" hidden="false" customHeight="false" outlineLevel="0" collapsed="false">
      <c r="A87" s="22" t="n">
        <v>46309</v>
      </c>
      <c r="B87" s="0" t="n">
        <v>1</v>
      </c>
      <c r="C87" s="0" t="n">
        <v>5993</v>
      </c>
      <c r="D87" s="0" t="n">
        <v>92</v>
      </c>
      <c r="E87" s="0" t="n">
        <v>1</v>
      </c>
      <c r="F87" s="23" t="s">
        <v>151</v>
      </c>
      <c r="G87" s="0" t="n">
        <v>56.2</v>
      </c>
      <c r="H87" s="0" t="n">
        <v>57</v>
      </c>
      <c r="I87" s="23" t="s">
        <v>97</v>
      </c>
      <c r="J87" s="0" t="n">
        <v>92</v>
      </c>
      <c r="K87" s="0" t="n">
        <v>64</v>
      </c>
      <c r="P87" s="0" t="n">
        <v>3.71</v>
      </c>
      <c r="Q87" s="0" t="n">
        <v>2.9</v>
      </c>
      <c r="R87" s="0" t="n">
        <v>4722</v>
      </c>
      <c r="S87" s="0" t="n">
        <v>9493</v>
      </c>
      <c r="T87" s="0" t="n">
        <v>50.3</v>
      </c>
      <c r="U87" s="0" t="n">
        <v>724</v>
      </c>
      <c r="V87" s="0" t="n">
        <v>1</v>
      </c>
      <c r="W87" s="0" t="str">
        <f aca="false">IF(OR(AND(B87&gt;=1,B87&lt;=6),B87=10),"Vaca em lactação",IF(I87="Male","Macho",IF(E87&gt;=1,"Vaca seca",IF(I87="Youngstock","Bezerra/recria","Novilha"))))</f>
        <v>Vaca em lactação</v>
      </c>
      <c r="X87" s="0" t="str">
        <f aca="false">IF(AND(B87&gt;=1,B87&lt;=6),"Tanque",IF(B87=10,"Descarte",""))</f>
        <v>Tanque</v>
      </c>
    </row>
    <row r="88" customFormat="false" ht="15" hidden="false" customHeight="false" outlineLevel="0" collapsed="false">
      <c r="A88" s="22" t="n">
        <v>46309</v>
      </c>
      <c r="B88" s="0" t="n">
        <v>1</v>
      </c>
      <c r="C88" s="0" t="n">
        <v>5998</v>
      </c>
      <c r="D88" s="0" t="n">
        <v>65</v>
      </c>
      <c r="E88" s="0" t="n">
        <v>1</v>
      </c>
      <c r="F88" s="23" t="s">
        <v>152</v>
      </c>
      <c r="G88" s="0" t="n">
        <v>45.9</v>
      </c>
      <c r="H88" s="0" t="n">
        <v>47</v>
      </c>
      <c r="I88" s="23" t="s">
        <v>97</v>
      </c>
      <c r="J88" s="0" t="n">
        <v>65</v>
      </c>
      <c r="K88" s="0" t="n">
        <v>65</v>
      </c>
      <c r="P88" s="0" t="n">
        <v>3.63</v>
      </c>
      <c r="Q88" s="0" t="n">
        <v>2.89</v>
      </c>
      <c r="R88" s="0" t="n">
        <v>4869</v>
      </c>
      <c r="S88" s="0" t="n">
        <v>9787</v>
      </c>
      <c r="U88" s="0" t="n">
        <v>723</v>
      </c>
      <c r="V88" s="0" t="n">
        <v>1</v>
      </c>
      <c r="W88" s="0" t="str">
        <f aca="false">IF(OR(AND(B88&gt;=1,B88&lt;=6),B88=10),"Vaca em lactação",IF(I88="Male","Macho",IF(E88&gt;=1,"Vaca seca",IF(I88="Youngstock","Bezerra/recria","Novilha"))))</f>
        <v>Vaca em lactação</v>
      </c>
      <c r="X88" s="0" t="str">
        <f aca="false">IF(AND(B88&gt;=1,B88&lt;=6),"Tanque",IF(B88=10,"Descarte",""))</f>
        <v>Tanque</v>
      </c>
    </row>
    <row r="89" customFormat="false" ht="15" hidden="false" customHeight="false" outlineLevel="0" collapsed="false">
      <c r="A89" s="22" t="n">
        <v>46309</v>
      </c>
      <c r="B89" s="0" t="n">
        <v>1</v>
      </c>
      <c r="C89" s="0" t="n">
        <v>5951</v>
      </c>
      <c r="D89" s="0" t="n">
        <v>1</v>
      </c>
      <c r="E89" s="0" t="n">
        <v>1</v>
      </c>
      <c r="F89" s="23" t="s">
        <v>153</v>
      </c>
      <c r="I89" s="23" t="s">
        <v>94</v>
      </c>
      <c r="J89" s="0" t="n">
        <v>1</v>
      </c>
      <c r="U89" s="0" t="n">
        <v>737</v>
      </c>
      <c r="V89" s="0" t="n">
        <v>0</v>
      </c>
      <c r="W89" s="0" t="str">
        <f aca="false">IF(OR(AND(B89&gt;=1,B89&lt;=6),B89=10),"Vaca em lactação",IF(I89="Male","Macho",IF(E89&gt;=1,"Vaca seca",IF(I89="Youngstock","Bezerra/recria","Novilha"))))</f>
        <v>Vaca em lactação</v>
      </c>
      <c r="X89" s="0" t="str">
        <f aca="false">IF(AND(B89&gt;=1,B89&lt;=6),"Tanque",IF(B89=10,"Descarte",""))</f>
        <v>Tanque</v>
      </c>
    </row>
    <row r="90" customFormat="false" ht="15" hidden="false" customHeight="false" outlineLevel="0" collapsed="false">
      <c r="A90" s="22" t="n">
        <v>46309</v>
      </c>
      <c r="B90" s="0" t="n">
        <v>1</v>
      </c>
      <c r="C90" s="0" t="n">
        <v>5950</v>
      </c>
      <c r="D90" s="0" t="n">
        <v>69</v>
      </c>
      <c r="E90" s="0" t="n">
        <v>1</v>
      </c>
      <c r="F90" s="23" t="s">
        <v>153</v>
      </c>
      <c r="G90" s="0" t="n">
        <v>33.4</v>
      </c>
      <c r="H90" s="0" t="n">
        <v>39</v>
      </c>
      <c r="I90" s="23" t="s">
        <v>97</v>
      </c>
      <c r="J90" s="0" t="n">
        <v>69</v>
      </c>
      <c r="K90" s="0" t="n">
        <v>62</v>
      </c>
      <c r="P90" s="0" t="n">
        <v>4.77</v>
      </c>
      <c r="Q90" s="0" t="n">
        <v>3.46</v>
      </c>
      <c r="R90" s="0" t="n">
        <v>3306</v>
      </c>
      <c r="S90" s="0" t="n">
        <v>6647</v>
      </c>
      <c r="U90" s="0" t="n">
        <v>737</v>
      </c>
      <c r="V90" s="0" t="n">
        <v>1</v>
      </c>
      <c r="W90" s="0" t="str">
        <f aca="false">IF(OR(AND(B90&gt;=1,B90&lt;=6),B90=10),"Vaca em lactação",IF(I90="Male","Macho",IF(E90&gt;=1,"Vaca seca",IF(I90="Youngstock","Bezerra/recria","Novilha"))))</f>
        <v>Vaca em lactação</v>
      </c>
      <c r="X90" s="0" t="str">
        <f aca="false">IF(AND(B90&gt;=1,B90&lt;=6),"Tanque",IF(B90=10,"Descarte",""))</f>
        <v>Tanque</v>
      </c>
    </row>
    <row r="91" customFormat="false" ht="15" hidden="false" customHeight="false" outlineLevel="0" collapsed="false">
      <c r="A91" s="22" t="n">
        <v>46309</v>
      </c>
      <c r="B91" s="0" t="n">
        <v>1</v>
      </c>
      <c r="C91" s="0" t="n">
        <v>5947</v>
      </c>
      <c r="D91" s="0" t="n">
        <v>103</v>
      </c>
      <c r="E91" s="0" t="n">
        <v>1</v>
      </c>
      <c r="F91" s="23" t="s">
        <v>153</v>
      </c>
      <c r="G91" s="0" t="n">
        <v>39.9</v>
      </c>
      <c r="H91" s="0" t="n">
        <v>38</v>
      </c>
      <c r="I91" s="23" t="s">
        <v>109</v>
      </c>
      <c r="J91" s="0" t="n">
        <v>103</v>
      </c>
      <c r="K91" s="0" t="n">
        <v>68</v>
      </c>
      <c r="P91" s="0" t="n">
        <v>4.59</v>
      </c>
      <c r="Q91" s="0" t="n">
        <v>3.31</v>
      </c>
      <c r="R91" s="0" t="n">
        <v>3623</v>
      </c>
      <c r="S91" s="0" t="n">
        <v>7293</v>
      </c>
      <c r="T91" s="0" t="n">
        <v>37.8</v>
      </c>
      <c r="U91" s="0" t="n">
        <v>737</v>
      </c>
      <c r="V91" s="0" t="n">
        <v>1</v>
      </c>
      <c r="W91" s="0" t="str">
        <f aca="false">IF(OR(AND(B91&gt;=1,B91&lt;=6),B91=10),"Vaca em lactação",IF(I91="Male","Macho",IF(E91&gt;=1,"Vaca seca",IF(I91="Youngstock","Bezerra/recria","Novilha"))))</f>
        <v>Vaca em lactação</v>
      </c>
      <c r="X91" s="0" t="str">
        <f aca="false">IF(AND(B91&gt;=1,B91&lt;=6),"Tanque",IF(B91=10,"Descarte",""))</f>
        <v>Tanque</v>
      </c>
    </row>
    <row r="92" customFormat="false" ht="15" hidden="false" customHeight="false" outlineLevel="0" collapsed="false">
      <c r="A92" s="22" t="n">
        <v>46309</v>
      </c>
      <c r="B92" s="0" t="n">
        <v>1</v>
      </c>
      <c r="C92" s="0" t="n">
        <v>5946</v>
      </c>
      <c r="D92" s="0" t="n">
        <v>68</v>
      </c>
      <c r="E92" s="0" t="n">
        <v>1</v>
      </c>
      <c r="F92" s="23" t="s">
        <v>153</v>
      </c>
      <c r="G92" s="0" t="n">
        <v>37.5</v>
      </c>
      <c r="H92" s="0" t="n">
        <v>45</v>
      </c>
      <c r="I92" s="23" t="s">
        <v>97</v>
      </c>
      <c r="J92" s="0" t="n">
        <v>68</v>
      </c>
      <c r="K92" s="0" t="n">
        <v>68</v>
      </c>
      <c r="P92" s="0" t="n">
        <v>3.93</v>
      </c>
      <c r="Q92" s="0" t="n">
        <v>3.09</v>
      </c>
      <c r="R92" s="0" t="n">
        <v>4255</v>
      </c>
      <c r="S92" s="0" t="n">
        <v>8553</v>
      </c>
      <c r="U92" s="0" t="n">
        <v>737</v>
      </c>
      <c r="V92" s="0" t="n">
        <v>1</v>
      </c>
      <c r="W92" s="0" t="str">
        <f aca="false">IF(OR(AND(B92&gt;=1,B92&lt;=6),B92=10),"Vaca em lactação",IF(I92="Male","Macho",IF(E92&gt;=1,"Vaca seca",IF(I92="Youngstock","Bezerra/recria","Novilha"))))</f>
        <v>Vaca em lactação</v>
      </c>
      <c r="X92" s="0" t="str">
        <f aca="false">IF(AND(B92&gt;=1,B92&lt;=6),"Tanque",IF(B92=10,"Descarte",""))</f>
        <v>Tanque</v>
      </c>
    </row>
    <row r="93" customFormat="false" ht="15" hidden="false" customHeight="false" outlineLevel="0" collapsed="false">
      <c r="A93" s="22" t="n">
        <v>46309</v>
      </c>
      <c r="B93" s="0" t="n">
        <v>1</v>
      </c>
      <c r="C93" s="0" t="n">
        <v>5952</v>
      </c>
      <c r="D93" s="0" t="n">
        <v>58</v>
      </c>
      <c r="E93" s="0" t="n">
        <v>1</v>
      </c>
      <c r="F93" s="23" t="s">
        <v>154</v>
      </c>
      <c r="G93" s="0" t="n">
        <v>61.4</v>
      </c>
      <c r="H93" s="0" t="n">
        <v>62</v>
      </c>
      <c r="I93" s="23" t="s">
        <v>94</v>
      </c>
      <c r="J93" s="0" t="n">
        <v>58</v>
      </c>
      <c r="P93" s="0" t="n">
        <v>3.98</v>
      </c>
      <c r="Q93" s="0" t="n">
        <v>2.54</v>
      </c>
      <c r="R93" s="0" t="n">
        <v>5477</v>
      </c>
      <c r="S93" s="0" t="n">
        <v>11010</v>
      </c>
      <c r="U93" s="0" t="n">
        <v>736</v>
      </c>
      <c r="V93" s="0" t="n">
        <v>0</v>
      </c>
      <c r="W93" s="0" t="str">
        <f aca="false">IF(OR(AND(B93&gt;=1,B93&lt;=6),B93=10),"Vaca em lactação",IF(I93="Male","Macho",IF(E93&gt;=1,"Vaca seca",IF(I93="Youngstock","Bezerra/recria","Novilha"))))</f>
        <v>Vaca em lactação</v>
      </c>
      <c r="X93" s="0" t="str">
        <f aca="false">IF(AND(B93&gt;=1,B93&lt;=6),"Tanque",IF(B93=10,"Descarte",""))</f>
        <v>Tanque</v>
      </c>
    </row>
    <row r="94" customFormat="false" ht="15" hidden="false" customHeight="false" outlineLevel="0" collapsed="false">
      <c r="A94" s="22" t="n">
        <v>46309</v>
      </c>
      <c r="B94" s="0" t="n">
        <v>1</v>
      </c>
      <c r="C94" s="0" t="n">
        <v>5940</v>
      </c>
      <c r="D94" s="0" t="n">
        <v>96</v>
      </c>
      <c r="E94" s="0" t="n">
        <v>1</v>
      </c>
      <c r="F94" s="23" t="s">
        <v>154</v>
      </c>
      <c r="G94" s="0" t="n">
        <v>55.4</v>
      </c>
      <c r="H94" s="0" t="n">
        <v>57</v>
      </c>
      <c r="I94" s="23" t="s">
        <v>97</v>
      </c>
      <c r="J94" s="0" t="n">
        <v>96</v>
      </c>
      <c r="K94" s="0" t="n">
        <v>68</v>
      </c>
      <c r="P94" s="0" t="n">
        <v>4.19</v>
      </c>
      <c r="Q94" s="0" t="n">
        <v>3.23</v>
      </c>
      <c r="R94" s="0" t="n">
        <v>4845</v>
      </c>
      <c r="S94" s="0" t="n">
        <v>9739</v>
      </c>
      <c r="T94" s="0" t="n">
        <v>50.65</v>
      </c>
      <c r="U94" s="0" t="n">
        <v>736</v>
      </c>
      <c r="V94" s="0" t="n">
        <v>1</v>
      </c>
      <c r="W94" s="0" t="str">
        <f aca="false">IF(OR(AND(B94&gt;=1,B94&lt;=6),B94=10),"Vaca em lactação",IF(I94="Male","Macho",IF(E94&gt;=1,"Vaca seca",IF(I94="Youngstock","Bezerra/recria","Novilha"))))</f>
        <v>Vaca em lactação</v>
      </c>
      <c r="X94" s="0" t="str">
        <f aca="false">IF(AND(B94&gt;=1,B94&lt;=6),"Tanque",IF(B94=10,"Descarte",""))</f>
        <v>Tanque</v>
      </c>
    </row>
    <row r="95" customFormat="false" ht="15" hidden="false" customHeight="false" outlineLevel="0" collapsed="false">
      <c r="A95" s="22" t="n">
        <v>46309</v>
      </c>
      <c r="B95" s="0" t="n">
        <v>1</v>
      </c>
      <c r="C95" s="0" t="n">
        <v>5955</v>
      </c>
      <c r="D95" s="0" t="n">
        <v>65</v>
      </c>
      <c r="E95" s="0" t="n">
        <v>1</v>
      </c>
      <c r="F95" s="23" t="s">
        <v>155</v>
      </c>
      <c r="G95" s="0" t="n">
        <v>45.9</v>
      </c>
      <c r="H95" s="0" t="n">
        <v>50</v>
      </c>
      <c r="I95" s="23" t="s">
        <v>109</v>
      </c>
      <c r="J95" s="0" t="n">
        <v>65</v>
      </c>
      <c r="P95" s="0" t="n">
        <v>3.29</v>
      </c>
      <c r="Q95" s="0" t="n">
        <v>3.04</v>
      </c>
      <c r="R95" s="0" t="n">
        <v>4392</v>
      </c>
      <c r="S95" s="0" t="n">
        <v>8829</v>
      </c>
      <c r="U95" s="0" t="n">
        <v>735</v>
      </c>
      <c r="V95" s="0" t="n">
        <v>0</v>
      </c>
      <c r="W95" s="0" t="str">
        <f aca="false">IF(OR(AND(B95&gt;=1,B95&lt;=6),B95=10),"Vaca em lactação",IF(I95="Male","Macho",IF(E95&gt;=1,"Vaca seca",IF(I95="Youngstock","Bezerra/recria","Novilha"))))</f>
        <v>Vaca em lactação</v>
      </c>
      <c r="X95" s="0" t="str">
        <f aca="false">IF(AND(B95&gt;=1,B95&lt;=6),"Tanque",IF(B95=10,"Descarte",""))</f>
        <v>Tanque</v>
      </c>
    </row>
    <row r="96" customFormat="false" ht="15" hidden="false" customHeight="false" outlineLevel="0" collapsed="false">
      <c r="A96" s="22" t="n">
        <v>46309</v>
      </c>
      <c r="B96" s="0" t="n">
        <v>1</v>
      </c>
      <c r="C96" s="0" t="n">
        <v>5959</v>
      </c>
      <c r="D96" s="0" t="n">
        <v>90</v>
      </c>
      <c r="E96" s="0" t="n">
        <v>1</v>
      </c>
      <c r="F96" s="23" t="s">
        <v>155</v>
      </c>
      <c r="G96" s="0" t="n">
        <v>56.7</v>
      </c>
      <c r="H96" s="0" t="n">
        <v>57</v>
      </c>
      <c r="I96" s="23" t="s">
        <v>97</v>
      </c>
      <c r="J96" s="0" t="n">
        <v>90</v>
      </c>
      <c r="K96" s="0" t="n">
        <v>69</v>
      </c>
      <c r="P96" s="0" t="n">
        <v>3.37</v>
      </c>
      <c r="Q96" s="0" t="n">
        <v>3.08</v>
      </c>
      <c r="R96" s="0" t="n">
        <v>4891</v>
      </c>
      <c r="S96" s="0" t="n">
        <v>9833</v>
      </c>
      <c r="U96" s="0" t="n">
        <v>735</v>
      </c>
      <c r="V96" s="0" t="n">
        <v>2</v>
      </c>
      <c r="W96" s="0" t="str">
        <f aca="false">IF(OR(AND(B96&gt;=1,B96&lt;=6),B96=10),"Vaca em lactação",IF(I96="Male","Macho",IF(E96&gt;=1,"Vaca seca",IF(I96="Youngstock","Bezerra/recria","Novilha"))))</f>
        <v>Vaca em lactação</v>
      </c>
      <c r="X96" s="0" t="str">
        <f aca="false">IF(AND(B96&gt;=1,B96&lt;=6),"Tanque",IF(B96=10,"Descarte",""))</f>
        <v>Tanque</v>
      </c>
    </row>
    <row r="97" customFormat="false" ht="15" hidden="false" customHeight="false" outlineLevel="0" collapsed="false">
      <c r="A97" s="22" t="n">
        <v>46309</v>
      </c>
      <c r="B97" s="0" t="n">
        <v>1</v>
      </c>
      <c r="C97" s="0" t="n">
        <v>5961</v>
      </c>
      <c r="D97" s="0" t="n">
        <v>49</v>
      </c>
      <c r="E97" s="0" t="n">
        <v>1</v>
      </c>
      <c r="F97" s="23" t="s">
        <v>156</v>
      </c>
      <c r="G97" s="0" t="n">
        <v>46.4</v>
      </c>
      <c r="H97" s="0" t="n">
        <v>47</v>
      </c>
      <c r="I97" s="23" t="s">
        <v>94</v>
      </c>
      <c r="J97" s="0" t="n">
        <v>49</v>
      </c>
      <c r="P97" s="0" t="n">
        <v>4.02</v>
      </c>
      <c r="Q97" s="0" t="n">
        <v>2.92</v>
      </c>
      <c r="R97" s="0" t="n">
        <v>4153</v>
      </c>
      <c r="S97" s="0" t="n">
        <v>8348</v>
      </c>
      <c r="U97" s="0" t="n">
        <v>734</v>
      </c>
      <c r="V97" s="0" t="n">
        <v>0</v>
      </c>
      <c r="W97" s="0" t="str">
        <f aca="false">IF(OR(AND(B97&gt;=1,B97&lt;=6),B97=10),"Vaca em lactação",IF(I97="Male","Macho",IF(E97&gt;=1,"Vaca seca",IF(I97="Youngstock","Bezerra/recria","Novilha"))))</f>
        <v>Vaca em lactação</v>
      </c>
      <c r="X97" s="0" t="str">
        <f aca="false">IF(AND(B97&gt;=1,B97&lt;=6),"Tanque",IF(B97=10,"Descarte",""))</f>
        <v>Tanque</v>
      </c>
    </row>
    <row r="98" customFormat="false" ht="15" hidden="false" customHeight="false" outlineLevel="0" collapsed="false">
      <c r="A98" s="22" t="n">
        <v>46309</v>
      </c>
      <c r="B98" s="0" t="n">
        <v>1</v>
      </c>
      <c r="C98" s="0" t="n">
        <v>5960</v>
      </c>
      <c r="D98" s="0" t="n">
        <v>48</v>
      </c>
      <c r="E98" s="0" t="n">
        <v>1</v>
      </c>
      <c r="F98" s="23" t="s">
        <v>156</v>
      </c>
      <c r="G98" s="0" t="n">
        <v>52</v>
      </c>
      <c r="H98" s="0" t="n">
        <v>50</v>
      </c>
      <c r="I98" s="23" t="s">
        <v>94</v>
      </c>
      <c r="J98" s="0" t="n">
        <v>48</v>
      </c>
      <c r="P98" s="0" t="n">
        <v>3.6</v>
      </c>
      <c r="Q98" s="0" t="n">
        <v>3.17</v>
      </c>
      <c r="R98" s="0" t="n">
        <v>3930</v>
      </c>
      <c r="S98" s="0" t="n">
        <v>7900</v>
      </c>
      <c r="U98" s="0" t="n">
        <v>734</v>
      </c>
      <c r="V98" s="0" t="n">
        <v>0</v>
      </c>
      <c r="W98" s="0" t="str">
        <f aca="false">IF(OR(AND(B98&gt;=1,B98&lt;=6),B98=10),"Vaca em lactação",IF(I98="Male","Macho",IF(E98&gt;=1,"Vaca seca",IF(I98="Youngstock","Bezerra/recria","Novilha"))))</f>
        <v>Vaca em lactação</v>
      </c>
      <c r="X98" s="0" t="str">
        <f aca="false">IF(AND(B98&gt;=1,B98&lt;=6),"Tanque",IF(B98=10,"Descarte",""))</f>
        <v>Tanque</v>
      </c>
    </row>
    <row r="99" customFormat="false" ht="15" hidden="false" customHeight="false" outlineLevel="0" collapsed="false">
      <c r="A99" s="22" t="n">
        <v>46309</v>
      </c>
      <c r="B99" s="0" t="n">
        <v>1</v>
      </c>
      <c r="C99" s="0" t="n">
        <v>5965</v>
      </c>
      <c r="D99" s="0" t="n">
        <v>19</v>
      </c>
      <c r="E99" s="0" t="n">
        <v>1</v>
      </c>
      <c r="F99" s="23" t="s">
        <v>157</v>
      </c>
      <c r="G99" s="0" t="n">
        <v>33.3</v>
      </c>
      <c r="H99" s="0" t="n">
        <v>33</v>
      </c>
      <c r="I99" s="23" t="s">
        <v>94</v>
      </c>
      <c r="J99" s="0" t="n">
        <v>19</v>
      </c>
      <c r="R99" s="0" t="n">
        <v>2848</v>
      </c>
      <c r="S99" s="0" t="n">
        <v>5726</v>
      </c>
      <c r="U99" s="0" t="n">
        <v>733</v>
      </c>
      <c r="V99" s="0" t="n">
        <v>0</v>
      </c>
      <c r="W99" s="0" t="str">
        <f aca="false">IF(OR(AND(B99&gt;=1,B99&lt;=6),B99=10),"Vaca em lactação",IF(I99="Male","Macho",IF(E99&gt;=1,"Vaca seca",IF(I99="Youngstock","Bezerra/recria","Novilha"))))</f>
        <v>Vaca em lactação</v>
      </c>
      <c r="X99" s="0" t="str">
        <f aca="false">IF(AND(B99&gt;=1,B99&lt;=6),"Tanque",IF(B99=10,"Descarte",""))</f>
        <v>Tanque</v>
      </c>
    </row>
    <row r="100" customFormat="false" ht="15" hidden="false" customHeight="false" outlineLevel="0" collapsed="false">
      <c r="A100" s="22" t="n">
        <v>46309</v>
      </c>
      <c r="B100" s="0" t="n">
        <v>1</v>
      </c>
      <c r="C100" s="0" t="n">
        <v>5969</v>
      </c>
      <c r="D100" s="0" t="n">
        <v>15</v>
      </c>
      <c r="E100" s="0" t="n">
        <v>1</v>
      </c>
      <c r="F100" s="23" t="s">
        <v>158</v>
      </c>
      <c r="G100" s="0" t="n">
        <v>21.6</v>
      </c>
      <c r="H100" s="0" t="n">
        <v>20</v>
      </c>
      <c r="I100" s="23" t="s">
        <v>94</v>
      </c>
      <c r="J100" s="0" t="n">
        <v>15</v>
      </c>
      <c r="R100" s="0" t="n">
        <v>1849</v>
      </c>
      <c r="S100" s="0" t="n">
        <v>3717</v>
      </c>
      <c r="U100" s="0" t="n">
        <v>731</v>
      </c>
      <c r="V100" s="0" t="n">
        <v>0</v>
      </c>
      <c r="W100" s="0" t="str">
        <f aca="false">IF(OR(AND(B100&gt;=1,B100&lt;=6),B100=10),"Vaca em lactação",IF(I100="Male","Macho",IF(E100&gt;=1,"Vaca seca",IF(I100="Youngstock","Bezerra/recria","Novilha"))))</f>
        <v>Vaca em lactação</v>
      </c>
      <c r="X100" s="0" t="str">
        <f aca="false">IF(AND(B100&gt;=1,B100&lt;=6),"Tanque",IF(B100=10,"Descarte",""))</f>
        <v>Tanque</v>
      </c>
    </row>
    <row r="101" customFormat="false" ht="15" hidden="false" customHeight="false" outlineLevel="0" collapsed="false">
      <c r="A101" s="22" t="n">
        <v>46309</v>
      </c>
      <c r="B101" s="0" t="n">
        <v>1</v>
      </c>
      <c r="C101" s="0" t="n">
        <v>5966</v>
      </c>
      <c r="D101" s="0" t="n">
        <v>82</v>
      </c>
      <c r="E101" s="0" t="n">
        <v>1</v>
      </c>
      <c r="F101" s="23" t="s">
        <v>159</v>
      </c>
      <c r="G101" s="0" t="n">
        <v>52.3</v>
      </c>
      <c r="H101" s="0" t="n">
        <v>56</v>
      </c>
      <c r="I101" s="23" t="s">
        <v>97</v>
      </c>
      <c r="J101" s="0" t="n">
        <v>82</v>
      </c>
      <c r="K101" s="0" t="n">
        <v>68</v>
      </c>
      <c r="P101" s="0" t="n">
        <v>3.71</v>
      </c>
      <c r="Q101" s="0" t="n">
        <v>2.88</v>
      </c>
      <c r="R101" s="0" t="n">
        <v>4673</v>
      </c>
      <c r="S101" s="0" t="n">
        <v>9395</v>
      </c>
      <c r="U101" s="0" t="n">
        <v>732</v>
      </c>
      <c r="V101" s="0" t="n">
        <v>1</v>
      </c>
      <c r="W101" s="0" t="str">
        <f aca="false">IF(OR(AND(B101&gt;=1,B101&lt;=6),B101=10),"Vaca em lactação",IF(I101="Male","Macho",IF(E101&gt;=1,"Vaca seca",IF(I101="Youngstock","Bezerra/recria","Novilha"))))</f>
        <v>Vaca em lactação</v>
      </c>
      <c r="X101" s="0" t="str">
        <f aca="false">IF(AND(B101&gt;=1,B101&lt;=6),"Tanque",IF(B101=10,"Descarte",""))</f>
        <v>Tanque</v>
      </c>
    </row>
    <row r="102" customFormat="false" ht="15" hidden="false" customHeight="false" outlineLevel="0" collapsed="false">
      <c r="A102" s="22" t="n">
        <v>46309</v>
      </c>
      <c r="B102" s="0" t="n">
        <v>1</v>
      </c>
      <c r="C102" s="0" t="n">
        <v>5971</v>
      </c>
      <c r="D102" s="0" t="n">
        <v>102</v>
      </c>
      <c r="E102" s="0" t="n">
        <v>1</v>
      </c>
      <c r="F102" s="23" t="s">
        <v>160</v>
      </c>
      <c r="G102" s="0" t="n">
        <v>59.8</v>
      </c>
      <c r="H102" s="0" t="n">
        <v>58</v>
      </c>
      <c r="I102" s="23" t="s">
        <v>92</v>
      </c>
      <c r="J102" s="0" t="n">
        <v>67</v>
      </c>
      <c r="K102" s="0" t="n">
        <v>67</v>
      </c>
      <c r="L102" s="0" t="n">
        <v>35</v>
      </c>
      <c r="P102" s="0" t="n">
        <v>3.55</v>
      </c>
      <c r="Q102" s="0" t="n">
        <v>2.95</v>
      </c>
      <c r="R102" s="0" t="n">
        <v>4699</v>
      </c>
      <c r="S102" s="0" t="n">
        <v>9492</v>
      </c>
      <c r="T102" s="0" t="n">
        <v>54</v>
      </c>
      <c r="U102" s="0" t="n">
        <v>730</v>
      </c>
      <c r="V102" s="0" t="n">
        <v>1</v>
      </c>
      <c r="W102" s="0" t="str">
        <f aca="false">IF(OR(AND(B102&gt;=1,B102&lt;=6),B102=10),"Vaca em lactação",IF(I102="Male","Macho",IF(E102&gt;=1,"Vaca seca",IF(I102="Youngstock","Bezerra/recria","Novilha"))))</f>
        <v>Vaca em lactação</v>
      </c>
      <c r="X102" s="0" t="str">
        <f aca="false">IF(AND(B102&gt;=1,B102&lt;=6),"Tanque",IF(B102=10,"Descarte",""))</f>
        <v>Tanque</v>
      </c>
    </row>
    <row r="103" customFormat="false" ht="15" hidden="false" customHeight="false" outlineLevel="0" collapsed="false">
      <c r="A103" s="22" t="n">
        <v>46309</v>
      </c>
      <c r="B103" s="0" t="n">
        <v>1</v>
      </c>
      <c r="C103" s="0" t="n">
        <v>5973</v>
      </c>
      <c r="D103" s="0" t="n">
        <v>93</v>
      </c>
      <c r="E103" s="0" t="n">
        <v>1</v>
      </c>
      <c r="F103" s="23" t="s">
        <v>160</v>
      </c>
      <c r="G103" s="0" t="n">
        <v>51.8</v>
      </c>
      <c r="H103" s="0" t="n">
        <v>54</v>
      </c>
      <c r="I103" s="23" t="s">
        <v>97</v>
      </c>
      <c r="J103" s="0" t="n">
        <v>93</v>
      </c>
      <c r="K103" s="0" t="n">
        <v>65</v>
      </c>
      <c r="P103" s="0" t="n">
        <v>3.23</v>
      </c>
      <c r="Q103" s="0" t="n">
        <v>3.44</v>
      </c>
      <c r="R103" s="0" t="n">
        <v>4858</v>
      </c>
      <c r="S103" s="0" t="n">
        <v>9766</v>
      </c>
      <c r="T103" s="0" t="n">
        <v>52.7</v>
      </c>
      <c r="U103" s="0" t="n">
        <v>730</v>
      </c>
      <c r="V103" s="0" t="n">
        <v>1</v>
      </c>
      <c r="W103" s="0" t="str">
        <f aca="false">IF(OR(AND(B103&gt;=1,B103&lt;=6),B103=10),"Vaca em lactação",IF(I103="Male","Macho",IF(E103&gt;=1,"Vaca seca",IF(I103="Youngstock","Bezerra/recria","Novilha"))))</f>
        <v>Vaca em lactação</v>
      </c>
      <c r="X103" s="0" t="str">
        <f aca="false">IF(AND(B103&gt;=1,B103&lt;=6),"Tanque",IF(B103=10,"Descarte",""))</f>
        <v>Tanque</v>
      </c>
    </row>
    <row r="104" customFormat="false" ht="15" hidden="false" customHeight="false" outlineLevel="0" collapsed="false">
      <c r="A104" s="22" t="n">
        <v>46309</v>
      </c>
      <c r="B104" s="0" t="n">
        <v>1</v>
      </c>
      <c r="C104" s="0" t="n">
        <v>5923</v>
      </c>
      <c r="D104" s="0" t="n">
        <v>75</v>
      </c>
      <c r="E104" s="0" t="n">
        <v>1</v>
      </c>
      <c r="F104" s="23" t="s">
        <v>161</v>
      </c>
      <c r="G104" s="0" t="n">
        <v>52.8</v>
      </c>
      <c r="H104" s="0" t="n">
        <v>52</v>
      </c>
      <c r="I104" s="23" t="s">
        <v>97</v>
      </c>
      <c r="J104" s="0" t="n">
        <v>75</v>
      </c>
      <c r="K104" s="0" t="n">
        <v>68</v>
      </c>
      <c r="P104" s="0" t="n">
        <v>3.65</v>
      </c>
      <c r="Q104" s="0" t="n">
        <v>3.16</v>
      </c>
      <c r="R104" s="0" t="n">
        <v>4784</v>
      </c>
      <c r="S104" s="0" t="n">
        <v>9617</v>
      </c>
      <c r="U104" s="0" t="n">
        <v>744</v>
      </c>
      <c r="V104" s="0" t="n">
        <v>1</v>
      </c>
      <c r="W104" s="0" t="str">
        <f aca="false">IF(OR(AND(B104&gt;=1,B104&lt;=6),B104=10),"Vaca em lactação",IF(I104="Male","Macho",IF(E104&gt;=1,"Vaca seca",IF(I104="Youngstock","Bezerra/recria","Novilha"))))</f>
        <v>Vaca em lactação</v>
      </c>
      <c r="X104" s="0" t="str">
        <f aca="false">IF(AND(B104&gt;=1,B104&lt;=6),"Tanque",IF(B104=10,"Descarte",""))</f>
        <v>Tanque</v>
      </c>
    </row>
    <row r="105" customFormat="false" ht="15" hidden="false" customHeight="false" outlineLevel="0" collapsed="false">
      <c r="A105" s="22" t="n">
        <v>46309</v>
      </c>
      <c r="B105" s="0" t="n">
        <v>1</v>
      </c>
      <c r="C105" s="0" t="n">
        <v>5926</v>
      </c>
      <c r="D105" s="0" t="n">
        <v>84</v>
      </c>
      <c r="E105" s="0" t="n">
        <v>1</v>
      </c>
      <c r="F105" s="23" t="s">
        <v>161</v>
      </c>
      <c r="G105" s="0" t="n">
        <v>50.9</v>
      </c>
      <c r="H105" s="0" t="n">
        <v>48</v>
      </c>
      <c r="I105" s="23" t="s">
        <v>97</v>
      </c>
      <c r="J105" s="0" t="n">
        <v>84</v>
      </c>
      <c r="K105" s="0" t="n">
        <v>63</v>
      </c>
      <c r="P105" s="0" t="n">
        <v>3.21</v>
      </c>
      <c r="Q105" s="0" t="n">
        <v>3.11</v>
      </c>
      <c r="R105" s="0" t="n">
        <v>4341</v>
      </c>
      <c r="S105" s="0" t="n">
        <v>8726</v>
      </c>
      <c r="U105" s="0" t="n">
        <v>744</v>
      </c>
      <c r="V105" s="0" t="n">
        <v>1</v>
      </c>
      <c r="W105" s="0" t="str">
        <f aca="false">IF(OR(AND(B105&gt;=1,B105&lt;=6),B105=10),"Vaca em lactação",IF(I105="Male","Macho",IF(E105&gt;=1,"Vaca seca",IF(I105="Youngstock","Bezerra/recria","Novilha"))))</f>
        <v>Vaca em lactação</v>
      </c>
      <c r="X105" s="0" t="str">
        <f aca="false">IF(AND(B105&gt;=1,B105&lt;=6),"Tanque",IF(B105=10,"Descarte",""))</f>
        <v>Tanque</v>
      </c>
    </row>
    <row r="106" customFormat="false" ht="15" hidden="false" customHeight="false" outlineLevel="0" collapsed="false">
      <c r="A106" s="22" t="n">
        <v>46309</v>
      </c>
      <c r="B106" s="0" t="n">
        <v>1</v>
      </c>
      <c r="C106" s="0" t="n">
        <v>5927</v>
      </c>
      <c r="D106" s="0" t="n">
        <v>74</v>
      </c>
      <c r="E106" s="0" t="n">
        <v>1</v>
      </c>
      <c r="F106" s="23" t="s">
        <v>162</v>
      </c>
      <c r="G106" s="0" t="n">
        <v>47.3</v>
      </c>
      <c r="H106" s="0" t="n">
        <v>52</v>
      </c>
      <c r="I106" s="23" t="s">
        <v>97</v>
      </c>
      <c r="J106" s="0" t="n">
        <v>74</v>
      </c>
      <c r="K106" s="0" t="n">
        <v>67</v>
      </c>
      <c r="P106" s="0" t="n">
        <v>3.26</v>
      </c>
      <c r="Q106" s="0" t="n">
        <v>2.93</v>
      </c>
      <c r="R106" s="0" t="n">
        <v>4416</v>
      </c>
      <c r="S106" s="0" t="n">
        <v>8877</v>
      </c>
      <c r="U106" s="0" t="n">
        <v>743</v>
      </c>
      <c r="V106" s="0" t="n">
        <v>1</v>
      </c>
      <c r="W106" s="0" t="str">
        <f aca="false">IF(OR(AND(B106&gt;=1,B106&lt;=6),B106=10),"Vaca em lactação",IF(I106="Male","Macho",IF(E106&gt;=1,"Vaca seca",IF(I106="Youngstock","Bezerra/recria","Novilha"))))</f>
        <v>Vaca em lactação</v>
      </c>
      <c r="X106" s="0" t="str">
        <f aca="false">IF(AND(B106&gt;=1,B106&lt;=6),"Tanque",IF(B106=10,"Descarte",""))</f>
        <v>Tanque</v>
      </c>
    </row>
    <row r="107" customFormat="false" ht="15" hidden="false" customHeight="false" outlineLevel="0" collapsed="false">
      <c r="A107" s="22" t="n">
        <v>46309</v>
      </c>
      <c r="B107" s="0" t="n">
        <v>1</v>
      </c>
      <c r="C107" s="0" t="n">
        <v>5924</v>
      </c>
      <c r="D107" s="0" t="n">
        <v>106</v>
      </c>
      <c r="E107" s="0" t="n">
        <v>1</v>
      </c>
      <c r="F107" s="23" t="s">
        <v>161</v>
      </c>
      <c r="G107" s="0" t="n">
        <v>51.6</v>
      </c>
      <c r="H107" s="0" t="n">
        <v>52</v>
      </c>
      <c r="I107" s="23" t="s">
        <v>97</v>
      </c>
      <c r="J107" s="0" t="n">
        <v>106</v>
      </c>
      <c r="K107" s="0" t="n">
        <v>64</v>
      </c>
      <c r="P107" s="0" t="n">
        <v>3.05</v>
      </c>
      <c r="Q107" s="0" t="n">
        <v>3.24</v>
      </c>
      <c r="R107" s="0" t="n">
        <v>4724</v>
      </c>
      <c r="S107" s="0" t="n">
        <v>9549</v>
      </c>
      <c r="T107" s="0" t="n">
        <v>53.7</v>
      </c>
      <c r="U107" s="0" t="n">
        <v>744</v>
      </c>
      <c r="V107" s="0" t="n">
        <v>2</v>
      </c>
      <c r="W107" s="0" t="str">
        <f aca="false">IF(OR(AND(B107&gt;=1,B107&lt;=6),B107=10),"Vaca em lactação",IF(I107="Male","Macho",IF(E107&gt;=1,"Vaca seca",IF(I107="Youngstock","Bezerra/recria","Novilha"))))</f>
        <v>Vaca em lactação</v>
      </c>
      <c r="X107" s="0" t="str">
        <f aca="false">IF(AND(B107&gt;=1,B107&lt;=6),"Tanque",IF(B107=10,"Descarte",""))</f>
        <v>Tanque</v>
      </c>
    </row>
    <row r="108" customFormat="false" ht="15" hidden="false" customHeight="false" outlineLevel="0" collapsed="false">
      <c r="A108" s="22" t="n">
        <v>46309</v>
      </c>
      <c r="B108" s="0" t="n">
        <v>1</v>
      </c>
      <c r="C108" s="0" t="n">
        <v>5933</v>
      </c>
      <c r="D108" s="0" t="n">
        <v>71</v>
      </c>
      <c r="E108" s="0" t="n">
        <v>1</v>
      </c>
      <c r="F108" s="23" t="s">
        <v>163</v>
      </c>
      <c r="G108" s="0" t="n">
        <v>47.8</v>
      </c>
      <c r="H108" s="0" t="n">
        <v>46</v>
      </c>
      <c r="I108" s="23" t="s">
        <v>97</v>
      </c>
      <c r="J108" s="0" t="n">
        <v>71</v>
      </c>
      <c r="K108" s="0" t="n">
        <v>64</v>
      </c>
      <c r="P108" s="0" t="n">
        <v>4.3</v>
      </c>
      <c r="Q108" s="0" t="n">
        <v>3.22</v>
      </c>
      <c r="R108" s="0" t="n">
        <v>4618</v>
      </c>
      <c r="S108" s="0" t="n">
        <v>9284</v>
      </c>
      <c r="U108" s="0" t="n">
        <v>741</v>
      </c>
      <c r="V108" s="0" t="n">
        <v>1</v>
      </c>
      <c r="W108" s="0" t="str">
        <f aca="false">IF(OR(AND(B108&gt;=1,B108&lt;=6),B108=10),"Vaca em lactação",IF(I108="Male","Macho",IF(E108&gt;=1,"Vaca seca",IF(I108="Youngstock","Bezerra/recria","Novilha"))))</f>
        <v>Vaca em lactação</v>
      </c>
      <c r="X108" s="0" t="str">
        <f aca="false">IF(AND(B108&gt;=1,B108&lt;=6),"Tanque",IF(B108=10,"Descarte",""))</f>
        <v>Tanque</v>
      </c>
    </row>
    <row r="109" customFormat="false" ht="15" hidden="false" customHeight="false" outlineLevel="0" collapsed="false">
      <c r="A109" s="22" t="n">
        <v>46309</v>
      </c>
      <c r="B109" s="0" t="n">
        <v>1</v>
      </c>
      <c r="C109" s="0" t="n">
        <v>5932</v>
      </c>
      <c r="D109" s="0" t="n">
        <v>95</v>
      </c>
      <c r="E109" s="0" t="n">
        <v>1</v>
      </c>
      <c r="F109" s="23" t="s">
        <v>163</v>
      </c>
      <c r="G109" s="0" t="n">
        <v>55</v>
      </c>
      <c r="H109" s="0" t="n">
        <v>54</v>
      </c>
      <c r="I109" s="23" t="s">
        <v>97</v>
      </c>
      <c r="J109" s="0" t="n">
        <v>95</v>
      </c>
      <c r="K109" s="0" t="n">
        <v>67</v>
      </c>
      <c r="P109" s="0" t="n">
        <v>3.93</v>
      </c>
      <c r="Q109" s="0" t="n">
        <v>2.98</v>
      </c>
      <c r="R109" s="0" t="n">
        <v>4594</v>
      </c>
      <c r="S109" s="0" t="n">
        <v>9234</v>
      </c>
      <c r="T109" s="0" t="n">
        <v>49.3</v>
      </c>
      <c r="U109" s="0" t="n">
        <v>741</v>
      </c>
      <c r="V109" s="0" t="n">
        <v>2</v>
      </c>
      <c r="W109" s="0" t="str">
        <f aca="false">IF(OR(AND(B109&gt;=1,B109&lt;=6),B109=10),"Vaca em lactação",IF(I109="Male","Macho",IF(E109&gt;=1,"Vaca seca",IF(I109="Youngstock","Bezerra/recria","Novilha"))))</f>
        <v>Vaca em lactação</v>
      </c>
      <c r="X109" s="0" t="str">
        <f aca="false">IF(AND(B109&gt;=1,B109&lt;=6),"Tanque",IF(B109=10,"Descarte",""))</f>
        <v>Tanque</v>
      </c>
    </row>
    <row r="110" customFormat="false" ht="15" hidden="false" customHeight="false" outlineLevel="0" collapsed="false">
      <c r="A110" s="22" t="n">
        <v>46309</v>
      </c>
      <c r="B110" s="0" t="n">
        <v>1</v>
      </c>
      <c r="C110" s="0" t="n">
        <v>5931</v>
      </c>
      <c r="D110" s="0" t="n">
        <v>65</v>
      </c>
      <c r="E110" s="0" t="n">
        <v>1</v>
      </c>
      <c r="F110" s="23" t="s">
        <v>163</v>
      </c>
      <c r="G110" s="0" t="n">
        <v>53.3</v>
      </c>
      <c r="H110" s="0" t="n">
        <v>47</v>
      </c>
      <c r="I110" s="23" t="s">
        <v>97</v>
      </c>
      <c r="J110" s="0" t="n">
        <v>65</v>
      </c>
      <c r="K110" s="0" t="n">
        <v>65</v>
      </c>
      <c r="P110" s="0" t="n">
        <v>3.33</v>
      </c>
      <c r="Q110" s="0" t="n">
        <v>3.13</v>
      </c>
      <c r="R110" s="0" t="n">
        <v>4102</v>
      </c>
      <c r="S110" s="0" t="n">
        <v>8246</v>
      </c>
      <c r="U110" s="0" t="n">
        <v>741</v>
      </c>
      <c r="V110" s="0" t="n">
        <v>1</v>
      </c>
      <c r="W110" s="0" t="str">
        <f aca="false">IF(OR(AND(B110&gt;=1,B110&lt;=6),B110=10),"Vaca em lactação",IF(I110="Male","Macho",IF(E110&gt;=1,"Vaca seca",IF(I110="Youngstock","Bezerra/recria","Novilha"))))</f>
        <v>Vaca em lactação</v>
      </c>
      <c r="X110" s="0" t="str">
        <f aca="false">IF(AND(B110&gt;=1,B110&lt;=6),"Tanque",IF(B110=10,"Descarte",""))</f>
        <v>Tanque</v>
      </c>
    </row>
    <row r="111" customFormat="false" ht="15" hidden="false" customHeight="false" outlineLevel="0" collapsed="false">
      <c r="A111" s="22" t="n">
        <v>46309</v>
      </c>
      <c r="B111" s="0" t="n">
        <v>1</v>
      </c>
      <c r="C111" s="0" t="n">
        <v>5929</v>
      </c>
      <c r="D111" s="0" t="n">
        <v>102</v>
      </c>
      <c r="E111" s="0" t="n">
        <v>1</v>
      </c>
      <c r="F111" s="23" t="s">
        <v>164</v>
      </c>
      <c r="G111" s="0" t="n">
        <v>52.1</v>
      </c>
      <c r="H111" s="0" t="n">
        <v>50</v>
      </c>
      <c r="I111" s="23" t="s">
        <v>92</v>
      </c>
      <c r="J111" s="0" t="n">
        <v>67</v>
      </c>
      <c r="K111" s="0" t="n">
        <v>67</v>
      </c>
      <c r="L111" s="0" t="n">
        <v>35</v>
      </c>
      <c r="P111" s="0" t="n">
        <v>4.9</v>
      </c>
      <c r="Q111" s="0" t="n">
        <v>3.1</v>
      </c>
      <c r="R111" s="0" t="n">
        <v>3567</v>
      </c>
      <c r="S111" s="0" t="n">
        <v>7229</v>
      </c>
      <c r="U111" s="0" t="n">
        <v>742</v>
      </c>
      <c r="V111" s="0" t="n">
        <v>1</v>
      </c>
      <c r="W111" s="0" t="str">
        <f aca="false">IF(OR(AND(B111&gt;=1,B111&lt;=6),B111=10),"Vaca em lactação",IF(I111="Male","Macho",IF(E111&gt;=1,"Vaca seca",IF(I111="Youngstock","Bezerra/recria","Novilha"))))</f>
        <v>Vaca em lactação</v>
      </c>
      <c r="X111" s="0" t="str">
        <f aca="false">IF(AND(B111&gt;=1,B111&lt;=6),"Tanque",IF(B111=10,"Descarte",""))</f>
        <v>Tanque</v>
      </c>
    </row>
    <row r="112" customFormat="false" ht="15" hidden="false" customHeight="false" outlineLevel="0" collapsed="false">
      <c r="A112" s="22" t="n">
        <v>46309</v>
      </c>
      <c r="B112" s="0" t="n">
        <v>1</v>
      </c>
      <c r="C112" s="0" t="n">
        <v>5937</v>
      </c>
      <c r="D112" s="0" t="n">
        <v>46</v>
      </c>
      <c r="E112" s="0" t="n">
        <v>1</v>
      </c>
      <c r="F112" s="23" t="s">
        <v>165</v>
      </c>
      <c r="I112" s="23" t="s">
        <v>94</v>
      </c>
      <c r="J112" s="0" t="n">
        <v>46</v>
      </c>
      <c r="U112" s="0" t="n">
        <v>740</v>
      </c>
      <c r="V112" s="0" t="n">
        <v>0</v>
      </c>
      <c r="W112" s="0" t="str">
        <f aca="false">IF(OR(AND(B112&gt;=1,B112&lt;=6),B112=10),"Vaca em lactação",IF(I112="Male","Macho",IF(E112&gt;=1,"Vaca seca",IF(I112="Youngstock","Bezerra/recria","Novilha"))))</f>
        <v>Vaca em lactação</v>
      </c>
      <c r="X112" s="0" t="str">
        <f aca="false">IF(AND(B112&gt;=1,B112&lt;=6),"Tanque",IF(B112=10,"Descarte",""))</f>
        <v>Tanque</v>
      </c>
    </row>
    <row r="113" customFormat="false" ht="15" hidden="false" customHeight="false" outlineLevel="0" collapsed="false">
      <c r="A113" s="22" t="n">
        <v>46309</v>
      </c>
      <c r="B113" s="0" t="n">
        <v>1</v>
      </c>
      <c r="C113" s="0" t="n">
        <v>5935</v>
      </c>
      <c r="D113" s="0" t="n">
        <v>53</v>
      </c>
      <c r="E113" s="0" t="n">
        <v>1</v>
      </c>
      <c r="F113" s="23" t="s">
        <v>165</v>
      </c>
      <c r="G113" s="0" t="n">
        <v>34.3</v>
      </c>
      <c r="H113" s="0" t="n">
        <v>37</v>
      </c>
      <c r="I113" s="23" t="s">
        <v>94</v>
      </c>
      <c r="J113" s="0" t="n">
        <v>53</v>
      </c>
      <c r="P113" s="0" t="n">
        <v>3.9</v>
      </c>
      <c r="Q113" s="0" t="n">
        <v>3.29</v>
      </c>
      <c r="R113" s="0" t="n">
        <v>2851</v>
      </c>
      <c r="S113" s="0" t="n">
        <v>5731</v>
      </c>
      <c r="U113" s="0" t="n">
        <v>740</v>
      </c>
      <c r="V113" s="0" t="n">
        <v>0</v>
      </c>
      <c r="W113" s="0" t="str">
        <f aca="false">IF(OR(AND(B113&gt;=1,B113&lt;=6),B113=10),"Vaca em lactação",IF(I113="Male","Macho",IF(E113&gt;=1,"Vaca seca",IF(I113="Youngstock","Bezerra/recria","Novilha"))))</f>
        <v>Vaca em lactação</v>
      </c>
      <c r="X113" s="0" t="str">
        <f aca="false">IF(AND(B113&gt;=1,B113&lt;=6),"Tanque",IF(B113=10,"Descarte",""))</f>
        <v>Tanque</v>
      </c>
    </row>
    <row r="114" customFormat="false" ht="15" hidden="false" customHeight="false" outlineLevel="0" collapsed="false">
      <c r="A114" s="22" t="n">
        <v>46309</v>
      </c>
      <c r="B114" s="0" t="n">
        <v>1</v>
      </c>
      <c r="C114" s="0" t="n">
        <v>5934</v>
      </c>
      <c r="D114" s="0" t="n">
        <v>58</v>
      </c>
      <c r="E114" s="0" t="n">
        <v>1</v>
      </c>
      <c r="F114" s="23" t="s">
        <v>165</v>
      </c>
      <c r="G114" s="0" t="n">
        <v>42</v>
      </c>
      <c r="H114" s="0" t="n">
        <v>38</v>
      </c>
      <c r="I114" s="23" t="s">
        <v>94</v>
      </c>
      <c r="J114" s="0" t="n">
        <v>58</v>
      </c>
      <c r="P114" s="0" t="n">
        <v>3.63</v>
      </c>
      <c r="Q114" s="0" t="n">
        <v>2.96</v>
      </c>
      <c r="R114" s="0" t="n">
        <v>4114</v>
      </c>
      <c r="S114" s="0" t="n">
        <v>8270</v>
      </c>
      <c r="U114" s="0" t="n">
        <v>740</v>
      </c>
      <c r="V114" s="0" t="n">
        <v>0</v>
      </c>
      <c r="W114" s="0" t="str">
        <f aca="false">IF(OR(AND(B114&gt;=1,B114&lt;=6),B114=10),"Vaca em lactação",IF(I114="Male","Macho",IF(E114&gt;=1,"Vaca seca",IF(I114="Youngstock","Bezerra/recria","Novilha"))))</f>
        <v>Vaca em lactação</v>
      </c>
      <c r="X114" s="0" t="str">
        <f aca="false">IF(AND(B114&gt;=1,B114&lt;=6),"Tanque",IF(B114=10,"Descarte",""))</f>
        <v>Tanque</v>
      </c>
    </row>
    <row r="115" customFormat="false" ht="15" hidden="false" customHeight="false" outlineLevel="0" collapsed="false">
      <c r="A115" s="22" t="n">
        <v>46309</v>
      </c>
      <c r="B115" s="0" t="n">
        <v>1</v>
      </c>
      <c r="C115" s="0" t="n">
        <v>5941</v>
      </c>
      <c r="D115" s="0" t="n">
        <v>108</v>
      </c>
      <c r="E115" s="0" t="n">
        <v>1</v>
      </c>
      <c r="F115" s="23" t="s">
        <v>166</v>
      </c>
      <c r="G115" s="0" t="n">
        <v>39.1</v>
      </c>
      <c r="H115" s="0" t="n">
        <v>42</v>
      </c>
      <c r="I115" s="23" t="s">
        <v>97</v>
      </c>
      <c r="J115" s="0" t="n">
        <v>108</v>
      </c>
      <c r="K115" s="0" t="n">
        <v>66</v>
      </c>
      <c r="P115" s="0" t="n">
        <v>3.47</v>
      </c>
      <c r="Q115" s="0" t="n">
        <v>3.19</v>
      </c>
      <c r="R115" s="0" t="n">
        <v>3057</v>
      </c>
      <c r="S115" s="0" t="n">
        <v>6348</v>
      </c>
      <c r="T115" s="0" t="n">
        <v>36.1</v>
      </c>
      <c r="U115" s="0" t="n">
        <v>739</v>
      </c>
      <c r="V115" s="0" t="n">
        <v>2</v>
      </c>
      <c r="W115" s="0" t="str">
        <f aca="false">IF(OR(AND(B115&gt;=1,B115&lt;=6),B115=10),"Vaca em lactação",IF(I115="Male","Macho",IF(E115&gt;=1,"Vaca seca",IF(I115="Youngstock","Bezerra/recria","Novilha"))))</f>
        <v>Vaca em lactação</v>
      </c>
      <c r="X115" s="0" t="str">
        <f aca="false">IF(AND(B115&gt;=1,B115&lt;=6),"Tanque",IF(B115=10,"Descarte",""))</f>
        <v>Tanque</v>
      </c>
    </row>
    <row r="116" customFormat="false" ht="15" hidden="false" customHeight="false" outlineLevel="0" collapsed="false">
      <c r="A116" s="22" t="n">
        <v>46309</v>
      </c>
      <c r="B116" s="0" t="n">
        <v>1</v>
      </c>
      <c r="C116" s="0" t="n">
        <v>5944</v>
      </c>
      <c r="D116" s="0" t="n">
        <v>42</v>
      </c>
      <c r="E116" s="0" t="n">
        <v>1</v>
      </c>
      <c r="F116" s="23" t="s">
        <v>167</v>
      </c>
      <c r="G116" s="0" t="n">
        <v>43.2</v>
      </c>
      <c r="H116" s="0" t="n">
        <v>45</v>
      </c>
      <c r="I116" s="23" t="s">
        <v>94</v>
      </c>
      <c r="J116" s="0" t="n">
        <v>42</v>
      </c>
      <c r="P116" s="0" t="n">
        <v>4.51</v>
      </c>
      <c r="Q116" s="0" t="n">
        <v>3.4</v>
      </c>
      <c r="R116" s="0" t="n">
        <v>3696</v>
      </c>
      <c r="S116" s="0" t="n">
        <v>7430</v>
      </c>
      <c r="U116" s="0" t="n">
        <v>738</v>
      </c>
      <c r="V116" s="0" t="n">
        <v>0</v>
      </c>
      <c r="W116" s="0" t="str">
        <f aca="false">IF(OR(AND(B116&gt;=1,B116&lt;=6),B116=10),"Vaca em lactação",IF(I116="Male","Macho",IF(E116&gt;=1,"Vaca seca",IF(I116="Youngstock","Bezerra/recria","Novilha"))))</f>
        <v>Vaca em lactação</v>
      </c>
      <c r="X116" s="0" t="str">
        <f aca="false">IF(AND(B116&gt;=1,B116&lt;=6),"Tanque",IF(B116=10,"Descarte",""))</f>
        <v>Tanque</v>
      </c>
    </row>
    <row r="117" customFormat="false" ht="15" hidden="false" customHeight="false" outlineLevel="0" collapsed="false">
      <c r="A117" s="22" t="n">
        <v>46309</v>
      </c>
      <c r="B117" s="0" t="n">
        <v>1</v>
      </c>
      <c r="C117" s="0" t="n">
        <v>5943</v>
      </c>
      <c r="D117" s="0" t="n">
        <v>99</v>
      </c>
      <c r="E117" s="0" t="n">
        <v>1</v>
      </c>
      <c r="F117" s="23" t="s">
        <v>167</v>
      </c>
      <c r="G117" s="0" t="n">
        <v>53.7</v>
      </c>
      <c r="H117" s="0" t="n">
        <v>57</v>
      </c>
      <c r="I117" s="23" t="s">
        <v>109</v>
      </c>
      <c r="J117" s="0" t="n">
        <v>99</v>
      </c>
      <c r="K117" s="0" t="n">
        <v>64</v>
      </c>
      <c r="P117" s="0" t="n">
        <v>3.33</v>
      </c>
      <c r="Q117" s="0" t="n">
        <v>3.07</v>
      </c>
      <c r="R117" s="0" t="n">
        <v>5309</v>
      </c>
      <c r="S117" s="0" t="n">
        <v>10672</v>
      </c>
      <c r="T117" s="0" t="n">
        <v>54.9</v>
      </c>
      <c r="U117" s="0" t="n">
        <v>738</v>
      </c>
      <c r="V117" s="0" t="n">
        <v>1</v>
      </c>
      <c r="W117" s="0" t="str">
        <f aca="false">IF(OR(AND(B117&gt;=1,B117&lt;=6),B117=10),"Vaca em lactação",IF(I117="Male","Macho",IF(E117&gt;=1,"Vaca seca",IF(I117="Youngstock","Bezerra/recria","Novilha"))))</f>
        <v>Vaca em lactação</v>
      </c>
      <c r="X117" s="0" t="str">
        <f aca="false">IF(AND(B117&gt;=1,B117&lt;=6),"Tanque",IF(B117=10,"Descarte",""))</f>
        <v>Tanque</v>
      </c>
    </row>
    <row r="118" customFormat="false" ht="15" hidden="false" customHeight="false" outlineLevel="0" collapsed="false">
      <c r="A118" s="22" t="n">
        <v>46309</v>
      </c>
      <c r="B118" s="0" t="n">
        <v>1</v>
      </c>
      <c r="C118" s="0" t="n">
        <v>5898</v>
      </c>
      <c r="D118" s="0" t="n">
        <v>69</v>
      </c>
      <c r="E118" s="0" t="n">
        <v>1</v>
      </c>
      <c r="F118" s="23" t="s">
        <v>168</v>
      </c>
      <c r="G118" s="0" t="n">
        <v>58.5</v>
      </c>
      <c r="H118" s="0" t="n">
        <v>55</v>
      </c>
      <c r="I118" s="23" t="s">
        <v>97</v>
      </c>
      <c r="J118" s="0" t="n">
        <v>69</v>
      </c>
      <c r="K118" s="0" t="n">
        <v>62</v>
      </c>
      <c r="P118" s="0" t="n">
        <v>4.38</v>
      </c>
      <c r="Q118" s="0" t="n">
        <v>3.19</v>
      </c>
      <c r="R118" s="0" t="n">
        <v>4703</v>
      </c>
      <c r="S118" s="0" t="n">
        <v>9454</v>
      </c>
      <c r="U118" s="0" t="n">
        <v>755</v>
      </c>
      <c r="V118" s="0" t="n">
        <v>1</v>
      </c>
      <c r="W118" s="0" t="str">
        <f aca="false">IF(OR(AND(B118&gt;=1,B118&lt;=6),B118=10),"Vaca em lactação",IF(I118="Male","Macho",IF(E118&gt;=1,"Vaca seca",IF(I118="Youngstock","Bezerra/recria","Novilha"))))</f>
        <v>Vaca em lactação</v>
      </c>
      <c r="X118" s="0" t="str">
        <f aca="false">IF(AND(B118&gt;=1,B118&lt;=6),"Tanque",IF(B118=10,"Descarte",""))</f>
        <v>Tanque</v>
      </c>
    </row>
    <row r="119" customFormat="false" ht="15" hidden="false" customHeight="false" outlineLevel="0" collapsed="false">
      <c r="A119" s="22" t="n">
        <v>46309</v>
      </c>
      <c r="B119" s="0" t="n">
        <v>1</v>
      </c>
      <c r="C119" s="0" t="n">
        <v>5903</v>
      </c>
      <c r="D119" s="0" t="n">
        <v>29</v>
      </c>
      <c r="E119" s="0" t="n">
        <v>1</v>
      </c>
      <c r="F119" s="23" t="s">
        <v>169</v>
      </c>
      <c r="G119" s="0" t="n">
        <v>22.2</v>
      </c>
      <c r="H119" s="0" t="n">
        <v>25</v>
      </c>
      <c r="I119" s="23" t="s">
        <v>94</v>
      </c>
      <c r="J119" s="0" t="n">
        <v>29</v>
      </c>
      <c r="R119" s="0" t="n">
        <v>2568</v>
      </c>
      <c r="S119" s="0" t="n">
        <v>5162</v>
      </c>
      <c r="U119" s="0" t="n">
        <v>754</v>
      </c>
      <c r="V119" s="0" t="n">
        <v>0</v>
      </c>
      <c r="W119" s="0" t="str">
        <f aca="false">IF(OR(AND(B119&gt;=1,B119&lt;=6),B119=10),"Vaca em lactação",IF(I119="Male","Macho",IF(E119&gt;=1,"Vaca seca",IF(I119="Youngstock","Bezerra/recria","Novilha"))))</f>
        <v>Vaca em lactação</v>
      </c>
      <c r="X119" s="0" t="str">
        <f aca="false">IF(AND(B119&gt;=1,B119&lt;=6),"Tanque",IF(B119=10,"Descarte",""))</f>
        <v>Tanque</v>
      </c>
    </row>
    <row r="120" customFormat="false" ht="15" hidden="false" customHeight="false" outlineLevel="0" collapsed="false">
      <c r="A120" s="22" t="n">
        <v>46309</v>
      </c>
      <c r="B120" s="0" t="n">
        <v>1</v>
      </c>
      <c r="C120" s="0" t="n">
        <v>5902</v>
      </c>
      <c r="D120" s="0" t="n">
        <v>78</v>
      </c>
      <c r="E120" s="0" t="n">
        <v>1</v>
      </c>
      <c r="F120" s="23" t="s">
        <v>169</v>
      </c>
      <c r="G120" s="0" t="n">
        <v>49.1</v>
      </c>
      <c r="H120" s="0" t="n">
        <v>46</v>
      </c>
      <c r="I120" s="23" t="s">
        <v>97</v>
      </c>
      <c r="J120" s="0" t="n">
        <v>78</v>
      </c>
      <c r="K120" s="0" t="n">
        <v>64</v>
      </c>
      <c r="P120" s="0" t="n">
        <v>2.86</v>
      </c>
      <c r="Q120" s="0" t="n">
        <v>2.97</v>
      </c>
      <c r="R120" s="0" t="n">
        <v>4063</v>
      </c>
      <c r="S120" s="0" t="n">
        <v>8168</v>
      </c>
      <c r="U120" s="0" t="n">
        <v>754</v>
      </c>
      <c r="V120" s="0" t="n">
        <v>1</v>
      </c>
      <c r="W120" s="0" t="str">
        <f aca="false">IF(OR(AND(B120&gt;=1,B120&lt;=6),B120=10),"Vaca em lactação",IF(I120="Male","Macho",IF(E120&gt;=1,"Vaca seca",IF(I120="Youngstock","Bezerra/recria","Novilha"))))</f>
        <v>Vaca em lactação</v>
      </c>
      <c r="X120" s="0" t="str">
        <f aca="false">IF(AND(B120&gt;=1,B120&lt;=6),"Tanque",IF(B120=10,"Descarte",""))</f>
        <v>Tanque</v>
      </c>
    </row>
    <row r="121" customFormat="false" ht="15" hidden="false" customHeight="false" outlineLevel="0" collapsed="false">
      <c r="A121" s="22" t="n">
        <v>46309</v>
      </c>
      <c r="B121" s="0" t="n">
        <v>1</v>
      </c>
      <c r="C121" s="0" t="n">
        <v>5901</v>
      </c>
      <c r="D121" s="0" t="n">
        <v>110</v>
      </c>
      <c r="E121" s="0" t="n">
        <v>1</v>
      </c>
      <c r="F121" s="23" t="s">
        <v>169</v>
      </c>
      <c r="G121" s="0" t="n">
        <v>47.7</v>
      </c>
      <c r="H121" s="0" t="n">
        <v>49</v>
      </c>
      <c r="I121" s="23" t="s">
        <v>92</v>
      </c>
      <c r="J121" s="0" t="n">
        <v>68</v>
      </c>
      <c r="K121" s="0" t="n">
        <v>68</v>
      </c>
      <c r="L121" s="0" t="n">
        <v>42</v>
      </c>
      <c r="P121" s="0" t="n">
        <v>3.71</v>
      </c>
      <c r="Q121" s="0" t="n">
        <v>3.46</v>
      </c>
      <c r="R121" s="0" t="n">
        <v>3752</v>
      </c>
      <c r="S121" s="0" t="n">
        <v>7770</v>
      </c>
      <c r="T121" s="0" t="n">
        <v>44.15</v>
      </c>
      <c r="U121" s="0" t="n">
        <v>754</v>
      </c>
      <c r="V121" s="0" t="n">
        <v>1</v>
      </c>
      <c r="W121" s="0" t="str">
        <f aca="false">IF(OR(AND(B121&gt;=1,B121&lt;=6),B121=10),"Vaca em lactação",IF(I121="Male","Macho",IF(E121&gt;=1,"Vaca seca",IF(I121="Youngstock","Bezerra/recria","Novilha"))))</f>
        <v>Vaca em lactação</v>
      </c>
      <c r="X121" s="0" t="str">
        <f aca="false">IF(AND(B121&gt;=1,B121&lt;=6),"Tanque",IF(B121=10,"Descarte",""))</f>
        <v>Tanque</v>
      </c>
    </row>
    <row r="122" customFormat="false" ht="15" hidden="false" customHeight="false" outlineLevel="0" collapsed="false">
      <c r="A122" s="22" t="n">
        <v>46309</v>
      </c>
      <c r="B122" s="0" t="n">
        <v>1</v>
      </c>
      <c r="C122" s="0" t="n">
        <v>5900</v>
      </c>
      <c r="D122" s="0" t="n">
        <v>45</v>
      </c>
      <c r="E122" s="0" t="n">
        <v>1</v>
      </c>
      <c r="F122" s="23" t="s">
        <v>169</v>
      </c>
      <c r="G122" s="0" t="n">
        <v>34.5</v>
      </c>
      <c r="H122" s="0" t="n">
        <v>35</v>
      </c>
      <c r="I122" s="23" t="s">
        <v>94</v>
      </c>
      <c r="J122" s="0" t="n">
        <v>45</v>
      </c>
      <c r="P122" s="0" t="n">
        <v>4.98</v>
      </c>
      <c r="Q122" s="0" t="n">
        <v>3.07</v>
      </c>
      <c r="R122" s="0" t="n">
        <v>3276</v>
      </c>
      <c r="S122" s="0" t="n">
        <v>6586</v>
      </c>
      <c r="U122" s="0" t="n">
        <v>754</v>
      </c>
      <c r="V122" s="0" t="n">
        <v>0</v>
      </c>
      <c r="W122" s="0" t="str">
        <f aca="false">IF(OR(AND(B122&gt;=1,B122&lt;=6),B122=10),"Vaca em lactação",IF(I122="Male","Macho",IF(E122&gt;=1,"Vaca seca",IF(I122="Youngstock","Bezerra/recria","Novilha"))))</f>
        <v>Vaca em lactação</v>
      </c>
      <c r="X122" s="0" t="str">
        <f aca="false">IF(AND(B122&gt;=1,B122&lt;=6),"Tanque",IF(B122=10,"Descarte",""))</f>
        <v>Tanque</v>
      </c>
    </row>
    <row r="123" customFormat="false" ht="15" hidden="false" customHeight="false" outlineLevel="0" collapsed="false">
      <c r="A123" s="22" t="n">
        <v>46309</v>
      </c>
      <c r="B123" s="0" t="n">
        <v>1</v>
      </c>
      <c r="C123" s="0" t="n">
        <v>5899</v>
      </c>
      <c r="D123" s="0" t="n">
        <v>37</v>
      </c>
      <c r="E123" s="0" t="n">
        <v>1</v>
      </c>
      <c r="F123" s="23" t="s">
        <v>168</v>
      </c>
      <c r="I123" s="23" t="s">
        <v>94</v>
      </c>
      <c r="J123" s="0" t="n">
        <v>37</v>
      </c>
      <c r="U123" s="0" t="n">
        <v>755</v>
      </c>
      <c r="V123" s="0" t="n">
        <v>0</v>
      </c>
      <c r="W123" s="0" t="str">
        <f aca="false">IF(OR(AND(B123&gt;=1,B123&lt;=6),B123=10),"Vaca em lactação",IF(I123="Male","Macho",IF(E123&gt;=1,"Vaca seca",IF(I123="Youngstock","Bezerra/recria","Novilha"))))</f>
        <v>Vaca em lactação</v>
      </c>
      <c r="X123" s="0" t="str">
        <f aca="false">IF(AND(B123&gt;=1,B123&lt;=6),"Tanque",IF(B123=10,"Descarte",""))</f>
        <v>Tanque</v>
      </c>
    </row>
    <row r="124" customFormat="false" ht="15" hidden="false" customHeight="false" outlineLevel="0" collapsed="false">
      <c r="A124" s="22" t="n">
        <v>46309</v>
      </c>
      <c r="B124" s="0" t="n">
        <v>1</v>
      </c>
      <c r="C124" s="0" t="n">
        <v>5911</v>
      </c>
      <c r="D124" s="0" t="n">
        <v>31</v>
      </c>
      <c r="E124" s="0" t="n">
        <v>1</v>
      </c>
      <c r="F124" s="23" t="s">
        <v>170</v>
      </c>
      <c r="G124" s="0" t="n">
        <v>33.5</v>
      </c>
      <c r="H124" s="0" t="n">
        <v>39</v>
      </c>
      <c r="I124" s="23" t="s">
        <v>94</v>
      </c>
      <c r="J124" s="0" t="n">
        <v>31</v>
      </c>
      <c r="P124" s="0" t="n">
        <v>5.04</v>
      </c>
      <c r="Q124" s="0" t="n">
        <v>3.7</v>
      </c>
      <c r="R124" s="0" t="n">
        <v>3713</v>
      </c>
      <c r="S124" s="0" t="n">
        <v>7464</v>
      </c>
      <c r="U124" s="0" t="n">
        <v>753</v>
      </c>
      <c r="V124" s="0" t="n">
        <v>0</v>
      </c>
      <c r="W124" s="0" t="str">
        <f aca="false">IF(OR(AND(B124&gt;=1,B124&lt;=6),B124=10),"Vaca em lactação",IF(I124="Male","Macho",IF(E124&gt;=1,"Vaca seca",IF(I124="Youngstock","Bezerra/recria","Novilha"))))</f>
        <v>Vaca em lactação</v>
      </c>
      <c r="X124" s="0" t="str">
        <f aca="false">IF(AND(B124&gt;=1,B124&lt;=6),"Tanque",IF(B124=10,"Descarte",""))</f>
        <v>Tanque</v>
      </c>
    </row>
    <row r="125" customFormat="false" ht="15" hidden="false" customHeight="false" outlineLevel="0" collapsed="false">
      <c r="A125" s="22" t="n">
        <v>46309</v>
      </c>
      <c r="B125" s="0" t="n">
        <v>1</v>
      </c>
      <c r="C125" s="0" t="n">
        <v>5910</v>
      </c>
      <c r="D125" s="0" t="n">
        <v>68</v>
      </c>
      <c r="E125" s="0" t="n">
        <v>1</v>
      </c>
      <c r="F125" s="23" t="s">
        <v>170</v>
      </c>
      <c r="G125" s="0" t="n">
        <v>37.1</v>
      </c>
      <c r="H125" s="0" t="n">
        <v>35</v>
      </c>
      <c r="I125" s="23" t="s">
        <v>97</v>
      </c>
      <c r="J125" s="0" t="n">
        <v>68</v>
      </c>
      <c r="K125" s="0" t="n">
        <v>68</v>
      </c>
      <c r="P125" s="0" t="n">
        <v>4.96</v>
      </c>
      <c r="Q125" s="0" t="n">
        <v>3.02</v>
      </c>
      <c r="R125" s="0" t="n">
        <v>2118</v>
      </c>
      <c r="S125" s="0" t="n">
        <v>4257</v>
      </c>
      <c r="U125" s="0" t="n">
        <v>753</v>
      </c>
      <c r="V125" s="0" t="n">
        <v>1</v>
      </c>
      <c r="W125" s="0" t="str">
        <f aca="false">IF(OR(AND(B125&gt;=1,B125&lt;=6),B125=10),"Vaca em lactação",IF(I125="Male","Macho",IF(E125&gt;=1,"Vaca seca",IF(I125="Youngstock","Bezerra/recria","Novilha"))))</f>
        <v>Vaca em lactação</v>
      </c>
      <c r="X125" s="0" t="str">
        <f aca="false">IF(AND(B125&gt;=1,B125&lt;=6),"Tanque",IF(B125=10,"Descarte",""))</f>
        <v>Tanque</v>
      </c>
    </row>
    <row r="126" customFormat="false" ht="15" hidden="false" customHeight="false" outlineLevel="0" collapsed="false">
      <c r="A126" s="22" t="n">
        <v>46309</v>
      </c>
      <c r="B126" s="0" t="n">
        <v>1</v>
      </c>
      <c r="C126" s="0" t="n">
        <v>5907</v>
      </c>
      <c r="D126" s="0" t="n">
        <v>26</v>
      </c>
      <c r="E126" s="0" t="n">
        <v>1</v>
      </c>
      <c r="F126" s="23" t="s">
        <v>170</v>
      </c>
      <c r="G126" s="0" t="n">
        <v>33.3</v>
      </c>
      <c r="H126" s="0" t="n">
        <v>37</v>
      </c>
      <c r="I126" s="23" t="s">
        <v>94</v>
      </c>
      <c r="J126" s="0" t="n">
        <v>26</v>
      </c>
      <c r="R126" s="0" t="n">
        <v>3250</v>
      </c>
      <c r="S126" s="0" t="n">
        <v>6533</v>
      </c>
      <c r="U126" s="0" t="n">
        <v>753</v>
      </c>
      <c r="V126" s="0" t="n">
        <v>0</v>
      </c>
      <c r="W126" s="0" t="str">
        <f aca="false">IF(OR(AND(B126&gt;=1,B126&lt;=6),B126=10),"Vaca em lactação",IF(I126="Male","Macho",IF(E126&gt;=1,"Vaca seca",IF(I126="Youngstock","Bezerra/recria","Novilha"))))</f>
        <v>Vaca em lactação</v>
      </c>
      <c r="X126" s="0" t="str">
        <f aca="false">IF(AND(B126&gt;=1,B126&lt;=6),"Tanque",IF(B126=10,"Descarte",""))</f>
        <v>Tanque</v>
      </c>
    </row>
    <row r="127" customFormat="false" ht="15" hidden="false" customHeight="false" outlineLevel="0" collapsed="false">
      <c r="A127" s="22" t="n">
        <v>46309</v>
      </c>
      <c r="B127" s="0" t="n">
        <v>1</v>
      </c>
      <c r="C127" s="0" t="n">
        <v>5914</v>
      </c>
      <c r="D127" s="0" t="n">
        <v>86</v>
      </c>
      <c r="E127" s="0" t="n">
        <v>1</v>
      </c>
      <c r="F127" s="23" t="s">
        <v>171</v>
      </c>
      <c r="G127" s="0" t="n">
        <v>66.6</v>
      </c>
      <c r="H127" s="0" t="n">
        <v>66</v>
      </c>
      <c r="I127" s="23" t="s">
        <v>97</v>
      </c>
      <c r="J127" s="0" t="n">
        <v>86</v>
      </c>
      <c r="K127" s="0" t="n">
        <v>65</v>
      </c>
      <c r="P127" s="0" t="n">
        <v>3.29</v>
      </c>
      <c r="Q127" s="0" t="n">
        <v>2.88</v>
      </c>
      <c r="R127" s="0" t="n">
        <v>5809</v>
      </c>
      <c r="S127" s="0" t="n">
        <v>11677</v>
      </c>
      <c r="U127" s="0" t="n">
        <v>751</v>
      </c>
      <c r="V127" s="0" t="n">
        <v>1</v>
      </c>
      <c r="W127" s="0" t="str">
        <f aca="false">IF(OR(AND(B127&gt;=1,B127&lt;=6),B127=10),"Vaca em lactação",IF(I127="Male","Macho",IF(E127&gt;=1,"Vaca seca",IF(I127="Youngstock","Bezerra/recria","Novilha"))))</f>
        <v>Vaca em lactação</v>
      </c>
      <c r="X127" s="0" t="str">
        <f aca="false">IF(AND(B127&gt;=1,B127&lt;=6),"Tanque",IF(B127=10,"Descarte",""))</f>
        <v>Tanque</v>
      </c>
    </row>
    <row r="128" customFormat="false" ht="15" hidden="false" customHeight="false" outlineLevel="0" collapsed="false">
      <c r="A128" s="22" t="n">
        <v>46309</v>
      </c>
      <c r="B128" s="0" t="n">
        <v>1</v>
      </c>
      <c r="C128" s="0" t="n">
        <v>5913</v>
      </c>
      <c r="D128" s="0" t="n">
        <v>96</v>
      </c>
      <c r="E128" s="0" t="n">
        <v>1</v>
      </c>
      <c r="F128" s="23" t="s">
        <v>171</v>
      </c>
      <c r="G128" s="0" t="n">
        <v>46.4</v>
      </c>
      <c r="H128" s="0" t="n">
        <v>40</v>
      </c>
      <c r="I128" s="23" t="s">
        <v>97</v>
      </c>
      <c r="J128" s="0" t="n">
        <v>96</v>
      </c>
      <c r="K128" s="0" t="n">
        <v>68</v>
      </c>
      <c r="P128" s="0" t="n">
        <v>3.9</v>
      </c>
      <c r="Q128" s="0" t="n">
        <v>2.99</v>
      </c>
      <c r="R128" s="0" t="n">
        <v>3899</v>
      </c>
      <c r="S128" s="0" t="n">
        <v>7838</v>
      </c>
      <c r="T128" s="0" t="n">
        <v>43.85</v>
      </c>
      <c r="U128" s="0" t="n">
        <v>751</v>
      </c>
      <c r="V128" s="0" t="n">
        <v>2</v>
      </c>
      <c r="W128" s="0" t="str">
        <f aca="false">IF(OR(AND(B128&gt;=1,B128&lt;=6),B128=10),"Vaca em lactação",IF(I128="Male","Macho",IF(E128&gt;=1,"Vaca seca",IF(I128="Youngstock","Bezerra/recria","Novilha"))))</f>
        <v>Vaca em lactação</v>
      </c>
      <c r="X128" s="0" t="str">
        <f aca="false">IF(AND(B128&gt;=1,B128&lt;=6),"Tanque",IF(B128=10,"Descarte",""))</f>
        <v>Tanque</v>
      </c>
    </row>
    <row r="129" customFormat="false" ht="15" hidden="false" customHeight="false" outlineLevel="0" collapsed="false">
      <c r="A129" s="22" t="n">
        <v>46309</v>
      </c>
      <c r="B129" s="0" t="n">
        <v>1</v>
      </c>
      <c r="C129" s="0" t="n">
        <v>5916</v>
      </c>
      <c r="D129" s="0" t="n">
        <v>9</v>
      </c>
      <c r="E129" s="0" t="n">
        <v>1</v>
      </c>
      <c r="F129" s="23" t="s">
        <v>172</v>
      </c>
      <c r="G129" s="0" t="n">
        <v>28.2</v>
      </c>
      <c r="H129" s="0" t="n">
        <v>23</v>
      </c>
      <c r="I129" s="23" t="s">
        <v>94</v>
      </c>
      <c r="J129" s="0" t="n">
        <v>9</v>
      </c>
      <c r="R129" s="0" t="n">
        <v>2235</v>
      </c>
      <c r="S129" s="0" t="n">
        <v>4494</v>
      </c>
      <c r="U129" s="0" t="n">
        <v>748</v>
      </c>
      <c r="V129" s="0" t="n">
        <v>0</v>
      </c>
      <c r="W129" s="0" t="str">
        <f aca="false">IF(OR(AND(B129&gt;=1,B129&lt;=6),B129=10),"Vaca em lactação",IF(I129="Male","Macho",IF(E129&gt;=1,"Vaca seca",IF(I129="Youngstock","Bezerra/recria","Novilha"))))</f>
        <v>Vaca em lactação</v>
      </c>
      <c r="X129" s="0" t="str">
        <f aca="false">IF(AND(B129&gt;=1,B129&lt;=6),"Tanque",IF(B129=10,"Descarte",""))</f>
        <v>Tanque</v>
      </c>
    </row>
    <row r="130" customFormat="false" ht="15" hidden="false" customHeight="false" outlineLevel="0" collapsed="false">
      <c r="A130" s="22" t="n">
        <v>46309</v>
      </c>
      <c r="B130" s="0" t="n">
        <v>1</v>
      </c>
      <c r="C130" s="0" t="n">
        <v>5919</v>
      </c>
      <c r="D130" s="0" t="n">
        <v>97</v>
      </c>
      <c r="E130" s="0" t="n">
        <v>1</v>
      </c>
      <c r="F130" s="23" t="s">
        <v>172</v>
      </c>
      <c r="G130" s="0" t="n">
        <v>40.9</v>
      </c>
      <c r="H130" s="0" t="n">
        <v>38</v>
      </c>
      <c r="I130" s="23" t="s">
        <v>92</v>
      </c>
      <c r="J130" s="0" t="n">
        <v>62</v>
      </c>
      <c r="K130" s="0" t="n">
        <v>62</v>
      </c>
      <c r="L130" s="0" t="n">
        <v>35</v>
      </c>
      <c r="P130" s="0" t="n">
        <v>4.25</v>
      </c>
      <c r="Q130" s="0" t="n">
        <v>3.26</v>
      </c>
      <c r="R130" s="0" t="n">
        <v>2723</v>
      </c>
      <c r="S130" s="0" t="n">
        <v>5475</v>
      </c>
      <c r="T130" s="0" t="n">
        <v>26.5</v>
      </c>
      <c r="U130" s="0" t="n">
        <v>748</v>
      </c>
      <c r="V130" s="0" t="n">
        <v>1</v>
      </c>
      <c r="W130" s="0" t="str">
        <f aca="false">IF(OR(AND(B130&gt;=1,B130&lt;=6),B130=10),"Vaca em lactação",IF(I130="Male","Macho",IF(E130&gt;=1,"Vaca seca",IF(I130="Youngstock","Bezerra/recria","Novilha"))))</f>
        <v>Vaca em lactação</v>
      </c>
      <c r="X130" s="0" t="str">
        <f aca="false">IF(AND(B130&gt;=1,B130&lt;=6),"Tanque",IF(B130=10,"Descarte",""))</f>
        <v>Tanque</v>
      </c>
    </row>
    <row r="131" customFormat="false" ht="15" hidden="false" customHeight="false" outlineLevel="0" collapsed="false">
      <c r="A131" s="22" t="n">
        <v>46309</v>
      </c>
      <c r="B131" s="0" t="n">
        <v>1</v>
      </c>
      <c r="C131" s="0" t="n">
        <v>5918</v>
      </c>
      <c r="D131" s="0" t="n">
        <v>24</v>
      </c>
      <c r="E131" s="0" t="n">
        <v>1</v>
      </c>
      <c r="F131" s="23" t="s">
        <v>172</v>
      </c>
      <c r="G131" s="0" t="n">
        <v>39.9</v>
      </c>
      <c r="H131" s="0" t="n">
        <v>38</v>
      </c>
      <c r="I131" s="23" t="s">
        <v>94</v>
      </c>
      <c r="J131" s="0" t="n">
        <v>24</v>
      </c>
      <c r="R131" s="0" t="n">
        <v>3154</v>
      </c>
      <c r="S131" s="0" t="n">
        <v>6341</v>
      </c>
      <c r="U131" s="0" t="n">
        <v>748</v>
      </c>
      <c r="V131" s="0" t="n">
        <v>0</v>
      </c>
      <c r="W131" s="0" t="str">
        <f aca="false">IF(OR(AND(B131&gt;=1,B131&lt;=6),B131=10),"Vaca em lactação",IF(I131="Male","Macho",IF(E131&gt;=1,"Vaca seca",IF(I131="Youngstock","Bezerra/recria","Novilha"))))</f>
        <v>Vaca em lactação</v>
      </c>
      <c r="X131" s="0" t="str">
        <f aca="false">IF(AND(B131&gt;=1,B131&lt;=6),"Tanque",IF(B131=10,"Descarte",""))</f>
        <v>Tanque</v>
      </c>
    </row>
    <row r="132" customFormat="false" ht="15" hidden="false" customHeight="false" outlineLevel="0" collapsed="false">
      <c r="A132" s="22" t="n">
        <v>46309</v>
      </c>
      <c r="B132" s="0" t="n">
        <v>1</v>
      </c>
      <c r="C132" s="0" t="n">
        <v>5920</v>
      </c>
      <c r="D132" s="0" t="n">
        <v>101</v>
      </c>
      <c r="E132" s="0" t="n">
        <v>1</v>
      </c>
      <c r="F132" s="23" t="s">
        <v>173</v>
      </c>
      <c r="G132" s="0" t="n">
        <v>44.6</v>
      </c>
      <c r="H132" s="0" t="n">
        <v>43</v>
      </c>
      <c r="I132" s="23" t="s">
        <v>92</v>
      </c>
      <c r="J132" s="0" t="n">
        <v>66</v>
      </c>
      <c r="K132" s="0" t="n">
        <v>66</v>
      </c>
      <c r="L132" s="0" t="n">
        <v>35</v>
      </c>
      <c r="P132" s="0" t="n">
        <v>4.16</v>
      </c>
      <c r="Q132" s="0" t="n">
        <v>3.13</v>
      </c>
      <c r="R132" s="0" t="n">
        <v>3804</v>
      </c>
      <c r="S132" s="0" t="n">
        <v>7656</v>
      </c>
      <c r="T132" s="0" t="n">
        <v>44.8</v>
      </c>
      <c r="U132" s="0" t="n">
        <v>747</v>
      </c>
      <c r="V132" s="0" t="n">
        <v>1</v>
      </c>
      <c r="W132" s="0" t="str">
        <f aca="false">IF(OR(AND(B132&gt;=1,B132&lt;=6),B132=10),"Vaca em lactação",IF(I132="Male","Macho",IF(E132&gt;=1,"Vaca seca",IF(I132="Youngstock","Bezerra/recria","Novilha"))))</f>
        <v>Vaca em lactação</v>
      </c>
      <c r="X132" s="0" t="str">
        <f aca="false">IF(AND(B132&gt;=1,B132&lt;=6),"Tanque",IF(B132=10,"Descarte",""))</f>
        <v>Tanque</v>
      </c>
    </row>
    <row r="133" customFormat="false" ht="15" hidden="false" customHeight="false" outlineLevel="0" collapsed="false">
      <c r="A133" s="22" t="n">
        <v>46309</v>
      </c>
      <c r="B133" s="0" t="n">
        <v>1</v>
      </c>
      <c r="C133" s="0" t="n">
        <v>5922</v>
      </c>
      <c r="D133" s="0" t="n">
        <v>103</v>
      </c>
      <c r="E133" s="0" t="n">
        <v>1</v>
      </c>
      <c r="F133" s="23" t="s">
        <v>174</v>
      </c>
      <c r="G133" s="0" t="n">
        <v>51.1</v>
      </c>
      <c r="H133" s="0" t="n">
        <v>31</v>
      </c>
      <c r="I133" s="23" t="s">
        <v>92</v>
      </c>
      <c r="J133" s="0" t="n">
        <v>68</v>
      </c>
      <c r="K133" s="0" t="n">
        <v>68</v>
      </c>
      <c r="L133" s="0" t="n">
        <v>35</v>
      </c>
      <c r="P133" s="0" t="n">
        <v>2.63</v>
      </c>
      <c r="Q133" s="0" t="n">
        <v>3.08</v>
      </c>
      <c r="R133" s="0" t="n">
        <v>4272</v>
      </c>
      <c r="S133" s="0" t="n">
        <v>8506</v>
      </c>
      <c r="T133" s="0" t="n">
        <v>44.15</v>
      </c>
      <c r="U133" s="0" t="n">
        <v>746</v>
      </c>
      <c r="V133" s="0" t="n">
        <v>1</v>
      </c>
      <c r="W133" s="0" t="str">
        <f aca="false">IF(OR(AND(B133&gt;=1,B133&lt;=6),B133=10),"Vaca em lactação",IF(I133="Male","Macho",IF(E133&gt;=1,"Vaca seca",IF(I133="Youngstock","Bezerra/recria","Novilha"))))</f>
        <v>Vaca em lactação</v>
      </c>
      <c r="X133" s="0" t="str">
        <f aca="false">IF(AND(B133&gt;=1,B133&lt;=6),"Tanque",IF(B133=10,"Descarte",""))</f>
        <v>Tanque</v>
      </c>
    </row>
    <row r="134" customFormat="false" ht="15" hidden="false" customHeight="false" outlineLevel="0" collapsed="false">
      <c r="A134" s="22" t="n">
        <v>46309</v>
      </c>
      <c r="B134" s="0" t="n">
        <v>1</v>
      </c>
      <c r="C134" s="0" t="n">
        <v>5921</v>
      </c>
      <c r="D134" s="0" t="n">
        <v>99</v>
      </c>
      <c r="E134" s="0" t="n">
        <v>1</v>
      </c>
      <c r="F134" s="23" t="s">
        <v>173</v>
      </c>
      <c r="G134" s="0" t="n">
        <v>50.5</v>
      </c>
      <c r="H134" s="0" t="n">
        <v>50</v>
      </c>
      <c r="I134" s="23" t="s">
        <v>97</v>
      </c>
      <c r="J134" s="0" t="n">
        <v>99</v>
      </c>
      <c r="K134" s="0" t="n">
        <v>64</v>
      </c>
      <c r="P134" s="0" t="n">
        <v>2.98</v>
      </c>
      <c r="Q134" s="0" t="n">
        <v>3.06</v>
      </c>
      <c r="R134" s="0" t="n">
        <v>4097</v>
      </c>
      <c r="S134" s="0" t="n">
        <v>8237</v>
      </c>
      <c r="T134" s="0" t="n">
        <v>42.65</v>
      </c>
      <c r="U134" s="0" t="n">
        <v>747</v>
      </c>
      <c r="V134" s="0" t="n">
        <v>2</v>
      </c>
      <c r="W134" s="0" t="str">
        <f aca="false">IF(OR(AND(B134&gt;=1,B134&lt;=6),B134=10),"Vaca em lactação",IF(I134="Male","Macho",IF(E134&gt;=1,"Vaca seca",IF(I134="Youngstock","Bezerra/recria","Novilha"))))</f>
        <v>Vaca em lactação</v>
      </c>
      <c r="X134" s="0" t="str">
        <f aca="false">IF(AND(B134&gt;=1,B134&lt;=6),"Tanque",IF(B134=10,"Descarte",""))</f>
        <v>Tanque</v>
      </c>
    </row>
    <row r="135" customFormat="false" ht="15" hidden="false" customHeight="false" outlineLevel="0" collapsed="false">
      <c r="A135" s="22" t="n">
        <v>46309</v>
      </c>
      <c r="B135" s="0" t="n">
        <v>1</v>
      </c>
      <c r="C135" s="0" t="n">
        <v>6033</v>
      </c>
      <c r="D135" s="0" t="n">
        <v>67</v>
      </c>
      <c r="E135" s="0" t="n">
        <v>1</v>
      </c>
      <c r="F135" s="23" t="s">
        <v>175</v>
      </c>
      <c r="G135" s="0" t="n">
        <v>34.2</v>
      </c>
      <c r="H135" s="0" t="n">
        <v>36</v>
      </c>
      <c r="I135" s="23" t="s">
        <v>97</v>
      </c>
      <c r="J135" s="0" t="n">
        <v>67</v>
      </c>
      <c r="K135" s="0" t="n">
        <v>67</v>
      </c>
      <c r="P135" s="0" t="n">
        <v>4.5</v>
      </c>
      <c r="Q135" s="0" t="n">
        <v>3.31</v>
      </c>
      <c r="R135" s="0" t="n">
        <v>3822</v>
      </c>
      <c r="S135" s="0" t="n">
        <v>7682</v>
      </c>
      <c r="U135" s="0" t="n">
        <v>708</v>
      </c>
      <c r="V135" s="0" t="n">
        <v>1</v>
      </c>
      <c r="W135" s="0" t="str">
        <f aca="false">IF(OR(AND(B135&gt;=1,B135&lt;=6),B135=10),"Vaca em lactação",IF(I135="Male","Macho",IF(E135&gt;=1,"Vaca seca",IF(I135="Youngstock","Bezerra/recria","Novilha"))))</f>
        <v>Vaca em lactação</v>
      </c>
      <c r="X135" s="0" t="str">
        <f aca="false">IF(AND(B135&gt;=1,B135&lt;=6),"Tanque",IF(B135=10,"Descarte",""))</f>
        <v>Tanque</v>
      </c>
    </row>
    <row r="136" customFormat="false" ht="15" hidden="false" customHeight="false" outlineLevel="0" collapsed="false">
      <c r="A136" s="22" t="n">
        <v>46309</v>
      </c>
      <c r="B136" s="0" t="n">
        <v>1</v>
      </c>
      <c r="C136" s="0" t="n">
        <v>6037</v>
      </c>
      <c r="D136" s="0" t="n">
        <v>44</v>
      </c>
      <c r="E136" s="0" t="n">
        <v>1</v>
      </c>
      <c r="F136" s="23" t="s">
        <v>175</v>
      </c>
      <c r="G136" s="0" t="n">
        <v>47.1</v>
      </c>
      <c r="H136" s="0" t="n">
        <v>47</v>
      </c>
      <c r="I136" s="23" t="s">
        <v>94</v>
      </c>
      <c r="J136" s="0" t="n">
        <v>44</v>
      </c>
      <c r="P136" s="0" t="n">
        <v>4.1</v>
      </c>
      <c r="Q136" s="0" t="n">
        <v>3.44</v>
      </c>
      <c r="R136" s="0" t="n">
        <v>3959</v>
      </c>
      <c r="S136" s="0" t="n">
        <v>7959</v>
      </c>
      <c r="U136" s="0" t="n">
        <v>708</v>
      </c>
      <c r="V136" s="0" t="n">
        <v>0</v>
      </c>
      <c r="W136" s="0" t="str">
        <f aca="false">IF(OR(AND(B136&gt;=1,B136&lt;=6),B136=10),"Vaca em lactação",IF(I136="Male","Macho",IF(E136&gt;=1,"Vaca seca",IF(I136="Youngstock","Bezerra/recria","Novilha"))))</f>
        <v>Vaca em lactação</v>
      </c>
      <c r="X136" s="0" t="str">
        <f aca="false">IF(AND(B136&gt;=1,B136&lt;=6),"Tanque",IF(B136=10,"Descarte",""))</f>
        <v>Tanque</v>
      </c>
    </row>
    <row r="137" customFormat="false" ht="15" hidden="false" customHeight="false" outlineLevel="0" collapsed="false">
      <c r="A137" s="22" t="n">
        <v>46309</v>
      </c>
      <c r="B137" s="0" t="n">
        <v>1</v>
      </c>
      <c r="C137" s="0" t="n">
        <v>6035</v>
      </c>
      <c r="D137" s="0" t="n">
        <v>35</v>
      </c>
      <c r="E137" s="0" t="n">
        <v>1</v>
      </c>
      <c r="F137" s="23" t="s">
        <v>175</v>
      </c>
      <c r="G137" s="0" t="n">
        <v>48.3</v>
      </c>
      <c r="H137" s="0" t="n">
        <v>47</v>
      </c>
      <c r="I137" s="23" t="s">
        <v>94</v>
      </c>
      <c r="J137" s="0" t="n">
        <v>35</v>
      </c>
      <c r="P137" s="0" t="n">
        <v>5.72</v>
      </c>
      <c r="Q137" s="0" t="n">
        <v>3.37</v>
      </c>
      <c r="R137" s="0" t="n">
        <v>4218</v>
      </c>
      <c r="S137" s="0" t="n">
        <v>8480</v>
      </c>
      <c r="U137" s="0" t="n">
        <v>708</v>
      </c>
      <c r="V137" s="0" t="n">
        <v>0</v>
      </c>
      <c r="W137" s="0" t="str">
        <f aca="false">IF(OR(AND(B137&gt;=1,B137&lt;=6),B137=10),"Vaca em lactação",IF(I137="Male","Macho",IF(E137&gt;=1,"Vaca seca",IF(I137="Youngstock","Bezerra/recria","Novilha"))))</f>
        <v>Vaca em lactação</v>
      </c>
      <c r="X137" s="0" t="str">
        <f aca="false">IF(AND(B137&gt;=1,B137&lt;=6),"Tanque",IF(B137=10,"Descarte",""))</f>
        <v>Tanque</v>
      </c>
    </row>
    <row r="138" customFormat="false" ht="15" hidden="false" customHeight="false" outlineLevel="0" collapsed="false">
      <c r="A138" s="22" t="n">
        <v>46309</v>
      </c>
      <c r="B138" s="0" t="n">
        <v>1</v>
      </c>
      <c r="C138" s="0" t="n">
        <v>6040</v>
      </c>
      <c r="D138" s="0" t="n">
        <v>40</v>
      </c>
      <c r="E138" s="0" t="n">
        <v>1</v>
      </c>
      <c r="F138" s="23" t="s">
        <v>176</v>
      </c>
      <c r="G138" s="0" t="n">
        <v>44.1</v>
      </c>
      <c r="H138" s="0" t="n">
        <v>49</v>
      </c>
      <c r="I138" s="23" t="s">
        <v>94</v>
      </c>
      <c r="J138" s="0" t="n">
        <v>40</v>
      </c>
      <c r="P138" s="0" t="n">
        <v>4.34</v>
      </c>
      <c r="Q138" s="0" t="n">
        <v>3.44</v>
      </c>
      <c r="R138" s="0" t="n">
        <v>4040</v>
      </c>
      <c r="S138" s="0" t="n">
        <v>8121</v>
      </c>
      <c r="U138" s="0" t="n">
        <v>706</v>
      </c>
      <c r="V138" s="0" t="n">
        <v>0</v>
      </c>
      <c r="W138" s="0" t="str">
        <f aca="false">IF(OR(AND(B138&gt;=1,B138&lt;=6),B138=10),"Vaca em lactação",IF(I138="Male","Macho",IF(E138&gt;=1,"Vaca seca",IF(I138="Youngstock","Bezerra/recria","Novilha"))))</f>
        <v>Vaca em lactação</v>
      </c>
      <c r="X138" s="0" t="str">
        <f aca="false">IF(AND(B138&gt;=1,B138&lt;=6),"Tanque",IF(B138=10,"Descarte",""))</f>
        <v>Tanque</v>
      </c>
    </row>
    <row r="139" customFormat="false" ht="15" hidden="false" customHeight="false" outlineLevel="0" collapsed="false">
      <c r="A139" s="22" t="n">
        <v>46309</v>
      </c>
      <c r="B139" s="0" t="n">
        <v>1</v>
      </c>
      <c r="C139" s="0" t="n">
        <v>6018</v>
      </c>
      <c r="D139" s="0" t="n">
        <v>55</v>
      </c>
      <c r="E139" s="0" t="n">
        <v>1</v>
      </c>
      <c r="F139" s="23" t="s">
        <v>177</v>
      </c>
      <c r="G139" s="0" t="n">
        <v>41.8</v>
      </c>
      <c r="H139" s="0" t="n">
        <v>45</v>
      </c>
      <c r="I139" s="23" t="s">
        <v>94</v>
      </c>
      <c r="J139" s="0" t="n">
        <v>55</v>
      </c>
      <c r="P139" s="0" t="n">
        <v>4.53</v>
      </c>
      <c r="Q139" s="0" t="n">
        <v>3.39</v>
      </c>
      <c r="R139" s="0" t="n">
        <v>3964</v>
      </c>
      <c r="S139" s="0" t="n">
        <v>7969</v>
      </c>
      <c r="U139" s="0" t="n">
        <v>715</v>
      </c>
      <c r="V139" s="0" t="n">
        <v>0</v>
      </c>
      <c r="W139" s="0" t="str">
        <f aca="false">IF(OR(AND(B139&gt;=1,B139&lt;=6),B139=10),"Vaca em lactação",IF(I139="Male","Macho",IF(E139&gt;=1,"Vaca seca",IF(I139="Youngstock","Bezerra/recria","Novilha"))))</f>
        <v>Vaca em lactação</v>
      </c>
      <c r="X139" s="0" t="str">
        <f aca="false">IF(AND(B139&gt;=1,B139&lt;=6),"Tanque",IF(B139=10,"Descarte",""))</f>
        <v>Tanque</v>
      </c>
    </row>
    <row r="140" customFormat="false" ht="15" hidden="false" customHeight="false" outlineLevel="0" collapsed="false">
      <c r="A140" s="22" t="n">
        <v>46309</v>
      </c>
      <c r="B140" s="0" t="n">
        <v>1</v>
      </c>
      <c r="C140" s="0" t="n">
        <v>6017</v>
      </c>
      <c r="D140" s="0" t="n">
        <v>30</v>
      </c>
      <c r="E140" s="0" t="n">
        <v>1</v>
      </c>
      <c r="F140" s="23" t="s">
        <v>177</v>
      </c>
      <c r="G140" s="0" t="n">
        <v>35.7</v>
      </c>
      <c r="H140" s="0" t="n">
        <v>34</v>
      </c>
      <c r="I140" s="23" t="s">
        <v>94</v>
      </c>
      <c r="J140" s="0" t="n">
        <v>30</v>
      </c>
      <c r="P140" s="0" t="n">
        <v>5.1</v>
      </c>
      <c r="Q140" s="0" t="n">
        <v>4.08</v>
      </c>
      <c r="R140" s="0" t="n">
        <v>3275</v>
      </c>
      <c r="S140" s="0" t="n">
        <v>6583</v>
      </c>
      <c r="U140" s="0" t="n">
        <v>715</v>
      </c>
      <c r="V140" s="0" t="n">
        <v>0</v>
      </c>
      <c r="W140" s="0" t="str">
        <f aca="false">IF(OR(AND(B140&gt;=1,B140&lt;=6),B140=10),"Vaca em lactação",IF(I140="Male","Macho",IF(E140&gt;=1,"Vaca seca",IF(I140="Youngstock","Bezerra/recria","Novilha"))))</f>
        <v>Vaca em lactação</v>
      </c>
      <c r="X140" s="0" t="str">
        <f aca="false">IF(AND(B140&gt;=1,B140&lt;=6),"Tanque",IF(B140=10,"Descarte",""))</f>
        <v>Tanque</v>
      </c>
    </row>
    <row r="141" customFormat="false" ht="15" hidden="false" customHeight="false" outlineLevel="0" collapsed="false">
      <c r="A141" s="22" t="n">
        <v>46309</v>
      </c>
      <c r="B141" s="0" t="n">
        <v>1</v>
      </c>
      <c r="C141" s="0" t="n">
        <v>6014</v>
      </c>
      <c r="D141" s="0" t="n">
        <v>49</v>
      </c>
      <c r="E141" s="0" t="n">
        <v>1</v>
      </c>
      <c r="F141" s="23" t="s">
        <v>177</v>
      </c>
      <c r="G141" s="0" t="n">
        <v>38.7</v>
      </c>
      <c r="H141" s="0" t="n">
        <v>38</v>
      </c>
      <c r="I141" s="23" t="s">
        <v>94</v>
      </c>
      <c r="J141" s="0" t="n">
        <v>49</v>
      </c>
      <c r="P141" s="0" t="n">
        <v>3.89</v>
      </c>
      <c r="Q141" s="0" t="n">
        <v>3.32</v>
      </c>
      <c r="R141" s="0" t="n">
        <v>3142</v>
      </c>
      <c r="S141" s="0" t="n">
        <v>6317</v>
      </c>
      <c r="U141" s="0" t="n">
        <v>715</v>
      </c>
      <c r="V141" s="0" t="n">
        <v>0</v>
      </c>
      <c r="W141" s="0" t="str">
        <f aca="false">IF(OR(AND(B141&gt;=1,B141&lt;=6),B141=10),"Vaca em lactação",IF(I141="Male","Macho",IF(E141&gt;=1,"Vaca seca",IF(I141="Youngstock","Bezerra/recria","Novilha"))))</f>
        <v>Vaca em lactação</v>
      </c>
      <c r="X141" s="0" t="str">
        <f aca="false">IF(AND(B141&gt;=1,B141&lt;=6),"Tanque",IF(B141=10,"Descarte",""))</f>
        <v>Tanque</v>
      </c>
    </row>
    <row r="142" customFormat="false" ht="15" hidden="false" customHeight="false" outlineLevel="0" collapsed="false">
      <c r="A142" s="22" t="n">
        <v>46309</v>
      </c>
      <c r="B142" s="0" t="n">
        <v>1</v>
      </c>
      <c r="C142" s="0" t="n">
        <v>6024</v>
      </c>
      <c r="D142" s="0" t="n">
        <v>53</v>
      </c>
      <c r="E142" s="0" t="n">
        <v>1</v>
      </c>
      <c r="F142" s="23" t="s">
        <v>178</v>
      </c>
      <c r="G142" s="0" t="n">
        <v>47.4</v>
      </c>
      <c r="H142" s="0" t="n">
        <v>48</v>
      </c>
      <c r="I142" s="23" t="s">
        <v>94</v>
      </c>
      <c r="J142" s="0" t="n">
        <v>53</v>
      </c>
      <c r="P142" s="0" t="n">
        <v>3.51</v>
      </c>
      <c r="Q142" s="0" t="n">
        <v>3.01</v>
      </c>
      <c r="R142" s="0" t="n">
        <v>3671</v>
      </c>
      <c r="S142" s="0" t="n">
        <v>7379</v>
      </c>
      <c r="U142" s="0" t="n">
        <v>713</v>
      </c>
      <c r="V142" s="0" t="n">
        <v>0</v>
      </c>
      <c r="W142" s="0" t="str">
        <f aca="false">IF(OR(AND(B142&gt;=1,B142&lt;=6),B142=10),"Vaca em lactação",IF(I142="Male","Macho",IF(E142&gt;=1,"Vaca seca",IF(I142="Youngstock","Bezerra/recria","Novilha"))))</f>
        <v>Vaca em lactação</v>
      </c>
      <c r="X142" s="0" t="str">
        <f aca="false">IF(AND(B142&gt;=1,B142&lt;=6),"Tanque",IF(B142=10,"Descarte",""))</f>
        <v>Tanque</v>
      </c>
    </row>
    <row r="143" customFormat="false" ht="15" hidden="false" customHeight="false" outlineLevel="0" collapsed="false">
      <c r="A143" s="22" t="n">
        <v>46309</v>
      </c>
      <c r="B143" s="0" t="n">
        <v>1</v>
      </c>
      <c r="C143" s="0" t="n">
        <v>6026</v>
      </c>
      <c r="D143" s="0" t="n">
        <v>66</v>
      </c>
      <c r="E143" s="0" t="n">
        <v>1</v>
      </c>
      <c r="F143" s="23" t="s">
        <v>179</v>
      </c>
      <c r="G143" s="0" t="n">
        <v>46.2</v>
      </c>
      <c r="H143" s="0" t="n">
        <v>42</v>
      </c>
      <c r="I143" s="23" t="s">
        <v>97</v>
      </c>
      <c r="J143" s="0" t="n">
        <v>66</v>
      </c>
      <c r="K143" s="0" t="n">
        <v>66</v>
      </c>
      <c r="P143" s="0" t="n">
        <v>4.16</v>
      </c>
      <c r="Q143" s="0" t="n">
        <v>3.48</v>
      </c>
      <c r="R143" s="0" t="n">
        <v>3631</v>
      </c>
      <c r="S143" s="0" t="n">
        <v>7300</v>
      </c>
      <c r="U143" s="0" t="n">
        <v>712</v>
      </c>
      <c r="V143" s="0" t="n">
        <v>1</v>
      </c>
      <c r="W143" s="0" t="str">
        <f aca="false">IF(OR(AND(B143&gt;=1,B143&lt;=6),B143=10),"Vaca em lactação",IF(I143="Male","Macho",IF(E143&gt;=1,"Vaca seca",IF(I143="Youngstock","Bezerra/recria","Novilha"))))</f>
        <v>Vaca em lactação</v>
      </c>
      <c r="X143" s="0" t="str">
        <f aca="false">IF(AND(B143&gt;=1,B143&lt;=6),"Tanque",IF(B143=10,"Descarte",""))</f>
        <v>Tanque</v>
      </c>
    </row>
    <row r="144" customFormat="false" ht="15" hidden="false" customHeight="false" outlineLevel="0" collapsed="false">
      <c r="A144" s="22" t="n">
        <v>46309</v>
      </c>
      <c r="B144" s="0" t="n">
        <v>1</v>
      </c>
      <c r="C144" s="0" t="n">
        <v>6025</v>
      </c>
      <c r="D144" s="0" t="n">
        <v>63</v>
      </c>
      <c r="E144" s="0" t="n">
        <v>1</v>
      </c>
      <c r="F144" s="23" t="s">
        <v>179</v>
      </c>
      <c r="G144" s="0" t="n">
        <v>43</v>
      </c>
      <c r="H144" s="0" t="n">
        <v>42</v>
      </c>
      <c r="I144" s="23" t="s">
        <v>97</v>
      </c>
      <c r="J144" s="0" t="n">
        <v>63</v>
      </c>
      <c r="K144" s="0" t="n">
        <v>63</v>
      </c>
      <c r="P144" s="0" t="n">
        <v>3.9</v>
      </c>
      <c r="Q144" s="0" t="n">
        <v>3</v>
      </c>
      <c r="R144" s="0" t="n">
        <v>3505</v>
      </c>
      <c r="S144" s="0" t="n">
        <v>7046</v>
      </c>
      <c r="U144" s="0" t="n">
        <v>712</v>
      </c>
      <c r="V144" s="0" t="n">
        <v>1</v>
      </c>
      <c r="W144" s="0" t="str">
        <f aca="false">IF(OR(AND(B144&gt;=1,B144&lt;=6),B144=10),"Vaca em lactação",IF(I144="Male","Macho",IF(E144&gt;=1,"Vaca seca",IF(I144="Youngstock","Bezerra/recria","Novilha"))))</f>
        <v>Vaca em lactação</v>
      </c>
      <c r="X144" s="0" t="str">
        <f aca="false">IF(AND(B144&gt;=1,B144&lt;=6),"Tanque",IF(B144=10,"Descarte",""))</f>
        <v>Tanque</v>
      </c>
    </row>
    <row r="145" customFormat="false" ht="15" hidden="false" customHeight="false" outlineLevel="0" collapsed="false">
      <c r="A145" s="22" t="n">
        <v>46309</v>
      </c>
      <c r="B145" s="0" t="n">
        <v>1</v>
      </c>
      <c r="C145" s="0" t="n">
        <v>6027</v>
      </c>
      <c r="D145" s="0" t="n">
        <v>74</v>
      </c>
      <c r="E145" s="0" t="n">
        <v>1</v>
      </c>
      <c r="F145" s="23" t="s">
        <v>179</v>
      </c>
      <c r="G145" s="0" t="n">
        <v>57.9</v>
      </c>
      <c r="H145" s="0" t="n">
        <v>55</v>
      </c>
      <c r="I145" s="23" t="s">
        <v>97</v>
      </c>
      <c r="J145" s="0" t="n">
        <v>74</v>
      </c>
      <c r="K145" s="0" t="n">
        <v>67</v>
      </c>
      <c r="P145" s="0" t="n">
        <v>3.05</v>
      </c>
      <c r="Q145" s="0" t="n">
        <v>2.82</v>
      </c>
      <c r="R145" s="0" t="n">
        <v>5155</v>
      </c>
      <c r="S145" s="0" t="n">
        <v>10362</v>
      </c>
      <c r="U145" s="0" t="n">
        <v>712</v>
      </c>
      <c r="V145" s="0" t="n">
        <v>1</v>
      </c>
      <c r="W145" s="0" t="str">
        <f aca="false">IF(OR(AND(B145&gt;=1,B145&lt;=6),B145=10),"Vaca em lactação",IF(I145="Male","Macho",IF(E145&gt;=1,"Vaca seca",IF(I145="Youngstock","Bezerra/recria","Novilha"))))</f>
        <v>Vaca em lactação</v>
      </c>
      <c r="X145" s="0" t="str">
        <f aca="false">IF(AND(B145&gt;=1,B145&lt;=6),"Tanque",IF(B145=10,"Descarte",""))</f>
        <v>Tanque</v>
      </c>
    </row>
    <row r="146" customFormat="false" ht="15" hidden="false" customHeight="false" outlineLevel="0" collapsed="false">
      <c r="A146" s="22" t="n">
        <v>46309</v>
      </c>
      <c r="B146" s="0" t="n">
        <v>1</v>
      </c>
      <c r="C146" s="0" t="n">
        <v>6030</v>
      </c>
      <c r="D146" s="0" t="n">
        <v>59</v>
      </c>
      <c r="E146" s="0" t="n">
        <v>1</v>
      </c>
      <c r="F146" s="23" t="s">
        <v>180</v>
      </c>
      <c r="G146" s="0" t="n">
        <v>48.9</v>
      </c>
      <c r="H146" s="0" t="n">
        <v>47</v>
      </c>
      <c r="I146" s="23" t="s">
        <v>94</v>
      </c>
      <c r="J146" s="0" t="n">
        <v>59</v>
      </c>
      <c r="P146" s="0" t="n">
        <v>3.38</v>
      </c>
      <c r="Q146" s="0" t="n">
        <v>2.89</v>
      </c>
      <c r="R146" s="0" t="n">
        <v>4380</v>
      </c>
      <c r="S146" s="0" t="n">
        <v>8804</v>
      </c>
      <c r="U146" s="0" t="n">
        <v>711</v>
      </c>
      <c r="V146" s="0" t="n">
        <v>0</v>
      </c>
      <c r="W146" s="0" t="str">
        <f aca="false">IF(OR(AND(B146&gt;=1,B146&lt;=6),B146=10),"Vaca em lactação",IF(I146="Male","Macho",IF(E146&gt;=1,"Vaca seca",IF(I146="Youngstock","Bezerra/recria","Novilha"))))</f>
        <v>Vaca em lactação</v>
      </c>
      <c r="X146" s="0" t="str">
        <f aca="false">IF(AND(B146&gt;=1,B146&lt;=6),"Tanque",IF(B146=10,"Descarte",""))</f>
        <v>Tanque</v>
      </c>
    </row>
    <row r="147" customFormat="false" ht="15" hidden="false" customHeight="false" outlineLevel="0" collapsed="false">
      <c r="A147" s="22" t="n">
        <v>46309</v>
      </c>
      <c r="B147" s="0" t="n">
        <v>1</v>
      </c>
      <c r="C147" s="0" t="n">
        <v>6029</v>
      </c>
      <c r="D147" s="0" t="n">
        <v>25</v>
      </c>
      <c r="E147" s="0" t="n">
        <v>1</v>
      </c>
      <c r="F147" s="23" t="s">
        <v>180</v>
      </c>
      <c r="G147" s="0" t="n">
        <v>33.1</v>
      </c>
      <c r="H147" s="0" t="n">
        <v>30</v>
      </c>
      <c r="I147" s="23" t="s">
        <v>94</v>
      </c>
      <c r="J147" s="0" t="n">
        <v>25</v>
      </c>
      <c r="R147" s="0" t="n">
        <v>2467</v>
      </c>
      <c r="S147" s="0" t="n">
        <v>4959</v>
      </c>
      <c r="U147" s="0" t="n">
        <v>711</v>
      </c>
      <c r="V147" s="0" t="n">
        <v>0</v>
      </c>
      <c r="W147" s="0" t="str">
        <f aca="false">IF(OR(AND(B147&gt;=1,B147&lt;=6),B147=10),"Vaca em lactação",IF(I147="Male","Macho",IF(E147&gt;=1,"Vaca seca",IF(I147="Youngstock","Bezerra/recria","Novilha"))))</f>
        <v>Vaca em lactação</v>
      </c>
      <c r="X147" s="0" t="str">
        <f aca="false">IF(AND(B147&gt;=1,B147&lt;=6),"Tanque",IF(B147=10,"Descarte",""))</f>
        <v>Tanque</v>
      </c>
    </row>
    <row r="148" customFormat="false" ht="15" hidden="false" customHeight="false" outlineLevel="0" collapsed="false">
      <c r="A148" s="22" t="n">
        <v>46309</v>
      </c>
      <c r="B148" s="0" t="n">
        <v>1</v>
      </c>
      <c r="C148" s="0" t="n">
        <v>6012</v>
      </c>
      <c r="D148" s="0" t="n">
        <v>34</v>
      </c>
      <c r="E148" s="0" t="n">
        <v>1</v>
      </c>
      <c r="F148" s="23" t="s">
        <v>177</v>
      </c>
      <c r="G148" s="0" t="n">
        <v>53.4</v>
      </c>
      <c r="H148" s="0" t="n">
        <v>51</v>
      </c>
      <c r="I148" s="23" t="s">
        <v>94</v>
      </c>
      <c r="J148" s="0" t="n">
        <v>34</v>
      </c>
      <c r="P148" s="0" t="n">
        <v>5.6</v>
      </c>
      <c r="Q148" s="0" t="n">
        <v>3.4</v>
      </c>
      <c r="R148" s="0" t="n">
        <v>4397</v>
      </c>
      <c r="S148" s="0" t="n">
        <v>8838</v>
      </c>
      <c r="U148" s="0" t="n">
        <v>715</v>
      </c>
      <c r="V148" s="0" t="n">
        <v>0</v>
      </c>
      <c r="W148" s="0" t="str">
        <f aca="false">IF(OR(AND(B148&gt;=1,B148&lt;=6),B148=10),"Vaca em lactação",IF(I148="Male","Macho",IF(E148&gt;=1,"Vaca seca",IF(I148="Youngstock","Bezerra/recria","Novilha"))))</f>
        <v>Vaca em lactação</v>
      </c>
      <c r="X148" s="0" t="str">
        <f aca="false">IF(AND(B148&gt;=1,B148&lt;=6),"Tanque",IF(B148=10,"Descarte",""))</f>
        <v>Tanque</v>
      </c>
    </row>
    <row r="149" customFormat="false" ht="15" hidden="false" customHeight="false" outlineLevel="0" collapsed="false">
      <c r="A149" s="22" t="n">
        <v>46309</v>
      </c>
      <c r="B149" s="0" t="n">
        <v>1</v>
      </c>
      <c r="C149" s="0" t="n">
        <v>6006</v>
      </c>
      <c r="D149" s="0" t="n">
        <v>35</v>
      </c>
      <c r="E149" s="0" t="n">
        <v>1</v>
      </c>
      <c r="F149" s="23" t="s">
        <v>181</v>
      </c>
      <c r="I149" s="23" t="s">
        <v>94</v>
      </c>
      <c r="J149" s="0" t="n">
        <v>35</v>
      </c>
      <c r="U149" s="0" t="n">
        <v>719</v>
      </c>
      <c r="V149" s="0" t="n">
        <v>0</v>
      </c>
      <c r="W149" s="0" t="str">
        <f aca="false">IF(OR(AND(B149&gt;=1,B149&lt;=6),B149=10),"Vaca em lactação",IF(I149="Male","Macho",IF(E149&gt;=1,"Vaca seca",IF(I149="Youngstock","Bezerra/recria","Novilha"))))</f>
        <v>Vaca em lactação</v>
      </c>
      <c r="X149" s="0" t="str">
        <f aca="false">IF(AND(B149&gt;=1,B149&lt;=6),"Tanque",IF(B149=10,"Descarte",""))</f>
        <v>Tanque</v>
      </c>
    </row>
    <row r="150" customFormat="false" ht="15" hidden="false" customHeight="false" outlineLevel="0" collapsed="false">
      <c r="A150" s="22" t="n">
        <v>46309</v>
      </c>
      <c r="B150" s="0" t="n">
        <v>1</v>
      </c>
      <c r="C150" s="0" t="n">
        <v>6004</v>
      </c>
      <c r="D150" s="0" t="n">
        <v>60</v>
      </c>
      <c r="E150" s="0" t="n">
        <v>1</v>
      </c>
      <c r="F150" s="23" t="s">
        <v>182</v>
      </c>
      <c r="G150" s="0" t="n">
        <v>47.1</v>
      </c>
      <c r="H150" s="0" t="n">
        <v>50</v>
      </c>
      <c r="I150" s="23" t="s">
        <v>94</v>
      </c>
      <c r="J150" s="0" t="n">
        <v>60</v>
      </c>
      <c r="P150" s="0" t="n">
        <v>4.21</v>
      </c>
      <c r="Q150" s="0" t="n">
        <v>3.08</v>
      </c>
      <c r="R150" s="0" t="n">
        <v>4554</v>
      </c>
      <c r="S150" s="0" t="n">
        <v>9155</v>
      </c>
      <c r="U150" s="0" t="n">
        <v>720</v>
      </c>
      <c r="V150" s="0" t="n">
        <v>0</v>
      </c>
      <c r="W150" s="0" t="str">
        <f aca="false">IF(OR(AND(B150&gt;=1,B150&lt;=6),B150=10),"Vaca em lactação",IF(I150="Male","Macho",IF(E150&gt;=1,"Vaca seca",IF(I150="Youngstock","Bezerra/recria","Novilha"))))</f>
        <v>Vaca em lactação</v>
      </c>
      <c r="X150" s="0" t="str">
        <f aca="false">IF(AND(B150&gt;=1,B150&lt;=6),"Tanque",IF(B150=10,"Descarte",""))</f>
        <v>Tanque</v>
      </c>
    </row>
    <row r="151" customFormat="false" ht="15" hidden="false" customHeight="false" outlineLevel="0" collapsed="false">
      <c r="A151" s="22" t="n">
        <v>46309</v>
      </c>
      <c r="B151" s="0" t="n">
        <v>1</v>
      </c>
      <c r="C151" s="0" t="n">
        <v>6003</v>
      </c>
      <c r="D151" s="0" t="n">
        <v>53</v>
      </c>
      <c r="E151" s="0" t="n">
        <v>1</v>
      </c>
      <c r="F151" s="23" t="s">
        <v>182</v>
      </c>
      <c r="G151" s="0" t="n">
        <v>51.4</v>
      </c>
      <c r="H151" s="0" t="n">
        <v>46</v>
      </c>
      <c r="I151" s="23" t="s">
        <v>94</v>
      </c>
      <c r="J151" s="0" t="n">
        <v>53</v>
      </c>
      <c r="P151" s="0" t="n">
        <v>3.18</v>
      </c>
      <c r="Q151" s="0" t="n">
        <v>3.13</v>
      </c>
      <c r="R151" s="0" t="n">
        <v>4137</v>
      </c>
      <c r="S151" s="0" t="n">
        <v>8316</v>
      </c>
      <c r="U151" s="0" t="n">
        <v>720</v>
      </c>
      <c r="V151" s="0" t="n">
        <v>0</v>
      </c>
      <c r="W151" s="0" t="str">
        <f aca="false">IF(OR(AND(B151&gt;=1,B151&lt;=6),B151=10),"Vaca em lactação",IF(I151="Male","Macho",IF(E151&gt;=1,"Vaca seca",IF(I151="Youngstock","Bezerra/recria","Novilha"))))</f>
        <v>Vaca em lactação</v>
      </c>
      <c r="X151" s="0" t="str">
        <f aca="false">IF(AND(B151&gt;=1,B151&lt;=6),"Tanque",IF(B151=10,"Descarte",""))</f>
        <v>Tanque</v>
      </c>
    </row>
    <row r="152" customFormat="false" ht="15" hidden="false" customHeight="false" outlineLevel="0" collapsed="false">
      <c r="A152" s="22" t="n">
        <v>46309</v>
      </c>
      <c r="B152" s="0" t="n">
        <v>1</v>
      </c>
      <c r="C152" s="0" t="n">
        <v>6007</v>
      </c>
      <c r="D152" s="0" t="n">
        <v>56</v>
      </c>
      <c r="E152" s="0" t="n">
        <v>1</v>
      </c>
      <c r="F152" s="23" t="s">
        <v>181</v>
      </c>
      <c r="G152" s="0" t="n">
        <v>49.1</v>
      </c>
      <c r="H152" s="0" t="n">
        <v>49</v>
      </c>
      <c r="I152" s="23" t="s">
        <v>94</v>
      </c>
      <c r="J152" s="0" t="n">
        <v>56</v>
      </c>
      <c r="P152" s="0" t="n">
        <v>5.21</v>
      </c>
      <c r="Q152" s="0" t="n">
        <v>2.78</v>
      </c>
      <c r="R152" s="0" t="n">
        <v>4111</v>
      </c>
      <c r="S152" s="0" t="n">
        <v>8265</v>
      </c>
      <c r="U152" s="0" t="n">
        <v>719</v>
      </c>
      <c r="V152" s="0" t="n">
        <v>0</v>
      </c>
      <c r="W152" s="0" t="str">
        <f aca="false">IF(OR(AND(B152&gt;=1,B152&lt;=6),B152=10),"Vaca em lactação",IF(I152="Male","Macho",IF(E152&gt;=1,"Vaca seca",IF(I152="Youngstock","Bezerra/recria","Novilha"))))</f>
        <v>Vaca em lactação</v>
      </c>
      <c r="X152" s="0" t="str">
        <f aca="false">IF(AND(B152&gt;=1,B152&lt;=6),"Tanque",IF(B152=10,"Descarte",""))</f>
        <v>Tanque</v>
      </c>
    </row>
    <row r="153" customFormat="false" ht="15" hidden="false" customHeight="false" outlineLevel="0" collapsed="false">
      <c r="A153" s="22" t="n">
        <v>46309</v>
      </c>
      <c r="B153" s="0" t="n">
        <v>1</v>
      </c>
      <c r="C153" s="0" t="n">
        <v>6010</v>
      </c>
      <c r="D153" s="0" t="n">
        <v>18</v>
      </c>
      <c r="E153" s="0" t="n">
        <v>1</v>
      </c>
      <c r="F153" s="23" t="s">
        <v>183</v>
      </c>
      <c r="G153" s="0" t="n">
        <v>24.4</v>
      </c>
      <c r="H153" s="0" t="n">
        <v>28</v>
      </c>
      <c r="I153" s="23" t="s">
        <v>94</v>
      </c>
      <c r="J153" s="0" t="n">
        <v>18</v>
      </c>
      <c r="R153" s="0" t="n">
        <v>2092</v>
      </c>
      <c r="S153" s="0" t="n">
        <v>4206</v>
      </c>
      <c r="U153" s="0" t="n">
        <v>718</v>
      </c>
      <c r="V153" s="0" t="n">
        <v>0</v>
      </c>
      <c r="W153" s="0" t="str">
        <f aca="false">IF(OR(AND(B153&gt;=1,B153&lt;=6),B153=10),"Vaca em lactação",IF(I153="Male","Macho",IF(E153&gt;=1,"Vaca seca",IF(I153="Youngstock","Bezerra/recria","Novilha"))))</f>
        <v>Vaca em lactação</v>
      </c>
      <c r="X153" s="0" t="str">
        <f aca="false">IF(AND(B153&gt;=1,B153&lt;=6),"Tanque",IF(B153=10,"Descarte",""))</f>
        <v>Tanque</v>
      </c>
    </row>
    <row r="154" customFormat="false" ht="15" hidden="false" customHeight="false" outlineLevel="0" collapsed="false">
      <c r="A154" s="22" t="n">
        <v>46309</v>
      </c>
      <c r="B154" s="0" t="n">
        <v>1</v>
      </c>
      <c r="C154" s="0" t="n">
        <v>6009</v>
      </c>
      <c r="D154" s="0" t="n">
        <v>78</v>
      </c>
      <c r="E154" s="0" t="n">
        <v>1</v>
      </c>
      <c r="F154" s="23" t="s">
        <v>183</v>
      </c>
      <c r="G154" s="0" t="n">
        <v>52.3</v>
      </c>
      <c r="H154" s="0" t="n">
        <v>51</v>
      </c>
      <c r="I154" s="23" t="s">
        <v>97</v>
      </c>
      <c r="J154" s="0" t="n">
        <v>78</v>
      </c>
      <c r="K154" s="0" t="n">
        <v>64</v>
      </c>
      <c r="P154" s="0" t="n">
        <v>3.85</v>
      </c>
      <c r="Q154" s="0" t="n">
        <v>2.94</v>
      </c>
      <c r="R154" s="0" t="n">
        <v>4460</v>
      </c>
      <c r="S154" s="0" t="n">
        <v>8965</v>
      </c>
      <c r="U154" s="0" t="n">
        <v>718</v>
      </c>
      <c r="V154" s="0" t="n">
        <v>2</v>
      </c>
      <c r="W154" s="0" t="str">
        <f aca="false">IF(OR(AND(B154&gt;=1,B154&lt;=6),B154=10),"Vaca em lactação",IF(I154="Male","Macho",IF(E154&gt;=1,"Vaca seca",IF(I154="Youngstock","Bezerra/recria","Novilha"))))</f>
        <v>Vaca em lactação</v>
      </c>
      <c r="X154" s="0" t="str">
        <f aca="false">IF(AND(B154&gt;=1,B154&lt;=6),"Tanque",IF(B154=10,"Descarte",""))</f>
        <v>Tanque</v>
      </c>
    </row>
    <row r="155" customFormat="false" ht="15" hidden="false" customHeight="false" outlineLevel="0" collapsed="false">
      <c r="A155" s="22" t="n">
        <v>46309</v>
      </c>
      <c r="B155" s="0" t="n">
        <v>1</v>
      </c>
      <c r="C155" s="0" t="n">
        <v>6011</v>
      </c>
      <c r="D155" s="0" t="n">
        <v>71</v>
      </c>
      <c r="E155" s="0" t="n">
        <v>1</v>
      </c>
      <c r="F155" s="23" t="s">
        <v>183</v>
      </c>
      <c r="G155" s="0" t="n">
        <v>49</v>
      </c>
      <c r="H155" s="0" t="n">
        <v>44</v>
      </c>
      <c r="I155" s="23" t="s">
        <v>97</v>
      </c>
      <c r="J155" s="0" t="n">
        <v>71</v>
      </c>
      <c r="K155" s="0" t="n">
        <v>64</v>
      </c>
      <c r="P155" s="0" t="n">
        <v>2.87</v>
      </c>
      <c r="Q155" s="0" t="n">
        <v>2.97</v>
      </c>
      <c r="R155" s="0" t="n">
        <v>4224</v>
      </c>
      <c r="S155" s="0" t="n">
        <v>8491</v>
      </c>
      <c r="U155" s="0" t="n">
        <v>718</v>
      </c>
      <c r="V155" s="0" t="n">
        <v>1</v>
      </c>
      <c r="W155" s="0" t="str">
        <f aca="false">IF(OR(AND(B155&gt;=1,B155&lt;=6),B155=10),"Vaca em lactação",IF(I155="Male","Macho",IF(E155&gt;=1,"Vaca seca",IF(I155="Youngstock","Bezerra/recria","Novilha"))))</f>
        <v>Vaca em lactação</v>
      </c>
      <c r="X155" s="0" t="str">
        <f aca="false">IF(AND(B155&gt;=1,B155&lt;=6),"Tanque",IF(B155=10,"Descarte",""))</f>
        <v>Tanque</v>
      </c>
    </row>
    <row r="156" customFormat="false" ht="15" hidden="false" customHeight="false" outlineLevel="0" collapsed="false">
      <c r="A156" s="22" t="n">
        <v>46309</v>
      </c>
      <c r="B156" s="0" t="n">
        <v>1</v>
      </c>
      <c r="C156" s="0" t="n">
        <v>5999</v>
      </c>
      <c r="D156" s="0" t="n">
        <v>89</v>
      </c>
      <c r="E156" s="0" t="n">
        <v>1</v>
      </c>
      <c r="F156" s="23" t="s">
        <v>184</v>
      </c>
      <c r="G156" s="0" t="n">
        <v>49.4</v>
      </c>
      <c r="H156" s="0" t="n">
        <v>50</v>
      </c>
      <c r="I156" s="23" t="s">
        <v>97</v>
      </c>
      <c r="J156" s="0" t="n">
        <v>89</v>
      </c>
      <c r="K156" s="0" t="n">
        <v>68</v>
      </c>
      <c r="P156" s="0" t="n">
        <v>2.81</v>
      </c>
      <c r="Q156" s="0" t="n">
        <v>3.26</v>
      </c>
      <c r="R156" s="0" t="n">
        <v>3839</v>
      </c>
      <c r="S156" s="0" t="n">
        <v>7717</v>
      </c>
      <c r="U156" s="0" t="n">
        <v>722</v>
      </c>
      <c r="V156" s="0" t="n">
        <v>1</v>
      </c>
      <c r="W156" s="0" t="str">
        <f aca="false">IF(OR(AND(B156&gt;=1,B156&lt;=6),B156=10),"Vaca em lactação",IF(I156="Male","Macho",IF(E156&gt;=1,"Vaca seca",IF(I156="Youngstock","Bezerra/recria","Novilha"))))</f>
        <v>Vaca em lactação</v>
      </c>
      <c r="X156" s="0" t="str">
        <f aca="false">IF(AND(B156&gt;=1,B156&lt;=6),"Tanque",IF(B156=10,"Descarte",""))</f>
        <v>Tanque</v>
      </c>
    </row>
    <row r="157" customFormat="false" ht="15" hidden="false" customHeight="false" outlineLevel="0" collapsed="false">
      <c r="A157" s="22" t="n">
        <v>46309</v>
      </c>
      <c r="B157" s="0" t="n">
        <v>1</v>
      </c>
      <c r="C157" s="0" t="n">
        <v>6102</v>
      </c>
      <c r="D157" s="0" t="n">
        <v>36</v>
      </c>
      <c r="E157" s="0" t="n">
        <v>1</v>
      </c>
      <c r="F157" s="23" t="s">
        <v>185</v>
      </c>
      <c r="G157" s="0" t="n">
        <v>51.4</v>
      </c>
      <c r="H157" s="0" t="n">
        <v>49</v>
      </c>
      <c r="I157" s="23" t="s">
        <v>94</v>
      </c>
      <c r="J157" s="0" t="n">
        <v>36</v>
      </c>
      <c r="P157" s="0" t="n">
        <v>5.59</v>
      </c>
      <c r="Q157" s="0" t="n">
        <v>3.29</v>
      </c>
      <c r="R157" s="0" t="n">
        <v>3949</v>
      </c>
      <c r="S157" s="0" t="n">
        <v>7939</v>
      </c>
      <c r="U157" s="0" t="n">
        <v>680</v>
      </c>
      <c r="V157" s="0" t="n">
        <v>0</v>
      </c>
      <c r="W157" s="0" t="str">
        <f aca="false">IF(OR(AND(B157&gt;=1,B157&lt;=6),B157=10),"Vaca em lactação",IF(I157="Male","Macho",IF(E157&gt;=1,"Vaca seca",IF(I157="Youngstock","Bezerra/recria","Novilha"))))</f>
        <v>Vaca em lactação</v>
      </c>
      <c r="X157" s="0" t="str">
        <f aca="false">IF(AND(B157&gt;=1,B157&lt;=6),"Tanque",IF(B157=10,"Descarte",""))</f>
        <v>Tanque</v>
      </c>
    </row>
    <row r="158" customFormat="false" ht="15" hidden="false" customHeight="false" outlineLevel="0" collapsed="false">
      <c r="A158" s="22" t="n">
        <v>46309</v>
      </c>
      <c r="B158" s="0" t="n">
        <v>1</v>
      </c>
      <c r="C158" s="0" t="n">
        <v>6081</v>
      </c>
      <c r="D158" s="0" t="n">
        <v>45</v>
      </c>
      <c r="E158" s="0" t="n">
        <v>1</v>
      </c>
      <c r="F158" s="23" t="s">
        <v>186</v>
      </c>
      <c r="G158" s="0" t="n">
        <v>45.8</v>
      </c>
      <c r="H158" s="0" t="n">
        <v>45</v>
      </c>
      <c r="I158" s="23" t="s">
        <v>94</v>
      </c>
      <c r="J158" s="0" t="n">
        <v>45</v>
      </c>
      <c r="P158" s="0" t="n">
        <v>4.02</v>
      </c>
      <c r="Q158" s="0" t="n">
        <v>3.53</v>
      </c>
      <c r="R158" s="0" t="n">
        <v>3895</v>
      </c>
      <c r="S158" s="0" t="n">
        <v>7829</v>
      </c>
      <c r="U158" s="0" t="n">
        <v>692</v>
      </c>
      <c r="V158" s="0" t="n">
        <v>0</v>
      </c>
      <c r="W158" s="0" t="str">
        <f aca="false">IF(OR(AND(B158&gt;=1,B158&lt;=6),B158=10),"Vaca em lactação",IF(I158="Male","Macho",IF(E158&gt;=1,"Vaca seca",IF(I158="Youngstock","Bezerra/recria","Novilha"))))</f>
        <v>Vaca em lactação</v>
      </c>
      <c r="X158" s="0" t="str">
        <f aca="false">IF(AND(B158&gt;=1,B158&lt;=6),"Tanque",IF(B158=10,"Descarte",""))</f>
        <v>Tanque</v>
      </c>
    </row>
    <row r="159" customFormat="false" ht="15" hidden="false" customHeight="false" outlineLevel="0" collapsed="false">
      <c r="A159" s="22" t="n">
        <v>46309</v>
      </c>
      <c r="B159" s="0" t="n">
        <v>1</v>
      </c>
      <c r="C159" s="0" t="n">
        <v>6082</v>
      </c>
      <c r="D159" s="0" t="n">
        <v>51</v>
      </c>
      <c r="E159" s="0" t="n">
        <v>1</v>
      </c>
      <c r="F159" s="23" t="s">
        <v>186</v>
      </c>
      <c r="G159" s="0" t="n">
        <v>37.7</v>
      </c>
      <c r="H159" s="0" t="n">
        <v>36</v>
      </c>
      <c r="I159" s="23" t="s">
        <v>94</v>
      </c>
      <c r="J159" s="0" t="n">
        <v>51</v>
      </c>
      <c r="P159" s="0" t="n">
        <v>3.42</v>
      </c>
      <c r="Q159" s="0" t="n">
        <v>3.32</v>
      </c>
      <c r="R159" s="0" t="n">
        <v>3042</v>
      </c>
      <c r="S159" s="0" t="n">
        <v>6116</v>
      </c>
      <c r="U159" s="0" t="n">
        <v>692</v>
      </c>
      <c r="V159" s="0" t="n">
        <v>0</v>
      </c>
      <c r="W159" s="0" t="str">
        <f aca="false">IF(OR(AND(B159&gt;=1,B159&lt;=6),B159=10),"Vaca em lactação",IF(I159="Male","Macho",IF(E159&gt;=1,"Vaca seca",IF(I159="Youngstock","Bezerra/recria","Novilha"))))</f>
        <v>Vaca em lactação</v>
      </c>
      <c r="X159" s="0" t="str">
        <f aca="false">IF(AND(B159&gt;=1,B159&lt;=6),"Tanque",IF(B159=10,"Descarte",""))</f>
        <v>Tanque</v>
      </c>
    </row>
    <row r="160" customFormat="false" ht="15" hidden="false" customHeight="false" outlineLevel="0" collapsed="false">
      <c r="A160" s="22" t="n">
        <v>46309</v>
      </c>
      <c r="B160" s="0" t="n">
        <v>1</v>
      </c>
      <c r="C160" s="0" t="n">
        <v>6088</v>
      </c>
      <c r="D160" s="0" t="n">
        <v>50</v>
      </c>
      <c r="E160" s="0" t="n">
        <v>1</v>
      </c>
      <c r="F160" s="23" t="s">
        <v>187</v>
      </c>
      <c r="G160" s="0" t="n">
        <v>51.1</v>
      </c>
      <c r="H160" s="0" t="n">
        <v>48</v>
      </c>
      <c r="I160" s="23" t="s">
        <v>94</v>
      </c>
      <c r="J160" s="0" t="n">
        <v>50</v>
      </c>
      <c r="P160" s="0" t="n">
        <v>4.83</v>
      </c>
      <c r="Q160" s="0" t="n">
        <v>3.33</v>
      </c>
      <c r="R160" s="0" t="n">
        <v>3679</v>
      </c>
      <c r="S160" s="0" t="n">
        <v>7396</v>
      </c>
      <c r="U160" s="0" t="n">
        <v>690</v>
      </c>
      <c r="V160" s="0" t="n">
        <v>0</v>
      </c>
      <c r="W160" s="0" t="str">
        <f aca="false">IF(OR(AND(B160&gt;=1,B160&lt;=6),B160=10),"Vaca em lactação",IF(I160="Male","Macho",IF(E160&gt;=1,"Vaca seca",IF(I160="Youngstock","Bezerra/recria","Novilha"))))</f>
        <v>Vaca em lactação</v>
      </c>
      <c r="X160" s="0" t="str">
        <f aca="false">IF(AND(B160&gt;=1,B160&lt;=6),"Tanque",IF(B160=10,"Descarte",""))</f>
        <v>Tanque</v>
      </c>
    </row>
    <row r="161" customFormat="false" ht="15" hidden="false" customHeight="false" outlineLevel="0" collapsed="false">
      <c r="A161" s="22" t="n">
        <v>46309</v>
      </c>
      <c r="B161" s="0" t="n">
        <v>1</v>
      </c>
      <c r="C161" s="0" t="n">
        <v>6087</v>
      </c>
      <c r="D161" s="0" t="n">
        <v>2</v>
      </c>
      <c r="E161" s="0" t="n">
        <v>1</v>
      </c>
      <c r="F161" s="23" t="s">
        <v>188</v>
      </c>
      <c r="I161" s="23" t="s">
        <v>94</v>
      </c>
      <c r="J161" s="0" t="n">
        <v>2</v>
      </c>
      <c r="U161" s="0" t="n">
        <v>691</v>
      </c>
      <c r="V161" s="0" t="n">
        <v>0</v>
      </c>
      <c r="W161" s="0" t="str">
        <f aca="false">IF(OR(AND(B161&gt;=1,B161&lt;=6),B161=10),"Vaca em lactação",IF(I161="Male","Macho",IF(E161&gt;=1,"Vaca seca",IF(I161="Youngstock","Bezerra/recria","Novilha"))))</f>
        <v>Vaca em lactação</v>
      </c>
      <c r="X161" s="0" t="str">
        <f aca="false">IF(AND(B161&gt;=1,B161&lt;=6),"Tanque",IF(B161=10,"Descarte",""))</f>
        <v>Tanque</v>
      </c>
    </row>
    <row r="162" customFormat="false" ht="15" hidden="false" customHeight="false" outlineLevel="0" collapsed="false">
      <c r="A162" s="22" t="n">
        <v>46309</v>
      </c>
      <c r="B162" s="0" t="n">
        <v>1</v>
      </c>
      <c r="C162" s="0" t="n">
        <v>6086</v>
      </c>
      <c r="D162" s="0" t="n">
        <v>62</v>
      </c>
      <c r="E162" s="0" t="n">
        <v>1</v>
      </c>
      <c r="F162" s="23" t="s">
        <v>188</v>
      </c>
      <c r="G162" s="0" t="n">
        <v>59.4</v>
      </c>
      <c r="H162" s="0" t="n">
        <v>54</v>
      </c>
      <c r="I162" s="23" t="s">
        <v>94</v>
      </c>
      <c r="J162" s="0" t="n">
        <v>62</v>
      </c>
      <c r="P162" s="0" t="n">
        <v>2.52</v>
      </c>
      <c r="Q162" s="0" t="n">
        <v>3.05</v>
      </c>
      <c r="R162" s="0" t="n">
        <v>4623</v>
      </c>
      <c r="S162" s="0" t="n">
        <v>9293</v>
      </c>
      <c r="U162" s="0" t="n">
        <v>691</v>
      </c>
      <c r="V162" s="0" t="n">
        <v>0</v>
      </c>
      <c r="W162" s="0" t="str">
        <f aca="false">IF(OR(AND(B162&gt;=1,B162&lt;=6),B162=10),"Vaca em lactação",IF(I162="Male","Macho",IF(E162&gt;=1,"Vaca seca",IF(I162="Youngstock","Bezerra/recria","Novilha"))))</f>
        <v>Vaca em lactação</v>
      </c>
      <c r="X162" s="0" t="str">
        <f aca="false">IF(AND(B162&gt;=1,B162&lt;=6),"Tanque",IF(B162=10,"Descarte",""))</f>
        <v>Tanque</v>
      </c>
    </row>
    <row r="163" customFormat="false" ht="15" hidden="false" customHeight="false" outlineLevel="0" collapsed="false">
      <c r="A163" s="22" t="n">
        <v>46309</v>
      </c>
      <c r="B163" s="0" t="n">
        <v>1</v>
      </c>
      <c r="C163" s="0" t="n">
        <v>6093</v>
      </c>
      <c r="D163" s="0" t="n">
        <v>25</v>
      </c>
      <c r="E163" s="0" t="n">
        <v>1</v>
      </c>
      <c r="F163" s="23" t="s">
        <v>189</v>
      </c>
      <c r="G163" s="0" t="n">
        <v>40.1</v>
      </c>
      <c r="H163" s="0" t="n">
        <v>37</v>
      </c>
      <c r="I163" s="23" t="s">
        <v>94</v>
      </c>
      <c r="J163" s="0" t="n">
        <v>25</v>
      </c>
      <c r="R163" s="0" t="n">
        <v>3248</v>
      </c>
      <c r="S163" s="0" t="n">
        <v>6530</v>
      </c>
      <c r="U163" s="0" t="n">
        <v>686</v>
      </c>
      <c r="V163" s="0" t="n">
        <v>0</v>
      </c>
      <c r="W163" s="0" t="str">
        <f aca="false">IF(OR(AND(B163&gt;=1,B163&lt;=6),B163=10),"Vaca em lactação",IF(I163="Male","Macho",IF(E163&gt;=1,"Vaca seca",IF(I163="Youngstock","Bezerra/recria","Novilha"))))</f>
        <v>Vaca em lactação</v>
      </c>
      <c r="X163" s="0" t="str">
        <f aca="false">IF(AND(B163&gt;=1,B163&lt;=6),"Tanque",IF(B163=10,"Descarte",""))</f>
        <v>Tanque</v>
      </c>
    </row>
    <row r="164" customFormat="false" ht="15" hidden="false" customHeight="false" outlineLevel="0" collapsed="false">
      <c r="A164" s="22" t="n">
        <v>46309</v>
      </c>
      <c r="B164" s="0" t="n">
        <v>1</v>
      </c>
      <c r="C164" s="0" t="n">
        <v>6092</v>
      </c>
      <c r="D164" s="0" t="n">
        <v>51</v>
      </c>
      <c r="E164" s="0" t="n">
        <v>1</v>
      </c>
      <c r="F164" s="23" t="s">
        <v>189</v>
      </c>
      <c r="G164" s="0" t="n">
        <v>37</v>
      </c>
      <c r="H164" s="0" t="n">
        <v>31</v>
      </c>
      <c r="I164" s="23" t="s">
        <v>94</v>
      </c>
      <c r="J164" s="0" t="n">
        <v>51</v>
      </c>
      <c r="P164" s="0" t="n">
        <v>4.23</v>
      </c>
      <c r="Q164" s="0" t="n">
        <v>3.25</v>
      </c>
      <c r="R164" s="0" t="n">
        <v>3118</v>
      </c>
      <c r="S164" s="0" t="n">
        <v>6268</v>
      </c>
      <c r="U164" s="0" t="n">
        <v>686</v>
      </c>
      <c r="V164" s="0" t="n">
        <v>0</v>
      </c>
      <c r="W164" s="0" t="str">
        <f aca="false">IF(OR(AND(B164&gt;=1,B164&lt;=6),B164=10),"Vaca em lactação",IF(I164="Male","Macho",IF(E164&gt;=1,"Vaca seca",IF(I164="Youngstock","Bezerra/recria","Novilha"))))</f>
        <v>Vaca em lactação</v>
      </c>
      <c r="X164" s="0" t="str">
        <f aca="false">IF(AND(B164&gt;=1,B164&lt;=6),"Tanque",IF(B164=10,"Descarte",""))</f>
        <v>Tanque</v>
      </c>
    </row>
    <row r="165" customFormat="false" ht="15" hidden="false" customHeight="false" outlineLevel="0" collapsed="false">
      <c r="A165" s="22" t="n">
        <v>46309</v>
      </c>
      <c r="B165" s="0" t="n">
        <v>1</v>
      </c>
      <c r="C165" s="0" t="n">
        <v>6066</v>
      </c>
      <c r="D165" s="0" t="n">
        <v>37</v>
      </c>
      <c r="E165" s="0" t="n">
        <v>1</v>
      </c>
      <c r="F165" s="23" t="s">
        <v>190</v>
      </c>
      <c r="G165" s="0" t="n">
        <v>48.1</v>
      </c>
      <c r="H165" s="0" t="n">
        <v>47</v>
      </c>
      <c r="I165" s="23" t="s">
        <v>94</v>
      </c>
      <c r="J165" s="0" t="n">
        <v>37</v>
      </c>
      <c r="P165" s="0" t="n">
        <v>5.01</v>
      </c>
      <c r="Q165" s="0" t="n">
        <v>3.79</v>
      </c>
      <c r="R165" s="0" t="n">
        <v>3767</v>
      </c>
      <c r="S165" s="0" t="n">
        <v>7573</v>
      </c>
      <c r="U165" s="0" t="n">
        <v>699</v>
      </c>
      <c r="V165" s="0" t="n">
        <v>0</v>
      </c>
      <c r="W165" s="0" t="str">
        <f aca="false">IF(OR(AND(B165&gt;=1,B165&lt;=6),B165=10),"Vaca em lactação",IF(I165="Male","Macho",IF(E165&gt;=1,"Vaca seca",IF(I165="Youngstock","Bezerra/recria","Novilha"))))</f>
        <v>Vaca em lactação</v>
      </c>
      <c r="X165" s="0" t="str">
        <f aca="false">IF(AND(B165&gt;=1,B165&lt;=6),"Tanque",IF(B165=10,"Descarte",""))</f>
        <v>Tanque</v>
      </c>
    </row>
    <row r="166" customFormat="false" ht="15" hidden="false" customHeight="false" outlineLevel="0" collapsed="false">
      <c r="A166" s="22" t="n">
        <v>46309</v>
      </c>
      <c r="B166" s="0" t="n">
        <v>1</v>
      </c>
      <c r="C166" s="0" t="n">
        <v>6068</v>
      </c>
      <c r="D166" s="0" t="n">
        <v>24</v>
      </c>
      <c r="E166" s="0" t="n">
        <v>1</v>
      </c>
      <c r="F166" s="23" t="s">
        <v>191</v>
      </c>
      <c r="G166" s="0" t="n">
        <v>35.2</v>
      </c>
      <c r="H166" s="0" t="n">
        <v>30</v>
      </c>
      <c r="I166" s="23" t="s">
        <v>94</v>
      </c>
      <c r="J166" s="0" t="n">
        <v>24</v>
      </c>
      <c r="R166" s="0" t="n">
        <v>2718</v>
      </c>
      <c r="S166" s="0" t="n">
        <v>5463</v>
      </c>
      <c r="U166" s="0" t="n">
        <v>698</v>
      </c>
      <c r="V166" s="0" t="n">
        <v>0</v>
      </c>
      <c r="W166" s="0" t="str">
        <f aca="false">IF(OR(AND(B166&gt;=1,B166&lt;=6),B166=10),"Vaca em lactação",IF(I166="Male","Macho",IF(E166&gt;=1,"Vaca seca",IF(I166="Youngstock","Bezerra/recria","Novilha"))))</f>
        <v>Vaca em lactação</v>
      </c>
      <c r="X166" s="0" t="str">
        <f aca="false">IF(AND(B166&gt;=1,B166&lt;=6),"Tanque",IF(B166=10,"Descarte",""))</f>
        <v>Tanque</v>
      </c>
    </row>
    <row r="167" customFormat="false" ht="15" hidden="false" customHeight="false" outlineLevel="0" collapsed="false">
      <c r="A167" s="22" t="n">
        <v>46309</v>
      </c>
      <c r="B167" s="0" t="n">
        <v>1</v>
      </c>
      <c r="C167" s="0" t="n">
        <v>6071</v>
      </c>
      <c r="D167" s="0" t="n">
        <v>52</v>
      </c>
      <c r="E167" s="0" t="n">
        <v>1</v>
      </c>
      <c r="F167" s="23" t="s">
        <v>191</v>
      </c>
      <c r="G167" s="0" t="n">
        <v>51.4</v>
      </c>
      <c r="H167" s="0" t="n">
        <v>49</v>
      </c>
      <c r="I167" s="23" t="s">
        <v>94</v>
      </c>
      <c r="J167" s="0" t="n">
        <v>52</v>
      </c>
      <c r="P167" s="0" t="n">
        <v>3.64</v>
      </c>
      <c r="Q167" s="0" t="n">
        <v>3.32</v>
      </c>
      <c r="R167" s="0" t="n">
        <v>3870</v>
      </c>
      <c r="S167" s="0" t="n">
        <v>7780</v>
      </c>
      <c r="U167" s="0" t="n">
        <v>698</v>
      </c>
      <c r="V167" s="0" t="n">
        <v>0</v>
      </c>
      <c r="W167" s="0" t="str">
        <f aca="false">IF(OR(AND(B167&gt;=1,B167&lt;=6),B167=10),"Vaca em lactação",IF(I167="Male","Macho",IF(E167&gt;=1,"Vaca seca",IF(I167="Youngstock","Bezerra/recria","Novilha"))))</f>
        <v>Vaca em lactação</v>
      </c>
      <c r="X167" s="0" t="str">
        <f aca="false">IF(AND(B167&gt;=1,B167&lt;=6),"Tanque",IF(B167=10,"Descarte",""))</f>
        <v>Tanque</v>
      </c>
    </row>
    <row r="168" customFormat="false" ht="15" hidden="false" customHeight="false" outlineLevel="0" collapsed="false">
      <c r="A168" s="22" t="n">
        <v>46309</v>
      </c>
      <c r="B168" s="0" t="n">
        <v>1</v>
      </c>
      <c r="C168" s="0" t="n">
        <v>6073</v>
      </c>
      <c r="D168" s="0" t="n">
        <v>30</v>
      </c>
      <c r="E168" s="0" t="n">
        <v>1</v>
      </c>
      <c r="F168" s="23" t="s">
        <v>192</v>
      </c>
      <c r="G168" s="0" t="n">
        <v>45.1</v>
      </c>
      <c r="H168" s="0" t="n">
        <v>43</v>
      </c>
      <c r="I168" s="23" t="s">
        <v>94</v>
      </c>
      <c r="J168" s="0" t="n">
        <v>30</v>
      </c>
      <c r="R168" s="0" t="n">
        <v>3903</v>
      </c>
      <c r="S168" s="0" t="n">
        <v>7845</v>
      </c>
      <c r="U168" s="0" t="n">
        <v>697</v>
      </c>
      <c r="V168" s="0" t="n">
        <v>0</v>
      </c>
      <c r="W168" s="0" t="str">
        <f aca="false">IF(OR(AND(B168&gt;=1,B168&lt;=6),B168=10),"Vaca em lactação",IF(I168="Male","Macho",IF(E168&gt;=1,"Vaca seca",IF(I168="Youngstock","Bezerra/recria","Novilha"))))</f>
        <v>Vaca em lactação</v>
      </c>
      <c r="X168" s="0" t="str">
        <f aca="false">IF(AND(B168&gt;=1,B168&lt;=6),"Tanque",IF(B168=10,"Descarte",""))</f>
        <v>Tanque</v>
      </c>
    </row>
    <row r="169" customFormat="false" ht="15" hidden="false" customHeight="false" outlineLevel="0" collapsed="false">
      <c r="A169" s="22" t="n">
        <v>46309</v>
      </c>
      <c r="B169" s="0" t="n">
        <v>1</v>
      </c>
      <c r="C169" s="0" t="n">
        <v>6075</v>
      </c>
      <c r="D169" s="0" t="n">
        <v>54</v>
      </c>
      <c r="E169" s="0" t="n">
        <v>1</v>
      </c>
      <c r="F169" s="23" t="s">
        <v>193</v>
      </c>
      <c r="G169" s="0" t="n">
        <v>44.7</v>
      </c>
      <c r="H169" s="0" t="n">
        <v>44</v>
      </c>
      <c r="I169" s="23" t="s">
        <v>94</v>
      </c>
      <c r="J169" s="0" t="n">
        <v>54</v>
      </c>
      <c r="P169" s="0" t="n">
        <v>4.75</v>
      </c>
      <c r="Q169" s="0" t="n">
        <v>3.1</v>
      </c>
      <c r="R169" s="0" t="n">
        <v>4207</v>
      </c>
      <c r="S169" s="0" t="n">
        <v>8458</v>
      </c>
      <c r="U169" s="0" t="n">
        <v>695</v>
      </c>
      <c r="V169" s="0" t="n">
        <v>0</v>
      </c>
      <c r="W169" s="0" t="str">
        <f aca="false">IF(OR(AND(B169&gt;=1,B169&lt;=6),B169=10),"Vaca em lactação",IF(I169="Male","Macho",IF(E169&gt;=1,"Vaca seca",IF(I169="Youngstock","Bezerra/recria","Novilha"))))</f>
        <v>Vaca em lactação</v>
      </c>
      <c r="X169" s="0" t="str">
        <f aca="false">IF(AND(B169&gt;=1,B169&lt;=6),"Tanque",IF(B169=10,"Descarte",""))</f>
        <v>Tanque</v>
      </c>
    </row>
    <row r="170" customFormat="false" ht="15" hidden="false" customHeight="false" outlineLevel="0" collapsed="false">
      <c r="A170" s="22" t="n">
        <v>46309</v>
      </c>
      <c r="B170" s="0" t="n">
        <v>1</v>
      </c>
      <c r="C170" s="0" t="n">
        <v>6076</v>
      </c>
      <c r="D170" s="0" t="n">
        <v>32</v>
      </c>
      <c r="E170" s="0" t="n">
        <v>1</v>
      </c>
      <c r="F170" s="23" t="s">
        <v>194</v>
      </c>
      <c r="G170" s="0" t="n">
        <v>61.2</v>
      </c>
      <c r="H170" s="0" t="n">
        <v>60</v>
      </c>
      <c r="I170" s="23" t="s">
        <v>94</v>
      </c>
      <c r="J170" s="0" t="n">
        <v>32</v>
      </c>
      <c r="P170" s="0" t="n">
        <v>4.68</v>
      </c>
      <c r="Q170" s="0" t="n">
        <v>3.9</v>
      </c>
      <c r="R170" s="0" t="n">
        <v>4835</v>
      </c>
      <c r="S170" s="0" t="n">
        <v>9720</v>
      </c>
      <c r="U170" s="0" t="n">
        <v>694</v>
      </c>
      <c r="V170" s="0" t="n">
        <v>0</v>
      </c>
      <c r="W170" s="0" t="str">
        <f aca="false">IF(OR(AND(B170&gt;=1,B170&lt;=6),B170=10),"Vaca em lactação",IF(I170="Male","Macho",IF(E170&gt;=1,"Vaca seca",IF(I170="Youngstock","Bezerra/recria","Novilha"))))</f>
        <v>Vaca em lactação</v>
      </c>
      <c r="X170" s="0" t="str">
        <f aca="false">IF(AND(B170&gt;=1,B170&lt;=6),"Tanque",IF(B170=10,"Descarte",""))</f>
        <v>Tanque</v>
      </c>
    </row>
    <row r="171" customFormat="false" ht="15" hidden="false" customHeight="false" outlineLevel="0" collapsed="false">
      <c r="A171" s="22" t="n">
        <v>46309</v>
      </c>
      <c r="B171" s="0" t="n">
        <v>1</v>
      </c>
      <c r="C171" s="0" t="n">
        <v>6049</v>
      </c>
      <c r="D171" s="0" t="n">
        <v>56</v>
      </c>
      <c r="E171" s="0" t="n">
        <v>1</v>
      </c>
      <c r="F171" s="23" t="s">
        <v>195</v>
      </c>
      <c r="G171" s="0" t="n">
        <v>41.9</v>
      </c>
      <c r="H171" s="0" t="n">
        <v>40</v>
      </c>
      <c r="I171" s="23" t="s">
        <v>94</v>
      </c>
      <c r="J171" s="0" t="n">
        <v>56</v>
      </c>
      <c r="P171" s="0" t="n">
        <v>4.16</v>
      </c>
      <c r="Q171" s="0" t="n">
        <v>3.23</v>
      </c>
      <c r="R171" s="0" t="n">
        <v>4043</v>
      </c>
      <c r="S171" s="0" t="n">
        <v>8128</v>
      </c>
      <c r="U171" s="0" t="n">
        <v>703</v>
      </c>
      <c r="V171" s="0" t="n">
        <v>0</v>
      </c>
      <c r="W171" s="0" t="str">
        <f aca="false">IF(OR(AND(B171&gt;=1,B171&lt;=6),B171=10),"Vaca em lactação",IF(I171="Male","Macho",IF(E171&gt;=1,"Vaca seca",IF(I171="Youngstock","Bezerra/recria","Novilha"))))</f>
        <v>Vaca em lactação</v>
      </c>
      <c r="X171" s="0" t="str">
        <f aca="false">IF(AND(B171&gt;=1,B171&lt;=6),"Tanque",IF(B171=10,"Descarte",""))</f>
        <v>Tanque</v>
      </c>
    </row>
    <row r="172" customFormat="false" ht="15" hidden="false" customHeight="false" outlineLevel="0" collapsed="false">
      <c r="A172" s="22" t="n">
        <v>46309</v>
      </c>
      <c r="B172" s="0" t="n">
        <v>1</v>
      </c>
      <c r="C172" s="0" t="n">
        <v>6048</v>
      </c>
      <c r="D172" s="0" t="n">
        <v>58</v>
      </c>
      <c r="E172" s="0" t="n">
        <v>1</v>
      </c>
      <c r="F172" s="23" t="s">
        <v>195</v>
      </c>
      <c r="G172" s="0" t="n">
        <v>37</v>
      </c>
      <c r="H172" s="0" t="n">
        <v>42</v>
      </c>
      <c r="I172" s="23" t="s">
        <v>94</v>
      </c>
      <c r="J172" s="0" t="n">
        <v>58</v>
      </c>
      <c r="P172" s="0" t="n">
        <v>3.31</v>
      </c>
      <c r="Q172" s="0" t="n">
        <v>3.07</v>
      </c>
      <c r="R172" s="0" t="n">
        <v>3810</v>
      </c>
      <c r="S172" s="0" t="n">
        <v>7659</v>
      </c>
      <c r="U172" s="0" t="n">
        <v>703</v>
      </c>
      <c r="V172" s="0" t="n">
        <v>0</v>
      </c>
      <c r="W172" s="0" t="str">
        <f aca="false">IF(OR(AND(B172&gt;=1,B172&lt;=6),B172=10),"Vaca em lactação",IF(I172="Male","Macho",IF(E172&gt;=1,"Vaca seca",IF(I172="Youngstock","Bezerra/recria","Novilha"))))</f>
        <v>Vaca em lactação</v>
      </c>
      <c r="X172" s="0" t="str">
        <f aca="false">IF(AND(B172&gt;=1,B172&lt;=6),"Tanque",IF(B172=10,"Descarte",""))</f>
        <v>Tanque</v>
      </c>
    </row>
    <row r="173" customFormat="false" ht="15" hidden="false" customHeight="false" outlineLevel="0" collapsed="false">
      <c r="A173" s="22" t="n">
        <v>46309</v>
      </c>
      <c r="B173" s="0" t="n">
        <v>1</v>
      </c>
      <c r="C173" s="0" t="n">
        <v>6043</v>
      </c>
      <c r="D173" s="0" t="n">
        <v>72</v>
      </c>
      <c r="E173" s="0" t="n">
        <v>1</v>
      </c>
      <c r="F173" s="23" t="s">
        <v>196</v>
      </c>
      <c r="G173" s="0" t="n">
        <v>35.4</v>
      </c>
      <c r="H173" s="0" t="n">
        <v>35</v>
      </c>
      <c r="I173" s="23" t="s">
        <v>97</v>
      </c>
      <c r="J173" s="0" t="n">
        <v>72</v>
      </c>
      <c r="K173" s="0" t="n">
        <v>65</v>
      </c>
      <c r="P173" s="0" t="n">
        <v>2.87</v>
      </c>
      <c r="Q173" s="0" t="n">
        <v>2.73</v>
      </c>
      <c r="R173" s="0" t="n">
        <v>3003</v>
      </c>
      <c r="S173" s="0" t="n">
        <v>6037</v>
      </c>
      <c r="U173" s="0" t="n">
        <v>705</v>
      </c>
      <c r="V173" s="0" t="n">
        <v>1</v>
      </c>
      <c r="W173" s="0" t="str">
        <f aca="false">IF(OR(AND(B173&gt;=1,B173&lt;=6),B173=10),"Vaca em lactação",IF(I173="Male","Macho",IF(E173&gt;=1,"Vaca seca",IF(I173="Youngstock","Bezerra/recria","Novilha"))))</f>
        <v>Vaca em lactação</v>
      </c>
      <c r="X173" s="0" t="str">
        <f aca="false">IF(AND(B173&gt;=1,B173&lt;=6),"Tanque",IF(B173=10,"Descarte",""))</f>
        <v>Tanque</v>
      </c>
    </row>
    <row r="174" customFormat="false" ht="15" hidden="false" customHeight="false" outlineLevel="0" collapsed="false">
      <c r="A174" s="22" t="n">
        <v>46309</v>
      </c>
      <c r="B174" s="0" t="n">
        <v>1</v>
      </c>
      <c r="C174" s="0" t="n">
        <v>6047</v>
      </c>
      <c r="D174" s="0" t="n">
        <v>59</v>
      </c>
      <c r="E174" s="0" t="n">
        <v>1</v>
      </c>
      <c r="F174" s="23" t="s">
        <v>197</v>
      </c>
      <c r="G174" s="0" t="n">
        <v>44.2</v>
      </c>
      <c r="H174" s="0" t="n">
        <v>41</v>
      </c>
      <c r="I174" s="23" t="s">
        <v>94</v>
      </c>
      <c r="J174" s="0" t="n">
        <v>59</v>
      </c>
      <c r="P174" s="0" t="n">
        <v>4.35</v>
      </c>
      <c r="Q174" s="0" t="n">
        <v>3.09</v>
      </c>
      <c r="R174" s="0" t="n">
        <v>3255</v>
      </c>
      <c r="S174" s="0" t="n">
        <v>6544</v>
      </c>
      <c r="U174" s="0" t="n">
        <v>704</v>
      </c>
      <c r="V174" s="0" t="n">
        <v>0</v>
      </c>
      <c r="W174" s="0" t="str">
        <f aca="false">IF(OR(AND(B174&gt;=1,B174&lt;=6),B174=10),"Vaca em lactação",IF(I174="Male","Macho",IF(E174&gt;=1,"Vaca seca",IF(I174="Youngstock","Bezerra/recria","Novilha"))))</f>
        <v>Vaca em lactação</v>
      </c>
      <c r="X174" s="0" t="str">
        <f aca="false">IF(AND(B174&gt;=1,B174&lt;=6),"Tanque",IF(B174=10,"Descarte",""))</f>
        <v>Tanque</v>
      </c>
    </row>
    <row r="175" customFormat="false" ht="15" hidden="false" customHeight="false" outlineLevel="0" collapsed="false">
      <c r="A175" s="22" t="n">
        <v>46309</v>
      </c>
      <c r="B175" s="0" t="n">
        <v>1</v>
      </c>
      <c r="C175" s="0" t="n">
        <v>6046</v>
      </c>
      <c r="D175" s="0" t="n">
        <v>17</v>
      </c>
      <c r="E175" s="0" t="n">
        <v>1</v>
      </c>
      <c r="F175" s="23" t="s">
        <v>197</v>
      </c>
      <c r="G175" s="0" t="n">
        <v>38.4</v>
      </c>
      <c r="H175" s="0" t="n">
        <v>36</v>
      </c>
      <c r="I175" s="23" t="s">
        <v>94</v>
      </c>
      <c r="J175" s="0" t="n">
        <v>17</v>
      </c>
      <c r="R175" s="0" t="n">
        <v>2808</v>
      </c>
      <c r="S175" s="0" t="n">
        <v>5645</v>
      </c>
      <c r="U175" s="0" t="n">
        <v>704</v>
      </c>
      <c r="V175" s="0" t="n">
        <v>0</v>
      </c>
      <c r="W175" s="0" t="str">
        <f aca="false">IF(OR(AND(B175&gt;=1,B175&lt;=6),B175=10),"Vaca em lactação",IF(I175="Male","Macho",IF(E175&gt;=1,"Vaca seca",IF(I175="Youngstock","Bezerra/recria","Novilha"))))</f>
        <v>Vaca em lactação</v>
      </c>
      <c r="X175" s="0" t="str">
        <f aca="false">IF(AND(B175&gt;=1,B175&lt;=6),"Tanque",IF(B175=10,"Descarte",""))</f>
        <v>Tanque</v>
      </c>
    </row>
    <row r="176" customFormat="false" ht="15" hidden="false" customHeight="false" outlineLevel="0" collapsed="false">
      <c r="A176" s="22" t="n">
        <v>46309</v>
      </c>
      <c r="B176" s="0" t="n">
        <v>1</v>
      </c>
      <c r="C176" s="0" t="n">
        <v>6051</v>
      </c>
      <c r="D176" s="0" t="n">
        <v>3</v>
      </c>
      <c r="E176" s="0" t="n">
        <v>1</v>
      </c>
      <c r="F176" s="23" t="s">
        <v>198</v>
      </c>
      <c r="H176" s="0" t="n">
        <v>17</v>
      </c>
      <c r="I176" s="23" t="s">
        <v>94</v>
      </c>
      <c r="J176" s="0" t="n">
        <v>3</v>
      </c>
      <c r="U176" s="0" t="n">
        <v>702</v>
      </c>
      <c r="V176" s="0" t="n">
        <v>0</v>
      </c>
      <c r="W176" s="0" t="str">
        <f aca="false">IF(OR(AND(B176&gt;=1,B176&lt;=6),B176=10),"Vaca em lactação",IF(I176="Male","Macho",IF(E176&gt;=1,"Vaca seca",IF(I176="Youngstock","Bezerra/recria","Novilha"))))</f>
        <v>Vaca em lactação</v>
      </c>
      <c r="X176" s="0" t="str">
        <f aca="false">IF(AND(B176&gt;=1,B176&lt;=6),"Tanque",IF(B176=10,"Descarte",""))</f>
        <v>Tanque</v>
      </c>
    </row>
    <row r="177" customFormat="false" ht="15" hidden="false" customHeight="false" outlineLevel="0" collapsed="false">
      <c r="A177" s="22" t="n">
        <v>46309</v>
      </c>
      <c r="B177" s="0" t="n">
        <v>1</v>
      </c>
      <c r="C177" s="0" t="n">
        <v>6064</v>
      </c>
      <c r="D177" s="0" t="n">
        <v>53</v>
      </c>
      <c r="E177" s="0" t="n">
        <v>1</v>
      </c>
      <c r="F177" s="23" t="s">
        <v>190</v>
      </c>
      <c r="G177" s="0" t="n">
        <v>48.4</v>
      </c>
      <c r="H177" s="0" t="n">
        <v>46</v>
      </c>
      <c r="I177" s="23" t="s">
        <v>94</v>
      </c>
      <c r="J177" s="0" t="n">
        <v>53</v>
      </c>
      <c r="P177" s="0" t="n">
        <v>3.69</v>
      </c>
      <c r="Q177" s="0" t="n">
        <v>3.25</v>
      </c>
      <c r="R177" s="0" t="n">
        <v>3937</v>
      </c>
      <c r="S177" s="0" t="n">
        <v>7914</v>
      </c>
      <c r="U177" s="0" t="n">
        <v>699</v>
      </c>
      <c r="V177" s="0" t="n">
        <v>0</v>
      </c>
      <c r="W177" s="0" t="str">
        <f aca="false">IF(OR(AND(B177&gt;=1,B177&lt;=6),B177=10),"Vaca em lactação",IF(I177="Male","Macho",IF(E177&gt;=1,"Vaca seca",IF(I177="Youngstock","Bezerra/recria","Novilha"))))</f>
        <v>Vaca em lactação</v>
      </c>
      <c r="X177" s="0" t="str">
        <f aca="false">IF(AND(B177&gt;=1,B177&lt;=6),"Tanque",IF(B177=10,"Descarte",""))</f>
        <v>Tanque</v>
      </c>
    </row>
    <row r="178" customFormat="false" ht="15" hidden="false" customHeight="false" outlineLevel="0" collapsed="false">
      <c r="A178" s="22" t="n">
        <v>46309</v>
      </c>
      <c r="B178" s="0" t="n">
        <v>1</v>
      </c>
      <c r="C178" s="0" t="n">
        <v>6052</v>
      </c>
      <c r="D178" s="0" t="n">
        <v>51</v>
      </c>
      <c r="E178" s="0" t="n">
        <v>1</v>
      </c>
      <c r="F178" s="23" t="s">
        <v>198</v>
      </c>
      <c r="G178" s="0" t="n">
        <v>42.3</v>
      </c>
      <c r="H178" s="0" t="n">
        <v>44</v>
      </c>
      <c r="I178" s="23" t="s">
        <v>94</v>
      </c>
      <c r="J178" s="0" t="n">
        <v>51</v>
      </c>
      <c r="P178" s="0" t="n">
        <v>3.96</v>
      </c>
      <c r="Q178" s="0" t="n">
        <v>2.95</v>
      </c>
      <c r="R178" s="0" t="n">
        <v>3760</v>
      </c>
      <c r="S178" s="0" t="n">
        <v>7558</v>
      </c>
      <c r="U178" s="0" t="n">
        <v>702</v>
      </c>
      <c r="V178" s="0" t="n">
        <v>0</v>
      </c>
      <c r="W178" s="0" t="str">
        <f aca="false">IF(OR(AND(B178&gt;=1,B178&lt;=6),B178=10),"Vaca em lactação",IF(I178="Male","Macho",IF(E178&gt;=1,"Vaca seca",IF(I178="Youngstock","Bezerra/recria","Novilha"))))</f>
        <v>Vaca em lactação</v>
      </c>
      <c r="X178" s="0" t="str">
        <f aca="false">IF(AND(B178&gt;=1,B178&lt;=6),"Tanque",IF(B178=10,"Descarte",""))</f>
        <v>Tanque</v>
      </c>
    </row>
    <row r="179" customFormat="false" ht="15" hidden="false" customHeight="false" outlineLevel="0" collapsed="false">
      <c r="A179" s="22" t="n">
        <v>46309</v>
      </c>
      <c r="B179" s="0" t="n">
        <v>1</v>
      </c>
      <c r="C179" s="0" t="n">
        <v>6053</v>
      </c>
      <c r="D179" s="0" t="n">
        <v>52</v>
      </c>
      <c r="E179" s="0" t="n">
        <v>1</v>
      </c>
      <c r="F179" s="23" t="s">
        <v>199</v>
      </c>
      <c r="G179" s="0" t="n">
        <v>46.1</v>
      </c>
      <c r="H179" s="0" t="n">
        <v>47</v>
      </c>
      <c r="I179" s="23" t="s">
        <v>94</v>
      </c>
      <c r="J179" s="0" t="n">
        <v>52</v>
      </c>
      <c r="P179" s="0" t="n">
        <v>4.02</v>
      </c>
      <c r="Q179" s="0" t="n">
        <v>3.13</v>
      </c>
      <c r="R179" s="0" t="n">
        <v>4254</v>
      </c>
      <c r="S179" s="0" t="n">
        <v>8552</v>
      </c>
      <c r="U179" s="0" t="n">
        <v>701</v>
      </c>
      <c r="V179" s="0" t="n">
        <v>0</v>
      </c>
      <c r="W179" s="0" t="str">
        <f aca="false">IF(OR(AND(B179&gt;=1,B179&lt;=6),B179=10),"Vaca em lactação",IF(I179="Male","Macho",IF(E179&gt;=1,"Vaca seca",IF(I179="Youngstock","Bezerra/recria","Novilha"))))</f>
        <v>Vaca em lactação</v>
      </c>
      <c r="X179" s="0" t="str">
        <f aca="false">IF(AND(B179&gt;=1,B179&lt;=6),"Tanque",IF(B179=10,"Descarte",""))</f>
        <v>Tanque</v>
      </c>
    </row>
    <row r="180" customFormat="false" ht="15" hidden="false" customHeight="false" outlineLevel="0" collapsed="false">
      <c r="A180" s="22" t="n">
        <v>46309</v>
      </c>
      <c r="B180" s="0" t="n">
        <v>1</v>
      </c>
      <c r="C180" s="0" t="n">
        <v>6062</v>
      </c>
      <c r="D180" s="0" t="n">
        <v>62</v>
      </c>
      <c r="E180" s="0" t="n">
        <v>1</v>
      </c>
      <c r="F180" s="23" t="s">
        <v>190</v>
      </c>
      <c r="G180" s="0" t="n">
        <v>37.2</v>
      </c>
      <c r="H180" s="0" t="n">
        <v>38</v>
      </c>
      <c r="I180" s="23" t="s">
        <v>97</v>
      </c>
      <c r="J180" s="0" t="n">
        <v>62</v>
      </c>
      <c r="K180" s="0" t="n">
        <v>62</v>
      </c>
      <c r="P180" s="0" t="n">
        <v>4.41</v>
      </c>
      <c r="Q180" s="0" t="n">
        <v>3.12</v>
      </c>
      <c r="R180" s="0" t="n">
        <v>3550</v>
      </c>
      <c r="S180" s="0" t="n">
        <v>7136</v>
      </c>
      <c r="U180" s="0" t="n">
        <v>699</v>
      </c>
      <c r="V180" s="0" t="n">
        <v>1</v>
      </c>
      <c r="W180" s="0" t="str">
        <f aca="false">IF(OR(AND(B180&gt;=1,B180&lt;=6),B180=10),"Vaca em lactação",IF(I180="Male","Macho",IF(E180&gt;=1,"Vaca seca",IF(I180="Youngstock","Bezerra/recria","Novilha"))))</f>
        <v>Vaca em lactação</v>
      </c>
      <c r="X180" s="0" t="str">
        <f aca="false">IF(AND(B180&gt;=1,B180&lt;=6),"Tanque",IF(B180=10,"Descarte",""))</f>
        <v>Tanque</v>
      </c>
    </row>
    <row r="181" customFormat="false" ht="15" hidden="false" customHeight="false" outlineLevel="0" collapsed="false">
      <c r="A181" s="22" t="n">
        <v>46309</v>
      </c>
      <c r="B181" s="0" t="n">
        <v>1</v>
      </c>
      <c r="C181" s="0" t="n">
        <v>6059</v>
      </c>
      <c r="D181" s="0" t="n">
        <v>55</v>
      </c>
      <c r="E181" s="0" t="n">
        <v>1</v>
      </c>
      <c r="F181" s="23" t="s">
        <v>199</v>
      </c>
      <c r="G181" s="0" t="n">
        <v>50.9</v>
      </c>
      <c r="H181" s="0" t="n">
        <v>52</v>
      </c>
      <c r="I181" s="23" t="s">
        <v>94</v>
      </c>
      <c r="J181" s="0" t="n">
        <v>55</v>
      </c>
      <c r="P181" s="0" t="n">
        <v>3.19</v>
      </c>
      <c r="Q181" s="0" t="n">
        <v>3.08</v>
      </c>
      <c r="R181" s="0" t="n">
        <v>4564</v>
      </c>
      <c r="S181" s="0" t="n">
        <v>9176</v>
      </c>
      <c r="U181" s="0" t="n">
        <v>701</v>
      </c>
      <c r="V181" s="0" t="n">
        <v>0</v>
      </c>
      <c r="W181" s="0" t="str">
        <f aca="false">IF(OR(AND(B181&gt;=1,B181&lt;=6),B181=10),"Vaca em lactação",IF(I181="Male","Macho",IF(E181&gt;=1,"Vaca seca",IF(I181="Youngstock","Bezerra/recria","Novilha"))))</f>
        <v>Vaca em lactação</v>
      </c>
      <c r="X181" s="0" t="str">
        <f aca="false">IF(AND(B181&gt;=1,B181&lt;=6),"Tanque",IF(B181=10,"Descarte",""))</f>
        <v>Tanque</v>
      </c>
    </row>
    <row r="182" customFormat="false" ht="15" hidden="false" customHeight="false" outlineLevel="0" collapsed="false">
      <c r="A182" s="22" t="n">
        <v>46309</v>
      </c>
      <c r="B182" s="0" t="n">
        <v>1</v>
      </c>
      <c r="C182" s="0" t="n">
        <v>6057</v>
      </c>
      <c r="D182" s="0" t="n">
        <v>12</v>
      </c>
      <c r="E182" s="0" t="n">
        <v>1</v>
      </c>
      <c r="F182" s="23" t="s">
        <v>199</v>
      </c>
      <c r="G182" s="0" t="n">
        <v>41.2</v>
      </c>
      <c r="H182" s="0" t="n">
        <v>36</v>
      </c>
      <c r="I182" s="23" t="s">
        <v>94</v>
      </c>
      <c r="J182" s="0" t="n">
        <v>12</v>
      </c>
      <c r="R182" s="0" t="n">
        <v>3417</v>
      </c>
      <c r="S182" s="0" t="n">
        <v>6868</v>
      </c>
      <c r="U182" s="0" t="n">
        <v>701</v>
      </c>
      <c r="V182" s="0" t="n">
        <v>0</v>
      </c>
      <c r="W182" s="0" t="str">
        <f aca="false">IF(OR(AND(B182&gt;=1,B182&lt;=6),B182=10),"Vaca em lactação",IF(I182="Male","Macho",IF(E182&gt;=1,"Vaca seca",IF(I182="Youngstock","Bezerra/recria","Novilha"))))</f>
        <v>Vaca em lactação</v>
      </c>
      <c r="X182" s="0" t="str">
        <f aca="false">IF(AND(B182&gt;=1,B182&lt;=6),"Tanque",IF(B182=10,"Descarte",""))</f>
        <v>Tanque</v>
      </c>
    </row>
    <row r="183" customFormat="false" ht="15" hidden="false" customHeight="false" outlineLevel="0" collapsed="false">
      <c r="A183" s="22" t="n">
        <v>46309</v>
      </c>
      <c r="B183" s="0" t="n">
        <v>1</v>
      </c>
      <c r="C183" s="0" t="n">
        <v>6056</v>
      </c>
      <c r="D183" s="0" t="n">
        <v>68</v>
      </c>
      <c r="E183" s="0" t="n">
        <v>1</v>
      </c>
      <c r="F183" s="23" t="s">
        <v>199</v>
      </c>
      <c r="G183" s="0" t="n">
        <v>45.7</v>
      </c>
      <c r="H183" s="0" t="n">
        <v>47</v>
      </c>
      <c r="I183" s="23" t="s">
        <v>97</v>
      </c>
      <c r="J183" s="0" t="n">
        <v>68</v>
      </c>
      <c r="K183" s="0" t="n">
        <v>68</v>
      </c>
      <c r="P183" s="0" t="n">
        <v>4.07</v>
      </c>
      <c r="Q183" s="0" t="n">
        <v>3.15</v>
      </c>
      <c r="R183" s="0" t="n">
        <v>3957</v>
      </c>
      <c r="S183" s="0" t="n">
        <v>7954</v>
      </c>
      <c r="U183" s="0" t="n">
        <v>701</v>
      </c>
      <c r="V183" s="0" t="n">
        <v>1</v>
      </c>
      <c r="W183" s="0" t="str">
        <f aca="false">IF(OR(AND(B183&gt;=1,B183&lt;=6),B183=10),"Vaca em lactação",IF(I183="Male","Macho",IF(E183&gt;=1,"Vaca seca",IF(I183="Youngstock","Bezerra/recria","Novilha"))))</f>
        <v>Vaca em lactação</v>
      </c>
      <c r="X183" s="0" t="str">
        <f aca="false">IF(AND(B183&gt;=1,B183&lt;=6),"Tanque",IF(B183=10,"Descarte",""))</f>
        <v>Tanque</v>
      </c>
    </row>
    <row r="184" customFormat="false" ht="15" hidden="false" customHeight="false" outlineLevel="0" collapsed="false">
      <c r="A184" s="22" t="n">
        <v>46309</v>
      </c>
      <c r="B184" s="0" t="n">
        <v>1</v>
      </c>
      <c r="C184" s="0" t="n">
        <v>6193</v>
      </c>
      <c r="D184" s="0" t="n">
        <v>7</v>
      </c>
      <c r="E184" s="0" t="n">
        <v>1</v>
      </c>
      <c r="F184" s="23" t="s">
        <v>200</v>
      </c>
      <c r="G184" s="0" t="n">
        <v>29.3</v>
      </c>
      <c r="H184" s="0" t="n">
        <v>24</v>
      </c>
      <c r="I184" s="23" t="s">
        <v>94</v>
      </c>
      <c r="J184" s="0" t="n">
        <v>7</v>
      </c>
      <c r="R184" s="0" t="n">
        <v>2505</v>
      </c>
      <c r="S184" s="0" t="n">
        <v>5035</v>
      </c>
      <c r="U184" s="0" t="n">
        <v>651</v>
      </c>
      <c r="V184" s="0" t="n">
        <v>0</v>
      </c>
      <c r="W184" s="0" t="str">
        <f aca="false">IF(OR(AND(B184&gt;=1,B184&lt;=6),B184=10),"Vaca em lactação",IF(I184="Male","Macho",IF(E184&gt;=1,"Vaca seca",IF(I184="Youngstock","Bezerra/recria","Novilha"))))</f>
        <v>Vaca em lactação</v>
      </c>
      <c r="X184" s="0" t="str">
        <f aca="false">IF(AND(B184&gt;=1,B184&lt;=6),"Tanque",IF(B184=10,"Descarte",""))</f>
        <v>Tanque</v>
      </c>
    </row>
    <row r="185" customFormat="false" ht="15" hidden="false" customHeight="false" outlineLevel="0" collapsed="false">
      <c r="A185" s="22" t="n">
        <v>46309</v>
      </c>
      <c r="B185" s="0" t="n">
        <v>1</v>
      </c>
      <c r="C185" s="0" t="n">
        <v>6195</v>
      </c>
      <c r="D185" s="0" t="n">
        <v>24</v>
      </c>
      <c r="E185" s="0" t="n">
        <v>1</v>
      </c>
      <c r="F185" s="23" t="s">
        <v>200</v>
      </c>
      <c r="G185" s="0" t="n">
        <v>16.3</v>
      </c>
      <c r="H185" s="0" t="n">
        <v>13</v>
      </c>
      <c r="I185" s="23" t="s">
        <v>94</v>
      </c>
      <c r="J185" s="0" t="n">
        <v>24</v>
      </c>
      <c r="R185" s="0" t="n">
        <v>865</v>
      </c>
      <c r="S185" s="0" t="n">
        <v>1739</v>
      </c>
      <c r="U185" s="0" t="n">
        <v>651</v>
      </c>
      <c r="V185" s="0" t="n">
        <v>0</v>
      </c>
      <c r="W185" s="0" t="str">
        <f aca="false">IF(OR(AND(B185&gt;=1,B185&lt;=6),B185=10),"Vaca em lactação",IF(I185="Male","Macho",IF(E185&gt;=1,"Vaca seca",IF(I185="Youngstock","Bezerra/recria","Novilha"))))</f>
        <v>Vaca em lactação</v>
      </c>
      <c r="X185" s="0" t="str">
        <f aca="false">IF(AND(B185&gt;=1,B185&lt;=6),"Tanque",IF(B185=10,"Descarte",""))</f>
        <v>Tanque</v>
      </c>
    </row>
    <row r="186" customFormat="false" ht="15" hidden="false" customHeight="false" outlineLevel="0" collapsed="false">
      <c r="A186" s="22" t="n">
        <v>46309</v>
      </c>
      <c r="B186" s="0" t="n">
        <v>1</v>
      </c>
      <c r="C186" s="0" t="n">
        <v>6203</v>
      </c>
      <c r="D186" s="0" t="n">
        <v>14</v>
      </c>
      <c r="E186" s="0" t="n">
        <v>1</v>
      </c>
      <c r="F186" s="23" t="s">
        <v>201</v>
      </c>
      <c r="I186" s="23" t="s">
        <v>94</v>
      </c>
      <c r="J186" s="0" t="n">
        <v>14</v>
      </c>
      <c r="U186" s="0" t="n">
        <v>647</v>
      </c>
      <c r="V186" s="0" t="n">
        <v>0</v>
      </c>
      <c r="W186" s="0" t="str">
        <f aca="false">IF(OR(AND(B186&gt;=1,B186&lt;=6),B186=10),"Vaca em lactação",IF(I186="Male","Macho",IF(E186&gt;=1,"Vaca seca",IF(I186="Youngstock","Bezerra/recria","Novilha"))))</f>
        <v>Vaca em lactação</v>
      </c>
      <c r="X186" s="0" t="str">
        <f aca="false">IF(AND(B186&gt;=1,B186&lt;=6),"Tanque",IF(B186=10,"Descarte",""))</f>
        <v>Tanque</v>
      </c>
    </row>
    <row r="187" customFormat="false" ht="15" hidden="false" customHeight="false" outlineLevel="0" collapsed="false">
      <c r="A187" s="22" t="n">
        <v>46309</v>
      </c>
      <c r="B187" s="0" t="n">
        <v>1</v>
      </c>
      <c r="C187" s="0" t="n">
        <v>6202</v>
      </c>
      <c r="D187" s="0" t="n">
        <v>5</v>
      </c>
      <c r="E187" s="0" t="n">
        <v>1</v>
      </c>
      <c r="F187" s="23" t="s">
        <v>201</v>
      </c>
      <c r="G187" s="0" t="n">
        <v>27.2</v>
      </c>
      <c r="H187" s="0" t="n">
        <v>24</v>
      </c>
      <c r="I187" s="23" t="s">
        <v>94</v>
      </c>
      <c r="J187" s="0" t="n">
        <v>5</v>
      </c>
      <c r="R187" s="0" t="n">
        <v>2658</v>
      </c>
      <c r="S187" s="0" t="n">
        <v>5343</v>
      </c>
      <c r="U187" s="0" t="n">
        <v>647</v>
      </c>
      <c r="V187" s="0" t="n">
        <v>0</v>
      </c>
      <c r="W187" s="0" t="str">
        <f aca="false">IF(OR(AND(B187&gt;=1,B187&lt;=6),B187=10),"Vaca em lactação",IF(I187="Male","Macho",IF(E187&gt;=1,"Vaca seca",IF(I187="Youngstock","Bezerra/recria","Novilha"))))</f>
        <v>Vaca em lactação</v>
      </c>
      <c r="X187" s="0" t="str">
        <f aca="false">IF(AND(B187&gt;=1,B187&lt;=6),"Tanque",IF(B187=10,"Descarte",""))</f>
        <v>Tanque</v>
      </c>
    </row>
    <row r="188" customFormat="false" ht="15" hidden="false" customHeight="false" outlineLevel="0" collapsed="false">
      <c r="A188" s="22" t="n">
        <v>46309</v>
      </c>
      <c r="B188" s="0" t="n">
        <v>1</v>
      </c>
      <c r="C188" s="0" t="n">
        <v>6206</v>
      </c>
      <c r="D188" s="0" t="n">
        <v>11</v>
      </c>
      <c r="E188" s="0" t="n">
        <v>1</v>
      </c>
      <c r="F188" s="23" t="s">
        <v>202</v>
      </c>
      <c r="I188" s="23" t="s">
        <v>94</v>
      </c>
      <c r="J188" s="0" t="n">
        <v>11</v>
      </c>
      <c r="U188" s="0" t="n">
        <v>646</v>
      </c>
      <c r="V188" s="0" t="n">
        <v>0</v>
      </c>
      <c r="W188" s="0" t="str">
        <f aca="false">IF(OR(AND(B188&gt;=1,B188&lt;=6),B188=10),"Vaca em lactação",IF(I188="Male","Macho",IF(E188&gt;=1,"Vaca seca",IF(I188="Youngstock","Bezerra/recria","Novilha"))))</f>
        <v>Vaca em lactação</v>
      </c>
      <c r="X188" s="0" t="str">
        <f aca="false">IF(AND(B188&gt;=1,B188&lt;=6),"Tanque",IF(B188=10,"Descarte",""))</f>
        <v>Tanque</v>
      </c>
    </row>
    <row r="189" customFormat="false" ht="15" hidden="false" customHeight="false" outlineLevel="0" collapsed="false">
      <c r="A189" s="22" t="n">
        <v>46309</v>
      </c>
      <c r="B189" s="0" t="n">
        <v>1</v>
      </c>
      <c r="C189" s="0" t="n">
        <v>6152</v>
      </c>
      <c r="D189" s="0" t="n">
        <v>26</v>
      </c>
      <c r="E189" s="0" t="n">
        <v>1</v>
      </c>
      <c r="F189" s="23" t="s">
        <v>203</v>
      </c>
      <c r="G189" s="0" t="n">
        <v>37.8</v>
      </c>
      <c r="H189" s="0" t="n">
        <v>36</v>
      </c>
      <c r="I189" s="23" t="s">
        <v>94</v>
      </c>
      <c r="J189" s="0" t="n">
        <v>26</v>
      </c>
      <c r="R189" s="0" t="n">
        <v>3204</v>
      </c>
      <c r="S189" s="0" t="n">
        <v>6440</v>
      </c>
      <c r="U189" s="0" t="n">
        <v>663</v>
      </c>
      <c r="V189" s="0" t="n">
        <v>0</v>
      </c>
      <c r="W189" s="0" t="str">
        <f aca="false">IF(OR(AND(B189&gt;=1,B189&lt;=6),B189=10),"Vaca em lactação",IF(I189="Male","Macho",IF(E189&gt;=1,"Vaca seca",IF(I189="Youngstock","Bezerra/recria","Novilha"))))</f>
        <v>Vaca em lactação</v>
      </c>
      <c r="X189" s="0" t="str">
        <f aca="false">IF(AND(B189&gt;=1,B189&lt;=6),"Tanque",IF(B189=10,"Descarte",""))</f>
        <v>Tanque</v>
      </c>
    </row>
    <row r="190" customFormat="false" ht="15" hidden="false" customHeight="false" outlineLevel="0" collapsed="false">
      <c r="A190" s="22" t="n">
        <v>46309</v>
      </c>
      <c r="B190" s="0" t="n">
        <v>1</v>
      </c>
      <c r="C190" s="0" t="n">
        <v>6156</v>
      </c>
      <c r="D190" s="0" t="n">
        <v>5</v>
      </c>
      <c r="E190" s="0" t="n">
        <v>1</v>
      </c>
      <c r="F190" s="23" t="s">
        <v>204</v>
      </c>
      <c r="H190" s="0" t="n">
        <v>17</v>
      </c>
      <c r="I190" s="23" t="s">
        <v>94</v>
      </c>
      <c r="J190" s="0" t="n">
        <v>5</v>
      </c>
      <c r="U190" s="0" t="n">
        <v>662</v>
      </c>
      <c r="V190" s="0" t="n">
        <v>0</v>
      </c>
      <c r="W190" s="0" t="str">
        <f aca="false">IF(OR(AND(B190&gt;=1,B190&lt;=6),B190=10),"Vaca em lactação",IF(I190="Male","Macho",IF(E190&gt;=1,"Vaca seca",IF(I190="Youngstock","Bezerra/recria","Novilha"))))</f>
        <v>Vaca em lactação</v>
      </c>
      <c r="X190" s="0" t="str">
        <f aca="false">IF(AND(B190&gt;=1,B190&lt;=6),"Tanque",IF(B190=10,"Descarte",""))</f>
        <v>Tanque</v>
      </c>
    </row>
    <row r="191" customFormat="false" ht="15" hidden="false" customHeight="false" outlineLevel="0" collapsed="false">
      <c r="A191" s="22" t="n">
        <v>46309</v>
      </c>
      <c r="B191" s="0" t="n">
        <v>1</v>
      </c>
      <c r="C191" s="0" t="n">
        <v>6147</v>
      </c>
      <c r="D191" s="0" t="n">
        <v>26</v>
      </c>
      <c r="E191" s="0" t="n">
        <v>1</v>
      </c>
      <c r="F191" s="23" t="s">
        <v>205</v>
      </c>
      <c r="G191" s="0" t="n">
        <v>29.6</v>
      </c>
      <c r="H191" s="0" t="n">
        <v>29</v>
      </c>
      <c r="I191" s="23" t="s">
        <v>94</v>
      </c>
      <c r="J191" s="0" t="n">
        <v>26</v>
      </c>
      <c r="R191" s="0" t="n">
        <v>2590</v>
      </c>
      <c r="S191" s="0" t="n">
        <v>5208</v>
      </c>
      <c r="U191" s="0" t="n">
        <v>665</v>
      </c>
      <c r="V191" s="0" t="n">
        <v>0</v>
      </c>
      <c r="W191" s="0" t="str">
        <f aca="false">IF(OR(AND(B191&gt;=1,B191&lt;=6),B191=10),"Vaca em lactação",IF(I191="Male","Macho",IF(E191&gt;=1,"Vaca seca",IF(I191="Youngstock","Bezerra/recria","Novilha"))))</f>
        <v>Vaca em lactação</v>
      </c>
      <c r="X191" s="0" t="str">
        <f aca="false">IF(AND(B191&gt;=1,B191&lt;=6),"Tanque",IF(B191=10,"Descarte",""))</f>
        <v>Tanque</v>
      </c>
    </row>
    <row r="192" customFormat="false" ht="15" hidden="false" customHeight="false" outlineLevel="0" collapsed="false">
      <c r="A192" s="22" t="n">
        <v>46309</v>
      </c>
      <c r="B192" s="0" t="n">
        <v>1</v>
      </c>
      <c r="C192" s="0" t="n">
        <v>6150</v>
      </c>
      <c r="D192" s="0" t="n">
        <v>21</v>
      </c>
      <c r="E192" s="0" t="n">
        <v>1</v>
      </c>
      <c r="F192" s="23" t="s">
        <v>206</v>
      </c>
      <c r="G192" s="0" t="n">
        <v>54.3</v>
      </c>
      <c r="H192" s="0" t="n">
        <v>51</v>
      </c>
      <c r="I192" s="23" t="s">
        <v>94</v>
      </c>
      <c r="J192" s="0" t="n">
        <v>21</v>
      </c>
      <c r="R192" s="0" t="n">
        <v>4225</v>
      </c>
      <c r="S192" s="0" t="n">
        <v>8494</v>
      </c>
      <c r="U192" s="0" t="n">
        <v>664</v>
      </c>
      <c r="V192" s="0" t="n">
        <v>0</v>
      </c>
      <c r="W192" s="0" t="str">
        <f aca="false">IF(OR(AND(B192&gt;=1,B192&lt;=6),B192=10),"Vaca em lactação",IF(I192="Male","Macho",IF(E192&gt;=1,"Vaca seca",IF(I192="Youngstock","Bezerra/recria","Novilha"))))</f>
        <v>Vaca em lactação</v>
      </c>
      <c r="X192" s="0" t="str">
        <f aca="false">IF(AND(B192&gt;=1,B192&lt;=6),"Tanque",IF(B192=10,"Descarte",""))</f>
        <v>Tanque</v>
      </c>
    </row>
    <row r="193" customFormat="false" ht="15" hidden="false" customHeight="false" outlineLevel="0" collapsed="false">
      <c r="A193" s="22" t="n">
        <v>46309</v>
      </c>
      <c r="B193" s="0" t="n">
        <v>1</v>
      </c>
      <c r="C193" s="0" t="n">
        <v>6149</v>
      </c>
      <c r="D193" s="0" t="n">
        <v>6</v>
      </c>
      <c r="E193" s="0" t="n">
        <v>1</v>
      </c>
      <c r="F193" s="23" t="s">
        <v>206</v>
      </c>
      <c r="I193" s="23" t="s">
        <v>94</v>
      </c>
      <c r="J193" s="0" t="n">
        <v>6</v>
      </c>
      <c r="U193" s="0" t="n">
        <v>664</v>
      </c>
      <c r="V193" s="0" t="n">
        <v>0</v>
      </c>
      <c r="W193" s="0" t="str">
        <f aca="false">IF(OR(AND(B193&gt;=1,B193&lt;=6),B193=10),"Vaca em lactação",IF(I193="Male","Macho",IF(E193&gt;=1,"Vaca seca",IF(I193="Youngstock","Bezerra/recria","Novilha"))))</f>
        <v>Vaca em lactação</v>
      </c>
      <c r="X193" s="0" t="str">
        <f aca="false">IF(AND(B193&gt;=1,B193&lt;=6),"Tanque",IF(B193=10,"Descarte",""))</f>
        <v>Tanque</v>
      </c>
    </row>
    <row r="194" customFormat="false" ht="15" hidden="false" customHeight="false" outlineLevel="0" collapsed="false">
      <c r="A194" s="22" t="n">
        <v>46309</v>
      </c>
      <c r="B194" s="0" t="n">
        <v>1</v>
      </c>
      <c r="C194" s="0" t="n">
        <v>6164</v>
      </c>
      <c r="D194" s="0" t="n">
        <v>8</v>
      </c>
      <c r="E194" s="0" t="n">
        <v>1</v>
      </c>
      <c r="F194" s="23" t="s">
        <v>207</v>
      </c>
      <c r="H194" s="0" t="n">
        <v>21</v>
      </c>
      <c r="I194" s="23" t="s">
        <v>94</v>
      </c>
      <c r="J194" s="0" t="n">
        <v>8</v>
      </c>
      <c r="R194" s="0" t="n">
        <v>2049</v>
      </c>
      <c r="S194" s="0" t="n">
        <v>4119</v>
      </c>
      <c r="U194" s="0" t="n">
        <v>660</v>
      </c>
      <c r="V194" s="0" t="n">
        <v>0</v>
      </c>
      <c r="W194" s="0" t="str">
        <f aca="false">IF(OR(AND(B194&gt;=1,B194&lt;=6),B194=10),"Vaca em lactação",IF(I194="Male","Macho",IF(E194&gt;=1,"Vaca seca",IF(I194="Youngstock","Bezerra/recria","Novilha"))))</f>
        <v>Vaca em lactação</v>
      </c>
      <c r="X194" s="0" t="str">
        <f aca="false">IF(AND(B194&gt;=1,B194&lt;=6),"Tanque",IF(B194=10,"Descarte",""))</f>
        <v>Tanque</v>
      </c>
    </row>
    <row r="195" customFormat="false" ht="15" hidden="false" customHeight="false" outlineLevel="0" collapsed="false">
      <c r="A195" s="22" t="n">
        <v>46309</v>
      </c>
      <c r="B195" s="0" t="n">
        <v>1</v>
      </c>
      <c r="C195" s="0" t="n">
        <v>6161</v>
      </c>
      <c r="D195" s="0" t="n">
        <v>7</v>
      </c>
      <c r="E195" s="0" t="n">
        <v>1</v>
      </c>
      <c r="F195" s="23" t="s">
        <v>207</v>
      </c>
      <c r="G195" s="0" t="n">
        <v>18.1</v>
      </c>
      <c r="H195" s="0" t="n">
        <v>17</v>
      </c>
      <c r="I195" s="23" t="s">
        <v>94</v>
      </c>
      <c r="J195" s="0" t="n">
        <v>7</v>
      </c>
      <c r="R195" s="0" t="n">
        <v>1920</v>
      </c>
      <c r="S195" s="0" t="n">
        <v>3860</v>
      </c>
      <c r="U195" s="0" t="n">
        <v>660</v>
      </c>
      <c r="V195" s="0" t="n">
        <v>0</v>
      </c>
      <c r="W195" s="0" t="str">
        <f aca="false">IF(OR(AND(B195&gt;=1,B195&lt;=6),B195=10),"Vaca em lactação",IF(I195="Male","Macho",IF(E195&gt;=1,"Vaca seca",IF(I195="Youngstock","Bezerra/recria","Novilha"))))</f>
        <v>Vaca em lactação</v>
      </c>
      <c r="X195" s="0" t="str">
        <f aca="false">IF(AND(B195&gt;=1,B195&lt;=6),"Tanque",IF(B195=10,"Descarte",""))</f>
        <v>Tanque</v>
      </c>
    </row>
    <row r="196" customFormat="false" ht="15" hidden="false" customHeight="false" outlineLevel="0" collapsed="false">
      <c r="A196" s="22" t="n">
        <v>46309</v>
      </c>
      <c r="B196" s="0" t="n">
        <v>1</v>
      </c>
      <c r="C196" s="0" t="n">
        <v>6162</v>
      </c>
      <c r="D196" s="0" t="n">
        <v>10</v>
      </c>
      <c r="E196" s="0" t="n">
        <v>1</v>
      </c>
      <c r="F196" s="23" t="s">
        <v>207</v>
      </c>
      <c r="G196" s="0" t="n">
        <v>32</v>
      </c>
      <c r="H196" s="0" t="n">
        <v>28</v>
      </c>
      <c r="I196" s="23" t="s">
        <v>94</v>
      </c>
      <c r="J196" s="0" t="n">
        <v>10</v>
      </c>
      <c r="R196" s="0" t="n">
        <v>2482</v>
      </c>
      <c r="S196" s="0" t="n">
        <v>4989</v>
      </c>
      <c r="U196" s="0" t="n">
        <v>660</v>
      </c>
      <c r="V196" s="0" t="n">
        <v>0</v>
      </c>
      <c r="W196" s="0" t="str">
        <f aca="false">IF(OR(AND(B196&gt;=1,B196&lt;=6),B196=10),"Vaca em lactação",IF(I196="Male","Macho",IF(E196&gt;=1,"Vaca seca",IF(I196="Youngstock","Bezerra/recria","Novilha"))))</f>
        <v>Vaca em lactação</v>
      </c>
      <c r="X196" s="0" t="str">
        <f aca="false">IF(AND(B196&gt;=1,B196&lt;=6),"Tanque",IF(B196=10,"Descarte",""))</f>
        <v>Tanque</v>
      </c>
    </row>
    <row r="197" customFormat="false" ht="15" hidden="false" customHeight="false" outlineLevel="0" collapsed="false">
      <c r="A197" s="22" t="n">
        <v>46309</v>
      </c>
      <c r="B197" s="0" t="n">
        <v>1</v>
      </c>
      <c r="C197" s="0" t="n">
        <v>6165</v>
      </c>
      <c r="D197" s="0" t="n">
        <v>10</v>
      </c>
      <c r="E197" s="0" t="n">
        <v>1</v>
      </c>
      <c r="F197" s="23" t="s">
        <v>208</v>
      </c>
      <c r="G197" s="0" t="n">
        <v>20.7</v>
      </c>
      <c r="H197" s="0" t="n">
        <v>19</v>
      </c>
      <c r="I197" s="23" t="s">
        <v>94</v>
      </c>
      <c r="J197" s="0" t="n">
        <v>10</v>
      </c>
      <c r="R197" s="0" t="n">
        <v>1916</v>
      </c>
      <c r="S197" s="0" t="n">
        <v>3851</v>
      </c>
      <c r="U197" s="0" t="n">
        <v>659</v>
      </c>
      <c r="V197" s="0" t="n">
        <v>0</v>
      </c>
      <c r="W197" s="0" t="str">
        <f aca="false">IF(OR(AND(B197&gt;=1,B197&lt;=6),B197=10),"Vaca em lactação",IF(I197="Male","Macho",IF(E197&gt;=1,"Vaca seca",IF(I197="Youngstock","Bezerra/recria","Novilha"))))</f>
        <v>Vaca em lactação</v>
      </c>
      <c r="X197" s="0" t="str">
        <f aca="false">IF(AND(B197&gt;=1,B197&lt;=6),"Tanque",IF(B197=10,"Descarte",""))</f>
        <v>Tanque</v>
      </c>
    </row>
    <row r="198" customFormat="false" ht="15" hidden="false" customHeight="false" outlineLevel="0" collapsed="false">
      <c r="A198" s="22" t="n">
        <v>46309</v>
      </c>
      <c r="B198" s="0" t="n">
        <v>1</v>
      </c>
      <c r="C198" s="0" t="n">
        <v>6171</v>
      </c>
      <c r="D198" s="0" t="n">
        <v>15</v>
      </c>
      <c r="E198" s="0" t="n">
        <v>1</v>
      </c>
      <c r="F198" s="23" t="s">
        <v>209</v>
      </c>
      <c r="G198" s="0" t="n">
        <v>33</v>
      </c>
      <c r="H198" s="0" t="n">
        <v>28</v>
      </c>
      <c r="I198" s="23" t="s">
        <v>94</v>
      </c>
      <c r="J198" s="0" t="n">
        <v>15</v>
      </c>
      <c r="R198" s="0" t="n">
        <v>2643</v>
      </c>
      <c r="S198" s="0" t="n">
        <v>5313</v>
      </c>
      <c r="U198" s="0" t="n">
        <v>658</v>
      </c>
      <c r="V198" s="0" t="n">
        <v>0</v>
      </c>
      <c r="W198" s="0" t="str">
        <f aca="false">IF(OR(AND(B198&gt;=1,B198&lt;=6),B198=10),"Vaca em lactação",IF(I198="Male","Macho",IF(E198&gt;=1,"Vaca seca",IF(I198="Youngstock","Bezerra/recria","Novilha"))))</f>
        <v>Vaca em lactação</v>
      </c>
      <c r="X198" s="0" t="str">
        <f aca="false">IF(AND(B198&gt;=1,B198&lt;=6),"Tanque",IF(B198=10,"Descarte",""))</f>
        <v>Tanque</v>
      </c>
    </row>
    <row r="199" customFormat="false" ht="15" hidden="false" customHeight="false" outlineLevel="0" collapsed="false">
      <c r="A199" s="22" t="n">
        <v>46309</v>
      </c>
      <c r="B199" s="0" t="n">
        <v>1</v>
      </c>
      <c r="C199" s="0" t="n">
        <v>6168</v>
      </c>
      <c r="D199" s="0" t="n">
        <v>8</v>
      </c>
      <c r="E199" s="0" t="n">
        <v>1</v>
      </c>
      <c r="F199" s="23" t="s">
        <v>209</v>
      </c>
      <c r="G199" s="0" t="n">
        <v>28.4</v>
      </c>
      <c r="H199" s="0" t="n">
        <v>22</v>
      </c>
      <c r="I199" s="23" t="s">
        <v>94</v>
      </c>
      <c r="J199" s="0" t="n">
        <v>8</v>
      </c>
      <c r="R199" s="0" t="n">
        <v>2058</v>
      </c>
      <c r="S199" s="0" t="n">
        <v>4138</v>
      </c>
      <c r="U199" s="0" t="n">
        <v>658</v>
      </c>
      <c r="V199" s="0" t="n">
        <v>0</v>
      </c>
      <c r="W199" s="0" t="str">
        <f aca="false">IF(OR(AND(B199&gt;=1,B199&lt;=6),B199=10),"Vaca em lactação",IF(I199="Male","Macho",IF(E199&gt;=1,"Vaca seca",IF(I199="Youngstock","Bezerra/recria","Novilha"))))</f>
        <v>Vaca em lactação</v>
      </c>
      <c r="X199" s="0" t="str">
        <f aca="false">IF(AND(B199&gt;=1,B199&lt;=6),"Tanque",IF(B199=10,"Descarte",""))</f>
        <v>Tanque</v>
      </c>
    </row>
    <row r="200" customFormat="false" ht="15" hidden="false" customHeight="false" outlineLevel="0" collapsed="false">
      <c r="A200" s="22" t="n">
        <v>46309</v>
      </c>
      <c r="B200" s="0" t="n">
        <v>1</v>
      </c>
      <c r="C200" s="0" t="n">
        <v>6173</v>
      </c>
      <c r="D200" s="0" t="n">
        <v>10</v>
      </c>
      <c r="E200" s="0" t="n">
        <v>1</v>
      </c>
      <c r="F200" s="23" t="s">
        <v>210</v>
      </c>
      <c r="G200" s="0" t="n">
        <v>7.3</v>
      </c>
      <c r="H200" s="0" t="n">
        <v>10</v>
      </c>
      <c r="I200" s="23" t="s">
        <v>94</v>
      </c>
      <c r="J200" s="0" t="n">
        <v>10</v>
      </c>
      <c r="R200" s="0" t="n">
        <v>1111</v>
      </c>
      <c r="S200" s="0" t="n">
        <v>2233</v>
      </c>
      <c r="U200" s="0" t="n">
        <v>657</v>
      </c>
      <c r="V200" s="0" t="n">
        <v>0</v>
      </c>
      <c r="W200" s="0" t="str">
        <f aca="false">IF(OR(AND(B200&gt;=1,B200&lt;=6),B200=10),"Vaca em lactação",IF(I200="Male","Macho",IF(E200&gt;=1,"Vaca seca",IF(I200="Youngstock","Bezerra/recria","Novilha"))))</f>
        <v>Vaca em lactação</v>
      </c>
      <c r="X200" s="0" t="str">
        <f aca="false">IF(AND(B200&gt;=1,B200&lt;=6),"Tanque",IF(B200=10,"Descarte",""))</f>
        <v>Tanque</v>
      </c>
    </row>
    <row r="201" customFormat="false" ht="15" hidden="false" customHeight="false" outlineLevel="0" collapsed="false">
      <c r="A201" s="22" t="n">
        <v>46309</v>
      </c>
      <c r="B201" s="0" t="n">
        <v>1</v>
      </c>
      <c r="C201" s="0" t="n">
        <v>6180</v>
      </c>
      <c r="D201" s="0" t="n">
        <v>58</v>
      </c>
      <c r="E201" s="0" t="n">
        <v>1</v>
      </c>
      <c r="F201" s="23" t="s">
        <v>211</v>
      </c>
      <c r="G201" s="0" t="n">
        <v>26.9</v>
      </c>
      <c r="H201" s="0" t="n">
        <v>26</v>
      </c>
      <c r="I201" s="23" t="s">
        <v>94</v>
      </c>
      <c r="J201" s="0" t="n">
        <v>58</v>
      </c>
      <c r="P201" s="0" t="n">
        <v>4.37</v>
      </c>
      <c r="Q201" s="0" t="n">
        <v>3.66</v>
      </c>
      <c r="R201" s="0" t="n">
        <v>2044</v>
      </c>
      <c r="S201" s="0" t="n">
        <v>4110</v>
      </c>
      <c r="U201" s="0" t="n">
        <v>656</v>
      </c>
      <c r="V201" s="0" t="n">
        <v>0</v>
      </c>
      <c r="W201" s="0" t="str">
        <f aca="false">IF(OR(AND(B201&gt;=1,B201&lt;=6),B201=10),"Vaca em lactação",IF(I201="Male","Macho",IF(E201&gt;=1,"Vaca seca",IF(I201="Youngstock","Bezerra/recria","Novilha"))))</f>
        <v>Vaca em lactação</v>
      </c>
      <c r="X201" s="0" t="str">
        <f aca="false">IF(AND(B201&gt;=1,B201&lt;=6),"Tanque",IF(B201=10,"Descarte",""))</f>
        <v>Tanque</v>
      </c>
    </row>
    <row r="202" customFormat="false" ht="15" hidden="false" customHeight="false" outlineLevel="0" collapsed="false">
      <c r="A202" s="22" t="n">
        <v>46309</v>
      </c>
      <c r="B202" s="0" t="n">
        <v>1</v>
      </c>
      <c r="C202" s="0" t="n">
        <v>6188</v>
      </c>
      <c r="D202" s="0" t="n">
        <v>18</v>
      </c>
      <c r="E202" s="0" t="n">
        <v>1</v>
      </c>
      <c r="F202" s="23" t="s">
        <v>212</v>
      </c>
      <c r="G202" s="0" t="n">
        <v>39.2</v>
      </c>
      <c r="H202" s="0" t="n">
        <v>40</v>
      </c>
      <c r="I202" s="23" t="s">
        <v>94</v>
      </c>
      <c r="J202" s="0" t="n">
        <v>18</v>
      </c>
      <c r="R202" s="0" t="n">
        <v>3430</v>
      </c>
      <c r="S202" s="0" t="n">
        <v>6896</v>
      </c>
      <c r="U202" s="0" t="n">
        <v>653</v>
      </c>
      <c r="V202" s="0" t="n">
        <v>0</v>
      </c>
      <c r="W202" s="0" t="str">
        <f aca="false">IF(OR(AND(B202&gt;=1,B202&lt;=6),B202=10),"Vaca em lactação",IF(I202="Male","Macho",IF(E202&gt;=1,"Vaca seca",IF(I202="Youngstock","Bezerra/recria","Novilha"))))</f>
        <v>Vaca em lactação</v>
      </c>
      <c r="X202" s="0" t="str">
        <f aca="false">IF(AND(B202&gt;=1,B202&lt;=6),"Tanque",IF(B202=10,"Descarte",""))</f>
        <v>Tanque</v>
      </c>
    </row>
    <row r="203" customFormat="false" ht="15" hidden="false" customHeight="false" outlineLevel="0" collapsed="false">
      <c r="A203" s="22" t="n">
        <v>46309</v>
      </c>
      <c r="B203" s="0" t="n">
        <v>1</v>
      </c>
      <c r="C203" s="0" t="n">
        <v>6122</v>
      </c>
      <c r="D203" s="0" t="n">
        <v>33</v>
      </c>
      <c r="E203" s="0" t="n">
        <v>1</v>
      </c>
      <c r="F203" s="23" t="s">
        <v>213</v>
      </c>
      <c r="G203" s="0" t="n">
        <v>34.9</v>
      </c>
      <c r="H203" s="0" t="n">
        <v>37</v>
      </c>
      <c r="I203" s="23" t="s">
        <v>94</v>
      </c>
      <c r="J203" s="0" t="n">
        <v>33</v>
      </c>
      <c r="P203" s="0" t="n">
        <v>6.77</v>
      </c>
      <c r="Q203" s="0" t="n">
        <v>3.73</v>
      </c>
      <c r="R203" s="0" t="n">
        <v>2997</v>
      </c>
      <c r="S203" s="0" t="n">
        <v>6025</v>
      </c>
      <c r="U203" s="0" t="n">
        <v>672</v>
      </c>
      <c r="V203" s="0" t="n">
        <v>0</v>
      </c>
      <c r="W203" s="0" t="str">
        <f aca="false">IF(OR(AND(B203&gt;=1,B203&lt;=6),B203=10),"Vaca em lactação",IF(I203="Male","Macho",IF(E203&gt;=1,"Vaca seca",IF(I203="Youngstock","Bezerra/recria","Novilha"))))</f>
        <v>Vaca em lactação</v>
      </c>
      <c r="X203" s="0" t="str">
        <f aca="false">IF(AND(B203&gt;=1,B203&lt;=6),"Tanque",IF(B203=10,"Descarte",""))</f>
        <v>Tanque</v>
      </c>
    </row>
    <row r="204" customFormat="false" ht="15" hidden="false" customHeight="false" outlineLevel="0" collapsed="false">
      <c r="A204" s="22" t="n">
        <v>46309</v>
      </c>
      <c r="B204" s="0" t="n">
        <v>1</v>
      </c>
      <c r="C204" s="0" t="n">
        <v>6123</v>
      </c>
      <c r="D204" s="0" t="n">
        <v>25</v>
      </c>
      <c r="E204" s="0" t="n">
        <v>1</v>
      </c>
      <c r="F204" s="23" t="s">
        <v>213</v>
      </c>
      <c r="G204" s="0" t="n">
        <v>42.1</v>
      </c>
      <c r="H204" s="0" t="n">
        <v>42</v>
      </c>
      <c r="I204" s="23" t="s">
        <v>94</v>
      </c>
      <c r="J204" s="0" t="n">
        <v>25</v>
      </c>
      <c r="R204" s="0" t="n">
        <v>3693</v>
      </c>
      <c r="S204" s="0" t="n">
        <v>7423</v>
      </c>
      <c r="U204" s="0" t="n">
        <v>672</v>
      </c>
      <c r="V204" s="0" t="n">
        <v>0</v>
      </c>
      <c r="W204" s="0" t="str">
        <f aca="false">IF(OR(AND(B204&gt;=1,B204&lt;=6),B204=10),"Vaca em lactação",IF(I204="Male","Macho",IF(E204&gt;=1,"Vaca seca",IF(I204="Youngstock","Bezerra/recria","Novilha"))))</f>
        <v>Vaca em lactação</v>
      </c>
      <c r="X204" s="0" t="str">
        <f aca="false">IF(AND(B204&gt;=1,B204&lt;=6),"Tanque",IF(B204=10,"Descarte",""))</f>
        <v>Tanque</v>
      </c>
    </row>
    <row r="205" customFormat="false" ht="15" hidden="false" customHeight="false" outlineLevel="0" collapsed="false">
      <c r="A205" s="22" t="n">
        <v>46309</v>
      </c>
      <c r="B205" s="0" t="n">
        <v>1</v>
      </c>
      <c r="C205" s="0" t="n">
        <v>6125</v>
      </c>
      <c r="D205" s="0" t="n">
        <v>39</v>
      </c>
      <c r="E205" s="0" t="n">
        <v>1</v>
      </c>
      <c r="F205" s="23" t="s">
        <v>214</v>
      </c>
      <c r="G205" s="0" t="n">
        <v>39.9</v>
      </c>
      <c r="H205" s="0" t="n">
        <v>40</v>
      </c>
      <c r="I205" s="23" t="s">
        <v>94</v>
      </c>
      <c r="J205" s="0" t="n">
        <v>39</v>
      </c>
      <c r="P205" s="0" t="n">
        <v>3.93</v>
      </c>
      <c r="Q205" s="0" t="n">
        <v>3.73</v>
      </c>
      <c r="R205" s="0" t="n">
        <v>3648</v>
      </c>
      <c r="S205" s="0" t="n">
        <v>7334</v>
      </c>
      <c r="U205" s="0" t="n">
        <v>671</v>
      </c>
      <c r="V205" s="0" t="n">
        <v>0</v>
      </c>
      <c r="W205" s="0" t="str">
        <f aca="false">IF(OR(AND(B205&gt;=1,B205&lt;=6),B205=10),"Vaca em lactação",IF(I205="Male","Macho",IF(E205&gt;=1,"Vaca seca",IF(I205="Youngstock","Bezerra/recria","Novilha"))))</f>
        <v>Vaca em lactação</v>
      </c>
      <c r="X205" s="0" t="str">
        <f aca="false">IF(AND(B205&gt;=1,B205&lt;=6),"Tanque",IF(B205=10,"Descarte",""))</f>
        <v>Tanque</v>
      </c>
    </row>
    <row r="206" customFormat="false" ht="15" hidden="false" customHeight="false" outlineLevel="0" collapsed="false">
      <c r="A206" s="22" t="n">
        <v>46309</v>
      </c>
      <c r="B206" s="0" t="n">
        <v>1</v>
      </c>
      <c r="C206" s="0" t="n">
        <v>6128</v>
      </c>
      <c r="D206" s="0" t="n">
        <v>31</v>
      </c>
      <c r="E206" s="0" t="n">
        <v>1</v>
      </c>
      <c r="F206" s="23" t="s">
        <v>215</v>
      </c>
      <c r="G206" s="0" t="n">
        <v>42.6</v>
      </c>
      <c r="H206" s="0" t="n">
        <v>39</v>
      </c>
      <c r="I206" s="23" t="s">
        <v>94</v>
      </c>
      <c r="J206" s="0" t="n">
        <v>31</v>
      </c>
      <c r="P206" s="0" t="n">
        <v>4.36</v>
      </c>
      <c r="Q206" s="0" t="n">
        <v>3.68</v>
      </c>
      <c r="R206" s="0" t="n">
        <v>2950</v>
      </c>
      <c r="S206" s="0" t="n">
        <v>5930</v>
      </c>
      <c r="U206" s="0" t="n">
        <v>670</v>
      </c>
      <c r="V206" s="0" t="n">
        <v>0</v>
      </c>
      <c r="W206" s="0" t="str">
        <f aca="false">IF(OR(AND(B206&gt;=1,B206&lt;=6),B206=10),"Vaca em lactação",IF(I206="Male","Macho",IF(E206&gt;=1,"Vaca seca",IF(I206="Youngstock","Bezerra/recria","Novilha"))))</f>
        <v>Vaca em lactação</v>
      </c>
      <c r="X206" s="0" t="str">
        <f aca="false">IF(AND(B206&gt;=1,B206&lt;=6),"Tanque",IF(B206=10,"Descarte",""))</f>
        <v>Tanque</v>
      </c>
    </row>
    <row r="207" customFormat="false" ht="15" hidden="false" customHeight="false" outlineLevel="0" collapsed="false">
      <c r="A207" s="22" t="n">
        <v>46309</v>
      </c>
      <c r="B207" s="0" t="n">
        <v>1</v>
      </c>
      <c r="C207" s="0" t="n">
        <v>6116</v>
      </c>
      <c r="D207" s="0" t="n">
        <v>25</v>
      </c>
      <c r="E207" s="0" t="n">
        <v>1</v>
      </c>
      <c r="F207" s="23" t="s">
        <v>216</v>
      </c>
      <c r="G207" s="0" t="n">
        <v>29.6</v>
      </c>
      <c r="H207" s="0" t="n">
        <v>28</v>
      </c>
      <c r="I207" s="23" t="s">
        <v>94</v>
      </c>
      <c r="J207" s="0" t="n">
        <v>25</v>
      </c>
      <c r="R207" s="0" t="n">
        <v>2526</v>
      </c>
      <c r="S207" s="0" t="n">
        <v>5077</v>
      </c>
      <c r="U207" s="0" t="n">
        <v>673</v>
      </c>
      <c r="V207" s="0" t="n">
        <v>0</v>
      </c>
      <c r="W207" s="0" t="str">
        <f aca="false">IF(OR(AND(B207&gt;=1,B207&lt;=6),B207=10),"Vaca em lactação",IF(I207="Male","Macho",IF(E207&gt;=1,"Vaca seca",IF(I207="Youngstock","Bezerra/recria","Novilha"))))</f>
        <v>Vaca em lactação</v>
      </c>
      <c r="X207" s="0" t="str">
        <f aca="false">IF(AND(B207&gt;=1,B207&lt;=6),"Tanque",IF(B207=10,"Descarte",""))</f>
        <v>Tanque</v>
      </c>
    </row>
    <row r="208" customFormat="false" ht="15" hidden="false" customHeight="false" outlineLevel="0" collapsed="false">
      <c r="A208" s="22" t="n">
        <v>46309</v>
      </c>
      <c r="B208" s="0" t="n">
        <v>1</v>
      </c>
      <c r="C208" s="0" t="n">
        <v>6124</v>
      </c>
      <c r="D208" s="0" t="n">
        <v>29</v>
      </c>
      <c r="E208" s="0" t="n">
        <v>1</v>
      </c>
      <c r="F208" s="23" t="s">
        <v>214</v>
      </c>
      <c r="G208" s="0" t="n">
        <v>41.4</v>
      </c>
      <c r="H208" s="0" t="n">
        <v>39</v>
      </c>
      <c r="I208" s="23" t="s">
        <v>94</v>
      </c>
      <c r="J208" s="0" t="n">
        <v>29</v>
      </c>
      <c r="P208" s="0" t="n">
        <v>5.28</v>
      </c>
      <c r="Q208" s="0" t="n">
        <v>4.19</v>
      </c>
      <c r="R208" s="0" t="n">
        <v>3029</v>
      </c>
      <c r="S208" s="0" t="n">
        <v>6089</v>
      </c>
      <c r="U208" s="0" t="n">
        <v>671</v>
      </c>
      <c r="V208" s="0" t="n">
        <v>0</v>
      </c>
      <c r="W208" s="0" t="str">
        <f aca="false">IF(OR(AND(B208&gt;=1,B208&lt;=6),B208=10),"Vaca em lactação",IF(I208="Male","Macho",IF(E208&gt;=1,"Vaca seca",IF(I208="Youngstock","Bezerra/recria","Novilha"))))</f>
        <v>Vaca em lactação</v>
      </c>
      <c r="X208" s="0" t="str">
        <f aca="false">IF(AND(B208&gt;=1,B208&lt;=6),"Tanque",IF(B208=10,"Descarte",""))</f>
        <v>Tanque</v>
      </c>
    </row>
    <row r="209" customFormat="false" ht="15" hidden="false" customHeight="false" outlineLevel="0" collapsed="false">
      <c r="A209" s="22" t="n">
        <v>46309</v>
      </c>
      <c r="B209" s="0" t="n">
        <v>1</v>
      </c>
      <c r="C209" s="0" t="n">
        <v>6130</v>
      </c>
      <c r="D209" s="0" t="n">
        <v>17</v>
      </c>
      <c r="E209" s="0" t="n">
        <v>1</v>
      </c>
      <c r="F209" s="23" t="s">
        <v>215</v>
      </c>
      <c r="G209" s="0" t="n">
        <v>34.5</v>
      </c>
      <c r="H209" s="0" t="n">
        <v>34</v>
      </c>
      <c r="I209" s="23" t="s">
        <v>94</v>
      </c>
      <c r="J209" s="0" t="n">
        <v>17</v>
      </c>
      <c r="R209" s="0" t="n">
        <v>3474</v>
      </c>
      <c r="S209" s="0" t="n">
        <v>6984</v>
      </c>
      <c r="U209" s="0" t="n">
        <v>670</v>
      </c>
      <c r="V209" s="0" t="n">
        <v>0</v>
      </c>
      <c r="W209" s="0" t="str">
        <f aca="false">IF(OR(AND(B209&gt;=1,B209&lt;=6),B209=10),"Vaca em lactação",IF(I209="Male","Macho",IF(E209&gt;=1,"Vaca seca",IF(I209="Youngstock","Bezerra/recria","Novilha"))))</f>
        <v>Vaca em lactação</v>
      </c>
      <c r="X209" s="0" t="str">
        <f aca="false">IF(AND(B209&gt;=1,B209&lt;=6),"Tanque",IF(B209=10,"Descarte",""))</f>
        <v>Tanque</v>
      </c>
    </row>
    <row r="210" customFormat="false" ht="15" hidden="false" customHeight="false" outlineLevel="0" collapsed="false">
      <c r="A210" s="22" t="n">
        <v>46309</v>
      </c>
      <c r="B210" s="0" t="n">
        <v>1</v>
      </c>
      <c r="C210" s="0" t="n">
        <v>6131</v>
      </c>
      <c r="D210" s="0" t="n">
        <v>16</v>
      </c>
      <c r="E210" s="0" t="n">
        <v>1</v>
      </c>
      <c r="F210" s="23" t="s">
        <v>217</v>
      </c>
      <c r="G210" s="0" t="n">
        <v>34.9</v>
      </c>
      <c r="H210" s="0" t="n">
        <v>33</v>
      </c>
      <c r="I210" s="23" t="s">
        <v>94</v>
      </c>
      <c r="J210" s="0" t="n">
        <v>16</v>
      </c>
      <c r="R210" s="0" t="n">
        <v>3293</v>
      </c>
      <c r="S210" s="0" t="n">
        <v>6621</v>
      </c>
      <c r="U210" s="0" t="n">
        <v>668</v>
      </c>
      <c r="V210" s="0" t="n">
        <v>0</v>
      </c>
      <c r="W210" s="0" t="str">
        <f aca="false">IF(OR(AND(B210&gt;=1,B210&lt;=6),B210=10),"Vaca em lactação",IF(I210="Male","Macho",IF(E210&gt;=1,"Vaca seca",IF(I210="Youngstock","Bezerra/recria","Novilha"))))</f>
        <v>Vaca em lactação</v>
      </c>
      <c r="X210" s="0" t="str">
        <f aca="false">IF(AND(B210&gt;=1,B210&lt;=6),"Tanque",IF(B210=10,"Descarte",""))</f>
        <v>Tanque</v>
      </c>
    </row>
    <row r="211" customFormat="false" ht="15" hidden="false" customHeight="false" outlineLevel="0" collapsed="false">
      <c r="A211" s="22" t="n">
        <v>46309</v>
      </c>
      <c r="B211" s="0" t="n">
        <v>1</v>
      </c>
      <c r="C211" s="0" t="n">
        <v>6138</v>
      </c>
      <c r="D211" s="0" t="n">
        <v>25</v>
      </c>
      <c r="E211" s="0" t="n">
        <v>1</v>
      </c>
      <c r="F211" s="23" t="s">
        <v>218</v>
      </c>
      <c r="G211" s="0" t="n">
        <v>40.6</v>
      </c>
      <c r="H211" s="0" t="n">
        <v>41</v>
      </c>
      <c r="I211" s="23" t="s">
        <v>94</v>
      </c>
      <c r="J211" s="0" t="n">
        <v>25</v>
      </c>
      <c r="R211" s="0" t="n">
        <v>3689</v>
      </c>
      <c r="S211" s="0" t="n">
        <v>7415</v>
      </c>
      <c r="U211" s="0" t="n">
        <v>666</v>
      </c>
      <c r="V211" s="0" t="n">
        <v>0</v>
      </c>
      <c r="W211" s="0" t="str">
        <f aca="false">IF(OR(AND(B211&gt;=1,B211&lt;=6),B211=10),"Vaca em lactação",IF(I211="Male","Macho",IF(E211&gt;=1,"Vaca seca",IF(I211="Youngstock","Bezerra/recria","Novilha"))))</f>
        <v>Vaca em lactação</v>
      </c>
      <c r="X211" s="0" t="str">
        <f aca="false">IF(AND(B211&gt;=1,B211&lt;=6),"Tanque",IF(B211=10,"Descarte",""))</f>
        <v>Tanque</v>
      </c>
    </row>
    <row r="212" customFormat="false" ht="15" hidden="false" customHeight="false" outlineLevel="0" collapsed="false">
      <c r="A212" s="22" t="n">
        <v>46309</v>
      </c>
      <c r="B212" s="0" t="n">
        <v>1</v>
      </c>
      <c r="C212" s="0" t="n">
        <v>6143</v>
      </c>
      <c r="D212" s="0" t="n">
        <v>21</v>
      </c>
      <c r="E212" s="0" t="n">
        <v>1</v>
      </c>
      <c r="F212" s="23" t="s">
        <v>205</v>
      </c>
      <c r="G212" s="0" t="n">
        <v>31.8</v>
      </c>
      <c r="H212" s="0" t="n">
        <v>30</v>
      </c>
      <c r="I212" s="23" t="s">
        <v>94</v>
      </c>
      <c r="J212" s="0" t="n">
        <v>21</v>
      </c>
      <c r="R212" s="0" t="n">
        <v>2879</v>
      </c>
      <c r="S212" s="0" t="n">
        <v>5788</v>
      </c>
      <c r="U212" s="0" t="n">
        <v>665</v>
      </c>
      <c r="V212" s="0" t="n">
        <v>0</v>
      </c>
      <c r="W212" s="0" t="str">
        <f aca="false">IF(OR(AND(B212&gt;=1,B212&lt;=6),B212=10),"Vaca em lactação",IF(I212="Male","Macho",IF(E212&gt;=1,"Vaca seca",IF(I212="Youngstock","Bezerra/recria","Novilha"))))</f>
        <v>Vaca em lactação</v>
      </c>
      <c r="X212" s="0" t="str">
        <f aca="false">IF(AND(B212&gt;=1,B212&lt;=6),"Tanque",IF(B212=10,"Descarte",""))</f>
        <v>Tanque</v>
      </c>
    </row>
    <row r="213" customFormat="false" ht="15" hidden="false" customHeight="false" outlineLevel="0" collapsed="false">
      <c r="A213" s="22" t="n">
        <v>46309</v>
      </c>
      <c r="B213" s="0" t="n">
        <v>1</v>
      </c>
      <c r="C213" s="0" t="n">
        <v>6145</v>
      </c>
      <c r="D213" s="0" t="n">
        <v>20</v>
      </c>
      <c r="E213" s="0" t="n">
        <v>1</v>
      </c>
      <c r="F213" s="23" t="s">
        <v>205</v>
      </c>
      <c r="G213" s="0" t="n">
        <v>43.5</v>
      </c>
      <c r="H213" s="0" t="n">
        <v>43</v>
      </c>
      <c r="I213" s="23" t="s">
        <v>94</v>
      </c>
      <c r="J213" s="0" t="n">
        <v>20</v>
      </c>
      <c r="R213" s="0" t="n">
        <v>3740</v>
      </c>
      <c r="S213" s="0" t="n">
        <v>7518</v>
      </c>
      <c r="U213" s="0" t="n">
        <v>665</v>
      </c>
      <c r="V213" s="0" t="n">
        <v>0</v>
      </c>
      <c r="W213" s="0" t="str">
        <f aca="false">IF(OR(AND(B213&gt;=1,B213&lt;=6),B213=10),"Vaca em lactação",IF(I213="Male","Macho",IF(E213&gt;=1,"Vaca seca",IF(I213="Youngstock","Bezerra/recria","Novilha"))))</f>
        <v>Vaca em lactação</v>
      </c>
      <c r="X213" s="0" t="str">
        <f aca="false">IF(AND(B213&gt;=1,B213&lt;=6),"Tanque",IF(B213=10,"Descarte",""))</f>
        <v>Tanque</v>
      </c>
    </row>
    <row r="214" customFormat="false" ht="15" hidden="false" customHeight="false" outlineLevel="0" collapsed="false">
      <c r="A214" s="22" t="n">
        <v>46309</v>
      </c>
      <c r="B214" s="0" t="n">
        <v>1</v>
      </c>
      <c r="C214" s="0" t="n">
        <v>6105</v>
      </c>
      <c r="D214" s="0" t="n">
        <v>35</v>
      </c>
      <c r="E214" s="0" t="n">
        <v>1</v>
      </c>
      <c r="F214" s="23" t="s">
        <v>219</v>
      </c>
      <c r="G214" s="0" t="n">
        <v>49.4</v>
      </c>
      <c r="H214" s="0" t="n">
        <v>50</v>
      </c>
      <c r="I214" s="23" t="s">
        <v>94</v>
      </c>
      <c r="J214" s="0" t="n">
        <v>35</v>
      </c>
      <c r="P214" s="0" t="n">
        <v>5.32</v>
      </c>
      <c r="Q214" s="0" t="n">
        <v>3.6</v>
      </c>
      <c r="R214" s="0" t="n">
        <v>4303</v>
      </c>
      <c r="S214" s="0" t="n">
        <v>8651</v>
      </c>
      <c r="U214" s="0" t="n">
        <v>678</v>
      </c>
      <c r="V214" s="0" t="n">
        <v>0</v>
      </c>
      <c r="W214" s="0" t="str">
        <f aca="false">IF(OR(AND(B214&gt;=1,B214&lt;=6),B214=10),"Vaca em lactação",IF(I214="Male","Macho",IF(E214&gt;=1,"Vaca seca",IF(I214="Youngstock","Bezerra/recria","Novilha"))))</f>
        <v>Vaca em lactação</v>
      </c>
      <c r="X214" s="0" t="str">
        <f aca="false">IF(AND(B214&gt;=1,B214&lt;=6),"Tanque",IF(B214=10,"Descarte",""))</f>
        <v>Tanque</v>
      </c>
    </row>
    <row r="215" customFormat="false" ht="15" hidden="false" customHeight="false" outlineLevel="0" collapsed="false">
      <c r="A215" s="22" t="n">
        <v>46309</v>
      </c>
      <c r="B215" s="0" t="n">
        <v>1</v>
      </c>
      <c r="C215" s="0" t="n">
        <v>6111</v>
      </c>
      <c r="D215" s="0" t="n">
        <v>36</v>
      </c>
      <c r="E215" s="0" t="n">
        <v>1</v>
      </c>
      <c r="F215" s="23" t="s">
        <v>220</v>
      </c>
      <c r="G215" s="0" t="n">
        <v>41</v>
      </c>
      <c r="H215" s="0" t="n">
        <v>38</v>
      </c>
      <c r="I215" s="23" t="s">
        <v>94</v>
      </c>
      <c r="J215" s="0" t="n">
        <v>36</v>
      </c>
      <c r="P215" s="0" t="n">
        <v>4.11</v>
      </c>
      <c r="Q215" s="0" t="n">
        <v>3.2</v>
      </c>
      <c r="R215" s="0" t="n">
        <v>3111</v>
      </c>
      <c r="S215" s="0" t="n">
        <v>6254</v>
      </c>
      <c r="U215" s="0" t="n">
        <v>676</v>
      </c>
      <c r="V215" s="0" t="n">
        <v>0</v>
      </c>
      <c r="W215" s="0" t="str">
        <f aca="false">IF(OR(AND(B215&gt;=1,B215&lt;=6),B215=10),"Vaca em lactação",IF(I215="Male","Macho",IF(E215&gt;=1,"Vaca seca",IF(I215="Youngstock","Bezerra/recria","Novilha"))))</f>
        <v>Vaca em lactação</v>
      </c>
      <c r="X215" s="0" t="str">
        <f aca="false">IF(AND(B215&gt;=1,B215&lt;=6),"Tanque",IF(B215=10,"Descarte",""))</f>
        <v>Tanque</v>
      </c>
    </row>
    <row r="216" customFormat="false" ht="15" hidden="false" customHeight="false" outlineLevel="0" collapsed="false">
      <c r="A216" s="22" t="n">
        <v>46309</v>
      </c>
      <c r="B216" s="0" t="n">
        <v>1</v>
      </c>
      <c r="C216" s="0" t="n">
        <v>6112</v>
      </c>
      <c r="D216" s="0" t="n">
        <v>8</v>
      </c>
      <c r="E216" s="0" t="n">
        <v>1</v>
      </c>
      <c r="F216" s="23" t="s">
        <v>220</v>
      </c>
      <c r="G216" s="0" t="n">
        <v>26.1</v>
      </c>
      <c r="H216" s="0" t="n">
        <v>24</v>
      </c>
      <c r="I216" s="23" t="s">
        <v>94</v>
      </c>
      <c r="J216" s="0" t="n">
        <v>8</v>
      </c>
      <c r="R216" s="0" t="n">
        <v>2564</v>
      </c>
      <c r="S216" s="0" t="n">
        <v>5154</v>
      </c>
      <c r="U216" s="0" t="n">
        <v>676</v>
      </c>
      <c r="V216" s="0" t="n">
        <v>0</v>
      </c>
      <c r="W216" s="0" t="str">
        <f aca="false">IF(OR(AND(B216&gt;=1,B216&lt;=6),B216=10),"Vaca em lactação",IF(I216="Male","Macho",IF(E216&gt;=1,"Vaca seca",IF(I216="Youngstock","Bezerra/recria","Novilha"))))</f>
        <v>Vaca em lactação</v>
      </c>
      <c r="X216" s="0" t="str">
        <f aca="false">IF(AND(B216&gt;=1,B216&lt;=6),"Tanque",IF(B216=10,"Descarte",""))</f>
        <v>Tanque</v>
      </c>
    </row>
    <row r="217" customFormat="false" ht="15" hidden="false" customHeight="false" outlineLevel="0" collapsed="false">
      <c r="A217" s="22" t="n">
        <v>46309</v>
      </c>
      <c r="B217" s="0" t="n">
        <v>1</v>
      </c>
      <c r="C217" s="0" t="n">
        <v>6108</v>
      </c>
      <c r="D217" s="0" t="n">
        <v>44</v>
      </c>
      <c r="E217" s="0" t="n">
        <v>1</v>
      </c>
      <c r="F217" s="23" t="s">
        <v>221</v>
      </c>
      <c r="G217" s="0" t="n">
        <v>33.8</v>
      </c>
      <c r="H217" s="0" t="n">
        <v>31</v>
      </c>
      <c r="I217" s="23" t="s">
        <v>94</v>
      </c>
      <c r="J217" s="0" t="n">
        <v>44</v>
      </c>
      <c r="P217" s="0" t="n">
        <v>4.82</v>
      </c>
      <c r="Q217" s="0" t="n">
        <v>3.95</v>
      </c>
      <c r="R217" s="0" t="n">
        <v>2258</v>
      </c>
      <c r="S217" s="0" t="n">
        <v>4540</v>
      </c>
      <c r="U217" s="0" t="n">
        <v>677</v>
      </c>
      <c r="V217" s="0" t="n">
        <v>0</v>
      </c>
      <c r="W217" s="0" t="str">
        <f aca="false">IF(OR(AND(B217&gt;=1,B217&lt;=6),B217=10),"Vaca em lactação",IF(I217="Male","Macho",IF(E217&gt;=1,"Vaca seca",IF(I217="Youngstock","Bezerra/recria","Novilha"))))</f>
        <v>Vaca em lactação</v>
      </c>
      <c r="X217" s="0" t="str">
        <f aca="false">IF(AND(B217&gt;=1,B217&lt;=6),"Tanque",IF(B217=10,"Descarte",""))</f>
        <v>Tanque</v>
      </c>
    </row>
    <row r="218" customFormat="false" ht="15" hidden="false" customHeight="false" outlineLevel="0" collapsed="false">
      <c r="A218" s="22" t="n">
        <v>46309</v>
      </c>
      <c r="B218" s="0" t="n">
        <v>1</v>
      </c>
      <c r="C218" s="0" t="n">
        <v>6114</v>
      </c>
      <c r="D218" s="0" t="n">
        <v>25</v>
      </c>
      <c r="E218" s="0" t="n">
        <v>1</v>
      </c>
      <c r="F218" s="23" t="s">
        <v>222</v>
      </c>
      <c r="G218" s="0" t="n">
        <v>37.3</v>
      </c>
      <c r="H218" s="0" t="n">
        <v>36</v>
      </c>
      <c r="I218" s="23" t="s">
        <v>94</v>
      </c>
      <c r="J218" s="0" t="n">
        <v>25</v>
      </c>
      <c r="R218" s="0" t="n">
        <v>3096</v>
      </c>
      <c r="S218" s="0" t="n">
        <v>6223</v>
      </c>
      <c r="U218" s="0" t="n">
        <v>675</v>
      </c>
      <c r="V218" s="0" t="n">
        <v>0</v>
      </c>
      <c r="W218" s="0" t="str">
        <f aca="false">IF(OR(AND(B218&gt;=1,B218&lt;=6),B218=10),"Vaca em lactação",IF(I218="Male","Macho",IF(E218&gt;=1,"Vaca seca",IF(I218="Youngstock","Bezerra/recria","Novilha"))))</f>
        <v>Vaca em lactação</v>
      </c>
      <c r="X218" s="0" t="str">
        <f aca="false">IF(AND(B218&gt;=1,B218&lt;=6),"Tanque",IF(B218=10,"Descarte",""))</f>
        <v>Tanque</v>
      </c>
    </row>
    <row r="219" customFormat="false" ht="15" hidden="false" customHeight="false" outlineLevel="0" collapsed="false">
      <c r="A219" s="22" t="n">
        <v>46309</v>
      </c>
      <c r="B219" s="0" t="n">
        <v>1</v>
      </c>
      <c r="C219" s="0" t="n">
        <v>6163</v>
      </c>
      <c r="D219" s="0" t="n">
        <v>1</v>
      </c>
      <c r="E219" s="0" t="n">
        <v>1</v>
      </c>
      <c r="F219" s="23" t="s">
        <v>223</v>
      </c>
      <c r="I219" s="23" t="s">
        <v>94</v>
      </c>
      <c r="J219" s="0" t="n">
        <v>1</v>
      </c>
      <c r="U219" s="0" t="n">
        <v>325</v>
      </c>
      <c r="V219" s="0" t="n">
        <v>0</v>
      </c>
      <c r="W219" s="0" t="str">
        <f aca="false">IF(OR(AND(B219&gt;=1,B219&lt;=6),B219=10),"Vaca em lactação",IF(I219="Male","Macho",IF(E219&gt;=1,"Vaca seca",IF(I219="Youngstock","Bezerra/recria","Novilha"))))</f>
        <v>Vaca em lactação</v>
      </c>
      <c r="X219" s="0" t="str">
        <f aca="false">IF(AND(B219&gt;=1,B219&lt;=6),"Tanque",IF(B219=10,"Descarte",""))</f>
        <v>Tanque</v>
      </c>
    </row>
    <row r="220" customFormat="false" ht="15" hidden="false" customHeight="false" outlineLevel="0" collapsed="false">
      <c r="A220" s="22" t="n">
        <v>46309</v>
      </c>
      <c r="B220" s="0" t="n">
        <v>2</v>
      </c>
      <c r="C220" s="0" t="n">
        <v>3737</v>
      </c>
      <c r="D220" s="0" t="n">
        <v>101</v>
      </c>
      <c r="E220" s="0" t="n">
        <v>4</v>
      </c>
      <c r="F220" s="23" t="s">
        <v>224</v>
      </c>
      <c r="G220" s="0" t="n">
        <v>71.2</v>
      </c>
      <c r="H220" s="0" t="n">
        <v>67</v>
      </c>
      <c r="I220" s="23" t="s">
        <v>97</v>
      </c>
      <c r="J220" s="0" t="n">
        <v>101</v>
      </c>
      <c r="K220" s="0" t="n">
        <v>66</v>
      </c>
      <c r="M220" s="0" t="n">
        <v>172.09</v>
      </c>
      <c r="N220" s="0" t="n">
        <v>44.07</v>
      </c>
      <c r="O220" s="0" t="n">
        <v>26.29</v>
      </c>
      <c r="P220" s="0" t="n">
        <v>3.49</v>
      </c>
      <c r="Q220" s="0" t="n">
        <v>3.09</v>
      </c>
      <c r="R220" s="0" t="n">
        <v>6174</v>
      </c>
      <c r="S220" s="0" t="n">
        <v>12419</v>
      </c>
      <c r="T220" s="0" t="n">
        <v>65.8</v>
      </c>
      <c r="U220" s="0" t="n">
        <v>1784</v>
      </c>
      <c r="V220" s="0" t="n">
        <v>2</v>
      </c>
      <c r="W220" s="0" t="str">
        <f aca="false">IF(OR(AND(B220&gt;=1,B220&lt;=6),B220=10),"Vaca em lactação",IF(I220="Male","Macho",IF(E220&gt;=1,"Vaca seca",IF(I220="Youngstock","Bezerra/recria","Novilha"))))</f>
        <v>Vaca em lactação</v>
      </c>
      <c r="X220" s="0" t="str">
        <f aca="false">IF(AND(B220&gt;=1,B220&lt;=6),"Tanque",IF(B220=10,"Descarte",""))</f>
        <v>Tanque</v>
      </c>
    </row>
    <row r="221" customFormat="false" ht="15" hidden="false" customHeight="false" outlineLevel="0" collapsed="false">
      <c r="A221" s="22" t="n">
        <v>46309</v>
      </c>
      <c r="B221" s="0" t="n">
        <v>2</v>
      </c>
      <c r="C221" s="0" t="n">
        <v>3698</v>
      </c>
      <c r="D221" s="0" t="n">
        <v>127</v>
      </c>
      <c r="E221" s="0" t="n">
        <v>3</v>
      </c>
      <c r="F221" s="23" t="s">
        <v>225</v>
      </c>
      <c r="G221" s="0" t="n">
        <v>57.5</v>
      </c>
      <c r="H221" s="0" t="n">
        <v>59</v>
      </c>
      <c r="I221" s="23" t="s">
        <v>97</v>
      </c>
      <c r="J221" s="0" t="n">
        <v>127</v>
      </c>
      <c r="K221" s="0" t="n">
        <v>64</v>
      </c>
      <c r="M221" s="0" t="n">
        <v>550.15</v>
      </c>
      <c r="N221" s="0" t="n">
        <v>11.86</v>
      </c>
      <c r="O221" s="0" t="n">
        <v>20.13</v>
      </c>
      <c r="P221" s="0" t="n">
        <v>3.58</v>
      </c>
      <c r="Q221" s="0" t="n">
        <v>3.27</v>
      </c>
      <c r="R221" s="0" t="n">
        <v>5707</v>
      </c>
      <c r="S221" s="0" t="n">
        <v>11691</v>
      </c>
      <c r="T221" s="0" t="n">
        <v>63</v>
      </c>
      <c r="U221" s="0" t="n">
        <v>1809</v>
      </c>
      <c r="V221" s="0" t="n">
        <v>3</v>
      </c>
      <c r="W221" s="0" t="str">
        <f aca="false">IF(OR(AND(B221&gt;=1,B221&lt;=6),B221=10),"Vaca em lactação",IF(I221="Male","Macho",IF(E221&gt;=1,"Vaca seca",IF(I221="Youngstock","Bezerra/recria","Novilha"))))</f>
        <v>Vaca em lactação</v>
      </c>
      <c r="X221" s="0" t="str">
        <f aca="false">IF(AND(B221&gt;=1,B221&lt;=6),"Tanque",IF(B221=10,"Descarte",""))</f>
        <v>Tanque</v>
      </c>
    </row>
    <row r="222" customFormat="false" ht="15" hidden="false" customHeight="false" outlineLevel="0" collapsed="false">
      <c r="A222" s="22" t="n">
        <v>46309</v>
      </c>
      <c r="B222" s="0" t="n">
        <v>2</v>
      </c>
      <c r="C222" s="0" t="n">
        <v>3703</v>
      </c>
      <c r="D222" s="0" t="n">
        <v>130</v>
      </c>
      <c r="E222" s="0" t="n">
        <v>4</v>
      </c>
      <c r="F222" s="23" t="s">
        <v>226</v>
      </c>
      <c r="G222" s="0" t="n">
        <v>45.8</v>
      </c>
      <c r="H222" s="0" t="n">
        <v>60</v>
      </c>
      <c r="I222" s="23" t="s">
        <v>97</v>
      </c>
      <c r="J222" s="0" t="n">
        <v>130</v>
      </c>
      <c r="K222" s="0" t="n">
        <v>67</v>
      </c>
      <c r="M222" s="0" t="n">
        <v>355.39</v>
      </c>
      <c r="N222" s="0" t="n">
        <v>40.13</v>
      </c>
      <c r="O222" s="0" t="n">
        <v>16.68</v>
      </c>
      <c r="P222" s="0" t="n">
        <v>3.61</v>
      </c>
      <c r="Q222" s="0" t="n">
        <v>2.88</v>
      </c>
      <c r="R222" s="0" t="n">
        <v>5572</v>
      </c>
      <c r="S222" s="0" t="n">
        <v>11610</v>
      </c>
      <c r="T222" s="0" t="n">
        <v>61.25</v>
      </c>
      <c r="U222" s="0" t="n">
        <v>1807</v>
      </c>
      <c r="V222" s="0" t="n">
        <v>3</v>
      </c>
      <c r="W222" s="0" t="str">
        <f aca="false">IF(OR(AND(B222&gt;=1,B222&lt;=6),B222=10),"Vaca em lactação",IF(I222="Male","Macho",IF(E222&gt;=1,"Vaca seca",IF(I222="Youngstock","Bezerra/recria","Novilha"))))</f>
        <v>Vaca em lactação</v>
      </c>
      <c r="X222" s="0" t="str">
        <f aca="false">IF(AND(B222&gt;=1,B222&lt;=6),"Tanque",IF(B222=10,"Descarte",""))</f>
        <v>Tanque</v>
      </c>
    </row>
    <row r="223" customFormat="false" ht="15" hidden="false" customHeight="false" outlineLevel="0" collapsed="false">
      <c r="A223" s="22" t="n">
        <v>46309</v>
      </c>
      <c r="B223" s="0" t="n">
        <v>2</v>
      </c>
      <c r="C223" s="0" t="n">
        <v>3822</v>
      </c>
      <c r="D223" s="0" t="n">
        <v>79</v>
      </c>
      <c r="E223" s="0" t="n">
        <v>3</v>
      </c>
      <c r="F223" s="23" t="s">
        <v>227</v>
      </c>
      <c r="G223" s="0" t="n">
        <v>38.8</v>
      </c>
      <c r="H223" s="0" t="n">
        <v>46</v>
      </c>
      <c r="I223" s="23" t="s">
        <v>97</v>
      </c>
      <c r="J223" s="0" t="n">
        <v>79</v>
      </c>
      <c r="K223" s="0" t="n">
        <v>65</v>
      </c>
      <c r="M223" s="0" t="n">
        <v>67.66</v>
      </c>
      <c r="N223" s="0" t="n">
        <v>56.39</v>
      </c>
      <c r="O223" s="0" t="n">
        <v>20.23</v>
      </c>
      <c r="P223" s="0" t="n">
        <v>4.84</v>
      </c>
      <c r="Q223" s="0" t="n">
        <v>3.23</v>
      </c>
      <c r="R223" s="0" t="n">
        <v>3292</v>
      </c>
      <c r="S223" s="0" t="n">
        <v>6618</v>
      </c>
      <c r="U223" s="0" t="n">
        <v>1710</v>
      </c>
      <c r="V223" s="0" t="n">
        <v>1</v>
      </c>
      <c r="W223" s="0" t="str">
        <f aca="false">IF(OR(AND(B223&gt;=1,B223&lt;=6),B223=10),"Vaca em lactação",IF(I223="Male","Macho",IF(E223&gt;=1,"Vaca seca",IF(I223="Youngstock","Bezerra/recria","Novilha"))))</f>
        <v>Vaca em lactação</v>
      </c>
      <c r="X223" s="0" t="str">
        <f aca="false">IF(AND(B223&gt;=1,B223&lt;=6),"Tanque",IF(B223=10,"Descarte",""))</f>
        <v>Tanque</v>
      </c>
    </row>
    <row r="224" customFormat="false" ht="15" hidden="false" customHeight="false" outlineLevel="0" collapsed="false">
      <c r="A224" s="22" t="n">
        <v>46309</v>
      </c>
      <c r="B224" s="0" t="n">
        <v>2</v>
      </c>
      <c r="C224" s="0" t="n">
        <v>3765</v>
      </c>
      <c r="D224" s="0" t="n">
        <v>292</v>
      </c>
      <c r="E224" s="0" t="n">
        <v>3</v>
      </c>
      <c r="F224" s="23" t="s">
        <v>228</v>
      </c>
      <c r="G224" s="0" t="n">
        <v>48.4</v>
      </c>
      <c r="H224" s="0" t="n">
        <v>46</v>
      </c>
      <c r="I224" s="23" t="s">
        <v>92</v>
      </c>
      <c r="J224" s="0" t="n">
        <v>110</v>
      </c>
      <c r="K224" s="0" t="n">
        <v>61</v>
      </c>
      <c r="L224" s="0" t="n">
        <v>182</v>
      </c>
      <c r="M224" s="0" t="n">
        <v>329.41</v>
      </c>
      <c r="N224" s="0" t="n">
        <v>30.37</v>
      </c>
      <c r="O224" s="0" t="n">
        <v>26.03</v>
      </c>
      <c r="P224" s="0" t="n">
        <v>3.24</v>
      </c>
      <c r="Q224" s="0" t="n">
        <v>3.86</v>
      </c>
      <c r="R224" s="0" t="n">
        <v>6512</v>
      </c>
      <c r="S224" s="0" t="n">
        <v>12822</v>
      </c>
      <c r="T224" s="0" t="n">
        <v>71.4</v>
      </c>
      <c r="U224" s="0" t="n">
        <v>1766</v>
      </c>
      <c r="V224" s="0" t="n">
        <v>3</v>
      </c>
      <c r="W224" s="0" t="str">
        <f aca="false">IF(OR(AND(B224&gt;=1,B224&lt;=6),B224=10),"Vaca em lactação",IF(I224="Male","Macho",IF(E224&gt;=1,"Vaca seca",IF(I224="Youngstock","Bezerra/recria","Novilha"))))</f>
        <v>Vaca em lactação</v>
      </c>
      <c r="X224" s="0" t="str">
        <f aca="false">IF(AND(B224&gt;=1,B224&lt;=6),"Tanque",IF(B224=10,"Descarte",""))</f>
        <v>Tanque</v>
      </c>
    </row>
    <row r="225" customFormat="false" ht="15" hidden="false" customHeight="false" outlineLevel="0" collapsed="false">
      <c r="A225" s="22" t="n">
        <v>46309</v>
      </c>
      <c r="B225" s="0" t="n">
        <v>2</v>
      </c>
      <c r="C225" s="0" t="n">
        <v>3792</v>
      </c>
      <c r="D225" s="0" t="n">
        <v>278</v>
      </c>
      <c r="E225" s="0" t="n">
        <v>3</v>
      </c>
      <c r="F225" s="23" t="s">
        <v>229</v>
      </c>
      <c r="G225" s="0" t="n">
        <v>57.5</v>
      </c>
      <c r="H225" s="0" t="n">
        <v>54</v>
      </c>
      <c r="I225" s="23" t="s">
        <v>92</v>
      </c>
      <c r="J225" s="0" t="n">
        <v>138</v>
      </c>
      <c r="K225" s="0" t="n">
        <v>68</v>
      </c>
      <c r="L225" s="0" t="n">
        <v>140</v>
      </c>
      <c r="M225" s="0" t="n">
        <v>452.69</v>
      </c>
      <c r="N225" s="0" t="n">
        <v>54.42</v>
      </c>
      <c r="O225" s="0" t="n">
        <v>16.97</v>
      </c>
      <c r="P225" s="0" t="n">
        <v>3.81</v>
      </c>
      <c r="Q225" s="0" t="n">
        <v>3.37</v>
      </c>
      <c r="R225" s="0" t="n">
        <v>5436</v>
      </c>
      <c r="S225" s="0" t="n">
        <v>11364</v>
      </c>
      <c r="T225" s="0" t="n">
        <v>63.4</v>
      </c>
      <c r="U225" s="0" t="n">
        <v>1741</v>
      </c>
      <c r="V225" s="0" t="n">
        <v>3</v>
      </c>
      <c r="W225" s="0" t="str">
        <f aca="false">IF(OR(AND(B225&gt;=1,B225&lt;=6),B225=10),"Vaca em lactação",IF(I225="Male","Macho",IF(E225&gt;=1,"Vaca seca",IF(I225="Youngstock","Bezerra/recria","Novilha"))))</f>
        <v>Vaca em lactação</v>
      </c>
      <c r="X225" s="0" t="str">
        <f aca="false">IF(AND(B225&gt;=1,B225&lt;=6),"Tanque",IF(B225=10,"Descarte",""))</f>
        <v>Tanque</v>
      </c>
    </row>
    <row r="226" customFormat="false" ht="15" hidden="false" customHeight="false" outlineLevel="0" collapsed="false">
      <c r="A226" s="22" t="n">
        <v>46309</v>
      </c>
      <c r="B226" s="0" t="n">
        <v>2</v>
      </c>
      <c r="C226" s="0" t="n">
        <v>3549</v>
      </c>
      <c r="D226" s="0" t="n">
        <v>297</v>
      </c>
      <c r="E226" s="0" t="n">
        <v>3</v>
      </c>
      <c r="F226" s="23" t="s">
        <v>230</v>
      </c>
      <c r="G226" s="0" t="n">
        <v>51.4</v>
      </c>
      <c r="H226" s="0" t="n">
        <v>50</v>
      </c>
      <c r="I226" s="23" t="s">
        <v>97</v>
      </c>
      <c r="J226" s="0" t="n">
        <v>297</v>
      </c>
      <c r="K226" s="0" t="n">
        <v>66</v>
      </c>
      <c r="M226" s="0" t="n">
        <v>138.9</v>
      </c>
      <c r="N226" s="0" t="n">
        <v>51.78</v>
      </c>
      <c r="O226" s="0" t="n">
        <v>14.31</v>
      </c>
      <c r="P226" s="0" t="n">
        <v>4.22</v>
      </c>
      <c r="Q226" s="0" t="n">
        <v>3.58</v>
      </c>
      <c r="R226" s="0" t="n">
        <v>5893</v>
      </c>
      <c r="S226" s="0" t="n">
        <v>12398</v>
      </c>
      <c r="T226" s="0" t="n">
        <v>62.95</v>
      </c>
      <c r="U226" s="0" t="n">
        <v>1899</v>
      </c>
      <c r="V226" s="0" t="n">
        <v>5</v>
      </c>
      <c r="W226" s="0" t="str">
        <f aca="false">IF(OR(AND(B226&gt;=1,B226&lt;=6),B226=10),"Vaca em lactação",IF(I226="Male","Macho",IF(E226&gt;=1,"Vaca seca",IF(I226="Youngstock","Bezerra/recria","Novilha"))))</f>
        <v>Vaca em lactação</v>
      </c>
      <c r="X226" s="0" t="str">
        <f aca="false">IF(AND(B226&gt;=1,B226&lt;=6),"Tanque",IF(B226=10,"Descarte",""))</f>
        <v>Tanque</v>
      </c>
    </row>
    <row r="227" customFormat="false" ht="15" hidden="false" customHeight="false" outlineLevel="0" collapsed="false">
      <c r="A227" s="22" t="n">
        <v>46309</v>
      </c>
      <c r="B227" s="0" t="n">
        <v>2</v>
      </c>
      <c r="C227" s="0" t="n">
        <v>3576</v>
      </c>
      <c r="D227" s="0" t="n">
        <v>32</v>
      </c>
      <c r="E227" s="0" t="n">
        <v>5</v>
      </c>
      <c r="F227" s="23" t="s">
        <v>231</v>
      </c>
      <c r="G227" s="0" t="n">
        <v>64.4</v>
      </c>
      <c r="H227" s="0" t="n">
        <v>65</v>
      </c>
      <c r="I227" s="23" t="s">
        <v>94</v>
      </c>
      <c r="J227" s="0" t="n">
        <v>32</v>
      </c>
      <c r="M227" s="0" t="n">
        <v>467.18</v>
      </c>
      <c r="N227" s="0" t="n">
        <v>38.41</v>
      </c>
      <c r="O227" s="0" t="n">
        <v>19.84</v>
      </c>
      <c r="P227" s="0" t="n">
        <v>5.41</v>
      </c>
      <c r="Q227" s="0" t="n">
        <v>4</v>
      </c>
      <c r="R227" s="0" t="n">
        <v>5345</v>
      </c>
      <c r="S227" s="0" t="n">
        <v>10744</v>
      </c>
      <c r="U227" s="0" t="n">
        <v>1884</v>
      </c>
      <c r="V227" s="0" t="n">
        <v>0</v>
      </c>
      <c r="W227" s="0" t="str">
        <f aca="false">IF(OR(AND(B227&gt;=1,B227&lt;=6),B227=10),"Vaca em lactação",IF(I227="Male","Macho",IF(E227&gt;=1,"Vaca seca",IF(I227="Youngstock","Bezerra/recria","Novilha"))))</f>
        <v>Vaca em lactação</v>
      </c>
      <c r="X227" s="0" t="str">
        <f aca="false">IF(AND(B227&gt;=1,B227&lt;=6),"Tanque",IF(B227=10,"Descarte",""))</f>
        <v>Tanque</v>
      </c>
    </row>
    <row r="228" customFormat="false" ht="15" hidden="false" customHeight="false" outlineLevel="0" collapsed="false">
      <c r="A228" s="22" t="n">
        <v>46309</v>
      </c>
      <c r="B228" s="0" t="n">
        <v>2</v>
      </c>
      <c r="C228" s="0" t="n">
        <v>3573</v>
      </c>
      <c r="D228" s="0" t="n">
        <v>211</v>
      </c>
      <c r="E228" s="0" t="n">
        <v>3</v>
      </c>
      <c r="F228" s="23" t="s">
        <v>232</v>
      </c>
      <c r="G228" s="0" t="n">
        <v>47.3</v>
      </c>
      <c r="H228" s="0" t="n">
        <v>53</v>
      </c>
      <c r="I228" s="23" t="s">
        <v>92</v>
      </c>
      <c r="J228" s="0" t="n">
        <v>64</v>
      </c>
      <c r="K228" s="0" t="n">
        <v>64</v>
      </c>
      <c r="L228" s="0" t="n">
        <v>147</v>
      </c>
      <c r="M228" s="0" t="n">
        <v>745.61</v>
      </c>
      <c r="N228" s="0" t="n">
        <v>38.08</v>
      </c>
      <c r="O228" s="0" t="n">
        <v>28.29</v>
      </c>
      <c r="P228" s="0" t="n">
        <v>2.89</v>
      </c>
      <c r="Q228" s="0" t="n">
        <v>3.44</v>
      </c>
      <c r="R228" s="0" t="n">
        <v>6331</v>
      </c>
      <c r="S228" s="0" t="n">
        <v>11908</v>
      </c>
      <c r="T228" s="0" t="n">
        <v>67.65</v>
      </c>
      <c r="U228" s="0" t="n">
        <v>1887</v>
      </c>
      <c r="V228" s="0" t="n">
        <v>1</v>
      </c>
      <c r="W228" s="0" t="str">
        <f aca="false">IF(OR(AND(B228&gt;=1,B228&lt;=6),B228=10),"Vaca em lactação",IF(I228="Male","Macho",IF(E228&gt;=1,"Vaca seca",IF(I228="Youngstock","Bezerra/recria","Novilha"))))</f>
        <v>Vaca em lactação</v>
      </c>
      <c r="X228" s="0" t="str">
        <f aca="false">IF(AND(B228&gt;=1,B228&lt;=6),"Tanque",IF(B228=10,"Descarte",""))</f>
        <v>Tanque</v>
      </c>
    </row>
    <row r="229" customFormat="false" ht="15" hidden="false" customHeight="false" outlineLevel="0" collapsed="false">
      <c r="A229" s="22" t="n">
        <v>46309</v>
      </c>
      <c r="B229" s="0" t="n">
        <v>2</v>
      </c>
      <c r="C229" s="0" t="n">
        <v>3569</v>
      </c>
      <c r="D229" s="0" t="n">
        <v>11</v>
      </c>
      <c r="E229" s="0" t="n">
        <v>3</v>
      </c>
      <c r="F229" s="23" t="s">
        <v>233</v>
      </c>
      <c r="G229" s="0" t="n">
        <v>43.7</v>
      </c>
      <c r="H229" s="0" t="n">
        <v>37</v>
      </c>
      <c r="I229" s="23" t="s">
        <v>94</v>
      </c>
      <c r="J229" s="0" t="n">
        <v>11</v>
      </c>
      <c r="M229" s="0" t="n">
        <v>-44.33</v>
      </c>
      <c r="N229" s="0" t="n">
        <v>33.79</v>
      </c>
      <c r="O229" s="0" t="n">
        <v>7.14</v>
      </c>
      <c r="R229" s="0" t="n">
        <v>2661</v>
      </c>
      <c r="S229" s="0" t="n">
        <v>5350</v>
      </c>
      <c r="U229" s="0" t="n">
        <v>1890</v>
      </c>
      <c r="V229" s="0" t="n">
        <v>0</v>
      </c>
      <c r="W229" s="0" t="str">
        <f aca="false">IF(OR(AND(B229&gt;=1,B229&lt;=6),B229=10),"Vaca em lactação",IF(I229="Male","Macho",IF(E229&gt;=1,"Vaca seca",IF(I229="Youngstock","Bezerra/recria","Novilha"))))</f>
        <v>Vaca em lactação</v>
      </c>
      <c r="X229" s="0" t="str">
        <f aca="false">IF(AND(B229&gt;=1,B229&lt;=6),"Tanque",IF(B229=10,"Descarte",""))</f>
        <v>Tanque</v>
      </c>
    </row>
    <row r="230" customFormat="false" ht="15" hidden="false" customHeight="false" outlineLevel="0" collapsed="false">
      <c r="A230" s="22" t="n">
        <v>46309</v>
      </c>
      <c r="B230" s="0" t="n">
        <v>2</v>
      </c>
      <c r="C230" s="0" t="n">
        <v>3675</v>
      </c>
      <c r="D230" s="0" t="n">
        <v>117</v>
      </c>
      <c r="E230" s="0" t="n">
        <v>3</v>
      </c>
      <c r="F230" s="23" t="s">
        <v>234</v>
      </c>
      <c r="G230" s="0" t="n">
        <v>45</v>
      </c>
      <c r="H230" s="0" t="n">
        <v>46</v>
      </c>
      <c r="I230" s="23" t="s">
        <v>97</v>
      </c>
      <c r="J230" s="0" t="n">
        <v>117</v>
      </c>
      <c r="K230" s="0" t="n">
        <v>68</v>
      </c>
      <c r="M230" s="0" t="n">
        <v>945.21</v>
      </c>
      <c r="N230" s="0" t="n">
        <v>21.05</v>
      </c>
      <c r="O230" s="0" t="n">
        <v>20.9</v>
      </c>
      <c r="P230" s="0" t="n">
        <v>4.99</v>
      </c>
      <c r="Q230" s="0" t="n">
        <v>3.5</v>
      </c>
      <c r="R230" s="0" t="n">
        <v>4383</v>
      </c>
      <c r="S230" s="0" t="n">
        <v>8896</v>
      </c>
      <c r="T230" s="0" t="n">
        <v>46.95</v>
      </c>
      <c r="U230" s="0" t="n">
        <v>1825</v>
      </c>
      <c r="V230" s="0" t="n">
        <v>2</v>
      </c>
      <c r="W230" s="0" t="str">
        <f aca="false">IF(OR(AND(B230&gt;=1,B230&lt;=6),B230=10),"Vaca em lactação",IF(I230="Male","Macho",IF(E230&gt;=1,"Vaca seca",IF(I230="Youngstock","Bezerra/recria","Novilha"))))</f>
        <v>Vaca em lactação</v>
      </c>
      <c r="X230" s="0" t="str">
        <f aca="false">IF(AND(B230&gt;=1,B230&lt;=6),"Tanque",IF(B230=10,"Descarte",""))</f>
        <v>Tanque</v>
      </c>
    </row>
    <row r="231" customFormat="false" ht="15" hidden="false" customHeight="false" outlineLevel="0" collapsed="false">
      <c r="A231" s="22" t="n">
        <v>46309</v>
      </c>
      <c r="B231" s="0" t="n">
        <v>2</v>
      </c>
      <c r="C231" s="0" t="n">
        <v>3670</v>
      </c>
      <c r="D231" s="0" t="n">
        <v>113</v>
      </c>
      <c r="E231" s="0" t="n">
        <v>3</v>
      </c>
      <c r="F231" s="23" t="s">
        <v>235</v>
      </c>
      <c r="G231" s="0" t="n">
        <v>57.1</v>
      </c>
      <c r="H231" s="0" t="n">
        <v>58</v>
      </c>
      <c r="I231" s="23" t="s">
        <v>109</v>
      </c>
      <c r="J231" s="0" t="n">
        <v>113</v>
      </c>
      <c r="K231" s="0" t="n">
        <v>71</v>
      </c>
      <c r="M231" s="0" t="n">
        <v>165.6</v>
      </c>
      <c r="N231" s="0" t="n">
        <v>32.87</v>
      </c>
      <c r="O231" s="0" t="n">
        <v>9.91</v>
      </c>
      <c r="P231" s="0" t="n">
        <v>4.52</v>
      </c>
      <c r="Q231" s="0" t="n">
        <v>3.04</v>
      </c>
      <c r="R231" s="0" t="n">
        <v>5628</v>
      </c>
      <c r="S231" s="0" t="n">
        <v>11378</v>
      </c>
      <c r="T231" s="0" t="n">
        <v>63.05</v>
      </c>
      <c r="U231" s="0" t="n">
        <v>1832</v>
      </c>
      <c r="V231" s="0" t="n">
        <v>1</v>
      </c>
      <c r="W231" s="0" t="str">
        <f aca="false">IF(OR(AND(B231&gt;=1,B231&lt;=6),B231=10),"Vaca em lactação",IF(I231="Male","Macho",IF(E231&gt;=1,"Vaca seca",IF(I231="Youngstock","Bezerra/recria","Novilha"))))</f>
        <v>Vaca em lactação</v>
      </c>
      <c r="X231" s="0" t="str">
        <f aca="false">IF(AND(B231&gt;=1,B231&lt;=6),"Tanque",IF(B231=10,"Descarte",""))</f>
        <v>Tanque</v>
      </c>
    </row>
    <row r="232" customFormat="false" ht="15" hidden="false" customHeight="false" outlineLevel="0" collapsed="false">
      <c r="A232" s="22" t="n">
        <v>46309</v>
      </c>
      <c r="B232" s="0" t="n">
        <v>2</v>
      </c>
      <c r="C232" s="0" t="n">
        <v>3651</v>
      </c>
      <c r="D232" s="0" t="n">
        <v>410</v>
      </c>
      <c r="E232" s="0" t="n">
        <v>3</v>
      </c>
      <c r="F232" s="23" t="s">
        <v>236</v>
      </c>
      <c r="G232" s="0" t="n">
        <v>46.4</v>
      </c>
      <c r="H232" s="0" t="n">
        <v>46</v>
      </c>
      <c r="I232" s="23" t="s">
        <v>92</v>
      </c>
      <c r="J232" s="0" t="n">
        <v>235</v>
      </c>
      <c r="K232" s="0" t="n">
        <v>67</v>
      </c>
      <c r="L232" s="0" t="n">
        <v>175</v>
      </c>
      <c r="M232" s="0" t="n">
        <v>436.42</v>
      </c>
      <c r="N232" s="0" t="n">
        <v>41.54</v>
      </c>
      <c r="O232" s="0" t="n">
        <v>20.52</v>
      </c>
      <c r="P232" s="0" t="n">
        <v>4.24</v>
      </c>
      <c r="Q232" s="0" t="n">
        <v>3.98</v>
      </c>
      <c r="R232" s="0" t="n">
        <v>6305</v>
      </c>
      <c r="S232" s="0" t="n">
        <v>12787</v>
      </c>
      <c r="T232" s="0" t="n">
        <v>65.6</v>
      </c>
      <c r="U232" s="0" t="n">
        <v>1847</v>
      </c>
      <c r="V232" s="0" t="n">
        <v>5</v>
      </c>
      <c r="W232" s="0" t="str">
        <f aca="false">IF(OR(AND(B232&gt;=1,B232&lt;=6),B232=10),"Vaca em lactação",IF(I232="Male","Macho",IF(E232&gt;=1,"Vaca seca",IF(I232="Youngstock","Bezerra/recria","Novilha"))))</f>
        <v>Vaca em lactação</v>
      </c>
      <c r="X232" s="0" t="str">
        <f aca="false">IF(AND(B232&gt;=1,B232&lt;=6),"Tanque",IF(B232=10,"Descarte",""))</f>
        <v>Tanque</v>
      </c>
    </row>
    <row r="233" customFormat="false" ht="15" hidden="false" customHeight="false" outlineLevel="0" collapsed="false">
      <c r="A233" s="22" t="n">
        <v>46309</v>
      </c>
      <c r="B233" s="0" t="n">
        <v>2</v>
      </c>
      <c r="C233" s="0" t="n">
        <v>3646</v>
      </c>
      <c r="D233" s="0" t="n">
        <v>143</v>
      </c>
      <c r="E233" s="0" t="n">
        <v>3</v>
      </c>
      <c r="F233" s="23" t="s">
        <v>237</v>
      </c>
      <c r="G233" s="0" t="n">
        <v>60.6</v>
      </c>
      <c r="H233" s="0" t="n">
        <v>58</v>
      </c>
      <c r="I233" s="23" t="s">
        <v>97</v>
      </c>
      <c r="J233" s="0" t="n">
        <v>143</v>
      </c>
      <c r="K233" s="0" t="n">
        <v>66</v>
      </c>
      <c r="M233" s="0" t="n">
        <v>669.28</v>
      </c>
      <c r="N233" s="0" t="n">
        <v>50.04</v>
      </c>
      <c r="O233" s="0" t="n">
        <v>20.29</v>
      </c>
      <c r="P233" s="0" t="n">
        <v>3.75</v>
      </c>
      <c r="Q233" s="0" t="n">
        <v>3.14</v>
      </c>
      <c r="R233" s="0" t="n">
        <v>5868</v>
      </c>
      <c r="S233" s="0" t="n">
        <v>12152</v>
      </c>
      <c r="T233" s="0" t="n">
        <v>69.05</v>
      </c>
      <c r="U233" s="0" t="n">
        <v>1850</v>
      </c>
      <c r="V233" s="0" t="n">
        <v>3</v>
      </c>
      <c r="W233" s="0" t="str">
        <f aca="false">IF(OR(AND(B233&gt;=1,B233&lt;=6),B233=10),"Vaca em lactação",IF(I233="Male","Macho",IF(E233&gt;=1,"Vaca seca",IF(I233="Youngstock","Bezerra/recria","Novilha"))))</f>
        <v>Vaca em lactação</v>
      </c>
      <c r="X233" s="0" t="str">
        <f aca="false">IF(AND(B233&gt;=1,B233&lt;=6),"Tanque",IF(B233=10,"Descarte",""))</f>
        <v>Tanque</v>
      </c>
    </row>
    <row r="234" customFormat="false" ht="15" hidden="false" customHeight="false" outlineLevel="0" collapsed="false">
      <c r="A234" s="22" t="n">
        <v>46309</v>
      </c>
      <c r="B234" s="0" t="n">
        <v>2</v>
      </c>
      <c r="C234" s="0" t="n">
        <v>3997</v>
      </c>
      <c r="D234" s="0" t="n">
        <v>103</v>
      </c>
      <c r="E234" s="0" t="n">
        <v>3</v>
      </c>
      <c r="F234" s="23" t="s">
        <v>238</v>
      </c>
      <c r="G234" s="0" t="n">
        <v>53.2</v>
      </c>
      <c r="H234" s="0" t="n">
        <v>51</v>
      </c>
      <c r="I234" s="23" t="s">
        <v>92</v>
      </c>
      <c r="J234" s="0" t="n">
        <v>68</v>
      </c>
      <c r="K234" s="0" t="n">
        <v>68</v>
      </c>
      <c r="L234" s="0" t="n">
        <v>35</v>
      </c>
      <c r="M234" s="0" t="n">
        <v>781.83</v>
      </c>
      <c r="N234" s="0" t="n">
        <v>50.15</v>
      </c>
      <c r="O234" s="0" t="n">
        <v>31.73</v>
      </c>
      <c r="P234" s="0" t="n">
        <v>5.82</v>
      </c>
      <c r="Q234" s="0" t="n">
        <v>3.5</v>
      </c>
      <c r="R234" s="0" t="n">
        <v>4450</v>
      </c>
      <c r="S234" s="0" t="n">
        <v>8983</v>
      </c>
      <c r="T234" s="0" t="n">
        <v>52</v>
      </c>
      <c r="U234" s="0" t="n">
        <v>1615</v>
      </c>
      <c r="V234" s="0" t="n">
        <v>1</v>
      </c>
      <c r="W234" s="0" t="str">
        <f aca="false">IF(OR(AND(B234&gt;=1,B234&lt;=6),B234=10),"Vaca em lactação",IF(I234="Male","Macho",IF(E234&gt;=1,"Vaca seca",IF(I234="Youngstock","Bezerra/recria","Novilha"))))</f>
        <v>Vaca em lactação</v>
      </c>
      <c r="X234" s="0" t="str">
        <f aca="false">IF(AND(B234&gt;=1,B234&lt;=6),"Tanque",IF(B234=10,"Descarte",""))</f>
        <v>Tanque</v>
      </c>
    </row>
    <row r="235" customFormat="false" ht="15" hidden="false" customHeight="false" outlineLevel="0" collapsed="false">
      <c r="A235" s="22" t="n">
        <v>46309</v>
      </c>
      <c r="B235" s="0" t="n">
        <v>2</v>
      </c>
      <c r="C235" s="0" t="n">
        <v>3996</v>
      </c>
      <c r="D235" s="0" t="n">
        <v>182</v>
      </c>
      <c r="E235" s="0" t="n">
        <v>3</v>
      </c>
      <c r="F235" s="23" t="s">
        <v>238</v>
      </c>
      <c r="G235" s="0" t="n">
        <v>63.2</v>
      </c>
      <c r="H235" s="0" t="n">
        <v>63</v>
      </c>
      <c r="I235" s="23" t="s">
        <v>97</v>
      </c>
      <c r="J235" s="0" t="n">
        <v>182</v>
      </c>
      <c r="K235" s="0" t="n">
        <v>71</v>
      </c>
      <c r="M235" s="0" t="n">
        <v>1350.36</v>
      </c>
      <c r="N235" s="0" t="n">
        <v>39.97</v>
      </c>
      <c r="O235" s="0" t="n">
        <v>34.78</v>
      </c>
      <c r="P235" s="0" t="n">
        <v>3.12</v>
      </c>
      <c r="Q235" s="0" t="n">
        <v>3.4</v>
      </c>
      <c r="R235" s="0" t="n">
        <v>6495</v>
      </c>
      <c r="S235" s="0" t="n">
        <v>13176</v>
      </c>
      <c r="T235" s="0" t="n">
        <v>68.1</v>
      </c>
      <c r="U235" s="0" t="n">
        <v>1615</v>
      </c>
      <c r="V235" s="0" t="n">
        <v>5</v>
      </c>
      <c r="W235" s="0" t="str">
        <f aca="false">IF(OR(AND(B235&gt;=1,B235&lt;=6),B235=10),"Vaca em lactação",IF(I235="Male","Macho",IF(E235&gt;=1,"Vaca seca",IF(I235="Youngstock","Bezerra/recria","Novilha"))))</f>
        <v>Vaca em lactação</v>
      </c>
      <c r="X235" s="0" t="str">
        <f aca="false">IF(AND(B235&gt;=1,B235&lt;=6),"Tanque",IF(B235=10,"Descarte",""))</f>
        <v>Tanque</v>
      </c>
    </row>
    <row r="236" customFormat="false" ht="15" hidden="false" customHeight="false" outlineLevel="0" collapsed="false">
      <c r="A236" s="22" t="n">
        <v>46309</v>
      </c>
      <c r="B236" s="0" t="n">
        <v>2</v>
      </c>
      <c r="C236" s="0" t="n">
        <v>3992</v>
      </c>
      <c r="D236" s="0" t="n">
        <v>226</v>
      </c>
      <c r="E236" s="0" t="n">
        <v>2</v>
      </c>
      <c r="F236" s="23" t="s">
        <v>239</v>
      </c>
      <c r="G236" s="0" t="n">
        <v>52.2</v>
      </c>
      <c r="H236" s="0" t="n">
        <v>54</v>
      </c>
      <c r="I236" s="23" t="s">
        <v>92</v>
      </c>
      <c r="J236" s="0" t="n">
        <v>142</v>
      </c>
      <c r="K236" s="0" t="n">
        <v>100</v>
      </c>
      <c r="L236" s="0" t="n">
        <v>84</v>
      </c>
      <c r="M236" s="0" t="n">
        <v>1352.68</v>
      </c>
      <c r="N236" s="0" t="n">
        <v>32.37</v>
      </c>
      <c r="O236" s="0" t="n">
        <v>38.3</v>
      </c>
      <c r="P236" s="0" t="n">
        <v>3.03</v>
      </c>
      <c r="Q236" s="0" t="n">
        <v>3.12</v>
      </c>
      <c r="R236" s="0" t="n">
        <v>6205</v>
      </c>
      <c r="S236" s="0" t="n">
        <v>12915</v>
      </c>
      <c r="T236" s="0" t="n">
        <v>64.95</v>
      </c>
      <c r="U236" s="0" t="n">
        <v>1618</v>
      </c>
      <c r="V236" s="0" t="n">
        <v>2</v>
      </c>
      <c r="W236" s="0" t="str">
        <f aca="false">IF(OR(AND(B236&gt;=1,B236&lt;=6),B236=10),"Vaca em lactação",IF(I236="Male","Macho",IF(E236&gt;=1,"Vaca seca",IF(I236="Youngstock","Bezerra/recria","Novilha"))))</f>
        <v>Vaca em lactação</v>
      </c>
      <c r="X236" s="0" t="str">
        <f aca="false">IF(AND(B236&gt;=1,B236&lt;=6),"Tanque",IF(B236=10,"Descarte",""))</f>
        <v>Tanque</v>
      </c>
    </row>
    <row r="237" customFormat="false" ht="15" hidden="false" customHeight="false" outlineLevel="0" collapsed="false">
      <c r="A237" s="22" t="n">
        <v>46309</v>
      </c>
      <c r="B237" s="0" t="n">
        <v>2</v>
      </c>
      <c r="C237" s="0" t="n">
        <v>4004</v>
      </c>
      <c r="D237" s="0" t="n">
        <v>59</v>
      </c>
      <c r="E237" s="0" t="n">
        <v>3</v>
      </c>
      <c r="F237" s="23" t="s">
        <v>240</v>
      </c>
      <c r="G237" s="0" t="n">
        <v>67.8</v>
      </c>
      <c r="H237" s="0" t="n">
        <v>67</v>
      </c>
      <c r="I237" s="23" t="s">
        <v>94</v>
      </c>
      <c r="J237" s="0" t="n">
        <v>59</v>
      </c>
      <c r="M237" s="0" t="n">
        <v>244.9</v>
      </c>
      <c r="N237" s="0" t="n">
        <v>8.05</v>
      </c>
      <c r="O237" s="0" t="n">
        <v>9.97</v>
      </c>
      <c r="P237" s="0" t="n">
        <v>3.6</v>
      </c>
      <c r="Q237" s="0" t="n">
        <v>3.16</v>
      </c>
      <c r="R237" s="0" t="n">
        <v>5789</v>
      </c>
      <c r="S237" s="0" t="n">
        <v>11637</v>
      </c>
      <c r="U237" s="0" t="n">
        <v>1612</v>
      </c>
      <c r="V237" s="0" t="n">
        <v>0</v>
      </c>
      <c r="W237" s="0" t="str">
        <f aca="false">IF(OR(AND(B237&gt;=1,B237&lt;=6),B237=10),"Vaca em lactação",IF(I237="Male","Macho",IF(E237&gt;=1,"Vaca seca",IF(I237="Youngstock","Bezerra/recria","Novilha"))))</f>
        <v>Vaca em lactação</v>
      </c>
      <c r="X237" s="0" t="str">
        <f aca="false">IF(AND(B237&gt;=1,B237&lt;=6),"Tanque",IF(B237=10,"Descarte",""))</f>
        <v>Tanque</v>
      </c>
    </row>
    <row r="238" customFormat="false" ht="15" hidden="false" customHeight="false" outlineLevel="0" collapsed="false">
      <c r="A238" s="22" t="n">
        <v>46309</v>
      </c>
      <c r="B238" s="0" t="n">
        <v>2</v>
      </c>
      <c r="C238" s="0" t="n">
        <v>4002</v>
      </c>
      <c r="D238" s="0" t="n">
        <v>230</v>
      </c>
      <c r="E238" s="0" t="n">
        <v>3</v>
      </c>
      <c r="F238" s="23" t="s">
        <v>241</v>
      </c>
      <c r="G238" s="0" t="n">
        <v>59.3</v>
      </c>
      <c r="H238" s="0" t="n">
        <v>54</v>
      </c>
      <c r="I238" s="23" t="s">
        <v>92</v>
      </c>
      <c r="J238" s="0" t="n">
        <v>104</v>
      </c>
      <c r="K238" s="0" t="n">
        <v>69</v>
      </c>
      <c r="L238" s="0" t="n">
        <v>126</v>
      </c>
      <c r="M238" s="0" t="n">
        <v>824</v>
      </c>
      <c r="N238" s="0" t="n">
        <v>58.91</v>
      </c>
      <c r="O238" s="0" t="n">
        <v>26.61</v>
      </c>
      <c r="P238" s="0" t="n">
        <v>3.27</v>
      </c>
      <c r="Q238" s="0" t="n">
        <v>3.35</v>
      </c>
      <c r="R238" s="0" t="n">
        <v>6914</v>
      </c>
      <c r="S238" s="0" t="n">
        <v>12985</v>
      </c>
      <c r="T238" s="0" t="n">
        <v>80.05</v>
      </c>
      <c r="U238" s="0" t="n">
        <v>1613</v>
      </c>
      <c r="V238" s="0" t="n">
        <v>2</v>
      </c>
      <c r="W238" s="0" t="str">
        <f aca="false">IF(OR(AND(B238&gt;=1,B238&lt;=6),B238=10),"Vaca em lactação",IF(I238="Male","Macho",IF(E238&gt;=1,"Vaca seca",IF(I238="Youngstock","Bezerra/recria","Novilha"))))</f>
        <v>Vaca em lactação</v>
      </c>
      <c r="X238" s="0" t="str">
        <f aca="false">IF(AND(B238&gt;=1,B238&lt;=6),"Tanque",IF(B238=10,"Descarte",""))</f>
        <v>Tanque</v>
      </c>
    </row>
    <row r="239" customFormat="false" ht="15" hidden="false" customHeight="false" outlineLevel="0" collapsed="false">
      <c r="A239" s="22" t="n">
        <v>46309</v>
      </c>
      <c r="B239" s="0" t="n">
        <v>2</v>
      </c>
      <c r="C239" s="0" t="n">
        <v>4016</v>
      </c>
      <c r="D239" s="0" t="n">
        <v>174</v>
      </c>
      <c r="E239" s="0" t="n">
        <v>2</v>
      </c>
      <c r="F239" s="23" t="s">
        <v>242</v>
      </c>
      <c r="G239" s="0" t="n">
        <v>58.6</v>
      </c>
      <c r="H239" s="0" t="n">
        <v>61</v>
      </c>
      <c r="I239" s="23" t="s">
        <v>109</v>
      </c>
      <c r="J239" s="0" t="n">
        <v>174</v>
      </c>
      <c r="K239" s="0" t="n">
        <v>62</v>
      </c>
      <c r="M239" s="0" t="n">
        <v>795.87</v>
      </c>
      <c r="N239" s="0" t="n">
        <v>39.25</v>
      </c>
      <c r="O239" s="0" t="n">
        <v>28.26</v>
      </c>
      <c r="P239" s="0" t="n">
        <v>3.17</v>
      </c>
      <c r="Q239" s="0" t="n">
        <v>3.18</v>
      </c>
      <c r="R239" s="0" t="n">
        <v>6802</v>
      </c>
      <c r="S239" s="0" t="n">
        <v>13527</v>
      </c>
      <c r="T239" s="0" t="n">
        <v>75</v>
      </c>
      <c r="U239" s="0" t="n">
        <v>1605</v>
      </c>
      <c r="V239" s="0" t="n">
        <v>3</v>
      </c>
      <c r="W239" s="0" t="str">
        <f aca="false">IF(OR(AND(B239&gt;=1,B239&lt;=6),B239=10),"Vaca em lactação",IF(I239="Male","Macho",IF(E239&gt;=1,"Vaca seca",IF(I239="Youngstock","Bezerra/recria","Novilha"))))</f>
        <v>Vaca em lactação</v>
      </c>
      <c r="X239" s="0" t="str">
        <f aca="false">IF(AND(B239&gt;=1,B239&lt;=6),"Tanque",IF(B239=10,"Descarte",""))</f>
        <v>Tanque</v>
      </c>
    </row>
    <row r="240" customFormat="false" ht="15" hidden="false" customHeight="false" outlineLevel="0" collapsed="false">
      <c r="A240" s="22" t="n">
        <v>46309</v>
      </c>
      <c r="B240" s="0" t="n">
        <v>2</v>
      </c>
      <c r="C240" s="0" t="n">
        <v>4009</v>
      </c>
      <c r="D240" s="0" t="n">
        <v>167</v>
      </c>
      <c r="E240" s="0" t="n">
        <v>3</v>
      </c>
      <c r="F240" s="23" t="s">
        <v>243</v>
      </c>
      <c r="G240" s="0" t="n">
        <v>55.9</v>
      </c>
      <c r="H240" s="0" t="n">
        <v>60</v>
      </c>
      <c r="I240" s="23" t="s">
        <v>92</v>
      </c>
      <c r="J240" s="0" t="n">
        <v>69</v>
      </c>
      <c r="K240" s="0" t="n">
        <v>69</v>
      </c>
      <c r="L240" s="0" t="n">
        <v>98</v>
      </c>
      <c r="M240" s="0" t="n">
        <v>890.83</v>
      </c>
      <c r="N240" s="0" t="n">
        <v>34.55</v>
      </c>
      <c r="O240" s="0" t="n">
        <v>28.59</v>
      </c>
      <c r="P240" s="0" t="n">
        <v>2.63</v>
      </c>
      <c r="Q240" s="0" t="n">
        <v>3.2</v>
      </c>
      <c r="R240" s="0" t="n">
        <v>6217</v>
      </c>
      <c r="S240" s="0" t="n">
        <v>12414</v>
      </c>
      <c r="T240" s="0" t="n">
        <v>68.05</v>
      </c>
      <c r="U240" s="0" t="n">
        <v>1609</v>
      </c>
      <c r="V240" s="0" t="n">
        <v>1</v>
      </c>
      <c r="W240" s="0" t="str">
        <f aca="false">IF(OR(AND(B240&gt;=1,B240&lt;=6),B240=10),"Vaca em lactação",IF(I240="Male","Macho",IF(E240&gt;=1,"Vaca seca",IF(I240="Youngstock","Bezerra/recria","Novilha"))))</f>
        <v>Vaca em lactação</v>
      </c>
      <c r="X240" s="0" t="str">
        <f aca="false">IF(AND(B240&gt;=1,B240&lt;=6),"Tanque",IF(B240=10,"Descarte",""))</f>
        <v>Tanque</v>
      </c>
    </row>
    <row r="241" customFormat="false" ht="15" hidden="false" customHeight="false" outlineLevel="0" collapsed="false">
      <c r="A241" s="22" t="n">
        <v>46309</v>
      </c>
      <c r="B241" s="0" t="n">
        <v>2</v>
      </c>
      <c r="C241" s="0" t="n">
        <v>3961</v>
      </c>
      <c r="D241" s="0" t="n">
        <v>183</v>
      </c>
      <c r="E241" s="0" t="n">
        <v>3</v>
      </c>
      <c r="F241" s="23" t="s">
        <v>244</v>
      </c>
      <c r="G241" s="0" t="n">
        <v>53</v>
      </c>
      <c r="H241" s="0" t="n">
        <v>51</v>
      </c>
      <c r="I241" s="23" t="s">
        <v>92</v>
      </c>
      <c r="J241" s="0" t="n">
        <v>65</v>
      </c>
      <c r="K241" s="0" t="n">
        <v>72</v>
      </c>
      <c r="L241" s="0" t="n">
        <v>118</v>
      </c>
      <c r="M241" s="0" t="n">
        <v>798.84</v>
      </c>
      <c r="N241" s="0" t="n">
        <v>61.76</v>
      </c>
      <c r="O241" s="0" t="n">
        <v>25.93</v>
      </c>
      <c r="P241" s="0" t="n">
        <v>4.31</v>
      </c>
      <c r="Q241" s="0" t="n">
        <v>3.25</v>
      </c>
      <c r="R241" s="0" t="n">
        <v>4237</v>
      </c>
      <c r="S241" s="0" t="n">
        <v>9771</v>
      </c>
      <c r="T241" s="0" t="n">
        <v>46.2</v>
      </c>
      <c r="U241" s="0" t="n">
        <v>1644</v>
      </c>
      <c r="V241" s="0" t="n">
        <v>1</v>
      </c>
      <c r="W241" s="0" t="str">
        <f aca="false">IF(OR(AND(B241&gt;=1,B241&lt;=6),B241=10),"Vaca em lactação",IF(I241="Male","Macho",IF(E241&gt;=1,"Vaca seca",IF(I241="Youngstock","Bezerra/recria","Novilha"))))</f>
        <v>Vaca em lactação</v>
      </c>
      <c r="X241" s="0" t="str">
        <f aca="false">IF(AND(B241&gt;=1,B241&lt;=6),"Tanque",IF(B241=10,"Descarte",""))</f>
        <v>Tanque</v>
      </c>
    </row>
    <row r="242" customFormat="false" ht="15" hidden="false" customHeight="false" outlineLevel="0" collapsed="false">
      <c r="A242" s="22" t="n">
        <v>46309</v>
      </c>
      <c r="B242" s="0" t="n">
        <v>2</v>
      </c>
      <c r="C242" s="0" t="n">
        <v>4061</v>
      </c>
      <c r="D242" s="0" t="n">
        <v>75</v>
      </c>
      <c r="E242" s="0" t="n">
        <v>3</v>
      </c>
      <c r="F242" s="23" t="s">
        <v>245</v>
      </c>
      <c r="G242" s="0" t="n">
        <v>59.5</v>
      </c>
      <c r="H242" s="0" t="n">
        <v>47</v>
      </c>
      <c r="I242" s="23" t="s">
        <v>97</v>
      </c>
      <c r="J242" s="0" t="n">
        <v>75</v>
      </c>
      <c r="K242" s="0" t="n">
        <v>68</v>
      </c>
      <c r="M242" s="0" t="n">
        <v>735.25</v>
      </c>
      <c r="N242" s="0" t="n">
        <v>53.6</v>
      </c>
      <c r="O242" s="0" t="n">
        <v>22.14</v>
      </c>
      <c r="P242" s="0" t="n">
        <v>3.12</v>
      </c>
      <c r="Q242" s="0" t="n">
        <v>2.89</v>
      </c>
      <c r="R242" s="0" t="n">
        <v>5029</v>
      </c>
      <c r="S242" s="0" t="n">
        <v>10108</v>
      </c>
      <c r="U242" s="0" t="n">
        <v>1569</v>
      </c>
      <c r="V242" s="0" t="n">
        <v>1</v>
      </c>
      <c r="W242" s="0" t="str">
        <f aca="false">IF(OR(AND(B242&gt;=1,B242&lt;=6),B242=10),"Vaca em lactação",IF(I242="Male","Macho",IF(E242&gt;=1,"Vaca seca",IF(I242="Youngstock","Bezerra/recria","Novilha"))))</f>
        <v>Vaca em lactação</v>
      </c>
      <c r="X242" s="0" t="str">
        <f aca="false">IF(AND(B242&gt;=1,B242&lt;=6),"Tanque",IF(B242=10,"Descarte",""))</f>
        <v>Tanque</v>
      </c>
    </row>
    <row r="243" customFormat="false" ht="15" hidden="false" customHeight="false" outlineLevel="0" collapsed="false">
      <c r="A243" s="22" t="n">
        <v>46309</v>
      </c>
      <c r="B243" s="0" t="n">
        <v>2</v>
      </c>
      <c r="C243" s="0" t="n">
        <v>4071</v>
      </c>
      <c r="D243" s="0" t="n">
        <v>137</v>
      </c>
      <c r="E243" s="0" t="n">
        <v>3</v>
      </c>
      <c r="F243" s="23" t="s">
        <v>246</v>
      </c>
      <c r="G243" s="0" t="n">
        <v>51.7</v>
      </c>
      <c r="H243" s="0" t="n">
        <v>48</v>
      </c>
      <c r="I243" s="23" t="s">
        <v>92</v>
      </c>
      <c r="J243" s="0" t="n">
        <v>67</v>
      </c>
      <c r="K243" s="0" t="n">
        <v>67</v>
      </c>
      <c r="L243" s="0" t="n">
        <v>70</v>
      </c>
      <c r="M243" s="0" t="n">
        <v>651.59</v>
      </c>
      <c r="N243" s="0" t="n">
        <v>28.34</v>
      </c>
      <c r="O243" s="0" t="n">
        <v>23.7</v>
      </c>
      <c r="P243" s="0" t="n">
        <v>3.54</v>
      </c>
      <c r="Q243" s="0" t="n">
        <v>3.16</v>
      </c>
      <c r="R243" s="0" t="n">
        <v>5855</v>
      </c>
      <c r="S243" s="0" t="n">
        <v>11697</v>
      </c>
      <c r="T243" s="0" t="n">
        <v>61.1</v>
      </c>
      <c r="U243" s="0" t="n">
        <v>1563</v>
      </c>
      <c r="V243" s="0" t="n">
        <v>1</v>
      </c>
      <c r="W243" s="0" t="str">
        <f aca="false">IF(OR(AND(B243&gt;=1,B243&lt;=6),B243=10),"Vaca em lactação",IF(I243="Male","Macho",IF(E243&gt;=1,"Vaca seca",IF(I243="Youngstock","Bezerra/recria","Novilha"))))</f>
        <v>Vaca em lactação</v>
      </c>
      <c r="X243" s="0" t="str">
        <f aca="false">IF(AND(B243&gt;=1,B243&lt;=6),"Tanque",IF(B243=10,"Descarte",""))</f>
        <v>Tanque</v>
      </c>
    </row>
    <row r="244" customFormat="false" ht="15" hidden="false" customHeight="false" outlineLevel="0" collapsed="false">
      <c r="A244" s="22" t="n">
        <v>46309</v>
      </c>
      <c r="B244" s="0" t="n">
        <v>2</v>
      </c>
      <c r="C244" s="0" t="n">
        <v>4086</v>
      </c>
      <c r="D244" s="0" t="n">
        <v>126</v>
      </c>
      <c r="E244" s="0" t="n">
        <v>3</v>
      </c>
      <c r="F244" s="23" t="s">
        <v>247</v>
      </c>
      <c r="G244" s="0" t="n">
        <v>64.1</v>
      </c>
      <c r="H244" s="0" t="n">
        <v>64</v>
      </c>
      <c r="I244" s="23" t="s">
        <v>92</v>
      </c>
      <c r="J244" s="0" t="n">
        <v>91</v>
      </c>
      <c r="K244" s="0" t="n">
        <v>70</v>
      </c>
      <c r="L244" s="0" t="n">
        <v>35</v>
      </c>
      <c r="M244" s="0" t="n">
        <v>675.79</v>
      </c>
      <c r="N244" s="0" t="n">
        <v>52.5</v>
      </c>
      <c r="O244" s="0" t="n">
        <v>30.28</v>
      </c>
      <c r="P244" s="0" t="n">
        <v>3.92</v>
      </c>
      <c r="Q244" s="0" t="n">
        <v>3.33</v>
      </c>
      <c r="R244" s="0" t="n">
        <v>5903</v>
      </c>
      <c r="S244" s="0" t="n">
        <v>12143</v>
      </c>
      <c r="T244" s="0" t="n">
        <v>62.7</v>
      </c>
      <c r="U244" s="0" t="n">
        <v>1557</v>
      </c>
      <c r="V244" s="0" t="n">
        <v>2</v>
      </c>
      <c r="W244" s="0" t="str">
        <f aca="false">IF(OR(AND(B244&gt;=1,B244&lt;=6),B244=10),"Vaca em lactação",IF(I244="Male","Macho",IF(E244&gt;=1,"Vaca seca",IF(I244="Youngstock","Bezerra/recria","Novilha"))))</f>
        <v>Vaca em lactação</v>
      </c>
      <c r="X244" s="0" t="str">
        <f aca="false">IF(AND(B244&gt;=1,B244&lt;=6),"Tanque",IF(B244=10,"Descarte",""))</f>
        <v>Tanque</v>
      </c>
    </row>
    <row r="245" customFormat="false" ht="15" hidden="false" customHeight="false" outlineLevel="0" collapsed="false">
      <c r="A245" s="22" t="n">
        <v>46309</v>
      </c>
      <c r="B245" s="0" t="n">
        <v>2</v>
      </c>
      <c r="C245" s="0" t="n">
        <v>4033</v>
      </c>
      <c r="D245" s="0" t="n">
        <v>110</v>
      </c>
      <c r="E245" s="0" t="n">
        <v>3</v>
      </c>
      <c r="F245" s="23" t="s">
        <v>248</v>
      </c>
      <c r="G245" s="0" t="n">
        <v>53.9</v>
      </c>
      <c r="H245" s="0" t="n">
        <v>49</v>
      </c>
      <c r="I245" s="23" t="s">
        <v>97</v>
      </c>
      <c r="J245" s="0" t="n">
        <v>110</v>
      </c>
      <c r="K245" s="0" t="n">
        <v>68</v>
      </c>
      <c r="M245" s="0" t="n">
        <v>331.54</v>
      </c>
      <c r="N245" s="0" t="n">
        <v>49.6</v>
      </c>
      <c r="O245" s="0" t="n">
        <v>25.61</v>
      </c>
      <c r="P245" s="0" t="n">
        <v>2.77</v>
      </c>
      <c r="Q245" s="0" t="n">
        <v>3.59</v>
      </c>
      <c r="R245" s="0" t="n">
        <v>4690</v>
      </c>
      <c r="S245" s="0" t="n">
        <v>9489</v>
      </c>
      <c r="T245" s="0" t="n">
        <v>51.55</v>
      </c>
      <c r="U245" s="0" t="n">
        <v>1595</v>
      </c>
      <c r="V245" s="0" t="n">
        <v>2</v>
      </c>
      <c r="W245" s="0" t="str">
        <f aca="false">IF(OR(AND(B245&gt;=1,B245&lt;=6),B245=10),"Vaca em lactação",IF(I245="Male","Macho",IF(E245&gt;=1,"Vaca seca",IF(I245="Youngstock","Bezerra/recria","Novilha"))))</f>
        <v>Vaca em lactação</v>
      </c>
      <c r="X245" s="0" t="str">
        <f aca="false">IF(AND(B245&gt;=1,B245&lt;=6),"Tanque",IF(B245=10,"Descarte",""))</f>
        <v>Tanque</v>
      </c>
    </row>
    <row r="246" customFormat="false" ht="15" hidden="false" customHeight="false" outlineLevel="0" collapsed="false">
      <c r="A246" s="22" t="n">
        <v>46309</v>
      </c>
      <c r="B246" s="0" t="n">
        <v>2</v>
      </c>
      <c r="C246" s="0" t="n">
        <v>4050</v>
      </c>
      <c r="D246" s="0" t="n">
        <v>66</v>
      </c>
      <c r="E246" s="0" t="n">
        <v>3</v>
      </c>
      <c r="F246" s="23" t="s">
        <v>249</v>
      </c>
      <c r="G246" s="0" t="n">
        <v>46</v>
      </c>
      <c r="H246" s="0" t="n">
        <v>63</v>
      </c>
      <c r="I246" s="23" t="s">
        <v>97</v>
      </c>
      <c r="J246" s="0" t="n">
        <v>66</v>
      </c>
      <c r="K246" s="0" t="n">
        <v>66</v>
      </c>
      <c r="M246" s="0" t="n">
        <v>722.55</v>
      </c>
      <c r="N246" s="0" t="n">
        <v>60.26</v>
      </c>
      <c r="O246" s="0" t="n">
        <v>32.56</v>
      </c>
      <c r="P246" s="0" t="n">
        <v>4.15</v>
      </c>
      <c r="Q246" s="0" t="n">
        <v>3.07</v>
      </c>
      <c r="R246" s="0" t="n">
        <v>5710</v>
      </c>
      <c r="S246" s="0" t="n">
        <v>11477</v>
      </c>
      <c r="U246" s="0" t="n">
        <v>1578</v>
      </c>
      <c r="V246" s="0" t="n">
        <v>1</v>
      </c>
      <c r="W246" s="0" t="str">
        <f aca="false">IF(OR(AND(B246&gt;=1,B246&lt;=6),B246=10),"Vaca em lactação",IF(I246="Male","Macho",IF(E246&gt;=1,"Vaca seca",IF(I246="Youngstock","Bezerra/recria","Novilha"))))</f>
        <v>Vaca em lactação</v>
      </c>
      <c r="X246" s="0" t="str">
        <f aca="false">IF(AND(B246&gt;=1,B246&lt;=6),"Tanque",IF(B246=10,"Descarte",""))</f>
        <v>Tanque</v>
      </c>
    </row>
    <row r="247" customFormat="false" ht="15" hidden="false" customHeight="false" outlineLevel="0" collapsed="false">
      <c r="A247" s="22" t="n">
        <v>46309</v>
      </c>
      <c r="B247" s="0" t="n">
        <v>2</v>
      </c>
      <c r="C247" s="0" t="n">
        <v>3878</v>
      </c>
      <c r="D247" s="0" t="n">
        <v>242</v>
      </c>
      <c r="E247" s="0" t="n">
        <v>3</v>
      </c>
      <c r="F247" s="23" t="s">
        <v>250</v>
      </c>
      <c r="G247" s="0" t="n">
        <v>53.7</v>
      </c>
      <c r="H247" s="0" t="n">
        <v>52</v>
      </c>
      <c r="I247" s="23" t="s">
        <v>92</v>
      </c>
      <c r="J247" s="0" t="n">
        <v>67</v>
      </c>
      <c r="K247" s="0" t="n">
        <v>67</v>
      </c>
      <c r="L247" s="0" t="n">
        <v>175</v>
      </c>
      <c r="M247" s="0" t="n">
        <v>505.11</v>
      </c>
      <c r="N247" s="0" t="n">
        <v>27.51</v>
      </c>
      <c r="O247" s="0" t="n">
        <v>21.07</v>
      </c>
      <c r="P247" s="0" t="n">
        <v>3.17</v>
      </c>
      <c r="Q247" s="0" t="n">
        <v>3.39</v>
      </c>
      <c r="R247" s="0" t="n">
        <v>5400</v>
      </c>
      <c r="S247" s="0" t="n">
        <v>11511</v>
      </c>
      <c r="T247" s="0" t="n">
        <v>60.8</v>
      </c>
      <c r="U247" s="0" t="n">
        <v>1679</v>
      </c>
      <c r="V247" s="0" t="n">
        <v>1</v>
      </c>
      <c r="W247" s="0" t="str">
        <f aca="false">IF(OR(AND(B247&gt;=1,B247&lt;=6),B247=10),"Vaca em lactação",IF(I247="Male","Macho",IF(E247&gt;=1,"Vaca seca",IF(I247="Youngstock","Bezerra/recria","Novilha"))))</f>
        <v>Vaca em lactação</v>
      </c>
      <c r="X247" s="0" t="str">
        <f aca="false">IF(AND(B247&gt;=1,B247&lt;=6),"Tanque",IF(B247=10,"Descarte",""))</f>
        <v>Tanque</v>
      </c>
    </row>
    <row r="248" customFormat="false" ht="15" hidden="false" customHeight="false" outlineLevel="0" collapsed="false">
      <c r="A248" s="22" t="n">
        <v>46309</v>
      </c>
      <c r="B248" s="0" t="n">
        <v>2</v>
      </c>
      <c r="C248" s="0" t="n">
        <v>3891</v>
      </c>
      <c r="D248" s="0" t="n">
        <v>131</v>
      </c>
      <c r="E248" s="0" t="n">
        <v>3</v>
      </c>
      <c r="F248" s="23" t="s">
        <v>251</v>
      </c>
      <c r="G248" s="0" t="n">
        <v>55.4</v>
      </c>
      <c r="H248" s="0" t="n">
        <v>56</v>
      </c>
      <c r="I248" s="23" t="s">
        <v>92</v>
      </c>
      <c r="J248" s="0" t="n">
        <v>68</v>
      </c>
      <c r="K248" s="0" t="n">
        <v>68</v>
      </c>
      <c r="L248" s="0" t="n">
        <v>63</v>
      </c>
      <c r="M248" s="0" t="n">
        <v>491.29</v>
      </c>
      <c r="N248" s="0" t="n">
        <v>45.61</v>
      </c>
      <c r="O248" s="0" t="n">
        <v>21.62</v>
      </c>
      <c r="P248" s="0" t="n">
        <v>3.25</v>
      </c>
      <c r="Q248" s="0" t="n">
        <v>3.24</v>
      </c>
      <c r="R248" s="0" t="n">
        <v>5240</v>
      </c>
      <c r="S248" s="0" t="n">
        <v>10695</v>
      </c>
      <c r="T248" s="0" t="n">
        <v>57.65</v>
      </c>
      <c r="U248" s="0" t="n">
        <v>1674</v>
      </c>
      <c r="V248" s="0" t="n">
        <v>1</v>
      </c>
      <c r="W248" s="0" t="str">
        <f aca="false">IF(OR(AND(B248&gt;=1,B248&lt;=6),B248=10),"Vaca em lactação",IF(I248="Male","Macho",IF(E248&gt;=1,"Vaca seca",IF(I248="Youngstock","Bezerra/recria","Novilha"))))</f>
        <v>Vaca em lactação</v>
      </c>
      <c r="X248" s="0" t="str">
        <f aca="false">IF(AND(B248&gt;=1,B248&lt;=6),"Tanque",IF(B248=10,"Descarte",""))</f>
        <v>Tanque</v>
      </c>
    </row>
    <row r="249" customFormat="false" ht="15" hidden="false" customHeight="false" outlineLevel="0" collapsed="false">
      <c r="A249" s="22" t="n">
        <v>46309</v>
      </c>
      <c r="B249" s="0" t="n">
        <v>2</v>
      </c>
      <c r="C249" s="0" t="n">
        <v>3858</v>
      </c>
      <c r="D249" s="0" t="n">
        <v>125</v>
      </c>
      <c r="E249" s="0" t="n">
        <v>3</v>
      </c>
      <c r="F249" s="23" t="s">
        <v>252</v>
      </c>
      <c r="G249" s="0" t="n">
        <v>50.3</v>
      </c>
      <c r="H249" s="0" t="n">
        <v>52</v>
      </c>
      <c r="I249" s="23" t="s">
        <v>92</v>
      </c>
      <c r="J249" s="0" t="n">
        <v>69</v>
      </c>
      <c r="K249" s="0" t="n">
        <v>69</v>
      </c>
      <c r="L249" s="0" t="n">
        <v>56</v>
      </c>
      <c r="M249" s="0" t="n">
        <v>738.43</v>
      </c>
      <c r="N249" s="0" t="n">
        <v>61.92</v>
      </c>
      <c r="O249" s="0" t="n">
        <v>30.02</v>
      </c>
      <c r="P249" s="0" t="n">
        <v>3.46</v>
      </c>
      <c r="Q249" s="0" t="n">
        <v>3.89</v>
      </c>
      <c r="R249" s="0" t="n">
        <v>5721</v>
      </c>
      <c r="S249" s="0" t="n">
        <v>11157</v>
      </c>
      <c r="T249" s="0" t="n">
        <v>59.4</v>
      </c>
      <c r="U249" s="0" t="n">
        <v>1689</v>
      </c>
      <c r="V249" s="0" t="n">
        <v>1</v>
      </c>
      <c r="W249" s="0" t="str">
        <f aca="false">IF(OR(AND(B249&gt;=1,B249&lt;=6),B249=10),"Vaca em lactação",IF(I249="Male","Macho",IF(E249&gt;=1,"Vaca seca",IF(I249="Youngstock","Bezerra/recria","Novilha"))))</f>
        <v>Vaca em lactação</v>
      </c>
      <c r="X249" s="0" t="str">
        <f aca="false">IF(AND(B249&gt;=1,B249&lt;=6),"Tanque",IF(B249=10,"Descarte",""))</f>
        <v>Tanque</v>
      </c>
    </row>
    <row r="250" customFormat="false" ht="15" hidden="false" customHeight="false" outlineLevel="0" collapsed="false">
      <c r="A250" s="22" t="n">
        <v>46309</v>
      </c>
      <c r="B250" s="0" t="n">
        <v>2</v>
      </c>
      <c r="C250" s="0" t="n">
        <v>3951</v>
      </c>
      <c r="D250" s="0" t="n">
        <v>269</v>
      </c>
      <c r="E250" s="0" t="n">
        <v>3</v>
      </c>
      <c r="F250" s="23" t="s">
        <v>253</v>
      </c>
      <c r="G250" s="0" t="n">
        <v>60.6</v>
      </c>
      <c r="H250" s="0" t="n">
        <v>59</v>
      </c>
      <c r="I250" s="23" t="s">
        <v>92</v>
      </c>
      <c r="J250" s="0" t="n">
        <v>171</v>
      </c>
      <c r="K250" s="0" t="n">
        <v>73</v>
      </c>
      <c r="L250" s="0" t="n">
        <v>98</v>
      </c>
      <c r="M250" s="0" t="n">
        <v>1336.19</v>
      </c>
      <c r="N250" s="0" t="n">
        <v>67.04</v>
      </c>
      <c r="O250" s="0" t="n">
        <v>37.87</v>
      </c>
      <c r="P250" s="0" t="n">
        <v>3.31</v>
      </c>
      <c r="Q250" s="0" t="n">
        <v>3.06</v>
      </c>
      <c r="R250" s="0" t="n">
        <v>5487</v>
      </c>
      <c r="S250" s="0" t="n">
        <v>12304</v>
      </c>
      <c r="T250" s="0" t="n">
        <v>60.2</v>
      </c>
      <c r="U250" s="0" t="n">
        <v>1648</v>
      </c>
      <c r="V250" s="0" t="n">
        <v>3</v>
      </c>
      <c r="W250" s="0" t="str">
        <f aca="false">IF(OR(AND(B250&gt;=1,B250&lt;=6),B250=10),"Vaca em lactação",IF(I250="Male","Macho",IF(E250&gt;=1,"Vaca seca",IF(I250="Youngstock","Bezerra/recria","Novilha"))))</f>
        <v>Vaca em lactação</v>
      </c>
      <c r="X250" s="0" t="str">
        <f aca="false">IF(AND(B250&gt;=1,B250&lt;=6),"Tanque",IF(B250=10,"Descarte",""))</f>
        <v>Tanque</v>
      </c>
    </row>
    <row r="251" customFormat="false" ht="15" hidden="false" customHeight="false" outlineLevel="0" collapsed="false">
      <c r="A251" s="22" t="n">
        <v>46309</v>
      </c>
      <c r="B251" s="0" t="n">
        <v>2</v>
      </c>
      <c r="C251" s="0" t="n">
        <v>3897</v>
      </c>
      <c r="D251" s="0" t="n">
        <v>174</v>
      </c>
      <c r="E251" s="0" t="n">
        <v>3</v>
      </c>
      <c r="F251" s="23" t="s">
        <v>254</v>
      </c>
      <c r="G251" s="0" t="n">
        <v>52</v>
      </c>
      <c r="H251" s="0" t="n">
        <v>53</v>
      </c>
      <c r="I251" s="23" t="s">
        <v>92</v>
      </c>
      <c r="J251" s="0" t="n">
        <v>139</v>
      </c>
      <c r="K251" s="0" t="n">
        <v>69</v>
      </c>
      <c r="L251" s="0" t="n">
        <v>35</v>
      </c>
      <c r="M251" s="0" t="n">
        <v>334.77</v>
      </c>
      <c r="N251" s="0" t="n">
        <v>55.7</v>
      </c>
      <c r="O251" s="0" t="n">
        <v>20.93</v>
      </c>
      <c r="P251" s="0" t="n">
        <v>2.71</v>
      </c>
      <c r="Q251" s="0" t="n">
        <v>3.2</v>
      </c>
      <c r="R251" s="0" t="n">
        <v>5943</v>
      </c>
      <c r="S251" s="0" t="n">
        <v>11968</v>
      </c>
      <c r="T251" s="0" t="n">
        <v>66.9</v>
      </c>
      <c r="U251" s="0" t="n">
        <v>1671</v>
      </c>
      <c r="V251" s="0" t="n">
        <v>2</v>
      </c>
      <c r="W251" s="0" t="str">
        <f aca="false">IF(OR(AND(B251&gt;=1,B251&lt;=6),B251=10),"Vaca em lactação",IF(I251="Male","Macho",IF(E251&gt;=1,"Vaca seca",IF(I251="Youngstock","Bezerra/recria","Novilha"))))</f>
        <v>Vaca em lactação</v>
      </c>
      <c r="X251" s="0" t="str">
        <f aca="false">IF(AND(B251&gt;=1,B251&lt;=6),"Tanque",IF(B251=10,"Descarte",""))</f>
        <v>Tanque</v>
      </c>
    </row>
    <row r="252" customFormat="false" ht="15" hidden="false" customHeight="false" outlineLevel="0" collapsed="false">
      <c r="A252" s="22" t="n">
        <v>46309</v>
      </c>
      <c r="B252" s="0" t="n">
        <v>2</v>
      </c>
      <c r="C252" s="0" t="n">
        <v>3911</v>
      </c>
      <c r="D252" s="0" t="n">
        <v>212</v>
      </c>
      <c r="E252" s="0" t="n">
        <v>3</v>
      </c>
      <c r="F252" s="23" t="s">
        <v>255</v>
      </c>
      <c r="G252" s="0" t="n">
        <v>55</v>
      </c>
      <c r="H252" s="0" t="n">
        <v>61</v>
      </c>
      <c r="I252" s="23" t="s">
        <v>97</v>
      </c>
      <c r="J252" s="0" t="n">
        <v>212</v>
      </c>
      <c r="K252" s="0" t="n">
        <v>65</v>
      </c>
      <c r="M252" s="0" t="n">
        <v>705.33</v>
      </c>
      <c r="N252" s="0" t="n">
        <v>20.76</v>
      </c>
      <c r="O252" s="0" t="n">
        <v>19.48</v>
      </c>
      <c r="P252" s="0" t="n">
        <v>3.12</v>
      </c>
      <c r="Q252" s="0" t="n">
        <v>2.91</v>
      </c>
      <c r="R252" s="0" t="n">
        <v>6402</v>
      </c>
      <c r="S252" s="0" t="n">
        <v>13397</v>
      </c>
      <c r="T252" s="0" t="n">
        <v>73.7</v>
      </c>
      <c r="U252" s="0" t="n">
        <v>1665</v>
      </c>
      <c r="V252" s="0" t="n">
        <v>5</v>
      </c>
      <c r="W252" s="0" t="str">
        <f aca="false">IF(OR(AND(B252&gt;=1,B252&lt;=6),B252=10),"Vaca em lactação",IF(I252="Male","Macho",IF(E252&gt;=1,"Vaca seca",IF(I252="Youngstock","Bezerra/recria","Novilha"))))</f>
        <v>Vaca em lactação</v>
      </c>
      <c r="X252" s="0" t="str">
        <f aca="false">IF(AND(B252&gt;=1,B252&lt;=6),"Tanque",IF(B252=10,"Descarte",""))</f>
        <v>Tanque</v>
      </c>
    </row>
    <row r="253" customFormat="false" ht="15" hidden="false" customHeight="false" outlineLevel="0" collapsed="false">
      <c r="A253" s="22" t="n">
        <v>46309</v>
      </c>
      <c r="B253" s="0" t="n">
        <v>2</v>
      </c>
      <c r="C253" s="0" t="n">
        <v>3910</v>
      </c>
      <c r="D253" s="0" t="n">
        <v>120</v>
      </c>
      <c r="E253" s="0" t="n">
        <v>3</v>
      </c>
      <c r="F253" s="23" t="s">
        <v>255</v>
      </c>
      <c r="G253" s="0" t="n">
        <v>50.8</v>
      </c>
      <c r="H253" s="0" t="n">
        <v>58</v>
      </c>
      <c r="I253" s="23" t="s">
        <v>92</v>
      </c>
      <c r="J253" s="0" t="n">
        <v>64</v>
      </c>
      <c r="K253" s="0" t="n">
        <v>64</v>
      </c>
      <c r="L253" s="0" t="n">
        <v>56</v>
      </c>
      <c r="M253" s="0" t="n">
        <v>323.28</v>
      </c>
      <c r="N253" s="0" t="n">
        <v>42.58</v>
      </c>
      <c r="O253" s="0" t="n">
        <v>23.7</v>
      </c>
      <c r="P253" s="0" t="n">
        <v>1.99</v>
      </c>
      <c r="Q253" s="0" t="n">
        <v>3.17</v>
      </c>
      <c r="R253" s="0" t="n">
        <v>6583</v>
      </c>
      <c r="S253" s="0" t="n">
        <v>13100</v>
      </c>
      <c r="T253" s="0" t="n">
        <v>71.1</v>
      </c>
      <c r="U253" s="0" t="n">
        <v>1665</v>
      </c>
      <c r="V253" s="0" t="n">
        <v>1</v>
      </c>
      <c r="W253" s="0" t="str">
        <f aca="false">IF(OR(AND(B253&gt;=1,B253&lt;=6),B253=10),"Vaca em lactação",IF(I253="Male","Macho",IF(E253&gt;=1,"Vaca seca",IF(I253="Youngstock","Bezerra/recria","Novilha"))))</f>
        <v>Vaca em lactação</v>
      </c>
      <c r="X253" s="0" t="str">
        <f aca="false">IF(AND(B253&gt;=1,B253&lt;=6),"Tanque",IF(B253=10,"Descarte",""))</f>
        <v>Tanque</v>
      </c>
    </row>
    <row r="254" customFormat="false" ht="15" hidden="false" customHeight="false" outlineLevel="0" collapsed="false">
      <c r="A254" s="22" t="n">
        <v>46309</v>
      </c>
      <c r="B254" s="0" t="n">
        <v>2</v>
      </c>
      <c r="C254" s="0" t="n">
        <v>3213</v>
      </c>
      <c r="D254" s="0" t="n">
        <v>19</v>
      </c>
      <c r="E254" s="0" t="n">
        <v>5</v>
      </c>
      <c r="F254" s="23" t="s">
        <v>256</v>
      </c>
      <c r="G254" s="0" t="n">
        <v>44.6</v>
      </c>
      <c r="H254" s="0" t="n">
        <v>39</v>
      </c>
      <c r="I254" s="23" t="s">
        <v>94</v>
      </c>
      <c r="J254" s="0" t="n">
        <v>19</v>
      </c>
      <c r="M254" s="0" t="n">
        <v>-48.47</v>
      </c>
      <c r="N254" s="0" t="n">
        <v>41.25</v>
      </c>
      <c r="O254" s="0" t="n">
        <v>24.37</v>
      </c>
      <c r="R254" s="0" t="n">
        <v>3260</v>
      </c>
      <c r="S254" s="0" t="n">
        <v>6554</v>
      </c>
      <c r="U254" s="0" t="n">
        <v>2133</v>
      </c>
      <c r="V254" s="0" t="n">
        <v>0</v>
      </c>
      <c r="W254" s="0" t="str">
        <f aca="false">IF(OR(AND(B254&gt;=1,B254&lt;=6),B254=10),"Vaca em lactação",IF(I254="Male","Macho",IF(E254&gt;=1,"Vaca seca",IF(I254="Youngstock","Bezerra/recria","Novilha"))))</f>
        <v>Vaca em lactação</v>
      </c>
      <c r="X254" s="0" t="str">
        <f aca="false">IF(AND(B254&gt;=1,B254&lt;=6),"Tanque",IF(B254=10,"Descarte",""))</f>
        <v>Tanque</v>
      </c>
    </row>
    <row r="255" customFormat="false" ht="15" hidden="false" customHeight="false" outlineLevel="0" collapsed="false">
      <c r="A255" s="22" t="n">
        <v>46309</v>
      </c>
      <c r="B255" s="0" t="n">
        <v>2</v>
      </c>
      <c r="C255" s="0" t="n">
        <v>3218</v>
      </c>
      <c r="D255" s="0" t="n">
        <v>57</v>
      </c>
      <c r="E255" s="0" t="n">
        <v>4</v>
      </c>
      <c r="F255" s="23" t="s">
        <v>257</v>
      </c>
      <c r="G255" s="0" t="n">
        <v>63</v>
      </c>
      <c r="H255" s="0" t="n">
        <v>63</v>
      </c>
      <c r="I255" s="23" t="s">
        <v>94</v>
      </c>
      <c r="J255" s="0" t="n">
        <v>57</v>
      </c>
      <c r="M255" s="0" t="n">
        <v>587.18</v>
      </c>
      <c r="N255" s="0" t="n">
        <v>22.27</v>
      </c>
      <c r="O255" s="0" t="n">
        <v>21.37</v>
      </c>
      <c r="P255" s="0" t="n">
        <v>2.19</v>
      </c>
      <c r="Q255" s="0" t="n">
        <v>2.97</v>
      </c>
      <c r="R255" s="0" t="n">
        <v>6516</v>
      </c>
      <c r="S255" s="0" t="n">
        <v>13097</v>
      </c>
      <c r="U255" s="0" t="n">
        <v>2130</v>
      </c>
      <c r="V255" s="0" t="n">
        <v>0</v>
      </c>
      <c r="W255" s="0" t="str">
        <f aca="false">IF(OR(AND(B255&gt;=1,B255&lt;=6),B255=10),"Vaca em lactação",IF(I255="Male","Macho",IF(E255&gt;=1,"Vaca seca",IF(I255="Youngstock","Bezerra/recria","Novilha"))))</f>
        <v>Vaca em lactação</v>
      </c>
      <c r="X255" s="0" t="str">
        <f aca="false">IF(AND(B255&gt;=1,B255&lt;=6),"Tanque",IF(B255=10,"Descarte",""))</f>
        <v>Tanque</v>
      </c>
    </row>
    <row r="256" customFormat="false" ht="15" hidden="false" customHeight="false" outlineLevel="0" collapsed="false">
      <c r="A256" s="22" t="n">
        <v>46309</v>
      </c>
      <c r="B256" s="0" t="n">
        <v>2</v>
      </c>
      <c r="C256" s="0" t="n">
        <v>1202</v>
      </c>
      <c r="D256" s="0" t="n">
        <v>13</v>
      </c>
      <c r="E256" s="0" t="n">
        <v>5</v>
      </c>
      <c r="F256" s="23" t="s">
        <v>258</v>
      </c>
      <c r="G256" s="0" t="n">
        <v>45.5</v>
      </c>
      <c r="H256" s="0" t="n">
        <v>37</v>
      </c>
      <c r="I256" s="23" t="s">
        <v>94</v>
      </c>
      <c r="J256" s="0" t="n">
        <v>13</v>
      </c>
      <c r="M256" s="0" t="n">
        <v>107.54</v>
      </c>
      <c r="N256" s="0" t="n">
        <v>-13.12</v>
      </c>
      <c r="O256" s="0" t="n">
        <v>7.29</v>
      </c>
      <c r="R256" s="0" t="n">
        <v>2908</v>
      </c>
      <c r="S256" s="0" t="n">
        <v>5846</v>
      </c>
      <c r="U256" s="0" t="n">
        <v>2301</v>
      </c>
      <c r="V256" s="0" t="n">
        <v>0</v>
      </c>
      <c r="W256" s="0" t="str">
        <f aca="false">IF(OR(AND(B256&gt;=1,B256&lt;=6),B256=10),"Vaca em lactação",IF(I256="Male","Macho",IF(E256&gt;=1,"Vaca seca",IF(I256="Youngstock","Bezerra/recria","Novilha"))))</f>
        <v>Vaca em lactação</v>
      </c>
      <c r="X256" s="0" t="str">
        <f aca="false">IF(AND(B256&gt;=1,B256&lt;=6),"Tanque",IF(B256=10,"Descarte",""))</f>
        <v>Tanque</v>
      </c>
    </row>
    <row r="257" customFormat="false" ht="15" hidden="false" customHeight="false" outlineLevel="0" collapsed="false">
      <c r="A257" s="22" t="n">
        <v>46309</v>
      </c>
      <c r="B257" s="0" t="n">
        <v>2</v>
      </c>
      <c r="C257" s="0" t="n">
        <v>3439</v>
      </c>
      <c r="D257" s="0" t="n">
        <v>104</v>
      </c>
      <c r="E257" s="0" t="n">
        <v>4</v>
      </c>
      <c r="F257" s="23" t="s">
        <v>259</v>
      </c>
      <c r="G257" s="0" t="n">
        <v>48.2</v>
      </c>
      <c r="H257" s="0" t="n">
        <v>49</v>
      </c>
      <c r="I257" s="23" t="s">
        <v>97</v>
      </c>
      <c r="J257" s="0" t="n">
        <v>104</v>
      </c>
      <c r="K257" s="0" t="n">
        <v>83</v>
      </c>
      <c r="M257" s="0" t="n">
        <v>882.59</v>
      </c>
      <c r="N257" s="0" t="n">
        <v>44.37</v>
      </c>
      <c r="O257" s="0" t="n">
        <v>34.72</v>
      </c>
      <c r="P257" s="0" t="n">
        <v>3.9</v>
      </c>
      <c r="Q257" s="0" t="n">
        <v>3.09</v>
      </c>
      <c r="R257" s="0" t="n">
        <v>4103</v>
      </c>
      <c r="S257" s="0" t="n">
        <v>8314</v>
      </c>
      <c r="T257" s="0" t="n">
        <v>47.55</v>
      </c>
      <c r="U257" s="0" t="n">
        <v>1981</v>
      </c>
      <c r="V257" s="0" t="n">
        <v>1</v>
      </c>
      <c r="W257" s="0" t="str">
        <f aca="false">IF(OR(AND(B257&gt;=1,B257&lt;=6),B257=10),"Vaca em lactação",IF(I257="Male","Macho",IF(E257&gt;=1,"Vaca seca",IF(I257="Youngstock","Bezerra/recria","Novilha"))))</f>
        <v>Vaca em lactação</v>
      </c>
      <c r="X257" s="0" t="str">
        <f aca="false">IF(AND(B257&gt;=1,B257&lt;=6),"Tanque",IF(B257=10,"Descarte",""))</f>
        <v>Tanque</v>
      </c>
    </row>
    <row r="258" customFormat="false" ht="15" hidden="false" customHeight="false" outlineLevel="0" collapsed="false">
      <c r="A258" s="22" t="n">
        <v>46309</v>
      </c>
      <c r="B258" s="0" t="n">
        <v>2</v>
      </c>
      <c r="C258" s="0" t="n">
        <v>3458</v>
      </c>
      <c r="D258" s="0" t="n">
        <v>30</v>
      </c>
      <c r="E258" s="0" t="n">
        <v>5</v>
      </c>
      <c r="F258" s="23" t="s">
        <v>260</v>
      </c>
      <c r="G258" s="0" t="n">
        <v>59.3</v>
      </c>
      <c r="H258" s="0" t="n">
        <v>58</v>
      </c>
      <c r="I258" s="23" t="s">
        <v>94</v>
      </c>
      <c r="J258" s="0" t="n">
        <v>30</v>
      </c>
      <c r="M258" s="0" t="n">
        <v>323.94</v>
      </c>
      <c r="N258" s="0" t="n">
        <v>38.73</v>
      </c>
      <c r="O258" s="0" t="n">
        <v>21.42</v>
      </c>
      <c r="P258" s="0" t="n">
        <v>7.95</v>
      </c>
      <c r="Q258" s="0" t="n">
        <v>5.42</v>
      </c>
      <c r="R258" s="0" t="n">
        <v>4207</v>
      </c>
      <c r="S258" s="0" t="n">
        <v>8458</v>
      </c>
      <c r="U258" s="0" t="n">
        <v>1965</v>
      </c>
      <c r="V258" s="0" t="n">
        <v>0</v>
      </c>
      <c r="W258" s="0" t="str">
        <f aca="false">IF(OR(AND(B258&gt;=1,B258&lt;=6),B258=10),"Vaca em lactação",IF(I258="Male","Macho",IF(E258&gt;=1,"Vaca seca",IF(I258="Youngstock","Bezerra/recria","Novilha"))))</f>
        <v>Vaca em lactação</v>
      </c>
      <c r="X258" s="0" t="str">
        <f aca="false">IF(AND(B258&gt;=1,B258&lt;=6),"Tanque",IF(B258=10,"Descarte",""))</f>
        <v>Tanque</v>
      </c>
    </row>
    <row r="259" customFormat="false" ht="15" hidden="false" customHeight="false" outlineLevel="0" collapsed="false">
      <c r="A259" s="22" t="n">
        <v>46309</v>
      </c>
      <c r="B259" s="0" t="n">
        <v>2</v>
      </c>
      <c r="C259" s="0" t="n">
        <v>3456</v>
      </c>
      <c r="D259" s="0" t="n">
        <v>117</v>
      </c>
      <c r="E259" s="0" t="n">
        <v>5</v>
      </c>
      <c r="F259" s="23" t="s">
        <v>261</v>
      </c>
      <c r="G259" s="0" t="n">
        <v>64.5</v>
      </c>
      <c r="H259" s="0" t="n">
        <v>65</v>
      </c>
      <c r="I259" s="23" t="s">
        <v>97</v>
      </c>
      <c r="J259" s="0" t="n">
        <v>117</v>
      </c>
      <c r="K259" s="0" t="n">
        <v>68</v>
      </c>
      <c r="M259" s="0" t="n">
        <v>-32.23</v>
      </c>
      <c r="N259" s="0" t="n">
        <v>15.2</v>
      </c>
      <c r="O259" s="0" t="n">
        <v>12.97</v>
      </c>
      <c r="P259" s="0" t="n">
        <v>3.91</v>
      </c>
      <c r="Q259" s="0" t="n">
        <v>3.12</v>
      </c>
      <c r="R259" s="0" t="n">
        <v>5955</v>
      </c>
      <c r="S259" s="0" t="n">
        <v>12207</v>
      </c>
      <c r="U259" s="0" t="n">
        <v>1966</v>
      </c>
      <c r="V259" s="0" t="n">
        <v>2</v>
      </c>
      <c r="W259" s="0" t="str">
        <f aca="false">IF(OR(AND(B259&gt;=1,B259&lt;=6),B259=10),"Vaca em lactação",IF(I259="Male","Macho",IF(E259&gt;=1,"Vaca seca",IF(I259="Youngstock","Bezerra/recria","Novilha"))))</f>
        <v>Vaca em lactação</v>
      </c>
      <c r="X259" s="0" t="str">
        <f aca="false">IF(AND(B259&gt;=1,B259&lt;=6),"Tanque",IF(B259=10,"Descarte",""))</f>
        <v>Tanque</v>
      </c>
    </row>
    <row r="260" customFormat="false" ht="15" hidden="false" customHeight="false" outlineLevel="0" collapsed="false">
      <c r="A260" s="22" t="n">
        <v>46309</v>
      </c>
      <c r="B260" s="0" t="n">
        <v>2</v>
      </c>
      <c r="C260" s="0" t="n">
        <v>3469</v>
      </c>
      <c r="D260" s="0" t="n">
        <v>151</v>
      </c>
      <c r="E260" s="0" t="n">
        <v>5</v>
      </c>
      <c r="F260" s="23" t="s">
        <v>262</v>
      </c>
      <c r="G260" s="0" t="n">
        <v>62</v>
      </c>
      <c r="H260" s="0" t="n">
        <v>64</v>
      </c>
      <c r="I260" s="23" t="s">
        <v>109</v>
      </c>
      <c r="J260" s="0" t="n">
        <v>151</v>
      </c>
      <c r="K260" s="0" t="n">
        <v>81</v>
      </c>
      <c r="M260" s="0" t="n">
        <v>867.89</v>
      </c>
      <c r="N260" s="0" t="n">
        <v>36.97</v>
      </c>
      <c r="O260" s="0" t="n">
        <v>25.59</v>
      </c>
      <c r="P260" s="0" t="n">
        <v>2.8</v>
      </c>
      <c r="Q260" s="0" t="n">
        <v>3.39</v>
      </c>
      <c r="R260" s="0" t="n">
        <v>5939</v>
      </c>
      <c r="S260" s="0" t="n">
        <v>12378</v>
      </c>
      <c r="T260" s="0" t="n">
        <v>59.4</v>
      </c>
      <c r="U260" s="0" t="n">
        <v>1952</v>
      </c>
      <c r="V260" s="0" t="n">
        <v>2</v>
      </c>
      <c r="W260" s="0" t="str">
        <f aca="false">IF(OR(AND(B260&gt;=1,B260&lt;=6),B260=10),"Vaca em lactação",IF(I260="Male","Macho",IF(E260&gt;=1,"Vaca seca",IF(I260="Youngstock","Bezerra/recria","Novilha"))))</f>
        <v>Vaca em lactação</v>
      </c>
      <c r="X260" s="0" t="str">
        <f aca="false">IF(AND(B260&gt;=1,B260&lt;=6),"Tanque",IF(B260=10,"Descarte",""))</f>
        <v>Tanque</v>
      </c>
    </row>
    <row r="261" customFormat="false" ht="15" hidden="false" customHeight="false" outlineLevel="0" collapsed="false">
      <c r="A261" s="22" t="n">
        <v>46309</v>
      </c>
      <c r="B261" s="0" t="n">
        <v>2</v>
      </c>
      <c r="C261" s="0" t="n">
        <v>3511</v>
      </c>
      <c r="D261" s="0" t="n">
        <v>97</v>
      </c>
      <c r="E261" s="0" t="n">
        <v>4</v>
      </c>
      <c r="F261" s="23" t="s">
        <v>263</v>
      </c>
      <c r="G261" s="0" t="n">
        <v>60.5</v>
      </c>
      <c r="H261" s="0" t="n">
        <v>62</v>
      </c>
      <c r="I261" s="23" t="s">
        <v>109</v>
      </c>
      <c r="J261" s="0" t="n">
        <v>97</v>
      </c>
      <c r="K261" s="0" t="n">
        <v>62</v>
      </c>
      <c r="M261" s="0" t="n">
        <v>95.23</v>
      </c>
      <c r="N261" s="0" t="n">
        <v>38.64</v>
      </c>
      <c r="O261" s="0" t="n">
        <v>10.43</v>
      </c>
      <c r="P261" s="0" t="n">
        <v>3.07</v>
      </c>
      <c r="Q261" s="0" t="n">
        <v>3.07</v>
      </c>
      <c r="R261" s="0" t="n">
        <v>6250</v>
      </c>
      <c r="S261" s="0" t="n">
        <v>12563</v>
      </c>
      <c r="U261" s="0" t="n">
        <v>1925</v>
      </c>
      <c r="V261" s="0" t="n">
        <v>1</v>
      </c>
      <c r="W261" s="0" t="str">
        <f aca="false">IF(OR(AND(B261&gt;=1,B261&lt;=6),B261=10),"Vaca em lactação",IF(I261="Male","Macho",IF(E261&gt;=1,"Vaca seca",IF(I261="Youngstock","Bezerra/recria","Novilha"))))</f>
        <v>Vaca em lactação</v>
      </c>
      <c r="X261" s="0" t="str">
        <f aca="false">IF(AND(B261&gt;=1,B261&lt;=6),"Tanque",IF(B261=10,"Descarte",""))</f>
        <v>Tanque</v>
      </c>
    </row>
    <row r="262" customFormat="false" ht="15" hidden="false" customHeight="false" outlineLevel="0" collapsed="false">
      <c r="A262" s="22" t="n">
        <v>46309</v>
      </c>
      <c r="B262" s="0" t="n">
        <v>2</v>
      </c>
      <c r="C262" s="0" t="n">
        <v>3520</v>
      </c>
      <c r="D262" s="0" t="n">
        <v>167</v>
      </c>
      <c r="E262" s="0" t="n">
        <v>3</v>
      </c>
      <c r="F262" s="23" t="s">
        <v>264</v>
      </c>
      <c r="G262" s="0" t="n">
        <v>53.4</v>
      </c>
      <c r="H262" s="0" t="n">
        <v>51</v>
      </c>
      <c r="I262" s="23" t="s">
        <v>97</v>
      </c>
      <c r="J262" s="0" t="n">
        <v>167</v>
      </c>
      <c r="K262" s="0" t="n">
        <v>83</v>
      </c>
      <c r="M262" s="0" t="n">
        <v>681.44</v>
      </c>
      <c r="N262" s="0" t="n">
        <v>54.67</v>
      </c>
      <c r="O262" s="0" t="n">
        <v>27.26</v>
      </c>
      <c r="P262" s="0" t="n">
        <v>2.8</v>
      </c>
      <c r="Q262" s="0" t="n">
        <v>3.14</v>
      </c>
      <c r="R262" s="0" t="n">
        <v>5032</v>
      </c>
      <c r="S262" s="0" t="n">
        <v>10212</v>
      </c>
      <c r="T262" s="0" t="n">
        <v>54.75</v>
      </c>
      <c r="U262" s="0" t="n">
        <v>1919</v>
      </c>
      <c r="V262" s="0" t="n">
        <v>4</v>
      </c>
      <c r="W262" s="0" t="str">
        <f aca="false">IF(OR(AND(B262&gt;=1,B262&lt;=6),B262=10),"Vaca em lactação",IF(I262="Male","Macho",IF(E262&gt;=1,"Vaca seca",IF(I262="Youngstock","Bezerra/recria","Novilha"))))</f>
        <v>Vaca em lactação</v>
      </c>
      <c r="X262" s="0" t="str">
        <f aca="false">IF(AND(B262&gt;=1,B262&lt;=6),"Tanque",IF(B262=10,"Descarte",""))</f>
        <v>Tanque</v>
      </c>
    </row>
    <row r="263" customFormat="false" ht="15" hidden="false" customHeight="false" outlineLevel="0" collapsed="false">
      <c r="A263" s="22" t="n">
        <v>46309</v>
      </c>
      <c r="B263" s="0" t="n">
        <v>2</v>
      </c>
      <c r="C263" s="0" t="n">
        <v>3501</v>
      </c>
      <c r="D263" s="0" t="n">
        <v>159</v>
      </c>
      <c r="E263" s="0" t="n">
        <v>4</v>
      </c>
      <c r="F263" s="23" t="s">
        <v>265</v>
      </c>
      <c r="G263" s="0" t="n">
        <v>56</v>
      </c>
      <c r="H263" s="0" t="n">
        <v>57</v>
      </c>
      <c r="I263" s="23" t="s">
        <v>97</v>
      </c>
      <c r="J263" s="0" t="n">
        <v>159</v>
      </c>
      <c r="K263" s="0" t="n">
        <v>68</v>
      </c>
      <c r="M263" s="0" t="n">
        <v>368.22</v>
      </c>
      <c r="N263" s="0" t="n">
        <v>27.34</v>
      </c>
      <c r="O263" s="0" t="n">
        <v>18.8</v>
      </c>
      <c r="P263" s="0" t="n">
        <v>2.93</v>
      </c>
      <c r="Q263" s="0" t="n">
        <v>3.58</v>
      </c>
      <c r="R263" s="0" t="n">
        <v>5749</v>
      </c>
      <c r="S263" s="0" t="n">
        <v>11788</v>
      </c>
      <c r="T263" s="0" t="n">
        <v>66.95</v>
      </c>
      <c r="U263" s="0" t="n">
        <v>1931</v>
      </c>
      <c r="V263" s="0" t="n">
        <v>3</v>
      </c>
      <c r="W263" s="0" t="str">
        <f aca="false">IF(OR(AND(B263&gt;=1,B263&lt;=6),B263=10),"Vaca em lactação",IF(I263="Male","Macho",IF(E263&gt;=1,"Vaca seca",IF(I263="Youngstock","Bezerra/recria","Novilha"))))</f>
        <v>Vaca em lactação</v>
      </c>
      <c r="X263" s="0" t="str">
        <f aca="false">IF(AND(B263&gt;=1,B263&lt;=6),"Tanque",IF(B263=10,"Descarte",""))</f>
        <v>Tanque</v>
      </c>
    </row>
    <row r="264" customFormat="false" ht="15" hidden="false" customHeight="false" outlineLevel="0" collapsed="false">
      <c r="A264" s="22" t="n">
        <v>46309</v>
      </c>
      <c r="B264" s="0" t="n">
        <v>2</v>
      </c>
      <c r="C264" s="0" t="n">
        <v>3261</v>
      </c>
      <c r="D264" s="0" t="n">
        <v>25</v>
      </c>
      <c r="E264" s="0" t="n">
        <v>4</v>
      </c>
      <c r="F264" s="23" t="s">
        <v>266</v>
      </c>
      <c r="G264" s="0" t="n">
        <v>51.3</v>
      </c>
      <c r="H264" s="0" t="n">
        <v>50</v>
      </c>
      <c r="I264" s="23" t="s">
        <v>94</v>
      </c>
      <c r="J264" s="0" t="n">
        <v>25</v>
      </c>
      <c r="M264" s="0" t="n">
        <v>110.77</v>
      </c>
      <c r="N264" s="0" t="n">
        <v>-7.8</v>
      </c>
      <c r="O264" s="0" t="n">
        <v>-0.49</v>
      </c>
      <c r="R264" s="0" t="n">
        <v>4849</v>
      </c>
      <c r="S264" s="0" t="n">
        <v>9748</v>
      </c>
      <c r="U264" s="0" t="n">
        <v>2103</v>
      </c>
      <c r="V264" s="0" t="n">
        <v>0</v>
      </c>
      <c r="W264" s="0" t="str">
        <f aca="false">IF(OR(AND(B264&gt;=1,B264&lt;=6),B264=10),"Vaca em lactação",IF(I264="Male","Macho",IF(E264&gt;=1,"Vaca seca",IF(I264="Youngstock","Bezerra/recria","Novilha"))))</f>
        <v>Vaca em lactação</v>
      </c>
      <c r="X264" s="0" t="str">
        <f aca="false">IF(AND(B264&gt;=1,B264&lt;=6),"Tanque",IF(B264=10,"Descarte",""))</f>
        <v>Tanque</v>
      </c>
    </row>
    <row r="265" customFormat="false" ht="15" hidden="false" customHeight="false" outlineLevel="0" collapsed="false">
      <c r="A265" s="22" t="n">
        <v>46309</v>
      </c>
      <c r="B265" s="0" t="n">
        <v>2</v>
      </c>
      <c r="C265" s="0" t="n">
        <v>3278</v>
      </c>
      <c r="D265" s="0" t="n">
        <v>43</v>
      </c>
      <c r="E265" s="0" t="n">
        <v>4</v>
      </c>
      <c r="F265" s="23" t="s">
        <v>267</v>
      </c>
      <c r="G265" s="0" t="n">
        <v>49.2</v>
      </c>
      <c r="H265" s="0" t="n">
        <v>46</v>
      </c>
      <c r="I265" s="23" t="s">
        <v>94</v>
      </c>
      <c r="J265" s="0" t="n">
        <v>43</v>
      </c>
      <c r="M265" s="0" t="n">
        <v>466.98</v>
      </c>
      <c r="N265" s="0" t="n">
        <v>37.49</v>
      </c>
      <c r="O265" s="0" t="n">
        <v>29.41</v>
      </c>
      <c r="P265" s="0" t="n">
        <v>3.61</v>
      </c>
      <c r="Q265" s="0" t="n">
        <v>2.92</v>
      </c>
      <c r="R265" s="0" t="n">
        <v>4817</v>
      </c>
      <c r="S265" s="0" t="n">
        <v>9684</v>
      </c>
      <c r="U265" s="0" t="n">
        <v>2093</v>
      </c>
      <c r="V265" s="0" t="n">
        <v>0</v>
      </c>
      <c r="W265" s="0" t="str">
        <f aca="false">IF(OR(AND(B265&gt;=1,B265&lt;=6),B265=10),"Vaca em lactação",IF(I265="Male","Macho",IF(E265&gt;=1,"Vaca seca",IF(I265="Youngstock","Bezerra/recria","Novilha"))))</f>
        <v>Vaca em lactação</v>
      </c>
      <c r="X265" s="0" t="str">
        <f aca="false">IF(AND(B265&gt;=1,B265&lt;=6),"Tanque",IF(B265=10,"Descarte",""))</f>
        <v>Tanque</v>
      </c>
    </row>
    <row r="266" customFormat="false" ht="15" hidden="false" customHeight="false" outlineLevel="0" collapsed="false">
      <c r="A266" s="22" t="n">
        <v>46309</v>
      </c>
      <c r="B266" s="0" t="n">
        <v>2</v>
      </c>
      <c r="C266" s="0" t="n">
        <v>3392</v>
      </c>
      <c r="D266" s="0" t="n">
        <v>42</v>
      </c>
      <c r="E266" s="0" t="n">
        <v>4</v>
      </c>
      <c r="F266" s="23" t="s">
        <v>268</v>
      </c>
      <c r="G266" s="0" t="n">
        <v>74.4</v>
      </c>
      <c r="H266" s="0" t="n">
        <v>71</v>
      </c>
      <c r="I266" s="23" t="s">
        <v>94</v>
      </c>
      <c r="J266" s="0" t="n">
        <v>42</v>
      </c>
      <c r="M266" s="0" t="n">
        <v>1126.69</v>
      </c>
      <c r="N266" s="0" t="n">
        <v>17.07</v>
      </c>
      <c r="O266" s="0" t="n">
        <v>25.1</v>
      </c>
      <c r="P266" s="0" t="n">
        <v>4.5</v>
      </c>
      <c r="Q266" s="0" t="n">
        <v>3.04</v>
      </c>
      <c r="R266" s="0" t="n">
        <v>5723</v>
      </c>
      <c r="S266" s="0" t="n">
        <v>11505</v>
      </c>
      <c r="U266" s="0" t="n">
        <v>2014</v>
      </c>
      <c r="V266" s="0" t="n">
        <v>0</v>
      </c>
      <c r="W266" s="0" t="str">
        <f aca="false">IF(OR(AND(B266&gt;=1,B266&lt;=6),B266=10),"Vaca em lactação",IF(I266="Male","Macho",IF(E266&gt;=1,"Vaca seca",IF(I266="Youngstock","Bezerra/recria","Novilha"))))</f>
        <v>Vaca em lactação</v>
      </c>
      <c r="X266" s="0" t="str">
        <f aca="false">IF(AND(B266&gt;=1,B266&lt;=6),"Tanque",IF(B266=10,"Descarte",""))</f>
        <v>Tanque</v>
      </c>
    </row>
    <row r="267" customFormat="false" ht="15" hidden="false" customHeight="false" outlineLevel="0" collapsed="false">
      <c r="A267" s="22" t="n">
        <v>46309</v>
      </c>
      <c r="B267" s="0" t="n">
        <v>2</v>
      </c>
      <c r="C267" s="0" t="n">
        <v>3349</v>
      </c>
      <c r="D267" s="0" t="n">
        <v>90</v>
      </c>
      <c r="E267" s="0" t="n">
        <v>4</v>
      </c>
      <c r="F267" s="23" t="s">
        <v>269</v>
      </c>
      <c r="G267" s="0" t="n">
        <v>55.5</v>
      </c>
      <c r="H267" s="0" t="n">
        <v>55</v>
      </c>
      <c r="I267" s="23" t="s">
        <v>97</v>
      </c>
      <c r="J267" s="0" t="n">
        <v>90</v>
      </c>
      <c r="K267" s="0" t="n">
        <v>69</v>
      </c>
      <c r="M267" s="0" t="n">
        <v>190.37</v>
      </c>
      <c r="N267" s="0" t="n">
        <v>28.87</v>
      </c>
      <c r="O267" s="0" t="n">
        <v>9</v>
      </c>
      <c r="P267" s="0" t="n">
        <v>2.89</v>
      </c>
      <c r="Q267" s="0" t="n">
        <v>3.3</v>
      </c>
      <c r="R267" s="0" t="n">
        <v>5048</v>
      </c>
      <c r="S267" s="0" t="n">
        <v>10147</v>
      </c>
      <c r="U267" s="0" t="n">
        <v>2039</v>
      </c>
      <c r="V267" s="0" t="n">
        <v>1</v>
      </c>
      <c r="W267" s="0" t="str">
        <f aca="false">IF(OR(AND(B267&gt;=1,B267&lt;=6),B267=10),"Vaca em lactação",IF(I267="Male","Macho",IF(E267&gt;=1,"Vaca seca",IF(I267="Youngstock","Bezerra/recria","Novilha"))))</f>
        <v>Vaca em lactação</v>
      </c>
      <c r="X267" s="0" t="str">
        <f aca="false">IF(AND(B267&gt;=1,B267&lt;=6),"Tanque",IF(B267=10,"Descarte",""))</f>
        <v>Tanque</v>
      </c>
    </row>
    <row r="268" customFormat="false" ht="15" hidden="false" customHeight="false" outlineLevel="0" collapsed="false">
      <c r="A268" s="22" t="n">
        <v>46309</v>
      </c>
      <c r="B268" s="0" t="n">
        <v>2</v>
      </c>
      <c r="C268" s="0" t="n">
        <v>2927</v>
      </c>
      <c r="D268" s="0" t="n">
        <v>120</v>
      </c>
      <c r="E268" s="0" t="n">
        <v>4</v>
      </c>
      <c r="F268" s="23" t="s">
        <v>270</v>
      </c>
      <c r="G268" s="0" t="n">
        <v>45.6</v>
      </c>
      <c r="H268" s="0" t="n">
        <v>35</v>
      </c>
      <c r="I268" s="23" t="s">
        <v>97</v>
      </c>
      <c r="J268" s="0" t="n">
        <v>120</v>
      </c>
      <c r="K268" s="0" t="n">
        <v>64</v>
      </c>
      <c r="M268" s="0" t="n">
        <v>1287.7</v>
      </c>
      <c r="N268" s="0" t="n">
        <v>20.4</v>
      </c>
      <c r="O268" s="0" t="n">
        <v>26.92</v>
      </c>
      <c r="P268" s="0" t="n">
        <v>3.32</v>
      </c>
      <c r="Q268" s="0" t="n">
        <v>2.66</v>
      </c>
      <c r="R268" s="0" t="n">
        <v>5305</v>
      </c>
      <c r="S268" s="0" t="n">
        <v>10539</v>
      </c>
      <c r="T268" s="0" t="n">
        <v>58.45</v>
      </c>
      <c r="U268" s="0" t="n">
        <v>2341</v>
      </c>
      <c r="V268" s="0" t="n">
        <v>2</v>
      </c>
      <c r="W268" s="0" t="str">
        <f aca="false">IF(OR(AND(B268&gt;=1,B268&lt;=6),B268=10),"Vaca em lactação",IF(I268="Male","Macho",IF(E268&gt;=1,"Vaca seca",IF(I268="Youngstock","Bezerra/recria","Novilha"))))</f>
        <v>Vaca em lactação</v>
      </c>
      <c r="X268" s="0" t="str">
        <f aca="false">IF(AND(B268&gt;=1,B268&lt;=6),"Tanque",IF(B268=10,"Descarte",""))</f>
        <v>Tanque</v>
      </c>
    </row>
    <row r="269" customFormat="false" ht="15" hidden="false" customHeight="false" outlineLevel="0" collapsed="false">
      <c r="A269" s="22" t="n">
        <v>46309</v>
      </c>
      <c r="B269" s="0" t="n">
        <v>2</v>
      </c>
      <c r="C269" s="0" t="n">
        <v>2938</v>
      </c>
      <c r="D269" s="0" t="n">
        <v>146</v>
      </c>
      <c r="E269" s="0" t="n">
        <v>6</v>
      </c>
      <c r="F269" s="23" t="s">
        <v>271</v>
      </c>
      <c r="G269" s="0" t="n">
        <v>53.6</v>
      </c>
      <c r="H269" s="0" t="n">
        <v>52</v>
      </c>
      <c r="I269" s="23" t="s">
        <v>92</v>
      </c>
      <c r="J269" s="0" t="n">
        <v>104</v>
      </c>
      <c r="K269" s="0" t="n">
        <v>69</v>
      </c>
      <c r="L269" s="0" t="n">
        <v>42</v>
      </c>
      <c r="M269" s="0" t="n">
        <v>1139.88</v>
      </c>
      <c r="N269" s="0" t="n">
        <v>36.35</v>
      </c>
      <c r="O269" s="0" t="n">
        <v>34.4</v>
      </c>
      <c r="P269" s="0" t="n">
        <v>4.35</v>
      </c>
      <c r="Q269" s="0" t="n">
        <v>3.13</v>
      </c>
      <c r="R269" s="0" t="n">
        <v>5786</v>
      </c>
      <c r="S269" s="0" t="n">
        <v>11404</v>
      </c>
      <c r="T269" s="0" t="n">
        <v>65.95</v>
      </c>
      <c r="U269" s="0" t="n">
        <v>2330</v>
      </c>
      <c r="V269" s="0" t="n">
        <v>2</v>
      </c>
      <c r="W269" s="0" t="str">
        <f aca="false">IF(OR(AND(B269&gt;=1,B269&lt;=6),B269=10),"Vaca em lactação",IF(I269="Male","Macho",IF(E269&gt;=1,"Vaca seca",IF(I269="Youngstock","Bezerra/recria","Novilha"))))</f>
        <v>Vaca em lactação</v>
      </c>
      <c r="X269" s="0" t="str">
        <f aca="false">IF(AND(B269&gt;=1,B269&lt;=6),"Tanque",IF(B269=10,"Descarte",""))</f>
        <v>Tanque</v>
      </c>
    </row>
    <row r="270" customFormat="false" ht="15" hidden="false" customHeight="false" outlineLevel="0" collapsed="false">
      <c r="A270" s="22" t="n">
        <v>46309</v>
      </c>
      <c r="B270" s="0" t="n">
        <v>2</v>
      </c>
      <c r="C270" s="0" t="n">
        <v>2723</v>
      </c>
      <c r="D270" s="0" t="n">
        <v>60</v>
      </c>
      <c r="E270" s="0" t="n">
        <v>6</v>
      </c>
      <c r="F270" s="23" t="s">
        <v>272</v>
      </c>
      <c r="G270" s="0" t="n">
        <v>65.9</v>
      </c>
      <c r="H270" s="0" t="n">
        <v>67</v>
      </c>
      <c r="I270" s="23" t="s">
        <v>94</v>
      </c>
      <c r="J270" s="0" t="n">
        <v>60</v>
      </c>
      <c r="M270" s="0" t="n">
        <v>-232.48</v>
      </c>
      <c r="N270" s="0" t="n">
        <v>38.69</v>
      </c>
      <c r="O270" s="0" t="n">
        <v>5.62</v>
      </c>
      <c r="P270" s="0" t="n">
        <v>3.3</v>
      </c>
      <c r="Q270" s="0" t="n">
        <v>2.69</v>
      </c>
      <c r="R270" s="0" t="n">
        <v>6124</v>
      </c>
      <c r="S270" s="0" t="n">
        <v>12310</v>
      </c>
      <c r="U270" s="0" t="n">
        <v>2499</v>
      </c>
      <c r="V270" s="0" t="n">
        <v>0</v>
      </c>
      <c r="W270" s="0" t="str">
        <f aca="false">IF(OR(AND(B270&gt;=1,B270&lt;=6),B270=10),"Vaca em lactação",IF(I270="Male","Macho",IF(E270&gt;=1,"Vaca seca",IF(I270="Youngstock","Bezerra/recria","Novilha"))))</f>
        <v>Vaca em lactação</v>
      </c>
      <c r="X270" s="0" t="str">
        <f aca="false">IF(AND(B270&gt;=1,B270&lt;=6),"Tanque",IF(B270=10,"Descarte",""))</f>
        <v>Tanque</v>
      </c>
    </row>
    <row r="271" customFormat="false" ht="15" hidden="false" customHeight="false" outlineLevel="0" collapsed="false">
      <c r="A271" s="22" t="n">
        <v>46309</v>
      </c>
      <c r="B271" s="0" t="n">
        <v>2</v>
      </c>
      <c r="C271" s="0" t="n">
        <v>2703</v>
      </c>
      <c r="D271" s="0" t="n">
        <v>173</v>
      </c>
      <c r="E271" s="0" t="n">
        <v>5</v>
      </c>
      <c r="F271" s="23" t="s">
        <v>273</v>
      </c>
      <c r="G271" s="0" t="n">
        <v>50</v>
      </c>
      <c r="H271" s="0" t="n">
        <v>48</v>
      </c>
      <c r="I271" s="23" t="s">
        <v>97</v>
      </c>
      <c r="J271" s="0" t="n">
        <v>173</v>
      </c>
      <c r="K271" s="0" t="n">
        <v>68</v>
      </c>
      <c r="M271" s="0" t="n">
        <v>582.03</v>
      </c>
      <c r="N271" s="0" t="n">
        <v>14.25</v>
      </c>
      <c r="O271" s="0" t="n">
        <v>7.47</v>
      </c>
      <c r="P271" s="0" t="n">
        <v>3.96</v>
      </c>
      <c r="Q271" s="0" t="n">
        <v>2.97</v>
      </c>
      <c r="R271" s="0" t="n">
        <v>6066</v>
      </c>
      <c r="S271" s="0" t="n">
        <v>11184</v>
      </c>
      <c r="T271" s="0" t="n">
        <v>64.8</v>
      </c>
      <c r="U271" s="0" t="n">
        <v>2524</v>
      </c>
      <c r="V271" s="0" t="n">
        <v>3</v>
      </c>
      <c r="W271" s="0" t="str">
        <f aca="false">IF(OR(AND(B271&gt;=1,B271&lt;=6),B271=10),"Vaca em lactação",IF(I271="Male","Macho",IF(E271&gt;=1,"Vaca seca",IF(I271="Youngstock","Bezerra/recria","Novilha"))))</f>
        <v>Vaca em lactação</v>
      </c>
      <c r="X271" s="0" t="str">
        <f aca="false">IF(AND(B271&gt;=1,B271&lt;=6),"Tanque",IF(B271=10,"Descarte",""))</f>
        <v>Tanque</v>
      </c>
    </row>
    <row r="272" customFormat="false" ht="15" hidden="false" customHeight="false" outlineLevel="0" collapsed="false">
      <c r="A272" s="22" t="n">
        <v>46309</v>
      </c>
      <c r="B272" s="0" t="n">
        <v>2</v>
      </c>
      <c r="C272" s="0" t="n">
        <v>2183</v>
      </c>
      <c r="D272" s="0" t="n">
        <v>64</v>
      </c>
      <c r="E272" s="0" t="n">
        <v>6</v>
      </c>
      <c r="F272" s="23" t="s">
        <v>274</v>
      </c>
      <c r="G272" s="0" t="n">
        <v>55.3</v>
      </c>
      <c r="H272" s="0" t="n">
        <v>51</v>
      </c>
      <c r="I272" s="23" t="s">
        <v>94</v>
      </c>
      <c r="J272" s="0" t="n">
        <v>64</v>
      </c>
      <c r="P272" s="0" t="n">
        <v>3.58</v>
      </c>
      <c r="Q272" s="0" t="n">
        <v>3.26</v>
      </c>
      <c r="R272" s="0" t="n">
        <v>4943</v>
      </c>
      <c r="S272" s="0" t="n">
        <v>9935</v>
      </c>
      <c r="U272" s="0" t="n">
        <v>3010</v>
      </c>
      <c r="V272" s="0" t="n">
        <v>0</v>
      </c>
      <c r="W272" s="0" t="str">
        <f aca="false">IF(OR(AND(B272&gt;=1,B272&lt;=6),B272=10),"Vaca em lactação",IF(I272="Male","Macho",IF(E272&gt;=1,"Vaca seca",IF(I272="Youngstock","Bezerra/recria","Novilha"))))</f>
        <v>Vaca em lactação</v>
      </c>
      <c r="X272" s="0" t="str">
        <f aca="false">IF(AND(B272&gt;=1,B272&lt;=6),"Tanque",IF(B272=10,"Descarte",""))</f>
        <v>Tanque</v>
      </c>
    </row>
    <row r="273" customFormat="false" ht="15" hidden="false" customHeight="false" outlineLevel="0" collapsed="false">
      <c r="A273" s="22" t="n">
        <v>46309</v>
      </c>
      <c r="B273" s="0" t="n">
        <v>2</v>
      </c>
      <c r="C273" s="0" t="n">
        <v>5311</v>
      </c>
      <c r="D273" s="0" t="n">
        <v>15</v>
      </c>
      <c r="E273" s="0" t="n">
        <v>2</v>
      </c>
      <c r="F273" s="23" t="s">
        <v>275</v>
      </c>
      <c r="G273" s="0" t="n">
        <v>47.4</v>
      </c>
      <c r="H273" s="0" t="n">
        <v>43</v>
      </c>
      <c r="I273" s="23" t="s">
        <v>94</v>
      </c>
      <c r="J273" s="0" t="n">
        <v>15</v>
      </c>
      <c r="M273" s="0" t="n">
        <v>313.66</v>
      </c>
      <c r="N273" s="0" t="n">
        <v>34.25</v>
      </c>
      <c r="O273" s="0" t="n">
        <v>24.05</v>
      </c>
      <c r="R273" s="0" t="n">
        <v>3546</v>
      </c>
      <c r="S273" s="0" t="n">
        <v>7127</v>
      </c>
      <c r="U273" s="0" t="n">
        <v>977</v>
      </c>
      <c r="V273" s="0" t="n">
        <v>0</v>
      </c>
      <c r="W273" s="0" t="str">
        <f aca="false">IF(OR(AND(B273&gt;=1,B273&lt;=6),B273=10),"Vaca em lactação",IF(I273="Male","Macho",IF(E273&gt;=1,"Vaca seca",IF(I273="Youngstock","Bezerra/recria","Novilha"))))</f>
        <v>Vaca em lactação</v>
      </c>
      <c r="X273" s="0" t="str">
        <f aca="false">IF(AND(B273&gt;=1,B273&lt;=6),"Tanque",IF(B273=10,"Descarte",""))</f>
        <v>Tanque</v>
      </c>
    </row>
    <row r="274" customFormat="false" ht="15" hidden="false" customHeight="false" outlineLevel="0" collapsed="false">
      <c r="A274" s="22" t="n">
        <v>46309</v>
      </c>
      <c r="B274" s="0" t="n">
        <v>2</v>
      </c>
      <c r="C274" s="0" t="n">
        <v>5293</v>
      </c>
      <c r="D274" s="0" t="n">
        <v>18</v>
      </c>
      <c r="E274" s="0" t="n">
        <v>2</v>
      </c>
      <c r="F274" s="23" t="s">
        <v>276</v>
      </c>
      <c r="G274" s="0" t="n">
        <v>57.9</v>
      </c>
      <c r="H274" s="0" t="n">
        <v>53</v>
      </c>
      <c r="I274" s="23" t="s">
        <v>94</v>
      </c>
      <c r="J274" s="0" t="n">
        <v>18</v>
      </c>
      <c r="M274" s="0" t="n">
        <v>544.39</v>
      </c>
      <c r="N274" s="0" t="n">
        <v>86.25</v>
      </c>
      <c r="O274" s="0" t="n">
        <v>39.07</v>
      </c>
      <c r="R274" s="0" t="n">
        <v>4035</v>
      </c>
      <c r="S274" s="0" t="n">
        <v>8112</v>
      </c>
      <c r="U274" s="0" t="n">
        <v>981</v>
      </c>
      <c r="V274" s="0" t="n">
        <v>0</v>
      </c>
      <c r="W274" s="0" t="str">
        <f aca="false">IF(OR(AND(B274&gt;=1,B274&lt;=6),B274=10),"Vaca em lactação",IF(I274="Male","Macho",IF(E274&gt;=1,"Vaca seca",IF(I274="Youngstock","Bezerra/recria","Novilha"))))</f>
        <v>Vaca em lactação</v>
      </c>
      <c r="X274" s="0" t="str">
        <f aca="false">IF(AND(B274&gt;=1,B274&lt;=6),"Tanque",IF(B274=10,"Descarte",""))</f>
        <v>Tanque</v>
      </c>
    </row>
    <row r="275" customFormat="false" ht="15" hidden="false" customHeight="false" outlineLevel="0" collapsed="false">
      <c r="A275" s="22" t="n">
        <v>46309</v>
      </c>
      <c r="B275" s="0" t="n">
        <v>2</v>
      </c>
      <c r="C275" s="0" t="n">
        <v>5334</v>
      </c>
      <c r="D275" s="0" t="n">
        <v>20</v>
      </c>
      <c r="E275" s="0" t="n">
        <v>2</v>
      </c>
      <c r="F275" s="23" t="s">
        <v>277</v>
      </c>
      <c r="G275" s="0" t="n">
        <v>47</v>
      </c>
      <c r="H275" s="0" t="n">
        <v>41</v>
      </c>
      <c r="I275" s="23" t="s">
        <v>94</v>
      </c>
      <c r="J275" s="0" t="n">
        <v>20</v>
      </c>
      <c r="M275" s="0" t="n">
        <v>928.25</v>
      </c>
      <c r="N275" s="0" t="n">
        <v>74.37</v>
      </c>
      <c r="O275" s="0" t="n">
        <v>35.17</v>
      </c>
      <c r="R275" s="0" t="n">
        <v>3002</v>
      </c>
      <c r="S275" s="0" t="n">
        <v>6034</v>
      </c>
      <c r="U275" s="0" t="n">
        <v>971</v>
      </c>
      <c r="V275" s="0" t="n">
        <v>0</v>
      </c>
      <c r="W275" s="0" t="str">
        <f aca="false">IF(OR(AND(B275&gt;=1,B275&lt;=6),B275=10),"Vaca em lactação",IF(I275="Male","Macho",IF(E275&gt;=1,"Vaca seca",IF(I275="Youngstock","Bezerra/recria","Novilha"))))</f>
        <v>Vaca em lactação</v>
      </c>
      <c r="X275" s="0" t="str">
        <f aca="false">IF(AND(B275&gt;=1,B275&lt;=6),"Tanque",IF(B275=10,"Descarte",""))</f>
        <v>Tanque</v>
      </c>
    </row>
    <row r="276" customFormat="false" ht="15" hidden="false" customHeight="false" outlineLevel="0" collapsed="false">
      <c r="A276" s="22" t="n">
        <v>46309</v>
      </c>
      <c r="B276" s="0" t="n">
        <v>2</v>
      </c>
      <c r="C276" s="0" t="n">
        <v>5061</v>
      </c>
      <c r="D276" s="0" t="n">
        <v>118</v>
      </c>
      <c r="E276" s="0" t="n">
        <v>2</v>
      </c>
      <c r="F276" s="23" t="s">
        <v>278</v>
      </c>
      <c r="G276" s="0" t="n">
        <v>56.9</v>
      </c>
      <c r="H276" s="0" t="n">
        <v>58</v>
      </c>
      <c r="I276" s="23" t="s">
        <v>97</v>
      </c>
      <c r="J276" s="0" t="n">
        <v>118</v>
      </c>
      <c r="K276" s="0" t="n">
        <v>70</v>
      </c>
      <c r="M276" s="0" t="n">
        <v>661.79</v>
      </c>
      <c r="N276" s="0" t="n">
        <v>59.01</v>
      </c>
      <c r="O276" s="0" t="n">
        <v>39.73</v>
      </c>
      <c r="P276" s="0" t="n">
        <v>3.73</v>
      </c>
      <c r="Q276" s="0" t="n">
        <v>3.42</v>
      </c>
      <c r="R276" s="0" t="n">
        <v>5377</v>
      </c>
      <c r="S276" s="0" t="n">
        <v>10932</v>
      </c>
      <c r="T276" s="0" t="n">
        <v>59.6</v>
      </c>
      <c r="U276" s="0" t="n">
        <v>1079</v>
      </c>
      <c r="V276" s="0" t="n">
        <v>2</v>
      </c>
      <c r="W276" s="0" t="str">
        <f aca="false">IF(OR(AND(B276&gt;=1,B276&lt;=6),B276=10),"Vaca em lactação",IF(I276="Male","Macho",IF(E276&gt;=1,"Vaca seca",IF(I276="Youngstock","Bezerra/recria","Novilha"))))</f>
        <v>Vaca em lactação</v>
      </c>
      <c r="X276" s="0" t="str">
        <f aca="false">IF(AND(B276&gt;=1,B276&lt;=6),"Tanque",IF(B276=10,"Descarte",""))</f>
        <v>Tanque</v>
      </c>
    </row>
    <row r="277" customFormat="false" ht="15" hidden="false" customHeight="false" outlineLevel="0" collapsed="false">
      <c r="A277" s="22" t="n">
        <v>46309</v>
      </c>
      <c r="B277" s="0" t="n">
        <v>2</v>
      </c>
      <c r="C277" s="0" t="n">
        <v>5070</v>
      </c>
      <c r="D277" s="0" t="n">
        <v>87</v>
      </c>
      <c r="E277" s="0" t="n">
        <v>2</v>
      </c>
      <c r="F277" s="23" t="s">
        <v>279</v>
      </c>
      <c r="G277" s="0" t="n">
        <v>45.3</v>
      </c>
      <c r="H277" s="0" t="n">
        <v>48</v>
      </c>
      <c r="I277" s="23" t="s">
        <v>97</v>
      </c>
      <c r="J277" s="0" t="n">
        <v>87</v>
      </c>
      <c r="K277" s="0" t="n">
        <v>66</v>
      </c>
      <c r="M277" s="0" t="n">
        <v>428.64</v>
      </c>
      <c r="N277" s="0" t="n">
        <v>45.06</v>
      </c>
      <c r="O277" s="0" t="n">
        <v>37.36</v>
      </c>
      <c r="P277" s="0" t="n">
        <v>3.79</v>
      </c>
      <c r="Q277" s="0" t="n">
        <v>3.2</v>
      </c>
      <c r="R277" s="0" t="n">
        <v>5072</v>
      </c>
      <c r="S277" s="0" t="n">
        <v>10195</v>
      </c>
      <c r="U277" s="0" t="n">
        <v>1075</v>
      </c>
      <c r="V277" s="0" t="n">
        <v>1</v>
      </c>
      <c r="W277" s="0" t="str">
        <f aca="false">IF(OR(AND(B277&gt;=1,B277&lt;=6),B277=10),"Vaca em lactação",IF(I277="Male","Macho",IF(E277&gt;=1,"Vaca seca",IF(I277="Youngstock","Bezerra/recria","Novilha"))))</f>
        <v>Vaca em lactação</v>
      </c>
      <c r="X277" s="0" t="str">
        <f aca="false">IF(AND(B277&gt;=1,B277&lt;=6),"Tanque",IF(B277=10,"Descarte",""))</f>
        <v>Tanque</v>
      </c>
    </row>
    <row r="278" customFormat="false" ht="15" hidden="false" customHeight="false" outlineLevel="0" collapsed="false">
      <c r="A278" s="22" t="n">
        <v>46309</v>
      </c>
      <c r="B278" s="0" t="n">
        <v>2</v>
      </c>
      <c r="C278" s="0" t="n">
        <v>5124</v>
      </c>
      <c r="D278" s="0" t="n">
        <v>18</v>
      </c>
      <c r="E278" s="0" t="n">
        <v>2</v>
      </c>
      <c r="F278" s="23" t="s">
        <v>280</v>
      </c>
      <c r="G278" s="0" t="n">
        <v>53.6</v>
      </c>
      <c r="H278" s="0" t="n">
        <v>48</v>
      </c>
      <c r="I278" s="23" t="s">
        <v>94</v>
      </c>
      <c r="J278" s="0" t="n">
        <v>18</v>
      </c>
      <c r="M278" s="0" t="n">
        <v>-134.84</v>
      </c>
      <c r="N278" s="0" t="n">
        <v>58.77</v>
      </c>
      <c r="O278" s="0" t="n">
        <v>27.97</v>
      </c>
      <c r="R278" s="0" t="n">
        <v>3398</v>
      </c>
      <c r="S278" s="0" t="n">
        <v>6831</v>
      </c>
      <c r="U278" s="0" t="n">
        <v>1056</v>
      </c>
      <c r="V278" s="0" t="n">
        <v>0</v>
      </c>
      <c r="W278" s="0" t="str">
        <f aca="false">IF(OR(AND(B278&gt;=1,B278&lt;=6),B278=10),"Vaca em lactação",IF(I278="Male","Macho",IF(E278&gt;=1,"Vaca seca",IF(I278="Youngstock","Bezerra/recria","Novilha"))))</f>
        <v>Vaca em lactação</v>
      </c>
      <c r="X278" s="0" t="str">
        <f aca="false">IF(AND(B278&gt;=1,B278&lt;=6),"Tanque",IF(B278=10,"Descarte",""))</f>
        <v>Tanque</v>
      </c>
    </row>
    <row r="279" customFormat="false" ht="15" hidden="false" customHeight="false" outlineLevel="0" collapsed="false">
      <c r="A279" s="22" t="n">
        <v>46309</v>
      </c>
      <c r="B279" s="0" t="n">
        <v>2</v>
      </c>
      <c r="C279" s="0" t="n">
        <v>5088</v>
      </c>
      <c r="D279" s="0" t="n">
        <v>55</v>
      </c>
      <c r="E279" s="0" t="n">
        <v>2</v>
      </c>
      <c r="F279" s="23" t="s">
        <v>281</v>
      </c>
      <c r="G279" s="0" t="n">
        <v>46.8</v>
      </c>
      <c r="H279" s="0" t="n">
        <v>50</v>
      </c>
      <c r="I279" s="23" t="s">
        <v>94</v>
      </c>
      <c r="J279" s="0" t="n">
        <v>55</v>
      </c>
      <c r="M279" s="0" t="n">
        <v>573.22</v>
      </c>
      <c r="N279" s="0" t="n">
        <v>64.79</v>
      </c>
      <c r="O279" s="0" t="n">
        <v>26.35</v>
      </c>
      <c r="P279" s="0" t="n">
        <v>3.96</v>
      </c>
      <c r="Q279" s="0" t="n">
        <v>2.78</v>
      </c>
      <c r="R279" s="0" t="n">
        <v>4132</v>
      </c>
      <c r="S279" s="0" t="n">
        <v>8306</v>
      </c>
      <c r="U279" s="0" t="n">
        <v>1068</v>
      </c>
      <c r="V279" s="0" t="n">
        <v>0</v>
      </c>
      <c r="W279" s="0" t="str">
        <f aca="false">IF(OR(AND(B279&gt;=1,B279&lt;=6),B279=10),"Vaca em lactação",IF(I279="Male","Macho",IF(E279&gt;=1,"Vaca seca",IF(I279="Youngstock","Bezerra/recria","Novilha"))))</f>
        <v>Vaca em lactação</v>
      </c>
      <c r="X279" s="0" t="str">
        <f aca="false">IF(AND(B279&gt;=1,B279&lt;=6),"Tanque",IF(B279=10,"Descarte",""))</f>
        <v>Tanque</v>
      </c>
    </row>
    <row r="280" customFormat="false" ht="15" hidden="false" customHeight="false" outlineLevel="0" collapsed="false">
      <c r="A280" s="22" t="n">
        <v>46309</v>
      </c>
      <c r="B280" s="0" t="n">
        <v>2</v>
      </c>
      <c r="C280" s="0" t="n">
        <v>5092</v>
      </c>
      <c r="D280" s="0" t="n">
        <v>15</v>
      </c>
      <c r="E280" s="0" t="n">
        <v>2</v>
      </c>
      <c r="F280" s="23" t="s">
        <v>282</v>
      </c>
      <c r="G280" s="0" t="n">
        <v>51</v>
      </c>
      <c r="H280" s="0" t="n">
        <v>43</v>
      </c>
      <c r="I280" s="23" t="s">
        <v>94</v>
      </c>
      <c r="J280" s="0" t="n">
        <v>15</v>
      </c>
      <c r="M280" s="0" t="n">
        <v>721.12</v>
      </c>
      <c r="N280" s="0" t="n">
        <v>42.06</v>
      </c>
      <c r="O280" s="0" t="n">
        <v>35.03</v>
      </c>
      <c r="R280" s="0" t="n">
        <v>3101</v>
      </c>
      <c r="S280" s="0" t="n">
        <v>6233</v>
      </c>
      <c r="U280" s="0" t="n">
        <v>1067</v>
      </c>
      <c r="V280" s="0" t="n">
        <v>0</v>
      </c>
      <c r="W280" s="0" t="str">
        <f aca="false">IF(OR(AND(B280&gt;=1,B280&lt;=6),B280=10),"Vaca em lactação",IF(I280="Male","Macho",IF(E280&gt;=1,"Vaca seca",IF(I280="Youngstock","Bezerra/recria","Novilha"))))</f>
        <v>Vaca em lactação</v>
      </c>
      <c r="X280" s="0" t="str">
        <f aca="false">IF(AND(B280&gt;=1,B280&lt;=6),"Tanque",IF(B280=10,"Descarte",""))</f>
        <v>Tanque</v>
      </c>
    </row>
    <row r="281" customFormat="false" ht="15" hidden="false" customHeight="false" outlineLevel="0" collapsed="false">
      <c r="A281" s="22" t="n">
        <v>46309</v>
      </c>
      <c r="B281" s="0" t="n">
        <v>2</v>
      </c>
      <c r="C281" s="0" t="n">
        <v>4996</v>
      </c>
      <c r="D281" s="0" t="n">
        <v>153</v>
      </c>
      <c r="E281" s="0" t="n">
        <v>2</v>
      </c>
      <c r="F281" s="23" t="s">
        <v>283</v>
      </c>
      <c r="G281" s="0" t="n">
        <v>54.7</v>
      </c>
      <c r="H281" s="0" t="n">
        <v>54</v>
      </c>
      <c r="I281" s="23" t="s">
        <v>109</v>
      </c>
      <c r="J281" s="0" t="n">
        <v>153</v>
      </c>
      <c r="K281" s="0" t="n">
        <v>83</v>
      </c>
      <c r="M281" s="0" t="n">
        <v>1189.59</v>
      </c>
      <c r="N281" s="0" t="n">
        <v>42.75</v>
      </c>
      <c r="O281" s="0" t="n">
        <v>29.81</v>
      </c>
      <c r="P281" s="0" t="n">
        <v>2.74</v>
      </c>
      <c r="Q281" s="0" t="n">
        <v>2.95</v>
      </c>
      <c r="R281" s="0" t="n">
        <v>5463</v>
      </c>
      <c r="S281" s="0" t="n">
        <v>11358</v>
      </c>
      <c r="T281" s="0" t="n">
        <v>59</v>
      </c>
      <c r="U281" s="0" t="n">
        <v>1120</v>
      </c>
      <c r="V281" s="0" t="n">
        <v>3</v>
      </c>
      <c r="W281" s="0" t="str">
        <f aca="false">IF(OR(AND(B281&gt;=1,B281&lt;=6),B281=10),"Vaca em lactação",IF(I281="Male","Macho",IF(E281&gt;=1,"Vaca seca",IF(I281="Youngstock","Bezerra/recria","Novilha"))))</f>
        <v>Vaca em lactação</v>
      </c>
      <c r="X281" s="0" t="str">
        <f aca="false">IF(AND(B281&gt;=1,B281&lt;=6),"Tanque",IF(B281=10,"Descarte",""))</f>
        <v>Tanque</v>
      </c>
    </row>
    <row r="282" customFormat="false" ht="15" hidden="false" customHeight="false" outlineLevel="0" collapsed="false">
      <c r="A282" s="22" t="n">
        <v>46309</v>
      </c>
      <c r="B282" s="0" t="n">
        <v>2</v>
      </c>
      <c r="C282" s="0" t="n">
        <v>4995</v>
      </c>
      <c r="D282" s="0" t="n">
        <v>169</v>
      </c>
      <c r="E282" s="0" t="n">
        <v>2</v>
      </c>
      <c r="F282" s="23" t="s">
        <v>283</v>
      </c>
      <c r="G282" s="0" t="n">
        <v>59.1</v>
      </c>
      <c r="H282" s="0" t="n">
        <v>55</v>
      </c>
      <c r="I282" s="23" t="s">
        <v>97</v>
      </c>
      <c r="J282" s="0" t="n">
        <v>169</v>
      </c>
      <c r="K282" s="0" t="n">
        <v>78</v>
      </c>
      <c r="M282" s="0" t="n">
        <v>1395.87</v>
      </c>
      <c r="N282" s="0" t="n">
        <v>64.23</v>
      </c>
      <c r="O282" s="0" t="n">
        <v>36.03</v>
      </c>
      <c r="P282" s="0" t="n">
        <v>3.36</v>
      </c>
      <c r="Q282" s="0" t="n">
        <v>3.17</v>
      </c>
      <c r="R282" s="0" t="n">
        <v>4631</v>
      </c>
      <c r="S282" s="0" t="n">
        <v>9949</v>
      </c>
      <c r="T282" s="0" t="n">
        <v>54.9</v>
      </c>
      <c r="U282" s="0" t="n">
        <v>1120</v>
      </c>
      <c r="V282" s="0" t="n">
        <v>3</v>
      </c>
      <c r="W282" s="0" t="str">
        <f aca="false">IF(OR(AND(B282&gt;=1,B282&lt;=6),B282=10),"Vaca em lactação",IF(I282="Male","Macho",IF(E282&gt;=1,"Vaca seca",IF(I282="Youngstock","Bezerra/recria","Novilha"))))</f>
        <v>Vaca em lactação</v>
      </c>
      <c r="X282" s="0" t="str">
        <f aca="false">IF(AND(B282&gt;=1,B282&lt;=6),"Tanque",IF(B282=10,"Descarte",""))</f>
        <v>Tanque</v>
      </c>
    </row>
    <row r="283" customFormat="false" ht="15" hidden="false" customHeight="false" outlineLevel="0" collapsed="false">
      <c r="A283" s="22" t="n">
        <v>46309</v>
      </c>
      <c r="B283" s="0" t="n">
        <v>2</v>
      </c>
      <c r="C283" s="0" t="n">
        <v>5004</v>
      </c>
      <c r="D283" s="0" t="n">
        <v>114</v>
      </c>
      <c r="E283" s="0" t="n">
        <v>2</v>
      </c>
      <c r="F283" s="23" t="s">
        <v>284</v>
      </c>
      <c r="G283" s="0" t="n">
        <v>62.2</v>
      </c>
      <c r="H283" s="0" t="n">
        <v>62</v>
      </c>
      <c r="I283" s="23" t="s">
        <v>92</v>
      </c>
      <c r="J283" s="0" t="n">
        <v>66</v>
      </c>
      <c r="K283" s="0" t="n">
        <v>66</v>
      </c>
      <c r="L283" s="0" t="n">
        <v>48</v>
      </c>
      <c r="M283" s="0" t="n">
        <v>1392.34</v>
      </c>
      <c r="N283" s="0" t="n">
        <v>31.79</v>
      </c>
      <c r="O283" s="0" t="n">
        <v>42.08</v>
      </c>
      <c r="P283" s="0" t="n">
        <v>3.1</v>
      </c>
      <c r="Q283" s="0" t="n">
        <v>3.14</v>
      </c>
      <c r="R283" s="0" t="n">
        <v>6155</v>
      </c>
      <c r="S283" s="0" t="n">
        <v>12442</v>
      </c>
      <c r="T283" s="0" t="n">
        <v>67.25</v>
      </c>
      <c r="U283" s="0" t="n">
        <v>1117</v>
      </c>
      <c r="V283" s="0" t="n">
        <v>1</v>
      </c>
      <c r="W283" s="0" t="str">
        <f aca="false">IF(OR(AND(B283&gt;=1,B283&lt;=6),B283=10),"Vaca em lactação",IF(I283="Male","Macho",IF(E283&gt;=1,"Vaca seca",IF(I283="Youngstock","Bezerra/recria","Novilha"))))</f>
        <v>Vaca em lactação</v>
      </c>
      <c r="X283" s="0" t="str">
        <f aca="false">IF(AND(B283&gt;=1,B283&lt;=6),"Tanque",IF(B283=10,"Descarte",""))</f>
        <v>Tanque</v>
      </c>
    </row>
    <row r="284" customFormat="false" ht="15" hidden="false" customHeight="false" outlineLevel="0" collapsed="false">
      <c r="A284" s="22" t="n">
        <v>46309</v>
      </c>
      <c r="B284" s="0" t="n">
        <v>2</v>
      </c>
      <c r="C284" s="0" t="n">
        <v>4991</v>
      </c>
      <c r="D284" s="0" t="n">
        <v>125</v>
      </c>
      <c r="E284" s="0" t="n">
        <v>2</v>
      </c>
      <c r="F284" s="23" t="s">
        <v>285</v>
      </c>
      <c r="G284" s="0" t="n">
        <v>47</v>
      </c>
      <c r="H284" s="0" t="n">
        <v>46</v>
      </c>
      <c r="I284" s="23" t="s">
        <v>97</v>
      </c>
      <c r="J284" s="0" t="n">
        <v>125</v>
      </c>
      <c r="K284" s="0" t="n">
        <v>76</v>
      </c>
      <c r="M284" s="0" t="n">
        <v>870.89</v>
      </c>
      <c r="N284" s="0" t="n">
        <v>46.5</v>
      </c>
      <c r="O284" s="0" t="n">
        <v>35</v>
      </c>
      <c r="P284" s="0" t="n">
        <v>3.77</v>
      </c>
      <c r="Q284" s="0" t="n">
        <v>3.16</v>
      </c>
      <c r="R284" s="0" t="n">
        <v>4492</v>
      </c>
      <c r="S284" s="0" t="n">
        <v>9131</v>
      </c>
      <c r="T284" s="0" t="n">
        <v>51.75</v>
      </c>
      <c r="U284" s="0" t="n">
        <v>1123</v>
      </c>
      <c r="V284" s="0" t="n">
        <v>3</v>
      </c>
      <c r="W284" s="0" t="str">
        <f aca="false">IF(OR(AND(B284&gt;=1,B284&lt;=6),B284=10),"Vaca em lactação",IF(I284="Male","Macho",IF(E284&gt;=1,"Vaca seca",IF(I284="Youngstock","Bezerra/recria","Novilha"))))</f>
        <v>Vaca em lactação</v>
      </c>
      <c r="X284" s="0" t="str">
        <f aca="false">IF(AND(B284&gt;=1,B284&lt;=6),"Tanque",IF(B284=10,"Descarte",""))</f>
        <v>Tanque</v>
      </c>
    </row>
    <row r="285" customFormat="false" ht="15" hidden="false" customHeight="false" outlineLevel="0" collapsed="false">
      <c r="A285" s="22" t="n">
        <v>46309</v>
      </c>
      <c r="B285" s="0" t="n">
        <v>2</v>
      </c>
      <c r="C285" s="0" t="n">
        <v>5037</v>
      </c>
      <c r="D285" s="0" t="n">
        <v>24</v>
      </c>
      <c r="E285" s="0" t="n">
        <v>2</v>
      </c>
      <c r="F285" s="23" t="s">
        <v>286</v>
      </c>
      <c r="G285" s="0" t="n">
        <v>41.3</v>
      </c>
      <c r="H285" s="0" t="n">
        <v>41</v>
      </c>
      <c r="I285" s="23" t="s">
        <v>94</v>
      </c>
      <c r="J285" s="0" t="n">
        <v>24</v>
      </c>
      <c r="M285" s="0" t="n">
        <v>297.71</v>
      </c>
      <c r="N285" s="0" t="n">
        <v>32.26</v>
      </c>
      <c r="O285" s="0" t="n">
        <v>22.21</v>
      </c>
      <c r="R285" s="0" t="n">
        <v>3207</v>
      </c>
      <c r="S285" s="0" t="n">
        <v>6446</v>
      </c>
      <c r="U285" s="0" t="n">
        <v>1096</v>
      </c>
      <c r="V285" s="0" t="n">
        <v>0</v>
      </c>
      <c r="W285" s="0" t="str">
        <f aca="false">IF(OR(AND(B285&gt;=1,B285&lt;=6),B285=10),"Vaca em lactação",IF(I285="Male","Macho",IF(E285&gt;=1,"Vaca seca",IF(I285="Youngstock","Bezerra/recria","Novilha"))))</f>
        <v>Vaca em lactação</v>
      </c>
      <c r="X285" s="0" t="str">
        <f aca="false">IF(AND(B285&gt;=1,B285&lt;=6),"Tanque",IF(B285=10,"Descarte",""))</f>
        <v>Tanque</v>
      </c>
    </row>
    <row r="286" customFormat="false" ht="15" hidden="false" customHeight="false" outlineLevel="0" collapsed="false">
      <c r="A286" s="22" t="n">
        <v>46309</v>
      </c>
      <c r="B286" s="0" t="n">
        <v>2</v>
      </c>
      <c r="C286" s="0" t="n">
        <v>5014</v>
      </c>
      <c r="D286" s="0" t="n">
        <v>103</v>
      </c>
      <c r="E286" s="0" t="n">
        <v>2</v>
      </c>
      <c r="F286" s="23" t="s">
        <v>287</v>
      </c>
      <c r="G286" s="0" t="n">
        <v>47.9</v>
      </c>
      <c r="H286" s="0" t="n">
        <v>50</v>
      </c>
      <c r="I286" s="23" t="s">
        <v>109</v>
      </c>
      <c r="J286" s="0" t="n">
        <v>103</v>
      </c>
      <c r="K286" s="0" t="n">
        <v>68</v>
      </c>
      <c r="M286" s="0" t="n">
        <v>249.52</v>
      </c>
      <c r="N286" s="0" t="n">
        <v>64.91</v>
      </c>
      <c r="O286" s="0" t="n">
        <v>32.41</v>
      </c>
      <c r="P286" s="0" t="n">
        <v>3.91</v>
      </c>
      <c r="Q286" s="0" t="n">
        <v>3.4</v>
      </c>
      <c r="R286" s="0" t="n">
        <v>4862</v>
      </c>
      <c r="S286" s="0" t="n">
        <v>9785</v>
      </c>
      <c r="U286" s="0" t="n">
        <v>1113</v>
      </c>
      <c r="V286" s="0" t="n">
        <v>1</v>
      </c>
      <c r="W286" s="0" t="str">
        <f aca="false">IF(OR(AND(B286&gt;=1,B286&lt;=6),B286=10),"Vaca em lactação",IF(I286="Male","Macho",IF(E286&gt;=1,"Vaca seca",IF(I286="Youngstock","Bezerra/recria","Novilha"))))</f>
        <v>Vaca em lactação</v>
      </c>
      <c r="X286" s="0" t="str">
        <f aca="false">IF(AND(B286&gt;=1,B286&lt;=6),"Tanque",IF(B286=10,"Descarte",""))</f>
        <v>Tanque</v>
      </c>
    </row>
    <row r="287" customFormat="false" ht="15" hidden="false" customHeight="false" outlineLevel="0" collapsed="false">
      <c r="A287" s="22" t="n">
        <v>46309</v>
      </c>
      <c r="B287" s="0" t="n">
        <v>2</v>
      </c>
      <c r="C287" s="0" t="n">
        <v>5021</v>
      </c>
      <c r="D287" s="0" t="n">
        <v>100</v>
      </c>
      <c r="E287" s="0" t="n">
        <v>2</v>
      </c>
      <c r="F287" s="23" t="s">
        <v>288</v>
      </c>
      <c r="G287" s="0" t="n">
        <v>65.6</v>
      </c>
      <c r="H287" s="0" t="n">
        <v>60</v>
      </c>
      <c r="I287" s="23" t="s">
        <v>109</v>
      </c>
      <c r="J287" s="0" t="n">
        <v>100</v>
      </c>
      <c r="K287" s="0" t="n">
        <v>65</v>
      </c>
      <c r="M287" s="0" t="n">
        <v>1936.88</v>
      </c>
      <c r="N287" s="0" t="n">
        <v>63.54</v>
      </c>
      <c r="O287" s="0" t="n">
        <v>56.93</v>
      </c>
      <c r="P287" s="0" t="n">
        <v>3.27</v>
      </c>
      <c r="Q287" s="0" t="n">
        <v>3.28</v>
      </c>
      <c r="R287" s="0" t="n">
        <v>6187</v>
      </c>
      <c r="S287" s="0" t="n">
        <v>12438</v>
      </c>
      <c r="T287" s="0" t="n">
        <v>67.35</v>
      </c>
      <c r="U287" s="0" t="n">
        <v>1110</v>
      </c>
      <c r="V287" s="0" t="n">
        <v>1</v>
      </c>
      <c r="W287" s="0" t="str">
        <f aca="false">IF(OR(AND(B287&gt;=1,B287&lt;=6),B287=10),"Vaca em lactação",IF(I287="Male","Macho",IF(E287&gt;=1,"Vaca seca",IF(I287="Youngstock","Bezerra/recria","Novilha"))))</f>
        <v>Vaca em lactação</v>
      </c>
      <c r="X287" s="0" t="str">
        <f aca="false">IF(AND(B287&gt;=1,B287&lt;=6),"Tanque",IF(B287=10,"Descarte",""))</f>
        <v>Tanque</v>
      </c>
    </row>
    <row r="288" customFormat="false" ht="15" hidden="false" customHeight="false" outlineLevel="0" collapsed="false">
      <c r="A288" s="22" t="n">
        <v>46309</v>
      </c>
      <c r="B288" s="0" t="n">
        <v>2</v>
      </c>
      <c r="C288" s="0" t="n">
        <v>5018</v>
      </c>
      <c r="D288" s="0" t="n">
        <v>42</v>
      </c>
      <c r="E288" s="0" t="n">
        <v>2</v>
      </c>
      <c r="F288" s="23" t="s">
        <v>288</v>
      </c>
      <c r="G288" s="0" t="n">
        <v>51.4</v>
      </c>
      <c r="H288" s="0" t="n">
        <v>57</v>
      </c>
      <c r="I288" s="23" t="s">
        <v>94</v>
      </c>
      <c r="J288" s="0" t="n">
        <v>42</v>
      </c>
      <c r="M288" s="0" t="n">
        <v>994.77</v>
      </c>
      <c r="N288" s="0" t="n">
        <v>24.37</v>
      </c>
      <c r="O288" s="0" t="n">
        <v>33.12</v>
      </c>
      <c r="P288" s="0" t="n">
        <v>3.85</v>
      </c>
      <c r="Q288" s="0" t="n">
        <v>3.42</v>
      </c>
      <c r="R288" s="0" t="n">
        <v>4929</v>
      </c>
      <c r="S288" s="0" t="n">
        <v>9908</v>
      </c>
      <c r="U288" s="0" t="n">
        <v>1110</v>
      </c>
      <c r="V288" s="0" t="n">
        <v>0</v>
      </c>
      <c r="W288" s="0" t="str">
        <f aca="false">IF(OR(AND(B288&gt;=1,B288&lt;=6),B288=10),"Vaca em lactação",IF(I288="Male","Macho",IF(E288&gt;=1,"Vaca seca",IF(I288="Youngstock","Bezerra/recria","Novilha"))))</f>
        <v>Vaca em lactação</v>
      </c>
      <c r="X288" s="0" t="str">
        <f aca="false">IF(AND(B288&gt;=1,B288&lt;=6),"Tanque",IF(B288=10,"Descarte",""))</f>
        <v>Tanque</v>
      </c>
    </row>
    <row r="289" customFormat="false" ht="15" hidden="false" customHeight="false" outlineLevel="0" collapsed="false">
      <c r="A289" s="22" t="n">
        <v>46309</v>
      </c>
      <c r="B289" s="0" t="n">
        <v>2</v>
      </c>
      <c r="C289" s="0" t="n">
        <v>5224</v>
      </c>
      <c r="D289" s="0" t="n">
        <v>24</v>
      </c>
      <c r="E289" s="0" t="n">
        <v>2</v>
      </c>
      <c r="F289" s="23" t="s">
        <v>289</v>
      </c>
      <c r="G289" s="0" t="n">
        <v>49.9</v>
      </c>
      <c r="H289" s="0" t="n">
        <v>46</v>
      </c>
      <c r="I289" s="23" t="s">
        <v>94</v>
      </c>
      <c r="J289" s="0" t="n">
        <v>24</v>
      </c>
      <c r="M289" s="0" t="n">
        <v>429.64</v>
      </c>
      <c r="N289" s="0" t="n">
        <v>89.57</v>
      </c>
      <c r="O289" s="0" t="n">
        <v>31.74</v>
      </c>
      <c r="R289" s="0" t="n">
        <v>3448</v>
      </c>
      <c r="S289" s="0" t="n">
        <v>6931</v>
      </c>
      <c r="U289" s="0" t="n">
        <v>1009</v>
      </c>
      <c r="V289" s="0" t="n">
        <v>0</v>
      </c>
      <c r="W289" s="0" t="str">
        <f aca="false">IF(OR(AND(B289&gt;=1,B289&lt;=6),B289=10),"Vaca em lactação",IF(I289="Male","Macho",IF(E289&gt;=1,"Vaca seca",IF(I289="Youngstock","Bezerra/recria","Novilha"))))</f>
        <v>Vaca em lactação</v>
      </c>
      <c r="X289" s="0" t="str">
        <f aca="false">IF(AND(B289&gt;=1,B289&lt;=6),"Tanque",IF(B289=10,"Descarte",""))</f>
        <v>Tanque</v>
      </c>
    </row>
    <row r="290" customFormat="false" ht="15" hidden="false" customHeight="false" outlineLevel="0" collapsed="false">
      <c r="A290" s="22" t="n">
        <v>46309</v>
      </c>
      <c r="B290" s="0" t="n">
        <v>2</v>
      </c>
      <c r="C290" s="0" t="n">
        <v>5240</v>
      </c>
      <c r="D290" s="0" t="n">
        <v>19</v>
      </c>
      <c r="E290" s="0" t="n">
        <v>2</v>
      </c>
      <c r="F290" s="23" t="s">
        <v>290</v>
      </c>
      <c r="G290" s="0" t="n">
        <v>41.8</v>
      </c>
      <c r="H290" s="0" t="n">
        <v>41</v>
      </c>
      <c r="I290" s="23" t="s">
        <v>94</v>
      </c>
      <c r="J290" s="0" t="n">
        <v>19</v>
      </c>
      <c r="M290" s="0" t="n">
        <v>218.15</v>
      </c>
      <c r="N290" s="0" t="n">
        <v>66.27</v>
      </c>
      <c r="O290" s="0" t="n">
        <v>35.83</v>
      </c>
      <c r="R290" s="0" t="n">
        <v>2790</v>
      </c>
      <c r="S290" s="0" t="n">
        <v>5609</v>
      </c>
      <c r="U290" s="0" t="n">
        <v>1004</v>
      </c>
      <c r="V290" s="0" t="n">
        <v>0</v>
      </c>
      <c r="W290" s="0" t="str">
        <f aca="false">IF(OR(AND(B290&gt;=1,B290&lt;=6),B290=10),"Vaca em lactação",IF(I290="Male","Macho",IF(E290&gt;=1,"Vaca seca",IF(I290="Youngstock","Bezerra/recria","Novilha"))))</f>
        <v>Vaca em lactação</v>
      </c>
      <c r="X290" s="0" t="str">
        <f aca="false">IF(AND(B290&gt;=1,B290&lt;=6),"Tanque",IF(B290=10,"Descarte",""))</f>
        <v>Tanque</v>
      </c>
    </row>
    <row r="291" customFormat="false" ht="15" hidden="false" customHeight="false" outlineLevel="0" collapsed="false">
      <c r="A291" s="22" t="n">
        <v>46309</v>
      </c>
      <c r="B291" s="0" t="n">
        <v>2</v>
      </c>
      <c r="C291" s="0" t="n">
        <v>5239</v>
      </c>
      <c r="D291" s="0" t="n">
        <v>12</v>
      </c>
      <c r="E291" s="0" t="n">
        <v>2</v>
      </c>
      <c r="F291" s="23" t="s">
        <v>291</v>
      </c>
      <c r="G291" s="0" t="n">
        <v>34.1</v>
      </c>
      <c r="H291" s="0" t="n">
        <v>38</v>
      </c>
      <c r="I291" s="23" t="s">
        <v>94</v>
      </c>
      <c r="J291" s="0" t="n">
        <v>12</v>
      </c>
      <c r="M291" s="0" t="n">
        <v>654.09</v>
      </c>
      <c r="N291" s="0" t="n">
        <v>41.36</v>
      </c>
      <c r="O291" s="0" t="n">
        <v>38.03</v>
      </c>
      <c r="R291" s="0" t="n">
        <v>3077</v>
      </c>
      <c r="S291" s="0" t="n">
        <v>6186</v>
      </c>
      <c r="U291" s="0" t="n">
        <v>1005</v>
      </c>
      <c r="V291" s="0" t="n">
        <v>0</v>
      </c>
      <c r="W291" s="0" t="str">
        <f aca="false">IF(OR(AND(B291&gt;=1,B291&lt;=6),B291=10),"Vaca em lactação",IF(I291="Male","Macho",IF(E291&gt;=1,"Vaca seca",IF(I291="Youngstock","Bezerra/recria","Novilha"))))</f>
        <v>Vaca em lactação</v>
      </c>
      <c r="X291" s="0" t="str">
        <f aca="false">IF(AND(B291&gt;=1,B291&lt;=6),"Tanque",IF(B291=10,"Descarte",""))</f>
        <v>Tanque</v>
      </c>
    </row>
    <row r="292" customFormat="false" ht="15" hidden="false" customHeight="false" outlineLevel="0" collapsed="false">
      <c r="A292" s="22" t="n">
        <v>46309</v>
      </c>
      <c r="B292" s="0" t="n">
        <v>2</v>
      </c>
      <c r="C292" s="0" t="n">
        <v>5209</v>
      </c>
      <c r="D292" s="0" t="n">
        <v>12</v>
      </c>
      <c r="E292" s="0" t="n">
        <v>2</v>
      </c>
      <c r="F292" s="23" t="s">
        <v>292</v>
      </c>
      <c r="G292" s="0" t="n">
        <v>4.1</v>
      </c>
      <c r="H292" s="0" t="n">
        <v>14</v>
      </c>
      <c r="I292" s="23" t="s">
        <v>94</v>
      </c>
      <c r="J292" s="0" t="n">
        <v>12</v>
      </c>
      <c r="M292" s="0" t="n">
        <v>1169.21</v>
      </c>
      <c r="N292" s="0" t="n">
        <v>5.39</v>
      </c>
      <c r="O292" s="0" t="n">
        <v>25.27</v>
      </c>
      <c r="R292" s="0" t="n">
        <v>782</v>
      </c>
      <c r="S292" s="0" t="n">
        <v>1572</v>
      </c>
      <c r="U292" s="0" t="n">
        <v>1018</v>
      </c>
      <c r="V292" s="0" t="n">
        <v>0</v>
      </c>
      <c r="W292" s="0" t="str">
        <f aca="false">IF(OR(AND(B292&gt;=1,B292&lt;=6),B292=10),"Vaca em lactação",IF(I292="Male","Macho",IF(E292&gt;=1,"Vaca seca",IF(I292="Youngstock","Bezerra/recria","Novilha"))))</f>
        <v>Vaca em lactação</v>
      </c>
      <c r="X292" s="0" t="str">
        <f aca="false">IF(AND(B292&gt;=1,B292&lt;=6),"Tanque",IF(B292=10,"Descarte",""))</f>
        <v>Tanque</v>
      </c>
    </row>
    <row r="293" customFormat="false" ht="15" hidden="false" customHeight="false" outlineLevel="0" collapsed="false">
      <c r="A293" s="22" t="n">
        <v>46309</v>
      </c>
      <c r="B293" s="0" t="n">
        <v>2</v>
      </c>
      <c r="C293" s="0" t="n">
        <v>5211</v>
      </c>
      <c r="D293" s="0" t="n">
        <v>51</v>
      </c>
      <c r="E293" s="0" t="n">
        <v>2</v>
      </c>
      <c r="F293" s="23" t="s">
        <v>293</v>
      </c>
      <c r="G293" s="0" t="n">
        <v>57.8</v>
      </c>
      <c r="H293" s="0" t="n">
        <v>59</v>
      </c>
      <c r="I293" s="23" t="s">
        <v>94</v>
      </c>
      <c r="J293" s="0" t="n">
        <v>51</v>
      </c>
      <c r="M293" s="0" t="n">
        <v>816.11</v>
      </c>
      <c r="N293" s="0" t="n">
        <v>46.4</v>
      </c>
      <c r="O293" s="0" t="n">
        <v>35.73</v>
      </c>
      <c r="P293" s="0" t="n">
        <v>3.85</v>
      </c>
      <c r="Q293" s="0" t="n">
        <v>3.45</v>
      </c>
      <c r="R293" s="0" t="n">
        <v>4704</v>
      </c>
      <c r="S293" s="0" t="n">
        <v>9456</v>
      </c>
      <c r="U293" s="0" t="n">
        <v>1017</v>
      </c>
      <c r="V293" s="0" t="n">
        <v>0</v>
      </c>
      <c r="W293" s="0" t="str">
        <f aca="false">IF(OR(AND(B293&gt;=1,B293&lt;=6),B293=10),"Vaca em lactação",IF(I293="Male","Macho",IF(E293&gt;=1,"Vaca seca",IF(I293="Youngstock","Bezerra/recria","Novilha"))))</f>
        <v>Vaca em lactação</v>
      </c>
      <c r="X293" s="0" t="str">
        <f aca="false">IF(AND(B293&gt;=1,B293&lt;=6),"Tanque",IF(B293=10,"Descarte",""))</f>
        <v>Tanque</v>
      </c>
    </row>
    <row r="294" customFormat="false" ht="15" hidden="false" customHeight="false" outlineLevel="0" collapsed="false">
      <c r="A294" s="22" t="n">
        <v>46309</v>
      </c>
      <c r="B294" s="0" t="n">
        <v>2</v>
      </c>
      <c r="C294" s="0" t="n">
        <v>5214</v>
      </c>
      <c r="D294" s="0" t="n">
        <v>15</v>
      </c>
      <c r="E294" s="0" t="n">
        <v>2</v>
      </c>
      <c r="F294" s="23" t="s">
        <v>294</v>
      </c>
      <c r="G294" s="0" t="n">
        <v>48.6</v>
      </c>
      <c r="H294" s="0" t="n">
        <v>44</v>
      </c>
      <c r="I294" s="23" t="s">
        <v>94</v>
      </c>
      <c r="J294" s="0" t="n">
        <v>15</v>
      </c>
      <c r="M294" s="0" t="n">
        <v>395.36</v>
      </c>
      <c r="N294" s="0" t="n">
        <v>45.83</v>
      </c>
      <c r="O294" s="0" t="n">
        <v>37.01</v>
      </c>
      <c r="R294" s="0" t="n">
        <v>3617</v>
      </c>
      <c r="S294" s="0" t="n">
        <v>7272</v>
      </c>
      <c r="U294" s="0" t="n">
        <v>1014</v>
      </c>
      <c r="V294" s="0" t="n">
        <v>0</v>
      </c>
      <c r="W294" s="0" t="str">
        <f aca="false">IF(OR(AND(B294&gt;=1,B294&lt;=6),B294=10),"Vaca em lactação",IF(I294="Male","Macho",IF(E294&gt;=1,"Vaca seca",IF(I294="Youngstock","Bezerra/recria","Novilha"))))</f>
        <v>Vaca em lactação</v>
      </c>
      <c r="X294" s="0" t="str">
        <f aca="false">IF(AND(B294&gt;=1,B294&lt;=6),"Tanque",IF(B294=10,"Descarte",""))</f>
        <v>Tanque</v>
      </c>
    </row>
    <row r="295" customFormat="false" ht="15" hidden="false" customHeight="false" outlineLevel="0" collapsed="false">
      <c r="A295" s="22" t="n">
        <v>46309</v>
      </c>
      <c r="B295" s="0" t="n">
        <v>2</v>
      </c>
      <c r="C295" s="0" t="n">
        <v>5253</v>
      </c>
      <c r="D295" s="0" t="n">
        <v>11</v>
      </c>
      <c r="E295" s="0" t="n">
        <v>2</v>
      </c>
      <c r="F295" s="23" t="s">
        <v>295</v>
      </c>
      <c r="G295" s="0" t="n">
        <v>32.3</v>
      </c>
      <c r="H295" s="0" t="n">
        <v>26</v>
      </c>
      <c r="I295" s="23" t="s">
        <v>94</v>
      </c>
      <c r="J295" s="0" t="n">
        <v>11</v>
      </c>
      <c r="M295" s="0" t="n">
        <v>1359.96</v>
      </c>
      <c r="N295" s="0" t="n">
        <v>74.03</v>
      </c>
      <c r="O295" s="0" t="n">
        <v>32.4</v>
      </c>
      <c r="R295" s="0" t="n">
        <v>1490</v>
      </c>
      <c r="S295" s="0" t="n">
        <v>2995</v>
      </c>
      <c r="U295" s="0" t="n">
        <v>999</v>
      </c>
      <c r="V295" s="0" t="n">
        <v>0</v>
      </c>
      <c r="W295" s="0" t="str">
        <f aca="false">IF(OR(AND(B295&gt;=1,B295&lt;=6),B295=10),"Vaca em lactação",IF(I295="Male","Macho",IF(E295&gt;=1,"Vaca seca",IF(I295="Youngstock","Bezerra/recria","Novilha"))))</f>
        <v>Vaca em lactação</v>
      </c>
      <c r="X295" s="0" t="str">
        <f aca="false">IF(AND(B295&gt;=1,B295&lt;=6),"Tanque",IF(B295=10,"Descarte",""))</f>
        <v>Tanque</v>
      </c>
    </row>
    <row r="296" customFormat="false" ht="15" hidden="false" customHeight="false" outlineLevel="0" collapsed="false">
      <c r="A296" s="22" t="n">
        <v>46309</v>
      </c>
      <c r="B296" s="0" t="n">
        <v>2</v>
      </c>
      <c r="C296" s="0" t="n">
        <v>5155</v>
      </c>
      <c r="D296" s="0" t="n">
        <v>74</v>
      </c>
      <c r="E296" s="0" t="n">
        <v>2</v>
      </c>
      <c r="F296" s="23" t="s">
        <v>296</v>
      </c>
      <c r="G296" s="0" t="n">
        <v>49.3</v>
      </c>
      <c r="H296" s="0" t="n">
        <v>49</v>
      </c>
      <c r="I296" s="23" t="s">
        <v>109</v>
      </c>
      <c r="J296" s="0" t="n">
        <v>74</v>
      </c>
      <c r="M296" s="0" t="n">
        <v>309.1</v>
      </c>
      <c r="N296" s="0" t="n">
        <v>53.65</v>
      </c>
      <c r="O296" s="0" t="n">
        <v>26.43</v>
      </c>
      <c r="P296" s="0" t="n">
        <v>3.14</v>
      </c>
      <c r="Q296" s="0" t="n">
        <v>3.07</v>
      </c>
      <c r="R296" s="0" t="n">
        <v>4678</v>
      </c>
      <c r="S296" s="0" t="n">
        <v>9404</v>
      </c>
      <c r="U296" s="0" t="n">
        <v>1044</v>
      </c>
      <c r="V296" s="0" t="n">
        <v>0</v>
      </c>
      <c r="W296" s="0" t="str">
        <f aca="false">IF(OR(AND(B296&gt;=1,B296&lt;=6),B296=10),"Vaca em lactação",IF(I296="Male","Macho",IF(E296&gt;=1,"Vaca seca",IF(I296="Youngstock","Bezerra/recria","Novilha"))))</f>
        <v>Vaca em lactação</v>
      </c>
      <c r="X296" s="0" t="str">
        <f aca="false">IF(AND(B296&gt;=1,B296&lt;=6),"Tanque",IF(B296=10,"Descarte",""))</f>
        <v>Tanque</v>
      </c>
    </row>
    <row r="297" customFormat="false" ht="15" hidden="false" customHeight="false" outlineLevel="0" collapsed="false">
      <c r="A297" s="22" t="n">
        <v>46309</v>
      </c>
      <c r="B297" s="0" t="n">
        <v>2</v>
      </c>
      <c r="C297" s="0" t="n">
        <v>5166</v>
      </c>
      <c r="D297" s="0" t="n">
        <v>411</v>
      </c>
      <c r="E297" s="0" t="n">
        <v>1</v>
      </c>
      <c r="F297" s="23" t="s">
        <v>297</v>
      </c>
      <c r="G297" s="0" t="n">
        <v>44.9</v>
      </c>
      <c r="H297" s="0" t="n">
        <v>48</v>
      </c>
      <c r="I297" s="23" t="s">
        <v>92</v>
      </c>
      <c r="J297" s="0" t="n">
        <v>285</v>
      </c>
      <c r="K297" s="0" t="n">
        <v>68</v>
      </c>
      <c r="L297" s="0" t="n">
        <v>126</v>
      </c>
      <c r="M297" s="0" t="n">
        <v>585.55</v>
      </c>
      <c r="N297" s="0" t="n">
        <v>38.3</v>
      </c>
      <c r="O297" s="0" t="n">
        <v>25.5</v>
      </c>
      <c r="P297" s="0" t="n">
        <v>4</v>
      </c>
      <c r="Q297" s="0" t="n">
        <v>3.83</v>
      </c>
      <c r="R297" s="0" t="n">
        <v>4269</v>
      </c>
      <c r="S297" s="0" t="n">
        <v>9329</v>
      </c>
      <c r="T297" s="0" t="n">
        <v>46.7</v>
      </c>
      <c r="U297" s="0" t="n">
        <v>1039</v>
      </c>
      <c r="V297" s="0" t="n">
        <v>6</v>
      </c>
      <c r="W297" s="0" t="str">
        <f aca="false">IF(OR(AND(B297&gt;=1,B297&lt;=6),B297=10),"Vaca em lactação",IF(I297="Male","Macho",IF(E297&gt;=1,"Vaca seca",IF(I297="Youngstock","Bezerra/recria","Novilha"))))</f>
        <v>Vaca em lactação</v>
      </c>
      <c r="X297" s="0" t="str">
        <f aca="false">IF(AND(B297&gt;=1,B297&lt;=6),"Tanque",IF(B297=10,"Descarte",""))</f>
        <v>Tanque</v>
      </c>
    </row>
    <row r="298" customFormat="false" ht="15" hidden="false" customHeight="false" outlineLevel="0" collapsed="false">
      <c r="A298" s="22" t="n">
        <v>46309</v>
      </c>
      <c r="B298" s="0" t="n">
        <v>2</v>
      </c>
      <c r="C298" s="0" t="n">
        <v>5140</v>
      </c>
      <c r="D298" s="0" t="n">
        <v>77</v>
      </c>
      <c r="E298" s="0" t="n">
        <v>2</v>
      </c>
      <c r="F298" s="23" t="s">
        <v>298</v>
      </c>
      <c r="G298" s="0" t="n">
        <v>49.1</v>
      </c>
      <c r="H298" s="0" t="n">
        <v>52</v>
      </c>
      <c r="I298" s="23" t="s">
        <v>97</v>
      </c>
      <c r="J298" s="0" t="n">
        <v>77</v>
      </c>
      <c r="K298" s="0" t="n">
        <v>63</v>
      </c>
      <c r="M298" s="0" t="n">
        <v>786.44</v>
      </c>
      <c r="N298" s="0" t="n">
        <v>63.08</v>
      </c>
      <c r="O298" s="0" t="n">
        <v>41.11</v>
      </c>
      <c r="P298" s="0" t="n">
        <v>3.16</v>
      </c>
      <c r="Q298" s="0" t="n">
        <v>3.4</v>
      </c>
      <c r="R298" s="0" t="n">
        <v>3941</v>
      </c>
      <c r="S298" s="0" t="n">
        <v>7922</v>
      </c>
      <c r="U298" s="0" t="n">
        <v>1049</v>
      </c>
      <c r="V298" s="0" t="n">
        <v>1</v>
      </c>
      <c r="W298" s="0" t="str">
        <f aca="false">IF(OR(AND(B298&gt;=1,B298&lt;=6),B298=10),"Vaca em lactação",IF(I298="Male","Macho",IF(E298&gt;=1,"Vaca seca",IF(I298="Youngstock","Bezerra/recria","Novilha"))))</f>
        <v>Vaca em lactação</v>
      </c>
      <c r="X298" s="0" t="str">
        <f aca="false">IF(AND(B298&gt;=1,B298&lt;=6),"Tanque",IF(B298=10,"Descarte",""))</f>
        <v>Tanque</v>
      </c>
    </row>
    <row r="299" customFormat="false" ht="15" hidden="false" customHeight="false" outlineLevel="0" collapsed="false">
      <c r="A299" s="22" t="n">
        <v>46309</v>
      </c>
      <c r="B299" s="0" t="n">
        <v>2</v>
      </c>
      <c r="C299" s="0" t="n">
        <v>5206</v>
      </c>
      <c r="D299" s="0" t="n">
        <v>73</v>
      </c>
      <c r="E299" s="0" t="n">
        <v>2</v>
      </c>
      <c r="F299" s="23" t="s">
        <v>299</v>
      </c>
      <c r="G299" s="0" t="n">
        <v>54.2</v>
      </c>
      <c r="H299" s="0" t="n">
        <v>49</v>
      </c>
      <c r="I299" s="23" t="s">
        <v>97</v>
      </c>
      <c r="J299" s="0" t="n">
        <v>73</v>
      </c>
      <c r="K299" s="0" t="n">
        <v>66</v>
      </c>
      <c r="M299" s="0" t="n">
        <v>1089.44</v>
      </c>
      <c r="N299" s="0" t="n">
        <v>35.5</v>
      </c>
      <c r="O299" s="0" t="n">
        <v>33.19</v>
      </c>
      <c r="P299" s="0" t="n">
        <v>2.56</v>
      </c>
      <c r="Q299" s="0" t="n">
        <v>3.22</v>
      </c>
      <c r="R299" s="0" t="n">
        <v>4658</v>
      </c>
      <c r="S299" s="0" t="n">
        <v>9364</v>
      </c>
      <c r="U299" s="0" t="n">
        <v>1022</v>
      </c>
      <c r="V299" s="0" t="n">
        <v>1</v>
      </c>
      <c r="W299" s="0" t="str">
        <f aca="false">IF(OR(AND(B299&gt;=1,B299&lt;=6),B299=10),"Vaca em lactação",IF(I299="Male","Macho",IF(E299&gt;=1,"Vaca seca",IF(I299="Youngstock","Bezerra/recria","Novilha"))))</f>
        <v>Vaca em lactação</v>
      </c>
      <c r="X299" s="0" t="str">
        <f aca="false">IF(AND(B299&gt;=1,B299&lt;=6),"Tanque",IF(B299=10,"Descarte",""))</f>
        <v>Tanque</v>
      </c>
    </row>
    <row r="300" customFormat="false" ht="15" hidden="false" customHeight="false" outlineLevel="0" collapsed="false">
      <c r="A300" s="22" t="n">
        <v>46309</v>
      </c>
      <c r="B300" s="0" t="n">
        <v>2</v>
      </c>
      <c r="C300" s="0" t="n">
        <v>5185</v>
      </c>
      <c r="D300" s="0" t="n">
        <v>150</v>
      </c>
      <c r="E300" s="0" t="n">
        <v>2</v>
      </c>
      <c r="F300" s="23" t="s">
        <v>300</v>
      </c>
      <c r="G300" s="0" t="n">
        <v>49</v>
      </c>
      <c r="H300" s="0" t="n">
        <v>48</v>
      </c>
      <c r="I300" s="23" t="s">
        <v>92</v>
      </c>
      <c r="J300" s="0" t="n">
        <v>66</v>
      </c>
      <c r="K300" s="0" t="n">
        <v>66</v>
      </c>
      <c r="L300" s="0" t="n">
        <v>84</v>
      </c>
      <c r="M300" s="0" t="n">
        <v>840.23</v>
      </c>
      <c r="N300" s="0" t="n">
        <v>71.16</v>
      </c>
      <c r="O300" s="0" t="n">
        <v>37.6</v>
      </c>
      <c r="P300" s="0" t="n">
        <v>3.23</v>
      </c>
      <c r="Q300" s="0" t="n">
        <v>3.56</v>
      </c>
      <c r="R300" s="0" t="n">
        <v>5039</v>
      </c>
      <c r="S300" s="0" t="n">
        <v>9915</v>
      </c>
      <c r="T300" s="0" t="n">
        <v>53.75</v>
      </c>
      <c r="U300" s="0" t="n">
        <v>1035</v>
      </c>
      <c r="V300" s="0" t="n">
        <v>1</v>
      </c>
      <c r="W300" s="0" t="str">
        <f aca="false">IF(OR(AND(B300&gt;=1,B300&lt;=6),B300=10),"Vaca em lactação",IF(I300="Male","Macho",IF(E300&gt;=1,"Vaca seca",IF(I300="Youngstock","Bezerra/recria","Novilha"))))</f>
        <v>Vaca em lactação</v>
      </c>
      <c r="X300" s="0" t="str">
        <f aca="false">IF(AND(B300&gt;=1,B300&lt;=6),"Tanque",IF(B300=10,"Descarte",""))</f>
        <v>Tanque</v>
      </c>
    </row>
    <row r="301" customFormat="false" ht="15" hidden="false" customHeight="false" outlineLevel="0" collapsed="false">
      <c r="A301" s="22" t="n">
        <v>46309</v>
      </c>
      <c r="B301" s="0" t="n">
        <v>2</v>
      </c>
      <c r="C301" s="0" t="n">
        <v>5183</v>
      </c>
      <c r="D301" s="0" t="n">
        <v>36</v>
      </c>
      <c r="E301" s="0" t="n">
        <v>2</v>
      </c>
      <c r="F301" s="23" t="s">
        <v>300</v>
      </c>
      <c r="G301" s="0" t="n">
        <v>57.8</v>
      </c>
      <c r="H301" s="0" t="n">
        <v>53</v>
      </c>
      <c r="I301" s="23" t="s">
        <v>94</v>
      </c>
      <c r="J301" s="0" t="n">
        <v>36</v>
      </c>
      <c r="M301" s="0" t="n">
        <v>725.11</v>
      </c>
      <c r="N301" s="0" t="n">
        <v>31.77</v>
      </c>
      <c r="O301" s="0" t="n">
        <v>31.75</v>
      </c>
      <c r="P301" s="0" t="n">
        <v>4.39</v>
      </c>
      <c r="Q301" s="0" t="n">
        <v>4.22</v>
      </c>
      <c r="R301" s="0" t="n">
        <v>4307</v>
      </c>
      <c r="S301" s="0" t="n">
        <v>8658</v>
      </c>
      <c r="U301" s="0" t="n">
        <v>1035</v>
      </c>
      <c r="V301" s="0" t="n">
        <v>0</v>
      </c>
      <c r="W301" s="0" t="str">
        <f aca="false">IF(OR(AND(B301&gt;=1,B301&lt;=6),B301=10),"Vaca em lactação",IF(I301="Male","Macho",IF(E301&gt;=1,"Vaca seca",IF(I301="Youngstock","Bezerra/recria","Novilha"))))</f>
        <v>Vaca em lactação</v>
      </c>
      <c r="X301" s="0" t="str">
        <f aca="false">IF(AND(B301&gt;=1,B301&lt;=6),"Tanque",IF(B301=10,"Descarte",""))</f>
        <v>Tanque</v>
      </c>
    </row>
    <row r="302" customFormat="false" ht="15" hidden="false" customHeight="false" outlineLevel="0" collapsed="false">
      <c r="A302" s="22" t="n">
        <v>46309</v>
      </c>
      <c r="B302" s="0" t="n">
        <v>2</v>
      </c>
      <c r="C302" s="0" t="n">
        <v>5186</v>
      </c>
      <c r="D302" s="0" t="n">
        <v>82</v>
      </c>
      <c r="E302" s="0" t="n">
        <v>2</v>
      </c>
      <c r="F302" s="23" t="s">
        <v>301</v>
      </c>
      <c r="G302" s="0" t="n">
        <v>41.7</v>
      </c>
      <c r="H302" s="0" t="n">
        <v>48</v>
      </c>
      <c r="I302" s="23" t="s">
        <v>97</v>
      </c>
      <c r="J302" s="0" t="n">
        <v>82</v>
      </c>
      <c r="K302" s="0" t="n">
        <v>68</v>
      </c>
      <c r="M302" s="0" t="n">
        <v>906.28</v>
      </c>
      <c r="N302" s="0" t="n">
        <v>65.77</v>
      </c>
      <c r="O302" s="0" t="n">
        <v>35.33</v>
      </c>
      <c r="P302" s="0" t="n">
        <v>4.8</v>
      </c>
      <c r="Q302" s="0" t="n">
        <v>3.34</v>
      </c>
      <c r="R302" s="0" t="n">
        <v>4264</v>
      </c>
      <c r="S302" s="0" t="n">
        <v>8572</v>
      </c>
      <c r="U302" s="0" t="n">
        <v>1033</v>
      </c>
      <c r="V302" s="0" t="n">
        <v>1</v>
      </c>
      <c r="W302" s="0" t="str">
        <f aca="false">IF(OR(AND(B302&gt;=1,B302&lt;=6),B302=10),"Vaca em lactação",IF(I302="Male","Macho",IF(E302&gt;=1,"Vaca seca",IF(I302="Youngstock","Bezerra/recria","Novilha"))))</f>
        <v>Vaca em lactação</v>
      </c>
      <c r="X302" s="0" t="str">
        <f aca="false">IF(AND(B302&gt;=1,B302&lt;=6),"Tanque",IF(B302=10,"Descarte",""))</f>
        <v>Tanque</v>
      </c>
    </row>
    <row r="303" customFormat="false" ht="15" hidden="false" customHeight="false" outlineLevel="0" collapsed="false">
      <c r="A303" s="22" t="n">
        <v>46309</v>
      </c>
      <c r="B303" s="0" t="n">
        <v>2</v>
      </c>
      <c r="C303" s="0" t="n">
        <v>4777</v>
      </c>
      <c r="D303" s="0" t="n">
        <v>20</v>
      </c>
      <c r="E303" s="0" t="n">
        <v>2</v>
      </c>
      <c r="F303" s="23" t="s">
        <v>302</v>
      </c>
      <c r="G303" s="0" t="n">
        <v>54.1</v>
      </c>
      <c r="H303" s="0" t="n">
        <v>51</v>
      </c>
      <c r="I303" s="23" t="s">
        <v>94</v>
      </c>
      <c r="J303" s="0" t="n">
        <v>20</v>
      </c>
      <c r="M303" s="0" t="n">
        <v>603.27</v>
      </c>
      <c r="N303" s="0" t="n">
        <v>38.58</v>
      </c>
      <c r="O303" s="0" t="n">
        <v>26.3</v>
      </c>
      <c r="R303" s="0" t="n">
        <v>4271</v>
      </c>
      <c r="S303" s="0" t="n">
        <v>8585</v>
      </c>
      <c r="U303" s="0" t="n">
        <v>1216</v>
      </c>
      <c r="V303" s="0" t="n">
        <v>0</v>
      </c>
      <c r="W303" s="0" t="str">
        <f aca="false">IF(OR(AND(B303&gt;=1,B303&lt;=6),B303=10),"Vaca em lactação",IF(I303="Male","Macho",IF(E303&gt;=1,"Vaca seca",IF(I303="Youngstock","Bezerra/recria","Novilha"))))</f>
        <v>Vaca em lactação</v>
      </c>
      <c r="X303" s="0" t="str">
        <f aca="false">IF(AND(B303&gt;=1,B303&lt;=6),"Tanque",IF(B303=10,"Descarte",""))</f>
        <v>Tanque</v>
      </c>
    </row>
    <row r="304" customFormat="false" ht="15" hidden="false" customHeight="false" outlineLevel="0" collapsed="false">
      <c r="A304" s="22" t="n">
        <v>46309</v>
      </c>
      <c r="B304" s="0" t="n">
        <v>2</v>
      </c>
      <c r="C304" s="0" t="n">
        <v>4776</v>
      </c>
      <c r="D304" s="0" t="n">
        <v>177</v>
      </c>
      <c r="E304" s="0" t="n">
        <v>2</v>
      </c>
      <c r="F304" s="23" t="s">
        <v>302</v>
      </c>
      <c r="G304" s="0" t="n">
        <v>63.9</v>
      </c>
      <c r="H304" s="0" t="n">
        <v>58</v>
      </c>
      <c r="I304" s="23" t="s">
        <v>92</v>
      </c>
      <c r="J304" s="0" t="n">
        <v>145</v>
      </c>
      <c r="K304" s="0" t="n">
        <v>65</v>
      </c>
      <c r="L304" s="0" t="n">
        <v>32</v>
      </c>
      <c r="M304" s="0" t="n">
        <v>259.48</v>
      </c>
      <c r="N304" s="0" t="n">
        <v>74.18</v>
      </c>
      <c r="O304" s="0" t="n">
        <v>23.74</v>
      </c>
      <c r="P304" s="0" t="n">
        <v>4.63</v>
      </c>
      <c r="Q304" s="0" t="n">
        <v>3.77</v>
      </c>
      <c r="R304" s="0" t="n">
        <v>5647</v>
      </c>
      <c r="S304" s="0" t="n">
        <v>11479</v>
      </c>
      <c r="T304" s="0" t="n">
        <v>64</v>
      </c>
      <c r="U304" s="0" t="n">
        <v>1216</v>
      </c>
      <c r="V304" s="0" t="n">
        <v>4</v>
      </c>
      <c r="W304" s="0" t="str">
        <f aca="false">IF(OR(AND(B304&gt;=1,B304&lt;=6),B304=10),"Vaca em lactação",IF(I304="Male","Macho",IF(E304&gt;=1,"Vaca seca",IF(I304="Youngstock","Bezerra/recria","Novilha"))))</f>
        <v>Vaca em lactação</v>
      </c>
      <c r="X304" s="0" t="str">
        <f aca="false">IF(AND(B304&gt;=1,B304&lt;=6),"Tanque",IF(B304=10,"Descarte",""))</f>
        <v>Tanque</v>
      </c>
    </row>
    <row r="305" customFormat="false" ht="15" hidden="false" customHeight="false" outlineLevel="0" collapsed="false">
      <c r="A305" s="22" t="n">
        <v>46309</v>
      </c>
      <c r="B305" s="0" t="n">
        <v>2</v>
      </c>
      <c r="C305" s="0" t="n">
        <v>4792</v>
      </c>
      <c r="D305" s="0" t="n">
        <v>92</v>
      </c>
      <c r="E305" s="0" t="n">
        <v>2</v>
      </c>
      <c r="F305" s="23" t="s">
        <v>303</v>
      </c>
      <c r="G305" s="0" t="n">
        <v>71.6</v>
      </c>
      <c r="H305" s="0" t="n">
        <v>68</v>
      </c>
      <c r="I305" s="23" t="s">
        <v>97</v>
      </c>
      <c r="J305" s="0" t="n">
        <v>92</v>
      </c>
      <c r="K305" s="0" t="n">
        <v>64</v>
      </c>
      <c r="M305" s="0" t="n">
        <v>687.22</v>
      </c>
      <c r="N305" s="0" t="n">
        <v>54.33</v>
      </c>
      <c r="O305" s="0" t="n">
        <v>29.63</v>
      </c>
      <c r="P305" s="0" t="n">
        <v>2.76</v>
      </c>
      <c r="Q305" s="0" t="n">
        <v>3.07</v>
      </c>
      <c r="R305" s="0" t="n">
        <v>6019</v>
      </c>
      <c r="S305" s="0" t="n">
        <v>12100</v>
      </c>
      <c r="T305" s="0" t="n">
        <v>60.85</v>
      </c>
      <c r="U305" s="0" t="n">
        <v>1210</v>
      </c>
      <c r="V305" s="0" t="n">
        <v>2</v>
      </c>
      <c r="W305" s="0" t="str">
        <f aca="false">IF(OR(AND(B305&gt;=1,B305&lt;=6),B305=10),"Vaca em lactação",IF(I305="Male","Macho",IF(E305&gt;=1,"Vaca seca",IF(I305="Youngstock","Bezerra/recria","Novilha"))))</f>
        <v>Vaca em lactação</v>
      </c>
      <c r="X305" s="0" t="str">
        <f aca="false">IF(AND(B305&gt;=1,B305&lt;=6),"Tanque",IF(B305=10,"Descarte",""))</f>
        <v>Tanque</v>
      </c>
    </row>
    <row r="306" customFormat="false" ht="15" hidden="false" customHeight="false" outlineLevel="0" collapsed="false">
      <c r="A306" s="22" t="n">
        <v>46309</v>
      </c>
      <c r="B306" s="0" t="n">
        <v>2</v>
      </c>
      <c r="C306" s="0" t="n">
        <v>4787</v>
      </c>
      <c r="D306" s="0" t="n">
        <v>11</v>
      </c>
      <c r="E306" s="0" t="n">
        <v>2</v>
      </c>
      <c r="F306" s="23" t="s">
        <v>304</v>
      </c>
      <c r="G306" s="0" t="n">
        <v>43.1</v>
      </c>
      <c r="H306" s="0" t="n">
        <v>38</v>
      </c>
      <c r="I306" s="23" t="s">
        <v>94</v>
      </c>
      <c r="J306" s="0" t="n">
        <v>11</v>
      </c>
      <c r="M306" s="0" t="n">
        <v>168.23</v>
      </c>
      <c r="N306" s="0" t="n">
        <v>16.71</v>
      </c>
      <c r="O306" s="0" t="n">
        <v>9.93</v>
      </c>
      <c r="R306" s="0" t="n">
        <v>2908</v>
      </c>
      <c r="S306" s="0" t="n">
        <v>5846</v>
      </c>
      <c r="U306" s="0" t="n">
        <v>1211</v>
      </c>
      <c r="V306" s="0" t="n">
        <v>0</v>
      </c>
      <c r="W306" s="0" t="str">
        <f aca="false">IF(OR(AND(B306&gt;=1,B306&lt;=6),B306=10),"Vaca em lactação",IF(I306="Male","Macho",IF(E306&gt;=1,"Vaca seca",IF(I306="Youngstock","Bezerra/recria","Novilha"))))</f>
        <v>Vaca em lactação</v>
      </c>
      <c r="X306" s="0" t="str">
        <f aca="false">IF(AND(B306&gt;=1,B306&lt;=6),"Tanque",IF(B306=10,"Descarte",""))</f>
        <v>Tanque</v>
      </c>
    </row>
    <row r="307" customFormat="false" ht="15" hidden="false" customHeight="false" outlineLevel="0" collapsed="false">
      <c r="A307" s="22" t="n">
        <v>46309</v>
      </c>
      <c r="B307" s="0" t="n">
        <v>2</v>
      </c>
      <c r="C307" s="0" t="n">
        <v>4761</v>
      </c>
      <c r="D307" s="0" t="n">
        <v>203</v>
      </c>
      <c r="E307" s="0" t="n">
        <v>2</v>
      </c>
      <c r="F307" s="23" t="s">
        <v>305</v>
      </c>
      <c r="G307" s="0" t="n">
        <v>40.4</v>
      </c>
      <c r="H307" s="0" t="n">
        <v>44</v>
      </c>
      <c r="I307" s="23" t="s">
        <v>92</v>
      </c>
      <c r="J307" s="0" t="n">
        <v>98</v>
      </c>
      <c r="K307" s="0" t="n">
        <v>63</v>
      </c>
      <c r="L307" s="0" t="n">
        <v>105</v>
      </c>
      <c r="M307" s="0" t="n">
        <v>565.97</v>
      </c>
      <c r="N307" s="0" t="n">
        <v>37.8</v>
      </c>
      <c r="O307" s="0" t="n">
        <v>39.73</v>
      </c>
      <c r="P307" s="0" t="n">
        <v>3.22</v>
      </c>
      <c r="Q307" s="0" t="n">
        <v>3.49</v>
      </c>
      <c r="R307" s="0" t="n">
        <v>4814</v>
      </c>
      <c r="S307" s="0" t="n">
        <v>10626</v>
      </c>
      <c r="T307" s="0" t="n">
        <v>57</v>
      </c>
      <c r="U307" s="0" t="n">
        <v>1223</v>
      </c>
      <c r="V307" s="0" t="n">
        <v>2</v>
      </c>
      <c r="W307" s="0" t="str">
        <f aca="false">IF(OR(AND(B307&gt;=1,B307&lt;=6),B307=10),"Vaca em lactação",IF(I307="Male","Macho",IF(E307&gt;=1,"Vaca seca",IF(I307="Youngstock","Bezerra/recria","Novilha"))))</f>
        <v>Vaca em lactação</v>
      </c>
      <c r="X307" s="0" t="str">
        <f aca="false">IF(AND(B307&gt;=1,B307&lt;=6),"Tanque",IF(B307=10,"Descarte",""))</f>
        <v>Tanque</v>
      </c>
    </row>
    <row r="308" customFormat="false" ht="15" hidden="false" customHeight="false" outlineLevel="0" collapsed="false">
      <c r="A308" s="22" t="n">
        <v>46309</v>
      </c>
      <c r="B308" s="0" t="n">
        <v>2</v>
      </c>
      <c r="C308" s="0" t="n">
        <v>4755</v>
      </c>
      <c r="D308" s="0" t="n">
        <v>124</v>
      </c>
      <c r="E308" s="0" t="n">
        <v>2</v>
      </c>
      <c r="F308" s="23" t="s">
        <v>306</v>
      </c>
      <c r="G308" s="0" t="n">
        <v>54.3</v>
      </c>
      <c r="H308" s="0" t="n">
        <v>52</v>
      </c>
      <c r="I308" s="23" t="s">
        <v>97</v>
      </c>
      <c r="J308" s="0" t="n">
        <v>124</v>
      </c>
      <c r="K308" s="0" t="n">
        <v>68</v>
      </c>
      <c r="M308" s="0" t="n">
        <v>513.51</v>
      </c>
      <c r="N308" s="0" t="n">
        <v>46.17</v>
      </c>
      <c r="O308" s="0" t="n">
        <v>42.28</v>
      </c>
      <c r="P308" s="0" t="n">
        <v>4.07</v>
      </c>
      <c r="Q308" s="0" t="n">
        <v>3.33</v>
      </c>
      <c r="R308" s="0" t="n">
        <v>5728</v>
      </c>
      <c r="S308" s="0" t="n">
        <v>11190</v>
      </c>
      <c r="T308" s="0" t="n">
        <v>53.25</v>
      </c>
      <c r="U308" s="0" t="n">
        <v>1227</v>
      </c>
      <c r="V308" s="0" t="n">
        <v>2</v>
      </c>
      <c r="W308" s="0" t="str">
        <f aca="false">IF(OR(AND(B308&gt;=1,B308&lt;=6),B308=10),"Vaca em lactação",IF(I308="Male","Macho",IF(E308&gt;=1,"Vaca seca",IF(I308="Youngstock","Bezerra/recria","Novilha"))))</f>
        <v>Vaca em lactação</v>
      </c>
      <c r="X308" s="0" t="str">
        <f aca="false">IF(AND(B308&gt;=1,B308&lt;=6),"Tanque",IF(B308=10,"Descarte",""))</f>
        <v>Tanque</v>
      </c>
    </row>
    <row r="309" customFormat="false" ht="15" hidden="false" customHeight="false" outlineLevel="0" collapsed="false">
      <c r="A309" s="22" t="n">
        <v>46309</v>
      </c>
      <c r="B309" s="0" t="n">
        <v>2</v>
      </c>
      <c r="C309" s="0" t="n">
        <v>4754</v>
      </c>
      <c r="D309" s="0" t="n">
        <v>136</v>
      </c>
      <c r="E309" s="0" t="n">
        <v>2</v>
      </c>
      <c r="F309" s="23" t="s">
        <v>306</v>
      </c>
      <c r="G309" s="0" t="n">
        <v>54.9</v>
      </c>
      <c r="H309" s="0" t="n">
        <v>54</v>
      </c>
      <c r="I309" s="23" t="s">
        <v>97</v>
      </c>
      <c r="J309" s="0" t="n">
        <v>136</v>
      </c>
      <c r="K309" s="0" t="n">
        <v>66</v>
      </c>
      <c r="M309" s="0" t="n">
        <v>243.8</v>
      </c>
      <c r="N309" s="0" t="n">
        <v>52.41</v>
      </c>
      <c r="O309" s="0" t="n">
        <v>18.89</v>
      </c>
      <c r="P309" s="0" t="n">
        <v>3.37</v>
      </c>
      <c r="Q309" s="0" t="n">
        <v>3.27</v>
      </c>
      <c r="R309" s="0" t="n">
        <v>5045</v>
      </c>
      <c r="S309" s="0" t="n">
        <v>10366</v>
      </c>
      <c r="T309" s="0" t="n">
        <v>54.4</v>
      </c>
      <c r="U309" s="0" t="n">
        <v>1227</v>
      </c>
      <c r="V309" s="0" t="n">
        <v>2</v>
      </c>
      <c r="W309" s="0" t="str">
        <f aca="false">IF(OR(AND(B309&gt;=1,B309&lt;=6),B309=10),"Vaca em lactação",IF(I309="Male","Macho",IF(E309&gt;=1,"Vaca seca",IF(I309="Youngstock","Bezerra/recria","Novilha"))))</f>
        <v>Vaca em lactação</v>
      </c>
      <c r="X309" s="0" t="str">
        <f aca="false">IF(AND(B309&gt;=1,B309&lt;=6),"Tanque",IF(B309=10,"Descarte",""))</f>
        <v>Tanque</v>
      </c>
    </row>
    <row r="310" customFormat="false" ht="15" hidden="false" customHeight="false" outlineLevel="0" collapsed="false">
      <c r="A310" s="22" t="n">
        <v>46309</v>
      </c>
      <c r="B310" s="0" t="n">
        <v>2</v>
      </c>
      <c r="C310" s="0" t="n">
        <v>4765</v>
      </c>
      <c r="D310" s="0" t="n">
        <v>201</v>
      </c>
      <c r="E310" s="0" t="n">
        <v>2</v>
      </c>
      <c r="F310" s="23" t="s">
        <v>307</v>
      </c>
      <c r="G310" s="0" t="n">
        <v>57.5</v>
      </c>
      <c r="H310" s="0" t="n">
        <v>58</v>
      </c>
      <c r="I310" s="23" t="s">
        <v>92</v>
      </c>
      <c r="J310" s="0" t="n">
        <v>68</v>
      </c>
      <c r="K310" s="0" t="n">
        <v>68</v>
      </c>
      <c r="L310" s="0" t="n">
        <v>133</v>
      </c>
      <c r="M310" s="0" t="n">
        <v>780.74</v>
      </c>
      <c r="N310" s="0" t="n">
        <v>53.82</v>
      </c>
      <c r="O310" s="0" t="n">
        <v>38.93</v>
      </c>
      <c r="P310" s="0" t="n">
        <v>3.35</v>
      </c>
      <c r="Q310" s="0" t="n">
        <v>3.46</v>
      </c>
      <c r="R310" s="0" t="n">
        <v>6295</v>
      </c>
      <c r="S310" s="0" t="n">
        <v>12920</v>
      </c>
      <c r="T310" s="0" t="n">
        <v>69.9</v>
      </c>
      <c r="U310" s="0" t="n">
        <v>1221</v>
      </c>
      <c r="V310" s="0" t="n">
        <v>1</v>
      </c>
      <c r="W310" s="0" t="str">
        <f aca="false">IF(OR(AND(B310&gt;=1,B310&lt;=6),B310=10),"Vaca em lactação",IF(I310="Male","Macho",IF(E310&gt;=1,"Vaca seca",IF(I310="Youngstock","Bezerra/recria","Novilha"))))</f>
        <v>Vaca em lactação</v>
      </c>
      <c r="X310" s="0" t="str">
        <f aca="false">IF(AND(B310&gt;=1,B310&lt;=6),"Tanque",IF(B310=10,"Descarte",""))</f>
        <v>Tanque</v>
      </c>
    </row>
    <row r="311" customFormat="false" ht="15" hidden="false" customHeight="false" outlineLevel="0" collapsed="false">
      <c r="A311" s="22" t="n">
        <v>46309</v>
      </c>
      <c r="B311" s="0" t="n">
        <v>2</v>
      </c>
      <c r="C311" s="0" t="n">
        <v>4822</v>
      </c>
      <c r="D311" s="0" t="n">
        <v>60</v>
      </c>
      <c r="E311" s="0" t="n">
        <v>2</v>
      </c>
      <c r="F311" s="23" t="s">
        <v>308</v>
      </c>
      <c r="G311" s="0" t="n">
        <v>59.9</v>
      </c>
      <c r="H311" s="0" t="n">
        <v>57</v>
      </c>
      <c r="I311" s="23" t="s">
        <v>94</v>
      </c>
      <c r="J311" s="0" t="n">
        <v>60</v>
      </c>
      <c r="M311" s="0" t="n">
        <v>719.38</v>
      </c>
      <c r="N311" s="0" t="n">
        <v>17.72</v>
      </c>
      <c r="O311" s="0" t="n">
        <v>11.48</v>
      </c>
      <c r="P311" s="0" t="n">
        <v>3.22</v>
      </c>
      <c r="Q311" s="0" t="n">
        <v>2.96</v>
      </c>
      <c r="R311" s="0" t="n">
        <v>5357</v>
      </c>
      <c r="S311" s="0" t="n">
        <v>10769</v>
      </c>
      <c r="U311" s="0" t="n">
        <v>1199</v>
      </c>
      <c r="V311" s="0" t="n">
        <v>0</v>
      </c>
      <c r="W311" s="0" t="str">
        <f aca="false">IF(OR(AND(B311&gt;=1,B311&lt;=6),B311=10),"Vaca em lactação",IF(I311="Male","Macho",IF(E311&gt;=1,"Vaca seca",IF(I311="Youngstock","Bezerra/recria","Novilha"))))</f>
        <v>Vaca em lactação</v>
      </c>
      <c r="X311" s="0" t="str">
        <f aca="false">IF(AND(B311&gt;=1,B311&lt;=6),"Tanque",IF(B311=10,"Descarte",""))</f>
        <v>Tanque</v>
      </c>
    </row>
    <row r="312" customFormat="false" ht="15" hidden="false" customHeight="false" outlineLevel="0" collapsed="false">
      <c r="A312" s="22" t="n">
        <v>46309</v>
      </c>
      <c r="B312" s="0" t="n">
        <v>2</v>
      </c>
      <c r="C312" s="0" t="n">
        <v>4835</v>
      </c>
      <c r="D312" s="0" t="n">
        <v>149</v>
      </c>
      <c r="E312" s="0" t="n">
        <v>2</v>
      </c>
      <c r="F312" s="23" t="s">
        <v>309</v>
      </c>
      <c r="G312" s="0" t="n">
        <v>68.5</v>
      </c>
      <c r="H312" s="0" t="n">
        <v>65</v>
      </c>
      <c r="I312" s="23" t="s">
        <v>92</v>
      </c>
      <c r="J312" s="0" t="n">
        <v>65</v>
      </c>
      <c r="K312" s="0" t="n">
        <v>65</v>
      </c>
      <c r="L312" s="0" t="n">
        <v>84</v>
      </c>
      <c r="M312" s="0" t="n">
        <v>1538.67</v>
      </c>
      <c r="N312" s="0" t="n">
        <v>49.94</v>
      </c>
      <c r="O312" s="0" t="n">
        <v>39.8</v>
      </c>
      <c r="P312" s="0" t="n">
        <v>3.68</v>
      </c>
      <c r="Q312" s="0" t="n">
        <v>2.97</v>
      </c>
      <c r="R312" s="0" t="n">
        <v>6338</v>
      </c>
      <c r="S312" s="0" t="n">
        <v>13346</v>
      </c>
      <c r="T312" s="0" t="n">
        <v>66.95</v>
      </c>
      <c r="U312" s="0" t="n">
        <v>1196</v>
      </c>
      <c r="V312" s="0" t="n">
        <v>1</v>
      </c>
      <c r="W312" s="0" t="str">
        <f aca="false">IF(OR(AND(B312&gt;=1,B312&lt;=6),B312=10),"Vaca em lactação",IF(I312="Male","Macho",IF(E312&gt;=1,"Vaca seca",IF(I312="Youngstock","Bezerra/recria","Novilha"))))</f>
        <v>Vaca em lactação</v>
      </c>
      <c r="X312" s="0" t="str">
        <f aca="false">IF(AND(B312&gt;=1,B312&lt;=6),"Tanque",IF(B312=10,"Descarte",""))</f>
        <v>Tanque</v>
      </c>
    </row>
    <row r="313" customFormat="false" ht="15" hidden="false" customHeight="false" outlineLevel="0" collapsed="false">
      <c r="A313" s="22" t="n">
        <v>46309</v>
      </c>
      <c r="B313" s="0" t="n">
        <v>2</v>
      </c>
      <c r="C313" s="0" t="n">
        <v>4830</v>
      </c>
      <c r="D313" s="0" t="n">
        <v>231</v>
      </c>
      <c r="E313" s="0" t="n">
        <v>2</v>
      </c>
      <c r="F313" s="23" t="s">
        <v>310</v>
      </c>
      <c r="G313" s="0" t="n">
        <v>51</v>
      </c>
      <c r="H313" s="0" t="n">
        <v>46</v>
      </c>
      <c r="I313" s="23" t="s">
        <v>97</v>
      </c>
      <c r="J313" s="0" t="n">
        <v>231</v>
      </c>
      <c r="K313" s="0" t="n">
        <v>63</v>
      </c>
      <c r="M313" s="0" t="n">
        <v>1093.86</v>
      </c>
      <c r="N313" s="0" t="n">
        <v>40.63</v>
      </c>
      <c r="O313" s="0" t="n">
        <v>42.36</v>
      </c>
      <c r="P313" s="0" t="n">
        <v>4.73</v>
      </c>
      <c r="Q313" s="0" t="n">
        <v>3.88</v>
      </c>
      <c r="R313" s="0" t="n">
        <v>4863</v>
      </c>
      <c r="S313" s="0" t="n">
        <v>10080</v>
      </c>
      <c r="T313" s="0" t="n">
        <v>55</v>
      </c>
      <c r="U313" s="0" t="n">
        <v>1197</v>
      </c>
      <c r="V313" s="0" t="n">
        <v>5</v>
      </c>
      <c r="W313" s="0" t="str">
        <f aca="false">IF(OR(AND(B313&gt;=1,B313&lt;=6),B313=10),"Vaca em lactação",IF(I313="Male","Macho",IF(E313&gt;=1,"Vaca seca",IF(I313="Youngstock","Bezerra/recria","Novilha"))))</f>
        <v>Vaca em lactação</v>
      </c>
      <c r="X313" s="0" t="str">
        <f aca="false">IF(AND(B313&gt;=1,B313&lt;=6),"Tanque",IF(B313=10,"Descarte",""))</f>
        <v>Tanque</v>
      </c>
    </row>
    <row r="314" customFormat="false" ht="15" hidden="false" customHeight="false" outlineLevel="0" collapsed="false">
      <c r="A314" s="22" t="n">
        <v>46309</v>
      </c>
      <c r="B314" s="0" t="n">
        <v>2</v>
      </c>
      <c r="C314" s="0" t="n">
        <v>4804</v>
      </c>
      <c r="D314" s="0" t="n">
        <v>282</v>
      </c>
      <c r="E314" s="0" t="n">
        <v>2</v>
      </c>
      <c r="F314" s="23" t="s">
        <v>311</v>
      </c>
      <c r="G314" s="0" t="n">
        <v>51.2</v>
      </c>
      <c r="H314" s="0" t="n">
        <v>50</v>
      </c>
      <c r="I314" s="23" t="s">
        <v>92</v>
      </c>
      <c r="J314" s="0" t="n">
        <v>219</v>
      </c>
      <c r="K314" s="0" t="n">
        <v>72</v>
      </c>
      <c r="L314" s="0" t="n">
        <v>63</v>
      </c>
      <c r="M314" s="0" t="n">
        <v>7.35</v>
      </c>
      <c r="N314" s="0" t="n">
        <v>28.95</v>
      </c>
      <c r="O314" s="0" t="n">
        <v>12.88</v>
      </c>
      <c r="P314" s="0" t="n">
        <v>2.53</v>
      </c>
      <c r="Q314" s="0" t="n">
        <v>3.35</v>
      </c>
      <c r="R314" s="0" t="n">
        <v>4972</v>
      </c>
      <c r="S314" s="0" t="n">
        <v>10646</v>
      </c>
      <c r="T314" s="0" t="n">
        <v>50.3</v>
      </c>
      <c r="U314" s="0" t="n">
        <v>1206</v>
      </c>
      <c r="V314" s="0" t="n">
        <v>5</v>
      </c>
      <c r="W314" s="0" t="str">
        <f aca="false">IF(OR(AND(B314&gt;=1,B314&lt;=6),B314=10),"Vaca em lactação",IF(I314="Male","Macho",IF(E314&gt;=1,"Vaca seca",IF(I314="Youngstock","Bezerra/recria","Novilha"))))</f>
        <v>Vaca em lactação</v>
      </c>
      <c r="X314" s="0" t="str">
        <f aca="false">IF(AND(B314&gt;=1,B314&lt;=6),"Tanque",IF(B314=10,"Descarte",""))</f>
        <v>Tanque</v>
      </c>
    </row>
    <row r="315" customFormat="false" ht="15" hidden="false" customHeight="false" outlineLevel="0" collapsed="false">
      <c r="A315" s="22" t="n">
        <v>46309</v>
      </c>
      <c r="B315" s="0" t="n">
        <v>2</v>
      </c>
      <c r="C315" s="0" t="n">
        <v>4800</v>
      </c>
      <c r="D315" s="0" t="n">
        <v>206</v>
      </c>
      <c r="E315" s="0" t="n">
        <v>2</v>
      </c>
      <c r="F315" s="23" t="s">
        <v>312</v>
      </c>
      <c r="G315" s="0" t="n">
        <v>56.2</v>
      </c>
      <c r="H315" s="0" t="n">
        <v>55</v>
      </c>
      <c r="I315" s="23" t="s">
        <v>92</v>
      </c>
      <c r="J315" s="0" t="n">
        <v>126</v>
      </c>
      <c r="K315" s="0" t="n">
        <v>66</v>
      </c>
      <c r="L315" s="0" t="n">
        <v>80</v>
      </c>
      <c r="M315" s="0" t="n">
        <v>985.84</v>
      </c>
      <c r="N315" s="0" t="n">
        <v>53.93</v>
      </c>
      <c r="O315" s="0" t="n">
        <v>28.48</v>
      </c>
      <c r="P315" s="0" t="n">
        <v>3.11</v>
      </c>
      <c r="Q315" s="0" t="n">
        <v>3.18</v>
      </c>
      <c r="R315" s="0" t="n">
        <v>4047</v>
      </c>
      <c r="S315" s="0" t="n">
        <v>9555</v>
      </c>
      <c r="T315" s="0" t="n">
        <v>43.85</v>
      </c>
      <c r="U315" s="0" t="n">
        <v>1207</v>
      </c>
      <c r="V315" s="0" t="n">
        <v>2</v>
      </c>
      <c r="W315" s="0" t="str">
        <f aca="false">IF(OR(AND(B315&gt;=1,B315&lt;=6),B315=10),"Vaca em lactação",IF(I315="Male","Macho",IF(E315&gt;=1,"Vaca seca",IF(I315="Youngstock","Bezerra/recria","Novilha"))))</f>
        <v>Vaca em lactação</v>
      </c>
      <c r="X315" s="0" t="str">
        <f aca="false">IF(AND(B315&gt;=1,B315&lt;=6),"Tanque",IF(B315=10,"Descarte",""))</f>
        <v>Tanque</v>
      </c>
    </row>
    <row r="316" customFormat="false" ht="15" hidden="false" customHeight="false" outlineLevel="0" collapsed="false">
      <c r="A316" s="22" t="n">
        <v>46309</v>
      </c>
      <c r="B316" s="0" t="n">
        <v>2</v>
      </c>
      <c r="C316" s="0" t="n">
        <v>4801</v>
      </c>
      <c r="D316" s="0" t="n">
        <v>169</v>
      </c>
      <c r="E316" s="0" t="n">
        <v>2</v>
      </c>
      <c r="F316" s="23" t="s">
        <v>311</v>
      </c>
      <c r="G316" s="0" t="n">
        <v>51.1</v>
      </c>
      <c r="H316" s="0" t="n">
        <v>47</v>
      </c>
      <c r="I316" s="23" t="s">
        <v>109</v>
      </c>
      <c r="J316" s="0" t="n">
        <v>169</v>
      </c>
      <c r="K316" s="0" t="n">
        <v>64</v>
      </c>
      <c r="M316" s="0" t="n">
        <v>-16.12</v>
      </c>
      <c r="N316" s="0" t="n">
        <v>40.43</v>
      </c>
      <c r="O316" s="0" t="n">
        <v>19.48</v>
      </c>
      <c r="P316" s="0" t="n">
        <v>3.48</v>
      </c>
      <c r="Q316" s="0" t="n">
        <v>3.33</v>
      </c>
      <c r="R316" s="0" t="n">
        <v>5095</v>
      </c>
      <c r="S316" s="0" t="n">
        <v>10459</v>
      </c>
      <c r="T316" s="0" t="n">
        <v>57.15</v>
      </c>
      <c r="U316" s="0" t="n">
        <v>1206</v>
      </c>
      <c r="V316" s="0" t="n">
        <v>2</v>
      </c>
      <c r="W316" s="0" t="str">
        <f aca="false">IF(OR(AND(B316&gt;=1,B316&lt;=6),B316=10),"Vaca em lactação",IF(I316="Male","Macho",IF(E316&gt;=1,"Vaca seca",IF(I316="Youngstock","Bezerra/recria","Novilha"))))</f>
        <v>Vaca em lactação</v>
      </c>
      <c r="X316" s="0" t="str">
        <f aca="false">IF(AND(B316&gt;=1,B316&lt;=6),"Tanque",IF(B316=10,"Descarte",""))</f>
        <v>Tanque</v>
      </c>
    </row>
    <row r="317" customFormat="false" ht="15" hidden="false" customHeight="false" outlineLevel="0" collapsed="false">
      <c r="A317" s="22" t="n">
        <v>46309</v>
      </c>
      <c r="B317" s="0" t="n">
        <v>2</v>
      </c>
      <c r="C317" s="0" t="n">
        <v>4659</v>
      </c>
      <c r="D317" s="0" t="n">
        <v>206</v>
      </c>
      <c r="E317" s="0" t="n">
        <v>2</v>
      </c>
      <c r="F317" s="23" t="s">
        <v>313</v>
      </c>
      <c r="G317" s="0" t="n">
        <v>59.6</v>
      </c>
      <c r="H317" s="0" t="n">
        <v>60</v>
      </c>
      <c r="I317" s="23" t="s">
        <v>97</v>
      </c>
      <c r="J317" s="0" t="n">
        <v>206</v>
      </c>
      <c r="K317" s="0" t="n">
        <v>66</v>
      </c>
      <c r="M317" s="0" t="n">
        <v>1349.23</v>
      </c>
      <c r="N317" s="0" t="n">
        <v>31.33</v>
      </c>
      <c r="O317" s="0" t="n">
        <v>47.81</v>
      </c>
      <c r="P317" s="0" t="n">
        <v>4.08</v>
      </c>
      <c r="Q317" s="0" t="n">
        <v>3.82</v>
      </c>
      <c r="R317" s="0" t="n">
        <v>5722</v>
      </c>
      <c r="S317" s="0" t="n">
        <v>11283</v>
      </c>
      <c r="T317" s="0" t="n">
        <v>64.9</v>
      </c>
      <c r="U317" s="0" t="n">
        <v>1279</v>
      </c>
      <c r="V317" s="0" t="n">
        <v>3</v>
      </c>
      <c r="W317" s="0" t="str">
        <f aca="false">IF(OR(AND(B317&gt;=1,B317&lt;=6),B317=10),"Vaca em lactação",IF(I317="Male","Macho",IF(E317&gt;=1,"Vaca seca",IF(I317="Youngstock","Bezerra/recria","Novilha"))))</f>
        <v>Vaca em lactação</v>
      </c>
      <c r="X317" s="0" t="str">
        <f aca="false">IF(AND(B317&gt;=1,B317&lt;=6),"Tanque",IF(B317=10,"Descarte",""))</f>
        <v>Tanque</v>
      </c>
    </row>
    <row r="318" customFormat="false" ht="15" hidden="false" customHeight="false" outlineLevel="0" collapsed="false">
      <c r="A318" s="22" t="n">
        <v>46309</v>
      </c>
      <c r="B318" s="0" t="n">
        <v>2</v>
      </c>
      <c r="C318" s="0" t="n">
        <v>4668</v>
      </c>
      <c r="D318" s="0" t="n">
        <v>136</v>
      </c>
      <c r="E318" s="0" t="n">
        <v>2</v>
      </c>
      <c r="F318" s="23" t="s">
        <v>314</v>
      </c>
      <c r="G318" s="0" t="n">
        <v>50.6</v>
      </c>
      <c r="H318" s="0" t="n">
        <v>49</v>
      </c>
      <c r="I318" s="23" t="s">
        <v>109</v>
      </c>
      <c r="J318" s="0" t="n">
        <v>136</v>
      </c>
      <c r="K318" s="0" t="n">
        <v>66</v>
      </c>
      <c r="M318" s="0" t="n">
        <v>217.72</v>
      </c>
      <c r="N318" s="0" t="n">
        <v>49.63</v>
      </c>
      <c r="O318" s="0" t="n">
        <v>31.87</v>
      </c>
      <c r="P318" s="0" t="n">
        <v>4.6</v>
      </c>
      <c r="Q318" s="0" t="n">
        <v>3.47</v>
      </c>
      <c r="R318" s="0" t="n">
        <v>5584</v>
      </c>
      <c r="S318" s="0" t="n">
        <v>11034</v>
      </c>
      <c r="T318" s="0" t="n">
        <v>59.7</v>
      </c>
      <c r="U318" s="0" t="n">
        <v>1271</v>
      </c>
      <c r="V318" s="0" t="n">
        <v>2</v>
      </c>
      <c r="W318" s="0" t="str">
        <f aca="false">IF(OR(AND(B318&gt;=1,B318&lt;=6),B318=10),"Vaca em lactação",IF(I318="Male","Macho",IF(E318&gt;=1,"Vaca seca",IF(I318="Youngstock","Bezerra/recria","Novilha"))))</f>
        <v>Vaca em lactação</v>
      </c>
      <c r="X318" s="0" t="str">
        <f aca="false">IF(AND(B318&gt;=1,B318&lt;=6),"Tanque",IF(B318=10,"Descarte",""))</f>
        <v>Tanque</v>
      </c>
    </row>
    <row r="319" customFormat="false" ht="15" hidden="false" customHeight="false" outlineLevel="0" collapsed="false">
      <c r="A319" s="22" t="n">
        <v>46309</v>
      </c>
      <c r="B319" s="0" t="n">
        <v>2</v>
      </c>
      <c r="C319" s="0" t="n">
        <v>4674</v>
      </c>
      <c r="D319" s="0" t="n">
        <v>144</v>
      </c>
      <c r="E319" s="0" t="n">
        <v>2</v>
      </c>
      <c r="F319" s="23" t="s">
        <v>315</v>
      </c>
      <c r="G319" s="0" t="n">
        <v>49.2</v>
      </c>
      <c r="H319" s="0" t="n">
        <v>45</v>
      </c>
      <c r="I319" s="23" t="s">
        <v>97</v>
      </c>
      <c r="J319" s="0" t="n">
        <v>144</v>
      </c>
      <c r="K319" s="0" t="n">
        <v>67</v>
      </c>
      <c r="M319" s="0" t="n">
        <v>1071.3</v>
      </c>
      <c r="N319" s="0" t="n">
        <v>56.46</v>
      </c>
      <c r="O319" s="0" t="n">
        <v>38.58</v>
      </c>
      <c r="P319" s="0" t="n">
        <v>4.45</v>
      </c>
      <c r="Q319" s="0" t="n">
        <v>3.44</v>
      </c>
      <c r="R319" s="0" t="n">
        <v>5033</v>
      </c>
      <c r="S319" s="0" t="n">
        <v>10205</v>
      </c>
      <c r="T319" s="0" t="n">
        <v>55.45</v>
      </c>
      <c r="U319" s="0" t="n">
        <v>1269</v>
      </c>
      <c r="V319" s="0" t="n">
        <v>3</v>
      </c>
      <c r="W319" s="0" t="str">
        <f aca="false">IF(OR(AND(B319&gt;=1,B319&lt;=6),B319=10),"Vaca em lactação",IF(I319="Male","Macho",IF(E319&gt;=1,"Vaca seca",IF(I319="Youngstock","Bezerra/recria","Novilha"))))</f>
        <v>Vaca em lactação</v>
      </c>
      <c r="X319" s="0" t="str">
        <f aca="false">IF(AND(B319&gt;=1,B319&lt;=6),"Tanque",IF(B319=10,"Descarte",""))</f>
        <v>Tanque</v>
      </c>
    </row>
    <row r="320" customFormat="false" ht="15" hidden="false" customHeight="false" outlineLevel="0" collapsed="false">
      <c r="A320" s="22" t="n">
        <v>46309</v>
      </c>
      <c r="B320" s="0" t="n">
        <v>2</v>
      </c>
      <c r="C320" s="0" t="n">
        <v>4628</v>
      </c>
      <c r="D320" s="0" t="n">
        <v>252</v>
      </c>
      <c r="E320" s="0" t="n">
        <v>2</v>
      </c>
      <c r="F320" s="23" t="s">
        <v>316</v>
      </c>
      <c r="G320" s="0" t="n">
        <v>48.8</v>
      </c>
      <c r="H320" s="0" t="n">
        <v>47</v>
      </c>
      <c r="I320" s="23" t="s">
        <v>97</v>
      </c>
      <c r="J320" s="0" t="n">
        <v>252</v>
      </c>
      <c r="K320" s="0" t="n">
        <v>63</v>
      </c>
      <c r="M320" s="0" t="n">
        <v>839.92</v>
      </c>
      <c r="N320" s="0" t="n">
        <v>42.63</v>
      </c>
      <c r="O320" s="0" t="n">
        <v>27.42</v>
      </c>
      <c r="P320" s="0" t="n">
        <v>4.5</v>
      </c>
      <c r="Q320" s="0" t="n">
        <v>3.43</v>
      </c>
      <c r="R320" s="0" t="n">
        <v>5341</v>
      </c>
      <c r="S320" s="0" t="n">
        <v>10951</v>
      </c>
      <c r="T320" s="0" t="n">
        <v>59.6</v>
      </c>
      <c r="U320" s="0" t="n">
        <v>1301</v>
      </c>
      <c r="V320" s="0" t="n">
        <v>5</v>
      </c>
      <c r="W320" s="0" t="str">
        <f aca="false">IF(OR(AND(B320&gt;=1,B320&lt;=6),B320=10),"Vaca em lactação",IF(I320="Male","Macho",IF(E320&gt;=1,"Vaca seca",IF(I320="Youngstock","Bezerra/recria","Novilha"))))</f>
        <v>Vaca em lactação</v>
      </c>
      <c r="X320" s="0" t="str">
        <f aca="false">IF(AND(B320&gt;=1,B320&lt;=6),"Tanque",IF(B320=10,"Descarte",""))</f>
        <v>Tanque</v>
      </c>
    </row>
    <row r="321" customFormat="false" ht="15" hidden="false" customHeight="false" outlineLevel="0" collapsed="false">
      <c r="A321" s="22" t="n">
        <v>46309</v>
      </c>
      <c r="B321" s="0" t="n">
        <v>2</v>
      </c>
      <c r="C321" s="0" t="n">
        <v>4638</v>
      </c>
      <c r="D321" s="0" t="n">
        <v>288</v>
      </c>
      <c r="E321" s="0" t="n">
        <v>2</v>
      </c>
      <c r="F321" s="23" t="s">
        <v>317</v>
      </c>
      <c r="G321" s="0" t="n">
        <v>47.7</v>
      </c>
      <c r="H321" s="0" t="n">
        <v>46</v>
      </c>
      <c r="I321" s="23" t="s">
        <v>92</v>
      </c>
      <c r="J321" s="0" t="n">
        <v>134</v>
      </c>
      <c r="K321" s="0" t="n">
        <v>64</v>
      </c>
      <c r="L321" s="0" t="n">
        <v>154</v>
      </c>
      <c r="M321" s="0" t="n">
        <v>240.3</v>
      </c>
      <c r="N321" s="0" t="n">
        <v>43.67</v>
      </c>
      <c r="O321" s="0" t="n">
        <v>31.24</v>
      </c>
      <c r="P321" s="0" t="n">
        <v>3.1</v>
      </c>
      <c r="Q321" s="0" t="n">
        <v>4.06</v>
      </c>
      <c r="R321" s="0" t="n">
        <v>5809</v>
      </c>
      <c r="S321" s="0" t="n">
        <v>11123</v>
      </c>
      <c r="T321" s="0" t="n">
        <v>62.75</v>
      </c>
      <c r="U321" s="0" t="n">
        <v>1289</v>
      </c>
      <c r="V321" s="0" t="n">
        <v>3</v>
      </c>
      <c r="W321" s="0" t="str">
        <f aca="false">IF(OR(AND(B321&gt;=1,B321&lt;=6),B321=10),"Vaca em lactação",IF(I321="Male","Macho",IF(E321&gt;=1,"Vaca seca",IF(I321="Youngstock","Bezerra/recria","Novilha"))))</f>
        <v>Vaca em lactação</v>
      </c>
      <c r="X321" s="0" t="str">
        <f aca="false">IF(AND(B321&gt;=1,B321&lt;=6),"Tanque",IF(B321=10,"Descarte",""))</f>
        <v>Tanque</v>
      </c>
    </row>
    <row r="322" customFormat="false" ht="15" hidden="false" customHeight="false" outlineLevel="0" collapsed="false">
      <c r="A322" s="22" t="n">
        <v>46309</v>
      </c>
      <c r="B322" s="0" t="n">
        <v>2</v>
      </c>
      <c r="C322" s="0" t="n">
        <v>4637</v>
      </c>
      <c r="D322" s="0" t="n">
        <v>133</v>
      </c>
      <c r="E322" s="0" t="n">
        <v>2</v>
      </c>
      <c r="F322" s="23" t="s">
        <v>318</v>
      </c>
      <c r="G322" s="0" t="n">
        <v>49.1</v>
      </c>
      <c r="H322" s="0" t="n">
        <v>53</v>
      </c>
      <c r="I322" s="23" t="s">
        <v>92</v>
      </c>
      <c r="J322" s="0" t="n">
        <v>67</v>
      </c>
      <c r="K322" s="0" t="n">
        <v>67</v>
      </c>
      <c r="L322" s="0" t="n">
        <v>66</v>
      </c>
      <c r="M322" s="0" t="n">
        <v>1557.43</v>
      </c>
      <c r="N322" s="0" t="n">
        <v>46.19</v>
      </c>
      <c r="O322" s="0" t="n">
        <v>47.15</v>
      </c>
      <c r="P322" s="0" t="n">
        <v>3.46</v>
      </c>
      <c r="Q322" s="0" t="n">
        <v>3.39</v>
      </c>
      <c r="R322" s="0" t="n">
        <v>5170</v>
      </c>
      <c r="S322" s="0" t="n">
        <v>10581</v>
      </c>
      <c r="T322" s="0" t="n">
        <v>49.35</v>
      </c>
      <c r="U322" s="0" t="n">
        <v>1290</v>
      </c>
      <c r="V322" s="0" t="n">
        <v>1</v>
      </c>
      <c r="W322" s="0" t="str">
        <f aca="false">IF(OR(AND(B322&gt;=1,B322&lt;=6),B322=10),"Vaca em lactação",IF(I322="Male","Macho",IF(E322&gt;=1,"Vaca seca",IF(I322="Youngstock","Bezerra/recria","Novilha"))))</f>
        <v>Vaca em lactação</v>
      </c>
      <c r="X322" s="0" t="str">
        <f aca="false">IF(AND(B322&gt;=1,B322&lt;=6),"Tanque",IF(B322=10,"Descarte",""))</f>
        <v>Tanque</v>
      </c>
    </row>
    <row r="323" customFormat="false" ht="15" hidden="false" customHeight="false" outlineLevel="0" collapsed="false">
      <c r="A323" s="22" t="n">
        <v>46309</v>
      </c>
      <c r="B323" s="0" t="n">
        <v>2</v>
      </c>
      <c r="C323" s="0" t="n">
        <v>4634</v>
      </c>
      <c r="D323" s="0" t="n">
        <v>287</v>
      </c>
      <c r="E323" s="0" t="n">
        <v>2</v>
      </c>
      <c r="F323" s="23" t="s">
        <v>318</v>
      </c>
      <c r="G323" s="0" t="n">
        <v>46.5</v>
      </c>
      <c r="H323" s="0" t="n">
        <v>47</v>
      </c>
      <c r="I323" s="23" t="s">
        <v>92</v>
      </c>
      <c r="J323" s="0" t="n">
        <v>211</v>
      </c>
      <c r="K323" s="0" t="n">
        <v>63</v>
      </c>
      <c r="L323" s="0" t="n">
        <v>76</v>
      </c>
      <c r="M323" s="0" t="n">
        <v>1374.73</v>
      </c>
      <c r="N323" s="0" t="n">
        <v>73.01</v>
      </c>
      <c r="O323" s="0" t="n">
        <v>45.41</v>
      </c>
      <c r="P323" s="0" t="n">
        <v>4.5</v>
      </c>
      <c r="Q323" s="0" t="n">
        <v>3.91</v>
      </c>
      <c r="R323" s="0" t="n">
        <v>6082</v>
      </c>
      <c r="S323" s="0" t="n">
        <v>11336</v>
      </c>
      <c r="T323" s="0" t="n">
        <v>66.45</v>
      </c>
      <c r="U323" s="0" t="n">
        <v>1290</v>
      </c>
      <c r="V323" s="0" t="n">
        <v>5</v>
      </c>
      <c r="W323" s="0" t="str">
        <f aca="false">IF(OR(AND(B323&gt;=1,B323&lt;=6),B323=10),"Vaca em lactação",IF(I323="Male","Macho",IF(E323&gt;=1,"Vaca seca",IF(I323="Youngstock","Bezerra/recria","Novilha"))))</f>
        <v>Vaca em lactação</v>
      </c>
      <c r="X323" s="0" t="str">
        <f aca="false">IF(AND(B323&gt;=1,B323&lt;=6),"Tanque",IF(B323=10,"Descarte",""))</f>
        <v>Tanque</v>
      </c>
    </row>
    <row r="324" customFormat="false" ht="15" hidden="false" customHeight="false" outlineLevel="0" collapsed="false">
      <c r="A324" s="22" t="n">
        <v>46309</v>
      </c>
      <c r="B324" s="0" t="n">
        <v>2</v>
      </c>
      <c r="C324" s="0" t="n">
        <v>4636</v>
      </c>
      <c r="D324" s="0" t="n">
        <v>241</v>
      </c>
      <c r="E324" s="0" t="n">
        <v>2</v>
      </c>
      <c r="F324" s="23" t="s">
        <v>319</v>
      </c>
      <c r="G324" s="0" t="n">
        <v>54</v>
      </c>
      <c r="H324" s="0" t="n">
        <v>51</v>
      </c>
      <c r="I324" s="23" t="s">
        <v>97</v>
      </c>
      <c r="J324" s="0" t="n">
        <v>241</v>
      </c>
      <c r="K324" s="0" t="n">
        <v>66</v>
      </c>
      <c r="M324" s="0" t="n">
        <v>1192.86</v>
      </c>
      <c r="N324" s="0" t="n">
        <v>61.9</v>
      </c>
      <c r="O324" s="0" t="n">
        <v>31.89</v>
      </c>
      <c r="P324" s="0" t="n">
        <v>3.97</v>
      </c>
      <c r="Q324" s="0" t="n">
        <v>3.37</v>
      </c>
      <c r="R324" s="0" t="n">
        <v>4282</v>
      </c>
      <c r="S324" s="0" t="n">
        <v>9898</v>
      </c>
      <c r="T324" s="0" t="n">
        <v>47.2</v>
      </c>
      <c r="U324" s="0" t="n">
        <v>1291</v>
      </c>
      <c r="V324" s="0" t="n">
        <v>6</v>
      </c>
      <c r="W324" s="0" t="str">
        <f aca="false">IF(OR(AND(B324&gt;=1,B324&lt;=6),B324=10),"Vaca em lactação",IF(I324="Male","Macho",IF(E324&gt;=1,"Vaca seca",IF(I324="Youngstock","Bezerra/recria","Novilha"))))</f>
        <v>Vaca em lactação</v>
      </c>
      <c r="X324" s="0" t="str">
        <f aca="false">IF(AND(B324&gt;=1,B324&lt;=6),"Tanque",IF(B324=10,"Descarte",""))</f>
        <v>Tanque</v>
      </c>
    </row>
    <row r="325" customFormat="false" ht="15" hidden="false" customHeight="false" outlineLevel="0" collapsed="false">
      <c r="A325" s="22" t="n">
        <v>46309</v>
      </c>
      <c r="B325" s="0" t="n">
        <v>2</v>
      </c>
      <c r="C325" s="0" t="n">
        <v>4647</v>
      </c>
      <c r="D325" s="0" t="n">
        <v>96</v>
      </c>
      <c r="E325" s="0" t="n">
        <v>2</v>
      </c>
      <c r="F325" s="23" t="s">
        <v>320</v>
      </c>
      <c r="G325" s="0" t="n">
        <v>46</v>
      </c>
      <c r="H325" s="0" t="n">
        <v>46</v>
      </c>
      <c r="I325" s="23" t="s">
        <v>109</v>
      </c>
      <c r="J325" s="0" t="n">
        <v>96</v>
      </c>
      <c r="M325" s="0" t="n">
        <v>866.17</v>
      </c>
      <c r="N325" s="0" t="n">
        <v>59.84</v>
      </c>
      <c r="O325" s="0" t="n">
        <v>42.04</v>
      </c>
      <c r="P325" s="0" t="n">
        <v>3.11</v>
      </c>
      <c r="Q325" s="0" t="n">
        <v>3.21</v>
      </c>
      <c r="R325" s="0" t="n">
        <v>4604</v>
      </c>
      <c r="S325" s="0" t="n">
        <v>9256</v>
      </c>
      <c r="T325" s="0" t="n">
        <v>52.15</v>
      </c>
      <c r="U325" s="0" t="n">
        <v>1285</v>
      </c>
      <c r="V325" s="0" t="n">
        <v>0</v>
      </c>
      <c r="W325" s="0" t="str">
        <f aca="false">IF(OR(AND(B325&gt;=1,B325&lt;=6),B325=10),"Vaca em lactação",IF(I325="Male","Macho",IF(E325&gt;=1,"Vaca seca",IF(I325="Youngstock","Bezerra/recria","Novilha"))))</f>
        <v>Vaca em lactação</v>
      </c>
      <c r="X325" s="0" t="str">
        <f aca="false">IF(AND(B325&gt;=1,B325&lt;=6),"Tanque",IF(B325=10,"Descarte",""))</f>
        <v>Tanque</v>
      </c>
    </row>
    <row r="326" customFormat="false" ht="15" hidden="false" customHeight="false" outlineLevel="0" collapsed="false">
      <c r="A326" s="22" t="n">
        <v>46309</v>
      </c>
      <c r="B326" s="0" t="n">
        <v>2</v>
      </c>
      <c r="C326" s="0" t="n">
        <v>4646</v>
      </c>
      <c r="D326" s="0" t="n">
        <v>188</v>
      </c>
      <c r="E326" s="0" t="n">
        <v>2</v>
      </c>
      <c r="F326" s="23" t="s">
        <v>321</v>
      </c>
      <c r="G326" s="0" t="n">
        <v>45.1</v>
      </c>
      <c r="H326" s="0" t="n">
        <v>49</v>
      </c>
      <c r="I326" s="23" t="s">
        <v>97</v>
      </c>
      <c r="J326" s="0" t="n">
        <v>188</v>
      </c>
      <c r="K326" s="0" t="n">
        <v>62</v>
      </c>
      <c r="M326" s="0" t="n">
        <v>1302.25</v>
      </c>
      <c r="N326" s="0" t="n">
        <v>72.78</v>
      </c>
      <c r="O326" s="0" t="n">
        <v>45.8</v>
      </c>
      <c r="P326" s="0" t="n">
        <v>4.23</v>
      </c>
      <c r="Q326" s="0" t="n">
        <v>3.41</v>
      </c>
      <c r="R326" s="0" t="n">
        <v>4869</v>
      </c>
      <c r="S326" s="0" t="n">
        <v>9264</v>
      </c>
      <c r="T326" s="0" t="n">
        <v>56.5</v>
      </c>
      <c r="U326" s="0" t="n">
        <v>1288</v>
      </c>
      <c r="V326" s="0" t="n">
        <v>4</v>
      </c>
      <c r="W326" s="0" t="str">
        <f aca="false">IF(OR(AND(B326&gt;=1,B326&lt;=6),B326=10),"Vaca em lactação",IF(I326="Male","Macho",IF(E326&gt;=1,"Vaca seca",IF(I326="Youngstock","Bezerra/recria","Novilha"))))</f>
        <v>Vaca em lactação</v>
      </c>
      <c r="X326" s="0" t="str">
        <f aca="false">IF(AND(B326&gt;=1,B326&lt;=6),"Tanque",IF(B326=10,"Descarte",""))</f>
        <v>Tanque</v>
      </c>
    </row>
    <row r="327" customFormat="false" ht="15" hidden="false" customHeight="false" outlineLevel="0" collapsed="false">
      <c r="A327" s="22" t="n">
        <v>46309</v>
      </c>
      <c r="B327" s="0" t="n">
        <v>2</v>
      </c>
      <c r="C327" s="0" t="n">
        <v>4652</v>
      </c>
      <c r="D327" s="0" t="n">
        <v>231</v>
      </c>
      <c r="E327" s="0" t="n">
        <v>2</v>
      </c>
      <c r="F327" s="23" t="s">
        <v>322</v>
      </c>
      <c r="G327" s="0" t="n">
        <v>51.5</v>
      </c>
      <c r="H327" s="0" t="n">
        <v>51</v>
      </c>
      <c r="I327" s="23" t="s">
        <v>97</v>
      </c>
      <c r="J327" s="0" t="n">
        <v>231</v>
      </c>
      <c r="K327" s="0" t="n">
        <v>63</v>
      </c>
      <c r="M327" s="0" t="n">
        <v>1075.86</v>
      </c>
      <c r="N327" s="0" t="n">
        <v>31.03</v>
      </c>
      <c r="O327" s="0" t="n">
        <v>35.27</v>
      </c>
      <c r="P327" s="0" t="n">
        <v>2.58</v>
      </c>
      <c r="Q327" s="0" t="n">
        <v>3.48</v>
      </c>
      <c r="R327" s="0" t="n">
        <v>5885</v>
      </c>
      <c r="S327" s="0" t="n">
        <v>11715</v>
      </c>
      <c r="T327" s="0" t="n">
        <v>69.45</v>
      </c>
      <c r="U327" s="0" t="n">
        <v>1282</v>
      </c>
      <c r="V327" s="0" t="n">
        <v>6</v>
      </c>
      <c r="W327" s="0" t="str">
        <f aca="false">IF(OR(AND(B327&gt;=1,B327&lt;=6),B327=10),"Vaca em lactação",IF(I327="Male","Macho",IF(E327&gt;=1,"Vaca seca",IF(I327="Youngstock","Bezerra/recria","Novilha"))))</f>
        <v>Vaca em lactação</v>
      </c>
      <c r="X327" s="0" t="str">
        <f aca="false">IF(AND(B327&gt;=1,B327&lt;=6),"Tanque",IF(B327=10,"Descarte",""))</f>
        <v>Tanque</v>
      </c>
    </row>
    <row r="328" customFormat="false" ht="15" hidden="false" customHeight="false" outlineLevel="0" collapsed="false">
      <c r="A328" s="22" t="n">
        <v>46309</v>
      </c>
      <c r="B328" s="0" t="n">
        <v>2</v>
      </c>
      <c r="C328" s="0" t="n">
        <v>4728</v>
      </c>
      <c r="D328" s="0" t="n">
        <v>242</v>
      </c>
      <c r="E328" s="0" t="n">
        <v>2</v>
      </c>
      <c r="F328" s="23" t="s">
        <v>323</v>
      </c>
      <c r="G328" s="0" t="n">
        <v>40.7</v>
      </c>
      <c r="H328" s="0" t="n">
        <v>60</v>
      </c>
      <c r="I328" s="23" t="s">
        <v>97</v>
      </c>
      <c r="J328" s="0" t="n">
        <v>242</v>
      </c>
      <c r="K328" s="0" t="n">
        <v>67</v>
      </c>
      <c r="M328" s="0" t="n">
        <v>703.82</v>
      </c>
      <c r="N328" s="0" t="n">
        <v>68.46</v>
      </c>
      <c r="O328" s="0" t="n">
        <v>34.9</v>
      </c>
      <c r="P328" s="0" t="n">
        <v>2.93</v>
      </c>
      <c r="Q328" s="0" t="n">
        <v>3.37</v>
      </c>
      <c r="R328" s="0" t="n">
        <v>5822</v>
      </c>
      <c r="S328" s="0" t="n">
        <v>12908</v>
      </c>
      <c r="T328" s="0" t="n">
        <v>62.9</v>
      </c>
      <c r="U328" s="0" t="n">
        <v>1236</v>
      </c>
      <c r="V328" s="0" t="n">
        <v>6</v>
      </c>
      <c r="W328" s="0" t="str">
        <f aca="false">IF(OR(AND(B328&gt;=1,B328&lt;=6),B328=10),"Vaca em lactação",IF(I328="Male","Macho",IF(E328&gt;=1,"Vaca seca",IF(I328="Youngstock","Bezerra/recria","Novilha"))))</f>
        <v>Vaca em lactação</v>
      </c>
      <c r="X328" s="0" t="str">
        <f aca="false">IF(AND(B328&gt;=1,B328&lt;=6),"Tanque",IF(B328=10,"Descarte",""))</f>
        <v>Tanque</v>
      </c>
    </row>
    <row r="329" customFormat="false" ht="15" hidden="false" customHeight="false" outlineLevel="0" collapsed="false">
      <c r="A329" s="22" t="n">
        <v>46309</v>
      </c>
      <c r="B329" s="0" t="n">
        <v>2</v>
      </c>
      <c r="C329" s="0" t="n">
        <v>4737</v>
      </c>
      <c r="D329" s="0" t="n">
        <v>227</v>
      </c>
      <c r="E329" s="0" t="n">
        <v>2</v>
      </c>
      <c r="F329" s="23" t="s">
        <v>324</v>
      </c>
      <c r="G329" s="0" t="n">
        <v>45</v>
      </c>
      <c r="H329" s="0" t="n">
        <v>48</v>
      </c>
      <c r="I329" s="23" t="s">
        <v>92</v>
      </c>
      <c r="J329" s="0" t="n">
        <v>73</v>
      </c>
      <c r="K329" s="0" t="n">
        <v>73</v>
      </c>
      <c r="L329" s="0" t="n">
        <v>154</v>
      </c>
      <c r="M329" s="0" t="n">
        <v>321.24</v>
      </c>
      <c r="N329" s="0" t="n">
        <v>58.75</v>
      </c>
      <c r="O329" s="0" t="n">
        <v>34.66</v>
      </c>
      <c r="P329" s="0" t="n">
        <v>3.28</v>
      </c>
      <c r="Q329" s="0" t="n">
        <v>3.63</v>
      </c>
      <c r="R329" s="0" t="n">
        <v>4210</v>
      </c>
      <c r="S329" s="0" t="n">
        <v>9653</v>
      </c>
      <c r="T329" s="0" t="n">
        <v>51.25</v>
      </c>
      <c r="U329" s="0" t="n">
        <v>1232</v>
      </c>
      <c r="V329" s="0" t="n">
        <v>1</v>
      </c>
      <c r="W329" s="0" t="str">
        <f aca="false">IF(OR(AND(B329&gt;=1,B329&lt;=6),B329=10),"Vaca em lactação",IF(I329="Male","Macho",IF(E329&gt;=1,"Vaca seca",IF(I329="Youngstock","Bezerra/recria","Novilha"))))</f>
        <v>Vaca em lactação</v>
      </c>
      <c r="X329" s="0" t="str">
        <f aca="false">IF(AND(B329&gt;=1,B329&lt;=6),"Tanque",IF(B329=10,"Descarte",""))</f>
        <v>Tanque</v>
      </c>
    </row>
    <row r="330" customFormat="false" ht="15" hidden="false" customHeight="false" outlineLevel="0" collapsed="false">
      <c r="A330" s="22" t="n">
        <v>46309</v>
      </c>
      <c r="B330" s="0" t="n">
        <v>2</v>
      </c>
      <c r="C330" s="0" t="n">
        <v>4733</v>
      </c>
      <c r="D330" s="0" t="n">
        <v>194</v>
      </c>
      <c r="E330" s="0" t="n">
        <v>2</v>
      </c>
      <c r="F330" s="23" t="s">
        <v>325</v>
      </c>
      <c r="G330" s="0" t="n">
        <v>52.6</v>
      </c>
      <c r="H330" s="0" t="n">
        <v>55</v>
      </c>
      <c r="I330" s="23" t="s">
        <v>92</v>
      </c>
      <c r="J330" s="0" t="n">
        <v>68</v>
      </c>
      <c r="K330" s="0" t="n">
        <v>68</v>
      </c>
      <c r="L330" s="0" t="n">
        <v>126</v>
      </c>
      <c r="M330" s="0" t="n">
        <v>925.77</v>
      </c>
      <c r="N330" s="0" t="n">
        <v>33.01</v>
      </c>
      <c r="O330" s="0" t="n">
        <v>21.78</v>
      </c>
      <c r="P330" s="0" t="n">
        <v>3.67</v>
      </c>
      <c r="Q330" s="0" t="n">
        <v>3.25</v>
      </c>
      <c r="R330" s="0" t="n">
        <v>5951</v>
      </c>
      <c r="S330" s="0" t="n">
        <v>12118</v>
      </c>
      <c r="T330" s="0" t="n">
        <v>66.9</v>
      </c>
      <c r="U330" s="0" t="n">
        <v>1233</v>
      </c>
      <c r="V330" s="0" t="n">
        <v>1</v>
      </c>
      <c r="W330" s="0" t="str">
        <f aca="false">IF(OR(AND(B330&gt;=1,B330&lt;=6),B330=10),"Vaca em lactação",IF(I330="Male","Macho",IF(E330&gt;=1,"Vaca seca",IF(I330="Youngstock","Bezerra/recria","Novilha"))))</f>
        <v>Vaca em lactação</v>
      </c>
      <c r="X330" s="0" t="str">
        <f aca="false">IF(AND(B330&gt;=1,B330&lt;=6),"Tanque",IF(B330=10,"Descarte",""))</f>
        <v>Tanque</v>
      </c>
    </row>
    <row r="331" customFormat="false" ht="15" hidden="false" customHeight="false" outlineLevel="0" collapsed="false">
      <c r="A331" s="22" t="n">
        <v>46309</v>
      </c>
      <c r="B331" s="0" t="n">
        <v>2</v>
      </c>
      <c r="C331" s="0" t="n">
        <v>4742</v>
      </c>
      <c r="D331" s="0" t="n">
        <v>199</v>
      </c>
      <c r="E331" s="0" t="n">
        <v>2</v>
      </c>
      <c r="F331" s="23" t="s">
        <v>326</v>
      </c>
      <c r="G331" s="0" t="n">
        <v>63.4</v>
      </c>
      <c r="H331" s="0" t="n">
        <v>63</v>
      </c>
      <c r="I331" s="23" t="s">
        <v>92</v>
      </c>
      <c r="J331" s="0" t="n">
        <v>143</v>
      </c>
      <c r="K331" s="0" t="n">
        <v>66</v>
      </c>
      <c r="L331" s="0" t="n">
        <v>56</v>
      </c>
      <c r="M331" s="0" t="n">
        <v>344.43</v>
      </c>
      <c r="N331" s="0" t="n">
        <v>55.77</v>
      </c>
      <c r="O331" s="0" t="n">
        <v>35.19</v>
      </c>
      <c r="P331" s="0" t="n">
        <v>3.77</v>
      </c>
      <c r="Q331" s="0" t="n">
        <v>3.29</v>
      </c>
      <c r="R331" s="0" t="n">
        <v>5557</v>
      </c>
      <c r="S331" s="0" t="n">
        <v>12249</v>
      </c>
      <c r="T331" s="0" t="n">
        <v>63</v>
      </c>
      <c r="U331" s="0" t="n">
        <v>1231</v>
      </c>
      <c r="V331" s="0" t="n">
        <v>4</v>
      </c>
      <c r="W331" s="0" t="str">
        <f aca="false">IF(OR(AND(B331&gt;=1,B331&lt;=6),B331=10),"Vaca em lactação",IF(I331="Male","Macho",IF(E331&gt;=1,"Vaca seca",IF(I331="Youngstock","Bezerra/recria","Novilha"))))</f>
        <v>Vaca em lactação</v>
      </c>
      <c r="X331" s="0" t="str">
        <f aca="false">IF(AND(B331&gt;=1,B331&lt;=6),"Tanque",IF(B331=10,"Descarte",""))</f>
        <v>Tanque</v>
      </c>
    </row>
    <row r="332" customFormat="false" ht="15" hidden="false" customHeight="false" outlineLevel="0" collapsed="false">
      <c r="A332" s="22" t="n">
        <v>46309</v>
      </c>
      <c r="B332" s="0" t="n">
        <v>2</v>
      </c>
      <c r="C332" s="0" t="n">
        <v>4741</v>
      </c>
      <c r="D332" s="0" t="n">
        <v>274</v>
      </c>
      <c r="E332" s="0" t="n">
        <v>2</v>
      </c>
      <c r="F332" s="23" t="s">
        <v>324</v>
      </c>
      <c r="G332" s="0" t="n">
        <v>48.7</v>
      </c>
      <c r="H332" s="0" t="n">
        <v>51</v>
      </c>
      <c r="I332" s="23" t="s">
        <v>92</v>
      </c>
      <c r="J332" s="0" t="n">
        <v>101</v>
      </c>
      <c r="K332" s="0" t="n">
        <v>78</v>
      </c>
      <c r="L332" s="0" t="n">
        <v>173</v>
      </c>
      <c r="M332" s="0" t="n">
        <v>636.72</v>
      </c>
      <c r="N332" s="0" t="n">
        <v>54.19</v>
      </c>
      <c r="O332" s="0" t="n">
        <v>42.71</v>
      </c>
      <c r="P332" s="0" t="n">
        <v>3.65</v>
      </c>
      <c r="Q332" s="0" t="n">
        <v>3.85</v>
      </c>
      <c r="R332" s="0" t="n">
        <v>5496</v>
      </c>
      <c r="S332" s="0" t="n">
        <v>11678</v>
      </c>
      <c r="T332" s="0" t="n">
        <v>56.8</v>
      </c>
      <c r="U332" s="0" t="n">
        <v>1232</v>
      </c>
      <c r="V332" s="0" t="n">
        <v>2</v>
      </c>
      <c r="W332" s="0" t="str">
        <f aca="false">IF(OR(AND(B332&gt;=1,B332&lt;=6),B332=10),"Vaca em lactação",IF(I332="Male","Macho",IF(E332&gt;=1,"Vaca seca",IF(I332="Youngstock","Bezerra/recria","Novilha"))))</f>
        <v>Vaca em lactação</v>
      </c>
      <c r="X332" s="0" t="str">
        <f aca="false">IF(AND(B332&gt;=1,B332&lt;=6),"Tanque",IF(B332=10,"Descarte",""))</f>
        <v>Tanque</v>
      </c>
    </row>
    <row r="333" customFormat="false" ht="15" hidden="false" customHeight="false" outlineLevel="0" collapsed="false">
      <c r="A333" s="22" t="n">
        <v>46309</v>
      </c>
      <c r="B333" s="0" t="n">
        <v>2</v>
      </c>
      <c r="C333" s="0" t="n">
        <v>4739</v>
      </c>
      <c r="D333" s="0" t="n">
        <v>264</v>
      </c>
      <c r="E333" s="0" t="n">
        <v>2</v>
      </c>
      <c r="F333" s="23" t="s">
        <v>324</v>
      </c>
      <c r="G333" s="0" t="n">
        <v>48.2</v>
      </c>
      <c r="H333" s="0" t="n">
        <v>51</v>
      </c>
      <c r="I333" s="23" t="s">
        <v>109</v>
      </c>
      <c r="J333" s="0" t="n">
        <v>264</v>
      </c>
      <c r="K333" s="0" t="n">
        <v>68</v>
      </c>
      <c r="M333" s="0" t="n">
        <v>527.19</v>
      </c>
      <c r="N333" s="0" t="n">
        <v>55.72</v>
      </c>
      <c r="O333" s="0" t="n">
        <v>38.57</v>
      </c>
      <c r="P333" s="0" t="n">
        <v>3.93</v>
      </c>
      <c r="Q333" s="0" t="n">
        <v>3.7</v>
      </c>
      <c r="R333" s="0" t="n">
        <v>5125</v>
      </c>
      <c r="S333" s="0" t="n">
        <v>11521</v>
      </c>
      <c r="T333" s="0" t="n">
        <v>57.8</v>
      </c>
      <c r="U333" s="0" t="n">
        <v>1232</v>
      </c>
      <c r="V333" s="0" t="n">
        <v>3</v>
      </c>
      <c r="W333" s="0" t="str">
        <f aca="false">IF(OR(AND(B333&gt;=1,B333&lt;=6),B333=10),"Vaca em lactação",IF(I333="Male","Macho",IF(E333&gt;=1,"Vaca seca",IF(I333="Youngstock","Bezerra/recria","Novilha"))))</f>
        <v>Vaca em lactação</v>
      </c>
      <c r="X333" s="0" t="str">
        <f aca="false">IF(AND(B333&gt;=1,B333&lt;=6),"Tanque",IF(B333=10,"Descarte",""))</f>
        <v>Tanque</v>
      </c>
    </row>
    <row r="334" customFormat="false" ht="15" hidden="false" customHeight="false" outlineLevel="0" collapsed="false">
      <c r="A334" s="22" t="n">
        <v>46309</v>
      </c>
      <c r="B334" s="0" t="n">
        <v>2</v>
      </c>
      <c r="C334" s="0" t="n">
        <v>4703</v>
      </c>
      <c r="D334" s="0" t="n">
        <v>278</v>
      </c>
      <c r="E334" s="0" t="n">
        <v>2</v>
      </c>
      <c r="F334" s="23" t="s">
        <v>327</v>
      </c>
      <c r="G334" s="0" t="n">
        <v>41.4</v>
      </c>
      <c r="H334" s="0" t="n">
        <v>46</v>
      </c>
      <c r="I334" s="23" t="s">
        <v>92</v>
      </c>
      <c r="J334" s="0" t="n">
        <v>68</v>
      </c>
      <c r="K334" s="0" t="n">
        <v>68</v>
      </c>
      <c r="L334" s="0" t="n">
        <v>210</v>
      </c>
      <c r="M334" s="0" t="n">
        <v>1229.93</v>
      </c>
      <c r="N334" s="0" t="n">
        <v>53.53</v>
      </c>
      <c r="O334" s="0" t="n">
        <v>40.08</v>
      </c>
      <c r="P334" s="0" t="n">
        <v>3.84</v>
      </c>
      <c r="Q334" s="0" t="n">
        <v>3.07</v>
      </c>
      <c r="R334" s="0" t="n">
        <v>5404</v>
      </c>
      <c r="S334" s="0" t="n">
        <v>12149</v>
      </c>
      <c r="T334" s="0" t="n">
        <v>55.65</v>
      </c>
      <c r="U334" s="0" t="n">
        <v>1253</v>
      </c>
      <c r="V334" s="0" t="n">
        <v>1</v>
      </c>
      <c r="W334" s="0" t="str">
        <f aca="false">IF(OR(AND(B334&gt;=1,B334&lt;=6),B334=10),"Vaca em lactação",IF(I334="Male","Macho",IF(E334&gt;=1,"Vaca seca",IF(I334="Youngstock","Bezerra/recria","Novilha"))))</f>
        <v>Vaca em lactação</v>
      </c>
      <c r="X334" s="0" t="str">
        <f aca="false">IF(AND(B334&gt;=1,B334&lt;=6),"Tanque",IF(B334=10,"Descarte",""))</f>
        <v>Tanque</v>
      </c>
    </row>
    <row r="335" customFormat="false" ht="15" hidden="false" customHeight="false" outlineLevel="0" collapsed="false">
      <c r="A335" s="22" t="n">
        <v>46309</v>
      </c>
      <c r="B335" s="0" t="n">
        <v>2</v>
      </c>
      <c r="C335" s="0" t="n">
        <v>4713</v>
      </c>
      <c r="D335" s="0" t="n">
        <v>183</v>
      </c>
      <c r="E335" s="0" t="n">
        <v>2</v>
      </c>
      <c r="F335" s="23" t="s">
        <v>328</v>
      </c>
      <c r="G335" s="0" t="n">
        <v>54</v>
      </c>
      <c r="H335" s="0" t="n">
        <v>55</v>
      </c>
      <c r="I335" s="23" t="s">
        <v>92</v>
      </c>
      <c r="J335" s="0" t="n">
        <v>134</v>
      </c>
      <c r="K335" s="0" t="n">
        <v>64</v>
      </c>
      <c r="L335" s="0" t="n">
        <v>49</v>
      </c>
      <c r="M335" s="0" t="n">
        <v>999.8</v>
      </c>
      <c r="N335" s="0" t="n">
        <v>78.74</v>
      </c>
      <c r="O335" s="0" t="n">
        <v>41.63</v>
      </c>
      <c r="P335" s="0" t="n">
        <v>3</v>
      </c>
      <c r="Q335" s="0" t="n">
        <v>3.44</v>
      </c>
      <c r="R335" s="0" t="n">
        <v>6009</v>
      </c>
      <c r="S335" s="0" t="n">
        <v>12254</v>
      </c>
      <c r="T335" s="0" t="n">
        <v>63.6</v>
      </c>
      <c r="U335" s="0" t="n">
        <v>1246</v>
      </c>
      <c r="V335" s="0" t="n">
        <v>3</v>
      </c>
      <c r="W335" s="0" t="str">
        <f aca="false">IF(OR(AND(B335&gt;=1,B335&lt;=6),B335=10),"Vaca em lactação",IF(I335="Male","Macho",IF(E335&gt;=1,"Vaca seca",IF(I335="Youngstock","Bezerra/recria","Novilha"))))</f>
        <v>Vaca em lactação</v>
      </c>
      <c r="X335" s="0" t="str">
        <f aca="false">IF(AND(B335&gt;=1,B335&lt;=6),"Tanque",IF(B335=10,"Descarte",""))</f>
        <v>Tanque</v>
      </c>
    </row>
    <row r="336" customFormat="false" ht="15" hidden="false" customHeight="false" outlineLevel="0" collapsed="false">
      <c r="A336" s="22" t="n">
        <v>46309</v>
      </c>
      <c r="B336" s="0" t="n">
        <v>2</v>
      </c>
      <c r="C336" s="0" t="n">
        <v>4712</v>
      </c>
      <c r="D336" s="0" t="n">
        <v>125</v>
      </c>
      <c r="E336" s="0" t="n">
        <v>2</v>
      </c>
      <c r="F336" s="23" t="s">
        <v>328</v>
      </c>
      <c r="G336" s="0" t="n">
        <v>53.9</v>
      </c>
      <c r="H336" s="0" t="n">
        <v>55</v>
      </c>
      <c r="I336" s="23" t="s">
        <v>109</v>
      </c>
      <c r="J336" s="0" t="n">
        <v>125</v>
      </c>
      <c r="K336" s="0" t="n">
        <v>66</v>
      </c>
      <c r="M336" s="0" t="n">
        <v>1086.87</v>
      </c>
      <c r="N336" s="0" t="n">
        <v>33.02</v>
      </c>
      <c r="O336" s="0" t="n">
        <v>38.44</v>
      </c>
      <c r="P336" s="0" t="n">
        <v>2.59</v>
      </c>
      <c r="Q336" s="0" t="n">
        <v>3.55</v>
      </c>
      <c r="R336" s="0" t="n">
        <v>5153</v>
      </c>
      <c r="S336" s="0" t="n">
        <v>10609</v>
      </c>
      <c r="T336" s="0" t="n">
        <v>55.85</v>
      </c>
      <c r="U336" s="0" t="n">
        <v>1246</v>
      </c>
      <c r="V336" s="0" t="n">
        <v>1</v>
      </c>
      <c r="W336" s="0" t="str">
        <f aca="false">IF(OR(AND(B336&gt;=1,B336&lt;=6),B336=10),"Vaca em lactação",IF(I336="Male","Macho",IF(E336&gt;=1,"Vaca seca",IF(I336="Youngstock","Bezerra/recria","Novilha"))))</f>
        <v>Vaca em lactação</v>
      </c>
      <c r="X336" s="0" t="str">
        <f aca="false">IF(AND(B336&gt;=1,B336&lt;=6),"Tanque",IF(B336=10,"Descarte",""))</f>
        <v>Tanque</v>
      </c>
    </row>
    <row r="337" customFormat="false" ht="15" hidden="false" customHeight="false" outlineLevel="0" collapsed="false">
      <c r="A337" s="22" t="n">
        <v>46309</v>
      </c>
      <c r="B337" s="0" t="n">
        <v>2</v>
      </c>
      <c r="C337" s="0" t="n">
        <v>4718</v>
      </c>
      <c r="D337" s="0" t="n">
        <v>274</v>
      </c>
      <c r="E337" s="0" t="n">
        <v>2</v>
      </c>
      <c r="F337" s="23" t="s">
        <v>329</v>
      </c>
      <c r="G337" s="0" t="n">
        <v>44.8</v>
      </c>
      <c r="H337" s="0" t="n">
        <v>44</v>
      </c>
      <c r="I337" s="23" t="s">
        <v>97</v>
      </c>
      <c r="J337" s="0" t="n">
        <v>274</v>
      </c>
      <c r="K337" s="0" t="n">
        <v>71</v>
      </c>
      <c r="M337" s="0" t="n">
        <v>-33.93</v>
      </c>
      <c r="N337" s="0" t="n">
        <v>47.87</v>
      </c>
      <c r="O337" s="0" t="n">
        <v>11.85</v>
      </c>
      <c r="P337" s="0" t="n">
        <v>3.42</v>
      </c>
      <c r="Q337" s="0" t="n">
        <v>3.31</v>
      </c>
      <c r="R337" s="0" t="n">
        <v>5348</v>
      </c>
      <c r="S337" s="0" t="n">
        <v>11165</v>
      </c>
      <c r="T337" s="0" t="n">
        <v>48.8</v>
      </c>
      <c r="U337" s="0" t="n">
        <v>1243</v>
      </c>
      <c r="V337" s="0" t="n">
        <v>6</v>
      </c>
      <c r="W337" s="0" t="str">
        <f aca="false">IF(OR(AND(B337&gt;=1,B337&lt;=6),B337=10),"Vaca em lactação",IF(I337="Male","Macho",IF(E337&gt;=1,"Vaca seca",IF(I337="Youngstock","Bezerra/recria","Novilha"))))</f>
        <v>Vaca em lactação</v>
      </c>
      <c r="X337" s="0" t="str">
        <f aca="false">IF(AND(B337&gt;=1,B337&lt;=6),"Tanque",IF(B337=10,"Descarte",""))</f>
        <v>Tanque</v>
      </c>
    </row>
    <row r="338" customFormat="false" ht="15" hidden="false" customHeight="false" outlineLevel="0" collapsed="false">
      <c r="A338" s="22" t="n">
        <v>46309</v>
      </c>
      <c r="B338" s="0" t="n">
        <v>2</v>
      </c>
      <c r="C338" s="0" t="n">
        <v>4936</v>
      </c>
      <c r="D338" s="0" t="n">
        <v>112</v>
      </c>
      <c r="E338" s="0" t="n">
        <v>2</v>
      </c>
      <c r="F338" s="23" t="s">
        <v>330</v>
      </c>
      <c r="G338" s="0" t="n">
        <v>70.4</v>
      </c>
      <c r="H338" s="0" t="n">
        <v>67</v>
      </c>
      <c r="I338" s="23" t="s">
        <v>97</v>
      </c>
      <c r="J338" s="0" t="n">
        <v>112</v>
      </c>
      <c r="K338" s="0" t="n">
        <v>63</v>
      </c>
      <c r="M338" s="0" t="n">
        <v>1168.59</v>
      </c>
      <c r="N338" s="0" t="n">
        <v>69.13</v>
      </c>
      <c r="O338" s="0" t="n">
        <v>50.29</v>
      </c>
      <c r="P338" s="0" t="n">
        <v>3.06</v>
      </c>
      <c r="Q338" s="0" t="n">
        <v>3.36</v>
      </c>
      <c r="R338" s="0" t="n">
        <v>5941</v>
      </c>
      <c r="S338" s="0" t="n">
        <v>12082</v>
      </c>
      <c r="T338" s="0" t="n">
        <v>65.3</v>
      </c>
      <c r="U338" s="0" t="n">
        <v>1152</v>
      </c>
      <c r="V338" s="0" t="n">
        <v>2</v>
      </c>
      <c r="W338" s="0" t="str">
        <f aca="false">IF(OR(AND(B338&gt;=1,B338&lt;=6),B338=10),"Vaca em lactação",IF(I338="Male","Macho",IF(E338&gt;=1,"Vaca seca",IF(I338="Youngstock","Bezerra/recria","Novilha"))))</f>
        <v>Vaca em lactação</v>
      </c>
      <c r="X338" s="0" t="str">
        <f aca="false">IF(AND(B338&gt;=1,B338&lt;=6),"Tanque",IF(B338=10,"Descarte",""))</f>
        <v>Tanque</v>
      </c>
    </row>
    <row r="339" customFormat="false" ht="15" hidden="false" customHeight="false" outlineLevel="0" collapsed="false">
      <c r="A339" s="22" t="n">
        <v>46309</v>
      </c>
      <c r="B339" s="0" t="n">
        <v>2</v>
      </c>
      <c r="C339" s="0" t="n">
        <v>4934</v>
      </c>
      <c r="D339" s="0" t="n">
        <v>174</v>
      </c>
      <c r="E339" s="0" t="n">
        <v>2</v>
      </c>
      <c r="F339" s="23" t="s">
        <v>330</v>
      </c>
      <c r="G339" s="0" t="n">
        <v>45.3</v>
      </c>
      <c r="H339" s="0" t="n">
        <v>49</v>
      </c>
      <c r="I339" s="23" t="s">
        <v>92</v>
      </c>
      <c r="J339" s="0" t="n">
        <v>98</v>
      </c>
      <c r="K339" s="0" t="n">
        <v>76</v>
      </c>
      <c r="L339" s="0" t="n">
        <v>76</v>
      </c>
      <c r="M339" s="0" t="n">
        <v>416.68</v>
      </c>
      <c r="N339" s="0" t="n">
        <v>66.06</v>
      </c>
      <c r="O339" s="0" t="n">
        <v>29.45</v>
      </c>
      <c r="P339" s="0" t="n">
        <v>4.2</v>
      </c>
      <c r="Q339" s="0" t="n">
        <v>3.55</v>
      </c>
      <c r="R339" s="0" t="n">
        <v>4648</v>
      </c>
      <c r="S339" s="0" t="n">
        <v>9730</v>
      </c>
      <c r="T339" s="0" t="n">
        <v>52.35</v>
      </c>
      <c r="U339" s="0" t="n">
        <v>1152</v>
      </c>
      <c r="V339" s="0" t="n">
        <v>2</v>
      </c>
      <c r="W339" s="0" t="str">
        <f aca="false">IF(OR(AND(B339&gt;=1,B339&lt;=6),B339=10),"Vaca em lactação",IF(I339="Male","Macho",IF(E339&gt;=1,"Vaca seca",IF(I339="Youngstock","Bezerra/recria","Novilha"))))</f>
        <v>Vaca em lactação</v>
      </c>
      <c r="X339" s="0" t="str">
        <f aca="false">IF(AND(B339&gt;=1,B339&lt;=6),"Tanque",IF(B339=10,"Descarte",""))</f>
        <v>Tanque</v>
      </c>
    </row>
    <row r="340" customFormat="false" ht="15" hidden="false" customHeight="false" outlineLevel="0" collapsed="false">
      <c r="A340" s="22" t="n">
        <v>46309</v>
      </c>
      <c r="B340" s="0" t="n">
        <v>2</v>
      </c>
      <c r="C340" s="0" t="n">
        <v>4937</v>
      </c>
      <c r="D340" s="0" t="n">
        <v>149</v>
      </c>
      <c r="E340" s="0" t="n">
        <v>2</v>
      </c>
      <c r="F340" s="23" t="s">
        <v>330</v>
      </c>
      <c r="G340" s="0" t="n">
        <v>64.1</v>
      </c>
      <c r="H340" s="0" t="n">
        <v>63</v>
      </c>
      <c r="I340" s="23" t="s">
        <v>92</v>
      </c>
      <c r="J340" s="0" t="n">
        <v>65</v>
      </c>
      <c r="K340" s="0" t="n">
        <v>65</v>
      </c>
      <c r="L340" s="0" t="n">
        <v>84</v>
      </c>
      <c r="M340" s="0" t="n">
        <v>1388.39</v>
      </c>
      <c r="N340" s="0" t="n">
        <v>16.63</v>
      </c>
      <c r="O340" s="0" t="n">
        <v>40.94</v>
      </c>
      <c r="P340" s="0" t="n">
        <v>2.63</v>
      </c>
      <c r="Q340" s="0" t="n">
        <v>3.43</v>
      </c>
      <c r="R340" s="0" t="n">
        <v>6658</v>
      </c>
      <c r="S340" s="0" t="n">
        <v>13130</v>
      </c>
      <c r="T340" s="0" t="n">
        <v>73.6</v>
      </c>
      <c r="U340" s="0" t="n">
        <v>1152</v>
      </c>
      <c r="V340" s="0" t="n">
        <v>1</v>
      </c>
      <c r="W340" s="0" t="str">
        <f aca="false">IF(OR(AND(B340&gt;=1,B340&lt;=6),B340=10),"Vaca em lactação",IF(I340="Male","Macho",IF(E340&gt;=1,"Vaca seca",IF(I340="Youngstock","Bezerra/recria","Novilha"))))</f>
        <v>Vaca em lactação</v>
      </c>
      <c r="X340" s="0" t="str">
        <f aca="false">IF(AND(B340&gt;=1,B340&lt;=6),"Tanque",IF(B340=10,"Descarte",""))</f>
        <v>Tanque</v>
      </c>
    </row>
    <row r="341" customFormat="false" ht="15" hidden="false" customHeight="false" outlineLevel="0" collapsed="false">
      <c r="A341" s="22" t="n">
        <v>46309</v>
      </c>
      <c r="B341" s="0" t="n">
        <v>2</v>
      </c>
      <c r="C341" s="0" t="n">
        <v>4938</v>
      </c>
      <c r="D341" s="0" t="n">
        <v>136</v>
      </c>
      <c r="E341" s="0" t="n">
        <v>2</v>
      </c>
      <c r="F341" s="23" t="s">
        <v>331</v>
      </c>
      <c r="G341" s="0" t="n">
        <v>50.9</v>
      </c>
      <c r="H341" s="0" t="n">
        <v>52</v>
      </c>
      <c r="I341" s="23" t="s">
        <v>92</v>
      </c>
      <c r="J341" s="0" t="n">
        <v>90</v>
      </c>
      <c r="K341" s="0" t="n">
        <v>66</v>
      </c>
      <c r="L341" s="0" t="n">
        <v>46</v>
      </c>
      <c r="M341" s="0" t="n">
        <v>-0.82</v>
      </c>
      <c r="N341" s="0" t="n">
        <v>50.9</v>
      </c>
      <c r="O341" s="0" t="n">
        <v>17.5</v>
      </c>
      <c r="P341" s="0" t="n">
        <v>4.11</v>
      </c>
      <c r="Q341" s="0" t="n">
        <v>3.2</v>
      </c>
      <c r="R341" s="0" t="n">
        <v>4927</v>
      </c>
      <c r="S341" s="0" t="n">
        <v>10330</v>
      </c>
      <c r="T341" s="0" t="n">
        <v>57.7</v>
      </c>
      <c r="U341" s="0" t="n">
        <v>1151</v>
      </c>
      <c r="V341" s="0" t="n">
        <v>2</v>
      </c>
      <c r="W341" s="0" t="str">
        <f aca="false">IF(OR(AND(B341&gt;=1,B341&lt;=6),B341=10),"Vaca em lactação",IF(I341="Male","Macho",IF(E341&gt;=1,"Vaca seca",IF(I341="Youngstock","Bezerra/recria","Novilha"))))</f>
        <v>Vaca em lactação</v>
      </c>
      <c r="X341" s="0" t="str">
        <f aca="false">IF(AND(B341&gt;=1,B341&lt;=6),"Tanque",IF(B341=10,"Descarte",""))</f>
        <v>Tanque</v>
      </c>
    </row>
    <row r="342" customFormat="false" ht="15" hidden="false" customHeight="false" outlineLevel="0" collapsed="false">
      <c r="A342" s="22" t="n">
        <v>46309</v>
      </c>
      <c r="B342" s="0" t="n">
        <v>2</v>
      </c>
      <c r="C342" s="0" t="n">
        <v>4939</v>
      </c>
      <c r="D342" s="0" t="n">
        <v>116</v>
      </c>
      <c r="E342" s="0" t="n">
        <v>2</v>
      </c>
      <c r="F342" s="23" t="s">
        <v>332</v>
      </c>
      <c r="G342" s="0" t="n">
        <v>54.4</v>
      </c>
      <c r="H342" s="0" t="n">
        <v>54</v>
      </c>
      <c r="I342" s="23" t="s">
        <v>97</v>
      </c>
      <c r="J342" s="0" t="n">
        <v>116</v>
      </c>
      <c r="K342" s="0" t="n">
        <v>67</v>
      </c>
      <c r="M342" s="0" t="n">
        <v>779.17</v>
      </c>
      <c r="N342" s="0" t="n">
        <v>22.9</v>
      </c>
      <c r="O342" s="0" t="n">
        <v>26.56</v>
      </c>
      <c r="P342" s="0" t="n">
        <v>2.82</v>
      </c>
      <c r="Q342" s="0" t="n">
        <v>3.2</v>
      </c>
      <c r="R342" s="0" t="n">
        <v>4738</v>
      </c>
      <c r="S342" s="0" t="n">
        <v>9712</v>
      </c>
      <c r="T342" s="0" t="n">
        <v>55.7</v>
      </c>
      <c r="U342" s="0" t="n">
        <v>1150</v>
      </c>
      <c r="V342" s="0" t="n">
        <v>3</v>
      </c>
      <c r="W342" s="0" t="str">
        <f aca="false">IF(OR(AND(B342&gt;=1,B342&lt;=6),B342=10),"Vaca em lactação",IF(I342="Male","Macho",IF(E342&gt;=1,"Vaca seca",IF(I342="Youngstock","Bezerra/recria","Novilha"))))</f>
        <v>Vaca em lactação</v>
      </c>
      <c r="X342" s="0" t="str">
        <f aca="false">IF(AND(B342&gt;=1,B342&lt;=6),"Tanque",IF(B342=10,"Descarte",""))</f>
        <v>Tanque</v>
      </c>
    </row>
    <row r="343" customFormat="false" ht="15" hidden="false" customHeight="false" outlineLevel="0" collapsed="false">
      <c r="A343" s="22" t="n">
        <v>46309</v>
      </c>
      <c r="B343" s="0" t="n">
        <v>2</v>
      </c>
      <c r="C343" s="0" t="n">
        <v>4923</v>
      </c>
      <c r="D343" s="0" t="n">
        <v>41</v>
      </c>
      <c r="E343" s="0" t="n">
        <v>2</v>
      </c>
      <c r="F343" s="23" t="s">
        <v>333</v>
      </c>
      <c r="G343" s="0" t="n">
        <v>59.5</v>
      </c>
      <c r="H343" s="0" t="n">
        <v>59</v>
      </c>
      <c r="I343" s="23" t="s">
        <v>94</v>
      </c>
      <c r="J343" s="0" t="n">
        <v>41</v>
      </c>
      <c r="M343" s="0" t="n">
        <v>700.32</v>
      </c>
      <c r="N343" s="0" t="n">
        <v>30.44</v>
      </c>
      <c r="O343" s="0" t="n">
        <v>27.73</v>
      </c>
      <c r="P343" s="0" t="n">
        <v>3.67</v>
      </c>
      <c r="Q343" s="0" t="n">
        <v>3.52</v>
      </c>
      <c r="R343" s="0" t="n">
        <v>5108</v>
      </c>
      <c r="S343" s="0" t="n">
        <v>10269</v>
      </c>
      <c r="U343" s="0" t="n">
        <v>1158</v>
      </c>
      <c r="V343" s="0" t="n">
        <v>0</v>
      </c>
      <c r="W343" s="0" t="str">
        <f aca="false">IF(OR(AND(B343&gt;=1,B343&lt;=6),B343=10),"Vaca em lactação",IF(I343="Male","Macho",IF(E343&gt;=1,"Vaca seca",IF(I343="Youngstock","Bezerra/recria","Novilha"))))</f>
        <v>Vaca em lactação</v>
      </c>
      <c r="X343" s="0" t="str">
        <f aca="false">IF(AND(B343&gt;=1,B343&lt;=6),"Tanque",IF(B343=10,"Descarte",""))</f>
        <v>Tanque</v>
      </c>
    </row>
    <row r="344" customFormat="false" ht="15" hidden="false" customHeight="false" outlineLevel="0" collapsed="false">
      <c r="A344" s="22" t="n">
        <v>46309</v>
      </c>
      <c r="B344" s="0" t="n">
        <v>2</v>
      </c>
      <c r="C344" s="0" t="n">
        <v>4928</v>
      </c>
      <c r="D344" s="0" t="n">
        <v>143</v>
      </c>
      <c r="E344" s="0" t="n">
        <v>2</v>
      </c>
      <c r="F344" s="23" t="s">
        <v>334</v>
      </c>
      <c r="G344" s="0" t="n">
        <v>59.7</v>
      </c>
      <c r="H344" s="0" t="n">
        <v>55</v>
      </c>
      <c r="I344" s="23" t="s">
        <v>97</v>
      </c>
      <c r="J344" s="0" t="n">
        <v>143</v>
      </c>
      <c r="K344" s="0" t="n">
        <v>66</v>
      </c>
      <c r="M344" s="0" t="n">
        <v>253.79</v>
      </c>
      <c r="N344" s="0" t="n">
        <v>83.52</v>
      </c>
      <c r="O344" s="0" t="n">
        <v>29.13</v>
      </c>
      <c r="P344" s="0" t="n">
        <v>3.64</v>
      </c>
      <c r="Q344" s="0" t="n">
        <v>3.25</v>
      </c>
      <c r="R344" s="0" t="n">
        <v>4982</v>
      </c>
      <c r="S344" s="0" t="n">
        <v>10316</v>
      </c>
      <c r="T344" s="0" t="n">
        <v>52.1</v>
      </c>
      <c r="U344" s="0" t="n">
        <v>1155</v>
      </c>
      <c r="V344" s="0" t="n">
        <v>2</v>
      </c>
      <c r="W344" s="0" t="str">
        <f aca="false">IF(OR(AND(B344&gt;=1,B344&lt;=6),B344=10),"Vaca em lactação",IF(I344="Male","Macho",IF(E344&gt;=1,"Vaca seca",IF(I344="Youngstock","Bezerra/recria","Novilha"))))</f>
        <v>Vaca em lactação</v>
      </c>
      <c r="X344" s="0" t="str">
        <f aca="false">IF(AND(B344&gt;=1,B344&lt;=6),"Tanque",IF(B344=10,"Descarte",""))</f>
        <v>Tanque</v>
      </c>
    </row>
    <row r="345" customFormat="false" ht="15" hidden="false" customHeight="false" outlineLevel="0" collapsed="false">
      <c r="A345" s="22" t="n">
        <v>46309</v>
      </c>
      <c r="B345" s="0" t="n">
        <v>2</v>
      </c>
      <c r="C345" s="0" t="n">
        <v>4967</v>
      </c>
      <c r="D345" s="0" t="n">
        <v>64</v>
      </c>
      <c r="E345" s="0" t="n">
        <v>2</v>
      </c>
      <c r="F345" s="23" t="s">
        <v>335</v>
      </c>
      <c r="G345" s="0" t="n">
        <v>28.6</v>
      </c>
      <c r="H345" s="0" t="n">
        <v>49</v>
      </c>
      <c r="I345" s="23" t="s">
        <v>97</v>
      </c>
      <c r="J345" s="0" t="n">
        <v>64</v>
      </c>
      <c r="K345" s="0" t="n">
        <v>64</v>
      </c>
      <c r="M345" s="0" t="n">
        <v>808.53</v>
      </c>
      <c r="N345" s="0" t="n">
        <v>51.19</v>
      </c>
      <c r="O345" s="0" t="n">
        <v>34.44</v>
      </c>
      <c r="P345" s="0" t="n">
        <v>3.62</v>
      </c>
      <c r="Q345" s="0" t="n">
        <v>2.96</v>
      </c>
      <c r="R345" s="0" t="n">
        <v>5126</v>
      </c>
      <c r="S345" s="0" t="n">
        <v>10303</v>
      </c>
      <c r="U345" s="0" t="n">
        <v>1139</v>
      </c>
      <c r="V345" s="0" t="n">
        <v>1</v>
      </c>
      <c r="W345" s="0" t="str">
        <f aca="false">IF(OR(AND(B345&gt;=1,B345&lt;=6),B345=10),"Vaca em lactação",IF(I345="Male","Macho",IF(E345&gt;=1,"Vaca seca",IF(I345="Youngstock","Bezerra/recria","Novilha"))))</f>
        <v>Vaca em lactação</v>
      </c>
      <c r="X345" s="0" t="str">
        <f aca="false">IF(AND(B345&gt;=1,B345&lt;=6),"Tanque",IF(B345=10,"Descarte",""))</f>
        <v>Tanque</v>
      </c>
    </row>
    <row r="346" customFormat="false" ht="15" hidden="false" customHeight="false" outlineLevel="0" collapsed="false">
      <c r="A346" s="22" t="n">
        <v>46309</v>
      </c>
      <c r="B346" s="0" t="n">
        <v>2</v>
      </c>
      <c r="C346" s="0" t="n">
        <v>4948</v>
      </c>
      <c r="D346" s="0" t="n">
        <v>96</v>
      </c>
      <c r="E346" s="0" t="n">
        <v>2</v>
      </c>
      <c r="F346" s="23" t="s">
        <v>336</v>
      </c>
      <c r="G346" s="0" t="n">
        <v>45.3</v>
      </c>
      <c r="H346" s="0" t="n">
        <v>60</v>
      </c>
      <c r="I346" s="23" t="s">
        <v>97</v>
      </c>
      <c r="J346" s="0" t="n">
        <v>96</v>
      </c>
      <c r="K346" s="0" t="n">
        <v>68</v>
      </c>
      <c r="M346" s="0" t="n">
        <v>560</v>
      </c>
      <c r="N346" s="0" t="n">
        <v>70.06</v>
      </c>
      <c r="O346" s="0" t="n">
        <v>42.29</v>
      </c>
      <c r="P346" s="0" t="n">
        <v>3.93</v>
      </c>
      <c r="Q346" s="0" t="n">
        <v>3.26</v>
      </c>
      <c r="R346" s="0" t="n">
        <v>5059</v>
      </c>
      <c r="S346" s="0" t="n">
        <v>10169</v>
      </c>
      <c r="T346" s="0" t="n">
        <v>57.5</v>
      </c>
      <c r="U346" s="0" t="n">
        <v>1147</v>
      </c>
      <c r="V346" s="0" t="n">
        <v>1</v>
      </c>
      <c r="W346" s="0" t="str">
        <f aca="false">IF(OR(AND(B346&gt;=1,B346&lt;=6),B346=10),"Vaca em lactação",IF(I346="Male","Macho",IF(E346&gt;=1,"Vaca seca",IF(I346="Youngstock","Bezerra/recria","Novilha"))))</f>
        <v>Vaca em lactação</v>
      </c>
      <c r="X346" s="0" t="str">
        <f aca="false">IF(AND(B346&gt;=1,B346&lt;=6),"Tanque",IF(B346=10,"Descarte",""))</f>
        <v>Tanque</v>
      </c>
    </row>
    <row r="347" customFormat="false" ht="15" hidden="false" customHeight="false" outlineLevel="0" collapsed="false">
      <c r="A347" s="22" t="n">
        <v>46309</v>
      </c>
      <c r="B347" s="0" t="n">
        <v>2</v>
      </c>
      <c r="C347" s="0" t="n">
        <v>4955</v>
      </c>
      <c r="D347" s="0" t="n">
        <v>140</v>
      </c>
      <c r="E347" s="0" t="n">
        <v>2</v>
      </c>
      <c r="F347" s="23" t="s">
        <v>337</v>
      </c>
      <c r="G347" s="0" t="n">
        <v>49</v>
      </c>
      <c r="H347" s="0" t="n">
        <v>51</v>
      </c>
      <c r="I347" s="23" t="s">
        <v>109</v>
      </c>
      <c r="J347" s="0" t="n">
        <v>140</v>
      </c>
      <c r="K347" s="0" t="n">
        <v>63</v>
      </c>
      <c r="M347" s="0" t="n">
        <v>1603.71</v>
      </c>
      <c r="N347" s="0" t="n">
        <v>28.88</v>
      </c>
      <c r="O347" s="0" t="n">
        <v>37.7</v>
      </c>
      <c r="P347" s="0" t="n">
        <v>3.25</v>
      </c>
      <c r="Q347" s="0" t="n">
        <v>3.03</v>
      </c>
      <c r="R347" s="0" t="n">
        <v>4939</v>
      </c>
      <c r="S347" s="0" t="n">
        <v>10014</v>
      </c>
      <c r="T347" s="0" t="n">
        <v>58.05</v>
      </c>
      <c r="U347" s="0" t="n">
        <v>1145</v>
      </c>
      <c r="V347" s="0" t="n">
        <v>2</v>
      </c>
      <c r="W347" s="0" t="str">
        <f aca="false">IF(OR(AND(B347&gt;=1,B347&lt;=6),B347=10),"Vaca em lactação",IF(I347="Male","Macho",IF(E347&gt;=1,"Vaca seca",IF(I347="Youngstock","Bezerra/recria","Novilha"))))</f>
        <v>Vaca em lactação</v>
      </c>
      <c r="X347" s="0" t="str">
        <f aca="false">IF(AND(B347&gt;=1,B347&lt;=6),"Tanque",IF(B347=10,"Descarte",""))</f>
        <v>Tanque</v>
      </c>
    </row>
    <row r="348" customFormat="false" ht="15" hidden="false" customHeight="false" outlineLevel="0" collapsed="false">
      <c r="A348" s="22" t="n">
        <v>46309</v>
      </c>
      <c r="B348" s="0" t="n">
        <v>2</v>
      </c>
      <c r="C348" s="0" t="n">
        <v>4952</v>
      </c>
      <c r="D348" s="0" t="n">
        <v>78</v>
      </c>
      <c r="E348" s="0" t="n">
        <v>2</v>
      </c>
      <c r="F348" s="23" t="s">
        <v>338</v>
      </c>
      <c r="G348" s="0" t="n">
        <v>63.5</v>
      </c>
      <c r="H348" s="0" t="n">
        <v>59</v>
      </c>
      <c r="I348" s="23" t="s">
        <v>97</v>
      </c>
      <c r="J348" s="0" t="n">
        <v>78</v>
      </c>
      <c r="K348" s="0" t="n">
        <v>64</v>
      </c>
      <c r="M348" s="0" t="n">
        <v>265.62</v>
      </c>
      <c r="N348" s="0" t="n">
        <v>78.65</v>
      </c>
      <c r="O348" s="0" t="n">
        <v>24.27</v>
      </c>
      <c r="P348" s="0" t="n">
        <v>3.69</v>
      </c>
      <c r="Q348" s="0" t="n">
        <v>3.4</v>
      </c>
      <c r="R348" s="0" t="n">
        <v>5458</v>
      </c>
      <c r="S348" s="0" t="n">
        <v>10972</v>
      </c>
      <c r="U348" s="0" t="n">
        <v>1146</v>
      </c>
      <c r="V348" s="0" t="n">
        <v>1</v>
      </c>
      <c r="W348" s="0" t="str">
        <f aca="false">IF(OR(AND(B348&gt;=1,B348&lt;=6),B348=10),"Vaca em lactação",IF(I348="Male","Macho",IF(E348&gt;=1,"Vaca seca",IF(I348="Youngstock","Bezerra/recria","Novilha"))))</f>
        <v>Vaca em lactação</v>
      </c>
      <c r="X348" s="0" t="str">
        <f aca="false">IF(AND(B348&gt;=1,B348&lt;=6),"Tanque",IF(B348=10,"Descarte",""))</f>
        <v>Tanque</v>
      </c>
    </row>
    <row r="349" customFormat="false" ht="15" hidden="false" customHeight="false" outlineLevel="0" collapsed="false">
      <c r="A349" s="22" t="n">
        <v>46309</v>
      </c>
      <c r="B349" s="0" t="n">
        <v>2</v>
      </c>
      <c r="C349" s="0" t="n">
        <v>4959</v>
      </c>
      <c r="D349" s="0" t="n">
        <v>115</v>
      </c>
      <c r="E349" s="0" t="n">
        <v>2</v>
      </c>
      <c r="F349" s="23" t="s">
        <v>339</v>
      </c>
      <c r="G349" s="0" t="n">
        <v>52.8</v>
      </c>
      <c r="H349" s="0" t="n">
        <v>54</v>
      </c>
      <c r="I349" s="23" t="s">
        <v>92</v>
      </c>
      <c r="J349" s="0" t="n">
        <v>66</v>
      </c>
      <c r="K349" s="0" t="n">
        <v>66</v>
      </c>
      <c r="L349" s="0" t="n">
        <v>49</v>
      </c>
      <c r="M349" s="0" t="n">
        <v>277.73</v>
      </c>
      <c r="N349" s="0" t="n">
        <v>58.6</v>
      </c>
      <c r="O349" s="0" t="n">
        <v>16.4</v>
      </c>
      <c r="P349" s="0" t="n">
        <v>4.4</v>
      </c>
      <c r="Q349" s="0" t="n">
        <v>3.15</v>
      </c>
      <c r="R349" s="0" t="n">
        <v>5087</v>
      </c>
      <c r="S349" s="0" t="n">
        <v>10393</v>
      </c>
      <c r="T349" s="0" t="n">
        <v>55.25</v>
      </c>
      <c r="U349" s="0" t="n">
        <v>1142</v>
      </c>
      <c r="V349" s="0" t="n">
        <v>1</v>
      </c>
      <c r="W349" s="0" t="str">
        <f aca="false">IF(OR(AND(B349&gt;=1,B349&lt;=6),B349=10),"Vaca em lactação",IF(I349="Male","Macho",IF(E349&gt;=1,"Vaca seca",IF(I349="Youngstock","Bezerra/recria","Novilha"))))</f>
        <v>Vaca em lactação</v>
      </c>
      <c r="X349" s="0" t="str">
        <f aca="false">IF(AND(B349&gt;=1,B349&lt;=6),"Tanque",IF(B349=10,"Descarte",""))</f>
        <v>Tanque</v>
      </c>
    </row>
    <row r="350" customFormat="false" ht="15" hidden="false" customHeight="false" outlineLevel="0" collapsed="false">
      <c r="A350" s="22" t="n">
        <v>46309</v>
      </c>
      <c r="B350" s="0" t="n">
        <v>2</v>
      </c>
      <c r="C350" s="0" t="n">
        <v>4958</v>
      </c>
      <c r="D350" s="0" t="n">
        <v>146</v>
      </c>
      <c r="E350" s="0" t="n">
        <v>2</v>
      </c>
      <c r="F350" s="23" t="s">
        <v>339</v>
      </c>
      <c r="G350" s="0" t="n">
        <v>52.4</v>
      </c>
      <c r="H350" s="0" t="n">
        <v>53</v>
      </c>
      <c r="I350" s="23" t="s">
        <v>97</v>
      </c>
      <c r="J350" s="0" t="n">
        <v>146</v>
      </c>
      <c r="K350" s="0" t="n">
        <v>69</v>
      </c>
      <c r="M350" s="0" t="n">
        <v>1152.54</v>
      </c>
      <c r="N350" s="0" t="n">
        <v>43.93</v>
      </c>
      <c r="O350" s="0" t="n">
        <v>33.91</v>
      </c>
      <c r="P350" s="0" t="n">
        <v>2.26</v>
      </c>
      <c r="Q350" s="0" t="n">
        <v>3.26</v>
      </c>
      <c r="R350" s="0" t="n">
        <v>5461</v>
      </c>
      <c r="S350" s="0" t="n">
        <v>10916</v>
      </c>
      <c r="T350" s="0" t="n">
        <v>58.65</v>
      </c>
      <c r="U350" s="0" t="n">
        <v>1142</v>
      </c>
      <c r="V350" s="0" t="n">
        <v>3</v>
      </c>
      <c r="W350" s="0" t="str">
        <f aca="false">IF(OR(AND(B350&gt;=1,B350&lt;=6),B350=10),"Vaca em lactação",IF(I350="Male","Macho",IF(E350&gt;=1,"Vaca seca",IF(I350="Youngstock","Bezerra/recria","Novilha"))))</f>
        <v>Vaca em lactação</v>
      </c>
      <c r="X350" s="0" t="str">
        <f aca="false">IF(AND(B350&gt;=1,B350&lt;=6),"Tanque",IF(B350=10,"Descarte",""))</f>
        <v>Tanque</v>
      </c>
    </row>
    <row r="351" customFormat="false" ht="15" hidden="false" customHeight="false" outlineLevel="0" collapsed="false">
      <c r="A351" s="22" t="n">
        <v>46309</v>
      </c>
      <c r="B351" s="0" t="n">
        <v>2</v>
      </c>
      <c r="C351" s="0" t="n">
        <v>4868</v>
      </c>
      <c r="D351" s="0" t="n">
        <v>12</v>
      </c>
      <c r="E351" s="0" t="n">
        <v>2</v>
      </c>
      <c r="F351" s="23" t="s">
        <v>340</v>
      </c>
      <c r="G351" s="0" t="n">
        <v>41.8</v>
      </c>
      <c r="H351" s="0" t="n">
        <v>33</v>
      </c>
      <c r="I351" s="23" t="s">
        <v>94</v>
      </c>
      <c r="J351" s="0" t="n">
        <v>12</v>
      </c>
      <c r="M351" s="0" t="n">
        <v>582.77</v>
      </c>
      <c r="N351" s="0" t="n">
        <v>35.07</v>
      </c>
      <c r="O351" s="0" t="n">
        <v>19.05</v>
      </c>
      <c r="R351" s="0" t="n">
        <v>2426</v>
      </c>
      <c r="S351" s="0" t="n">
        <v>4877</v>
      </c>
      <c r="U351" s="0" t="n">
        <v>1183</v>
      </c>
      <c r="V351" s="0" t="n">
        <v>0</v>
      </c>
      <c r="W351" s="0" t="str">
        <f aca="false">IF(OR(AND(B351&gt;=1,B351&lt;=6),B351=10),"Vaca em lactação",IF(I351="Male","Macho",IF(E351&gt;=1,"Vaca seca",IF(I351="Youngstock","Bezerra/recria","Novilha"))))</f>
        <v>Vaca em lactação</v>
      </c>
      <c r="X351" s="0" t="str">
        <f aca="false">IF(AND(B351&gt;=1,B351&lt;=6),"Tanque",IF(B351=10,"Descarte",""))</f>
        <v>Tanque</v>
      </c>
    </row>
    <row r="352" customFormat="false" ht="15" hidden="false" customHeight="false" outlineLevel="0" collapsed="false">
      <c r="A352" s="22" t="n">
        <v>46309</v>
      </c>
      <c r="B352" s="0" t="n">
        <v>2</v>
      </c>
      <c r="C352" s="0" t="n">
        <v>4874</v>
      </c>
      <c r="D352" s="0" t="n">
        <v>195</v>
      </c>
      <c r="E352" s="0" t="n">
        <v>2</v>
      </c>
      <c r="F352" s="23" t="s">
        <v>341</v>
      </c>
      <c r="G352" s="0" t="n">
        <v>48.4</v>
      </c>
      <c r="H352" s="0" t="n">
        <v>51</v>
      </c>
      <c r="I352" s="23" t="s">
        <v>92</v>
      </c>
      <c r="J352" s="0" t="n">
        <v>62</v>
      </c>
      <c r="K352" s="0" t="n">
        <v>62</v>
      </c>
      <c r="L352" s="0" t="n">
        <v>133</v>
      </c>
      <c r="M352" s="0" t="n">
        <v>1006.46</v>
      </c>
      <c r="N352" s="0" t="n">
        <v>60.24</v>
      </c>
      <c r="O352" s="0" t="n">
        <v>47.27</v>
      </c>
      <c r="P352" s="0" t="n">
        <v>3.57</v>
      </c>
      <c r="Q352" s="0" t="n">
        <v>3.88</v>
      </c>
      <c r="R352" s="0" t="n">
        <v>6166</v>
      </c>
      <c r="S352" s="0" t="n">
        <v>11991</v>
      </c>
      <c r="T352" s="0" t="n">
        <v>60.1</v>
      </c>
      <c r="U352" s="0" t="n">
        <v>1182</v>
      </c>
      <c r="V352" s="0" t="n">
        <v>1</v>
      </c>
      <c r="W352" s="0" t="str">
        <f aca="false">IF(OR(AND(B352&gt;=1,B352&lt;=6),B352=10),"Vaca em lactação",IF(I352="Male","Macho",IF(E352&gt;=1,"Vaca seca",IF(I352="Youngstock","Bezerra/recria","Novilha"))))</f>
        <v>Vaca em lactação</v>
      </c>
      <c r="X352" s="0" t="str">
        <f aca="false">IF(AND(B352&gt;=1,B352&lt;=6),"Tanque",IF(B352=10,"Descarte",""))</f>
        <v>Tanque</v>
      </c>
    </row>
    <row r="353" customFormat="false" ht="15" hidden="false" customHeight="false" outlineLevel="0" collapsed="false">
      <c r="A353" s="22" t="n">
        <v>46309</v>
      </c>
      <c r="B353" s="0" t="n">
        <v>2</v>
      </c>
      <c r="C353" s="0" t="n">
        <v>4870</v>
      </c>
      <c r="D353" s="0" t="n">
        <v>36</v>
      </c>
      <c r="E353" s="0" t="n">
        <v>2</v>
      </c>
      <c r="F353" s="23" t="s">
        <v>341</v>
      </c>
      <c r="G353" s="0" t="n">
        <v>66.9</v>
      </c>
      <c r="H353" s="0" t="n">
        <v>64</v>
      </c>
      <c r="I353" s="23" t="s">
        <v>94</v>
      </c>
      <c r="J353" s="0" t="n">
        <v>36</v>
      </c>
      <c r="M353" s="0" t="n">
        <v>1029.29</v>
      </c>
      <c r="N353" s="0" t="n">
        <v>43.4</v>
      </c>
      <c r="O353" s="0" t="n">
        <v>23.41</v>
      </c>
      <c r="P353" s="0" t="n">
        <v>5.08</v>
      </c>
      <c r="Q353" s="0" t="n">
        <v>3.43</v>
      </c>
      <c r="R353" s="0" t="n">
        <v>5662</v>
      </c>
      <c r="S353" s="0" t="n">
        <v>11382</v>
      </c>
      <c r="U353" s="0" t="n">
        <v>1182</v>
      </c>
      <c r="V353" s="0" t="n">
        <v>0</v>
      </c>
      <c r="W353" s="0" t="str">
        <f aca="false">IF(OR(AND(B353&gt;=1,B353&lt;=6),B353=10),"Vaca em lactação",IF(I353="Male","Macho",IF(E353&gt;=1,"Vaca seca",IF(I353="Youngstock","Bezerra/recria","Novilha"))))</f>
        <v>Vaca em lactação</v>
      </c>
      <c r="X353" s="0" t="str">
        <f aca="false">IF(AND(B353&gt;=1,B353&lt;=6),"Tanque",IF(B353=10,"Descarte",""))</f>
        <v>Tanque</v>
      </c>
    </row>
    <row r="354" customFormat="false" ht="15" hidden="false" customHeight="false" outlineLevel="0" collapsed="false">
      <c r="A354" s="22" t="n">
        <v>46309</v>
      </c>
      <c r="B354" s="0" t="n">
        <v>2</v>
      </c>
      <c r="C354" s="0" t="n">
        <v>4841</v>
      </c>
      <c r="D354" s="0" t="n">
        <v>182</v>
      </c>
      <c r="E354" s="0" t="n">
        <v>2</v>
      </c>
      <c r="F354" s="23" t="s">
        <v>342</v>
      </c>
      <c r="G354" s="0" t="n">
        <v>47.8</v>
      </c>
      <c r="H354" s="0" t="n">
        <v>47</v>
      </c>
      <c r="I354" s="23" t="s">
        <v>92</v>
      </c>
      <c r="J354" s="0" t="n">
        <v>77</v>
      </c>
      <c r="K354" s="0" t="n">
        <v>77</v>
      </c>
      <c r="L354" s="0" t="n">
        <v>105</v>
      </c>
      <c r="M354" s="0" t="n">
        <v>644.99</v>
      </c>
      <c r="N354" s="0" t="n">
        <v>49.97</v>
      </c>
      <c r="O354" s="0" t="n">
        <v>25.62</v>
      </c>
      <c r="P354" s="0" t="n">
        <v>3.31</v>
      </c>
      <c r="Q354" s="0" t="n">
        <v>3.28</v>
      </c>
      <c r="R354" s="0" t="n">
        <v>4034</v>
      </c>
      <c r="S354" s="0" t="n">
        <v>9220</v>
      </c>
      <c r="T354" s="0" t="n">
        <v>44.5</v>
      </c>
      <c r="U354" s="0" t="n">
        <v>1194</v>
      </c>
      <c r="V354" s="0" t="n">
        <v>1</v>
      </c>
      <c r="W354" s="0" t="str">
        <f aca="false">IF(OR(AND(B354&gt;=1,B354&lt;=6),B354=10),"Vaca em lactação",IF(I354="Male","Macho",IF(E354&gt;=1,"Vaca seca",IF(I354="Youngstock","Bezerra/recria","Novilha"))))</f>
        <v>Vaca em lactação</v>
      </c>
      <c r="X354" s="0" t="str">
        <f aca="false">IF(AND(B354&gt;=1,B354&lt;=6),"Tanque",IF(B354=10,"Descarte",""))</f>
        <v>Tanque</v>
      </c>
    </row>
    <row r="355" customFormat="false" ht="15" hidden="false" customHeight="false" outlineLevel="0" collapsed="false">
      <c r="A355" s="22" t="n">
        <v>46309</v>
      </c>
      <c r="B355" s="0" t="n">
        <v>2</v>
      </c>
      <c r="C355" s="0" t="n">
        <v>4848</v>
      </c>
      <c r="D355" s="0" t="n">
        <v>176</v>
      </c>
      <c r="E355" s="0" t="n">
        <v>2</v>
      </c>
      <c r="F355" s="23" t="s">
        <v>343</v>
      </c>
      <c r="G355" s="0" t="n">
        <v>42.5</v>
      </c>
      <c r="H355" s="0" t="n">
        <v>50</v>
      </c>
      <c r="I355" s="23" t="s">
        <v>109</v>
      </c>
      <c r="J355" s="0" t="n">
        <v>176</v>
      </c>
      <c r="K355" s="0" t="n">
        <v>64</v>
      </c>
      <c r="M355" s="0" t="n">
        <v>755.53</v>
      </c>
      <c r="N355" s="0" t="n">
        <v>56.19</v>
      </c>
      <c r="O355" s="0" t="n">
        <v>42.5</v>
      </c>
      <c r="P355" s="0" t="n">
        <v>4.01</v>
      </c>
      <c r="Q355" s="0" t="n">
        <v>3.57</v>
      </c>
      <c r="R355" s="0" t="n">
        <v>4953</v>
      </c>
      <c r="S355" s="0" t="n">
        <v>10707</v>
      </c>
      <c r="T355" s="0" t="n">
        <v>59.9</v>
      </c>
      <c r="U355" s="0" t="n">
        <v>1192</v>
      </c>
      <c r="V355" s="0" t="n">
        <v>5</v>
      </c>
      <c r="W355" s="0" t="str">
        <f aca="false">IF(OR(AND(B355&gt;=1,B355&lt;=6),B355=10),"Vaca em lactação",IF(I355="Male","Macho",IF(E355&gt;=1,"Vaca seca",IF(I355="Youngstock","Bezerra/recria","Novilha"))))</f>
        <v>Vaca em lactação</v>
      </c>
      <c r="X355" s="0" t="str">
        <f aca="false">IF(AND(B355&gt;=1,B355&lt;=6),"Tanque",IF(B355=10,"Descarte",""))</f>
        <v>Tanque</v>
      </c>
    </row>
    <row r="356" customFormat="false" ht="15" hidden="false" customHeight="false" outlineLevel="0" collapsed="false">
      <c r="A356" s="22" t="n">
        <v>46309</v>
      </c>
      <c r="B356" s="0" t="n">
        <v>2</v>
      </c>
      <c r="C356" s="0" t="n">
        <v>4853</v>
      </c>
      <c r="D356" s="0" t="n">
        <v>129</v>
      </c>
      <c r="E356" s="0" t="n">
        <v>2</v>
      </c>
      <c r="F356" s="23" t="s">
        <v>344</v>
      </c>
      <c r="G356" s="0" t="n">
        <v>51.7</v>
      </c>
      <c r="H356" s="0" t="n">
        <v>55</v>
      </c>
      <c r="I356" s="23" t="s">
        <v>92</v>
      </c>
      <c r="J356" s="0" t="n">
        <v>66</v>
      </c>
      <c r="K356" s="0" t="n">
        <v>66</v>
      </c>
      <c r="L356" s="0" t="n">
        <v>63</v>
      </c>
      <c r="M356" s="0" t="n">
        <v>491.16</v>
      </c>
      <c r="N356" s="0" t="n">
        <v>55.91</v>
      </c>
      <c r="O356" s="0" t="n">
        <v>35.93</v>
      </c>
      <c r="P356" s="0" t="n">
        <v>3.63</v>
      </c>
      <c r="Q356" s="0" t="n">
        <v>3.62</v>
      </c>
      <c r="R356" s="0" t="n">
        <v>5484</v>
      </c>
      <c r="S356" s="0" t="n">
        <v>10843</v>
      </c>
      <c r="T356" s="0" t="n">
        <v>62.4</v>
      </c>
      <c r="U356" s="0" t="n">
        <v>1190</v>
      </c>
      <c r="V356" s="0" t="n">
        <v>1</v>
      </c>
      <c r="W356" s="0" t="str">
        <f aca="false">IF(OR(AND(B356&gt;=1,B356&lt;=6),B356=10),"Vaca em lactação",IF(I356="Male","Macho",IF(E356&gt;=1,"Vaca seca",IF(I356="Youngstock","Bezerra/recria","Novilha"))))</f>
        <v>Vaca em lactação</v>
      </c>
      <c r="X356" s="0" t="str">
        <f aca="false">IF(AND(B356&gt;=1,B356&lt;=6),"Tanque",IF(B356=10,"Descarte",""))</f>
        <v>Tanque</v>
      </c>
    </row>
    <row r="357" customFormat="false" ht="15" hidden="false" customHeight="false" outlineLevel="0" collapsed="false">
      <c r="A357" s="22" t="n">
        <v>46309</v>
      </c>
      <c r="B357" s="0" t="n">
        <v>2</v>
      </c>
      <c r="C357" s="0" t="n">
        <v>4851</v>
      </c>
      <c r="D357" s="0" t="n">
        <v>187</v>
      </c>
      <c r="E357" s="0" t="n">
        <v>2</v>
      </c>
      <c r="F357" s="23" t="s">
        <v>345</v>
      </c>
      <c r="G357" s="0" t="n">
        <v>42</v>
      </c>
      <c r="H357" s="0" t="n">
        <v>54</v>
      </c>
      <c r="I357" s="23" t="s">
        <v>92</v>
      </c>
      <c r="J357" s="0" t="n">
        <v>140</v>
      </c>
      <c r="K357" s="0" t="n">
        <v>68</v>
      </c>
      <c r="L357" s="0" t="n">
        <v>47</v>
      </c>
      <c r="M357" s="0" t="n">
        <v>453.29</v>
      </c>
      <c r="N357" s="0" t="n">
        <v>50.69</v>
      </c>
      <c r="O357" s="0" t="n">
        <v>28.46</v>
      </c>
      <c r="P357" s="0" t="n">
        <v>2.87</v>
      </c>
      <c r="Q357" s="0" t="n">
        <v>3.48</v>
      </c>
      <c r="R357" s="0" t="n">
        <v>4712</v>
      </c>
      <c r="S357" s="0" t="n">
        <v>10218</v>
      </c>
      <c r="T357" s="0" t="n">
        <v>52.95</v>
      </c>
      <c r="U357" s="0" t="n">
        <v>1191</v>
      </c>
      <c r="V357" s="0" t="n">
        <v>3</v>
      </c>
      <c r="W357" s="0" t="str">
        <f aca="false">IF(OR(AND(B357&gt;=1,B357&lt;=6),B357=10),"Vaca em lactação",IF(I357="Male","Macho",IF(E357&gt;=1,"Vaca seca",IF(I357="Youngstock","Bezerra/recria","Novilha"))))</f>
        <v>Vaca em lactação</v>
      </c>
      <c r="X357" s="0" t="str">
        <f aca="false">IF(AND(B357&gt;=1,B357&lt;=6),"Tanque",IF(B357=10,"Descarte",""))</f>
        <v>Tanque</v>
      </c>
    </row>
    <row r="358" customFormat="false" ht="15" hidden="false" customHeight="false" outlineLevel="0" collapsed="false">
      <c r="A358" s="22" t="n">
        <v>46309</v>
      </c>
      <c r="B358" s="0" t="n">
        <v>2</v>
      </c>
      <c r="C358" s="0" t="n">
        <v>4857</v>
      </c>
      <c r="D358" s="0" t="n">
        <v>54</v>
      </c>
      <c r="E358" s="0" t="n">
        <v>2</v>
      </c>
      <c r="F358" s="23" t="s">
        <v>346</v>
      </c>
      <c r="G358" s="0" t="n">
        <v>44.7</v>
      </c>
      <c r="H358" s="0" t="n">
        <v>48</v>
      </c>
      <c r="I358" s="23" t="s">
        <v>94</v>
      </c>
      <c r="J358" s="0" t="n">
        <v>54</v>
      </c>
      <c r="M358" s="0" t="n">
        <v>606.56</v>
      </c>
      <c r="N358" s="0" t="n">
        <v>82.56</v>
      </c>
      <c r="O358" s="0" t="n">
        <v>49.86</v>
      </c>
      <c r="P358" s="0" t="n">
        <v>3.77</v>
      </c>
      <c r="Q358" s="0" t="n">
        <v>3.45</v>
      </c>
      <c r="R358" s="0" t="n">
        <v>4547</v>
      </c>
      <c r="S358" s="0" t="n">
        <v>9141</v>
      </c>
      <c r="U358" s="0" t="n">
        <v>1188</v>
      </c>
      <c r="V358" s="0" t="n">
        <v>0</v>
      </c>
      <c r="W358" s="0" t="str">
        <f aca="false">IF(OR(AND(B358&gt;=1,B358&lt;=6),B358=10),"Vaca em lactação",IF(I358="Male","Macho",IF(E358&gt;=1,"Vaca seca",IF(I358="Youngstock","Bezerra/recria","Novilha"))))</f>
        <v>Vaca em lactação</v>
      </c>
      <c r="X358" s="0" t="str">
        <f aca="false">IF(AND(B358&gt;=1,B358&lt;=6),"Tanque",IF(B358=10,"Descarte",""))</f>
        <v>Tanque</v>
      </c>
    </row>
    <row r="359" customFormat="false" ht="15" hidden="false" customHeight="false" outlineLevel="0" collapsed="false">
      <c r="A359" s="22" t="n">
        <v>46309</v>
      </c>
      <c r="B359" s="0" t="n">
        <v>2</v>
      </c>
      <c r="C359" s="0" t="n">
        <v>4856</v>
      </c>
      <c r="D359" s="0" t="n">
        <v>16</v>
      </c>
      <c r="E359" s="0" t="n">
        <v>2</v>
      </c>
      <c r="F359" s="23" t="s">
        <v>346</v>
      </c>
      <c r="G359" s="0" t="n">
        <v>44.6</v>
      </c>
      <c r="H359" s="0" t="n">
        <v>47</v>
      </c>
      <c r="I359" s="23" t="s">
        <v>94</v>
      </c>
      <c r="J359" s="0" t="n">
        <v>16</v>
      </c>
      <c r="M359" s="0" t="n">
        <v>878.65</v>
      </c>
      <c r="N359" s="0" t="n">
        <v>34.2</v>
      </c>
      <c r="O359" s="0" t="n">
        <v>27.16</v>
      </c>
      <c r="R359" s="0" t="n">
        <v>4104</v>
      </c>
      <c r="S359" s="0" t="n">
        <v>8251</v>
      </c>
      <c r="U359" s="0" t="n">
        <v>1188</v>
      </c>
      <c r="V359" s="0" t="n">
        <v>0</v>
      </c>
      <c r="W359" s="0" t="str">
        <f aca="false">IF(OR(AND(B359&gt;=1,B359&lt;=6),B359=10),"Vaca em lactação",IF(I359="Male","Macho",IF(E359&gt;=1,"Vaca seca",IF(I359="Youngstock","Bezerra/recria","Novilha"))))</f>
        <v>Vaca em lactação</v>
      </c>
      <c r="X359" s="0" t="str">
        <f aca="false">IF(AND(B359&gt;=1,B359&lt;=6),"Tanque",IF(B359=10,"Descarte",""))</f>
        <v>Tanque</v>
      </c>
    </row>
    <row r="360" customFormat="false" ht="15" hidden="false" customHeight="false" outlineLevel="0" collapsed="false">
      <c r="A360" s="22" t="n">
        <v>46309</v>
      </c>
      <c r="B360" s="0" t="n">
        <v>2</v>
      </c>
      <c r="C360" s="0" t="n">
        <v>4899</v>
      </c>
      <c r="D360" s="0" t="n">
        <v>106</v>
      </c>
      <c r="E360" s="0" t="n">
        <v>2</v>
      </c>
      <c r="F360" s="23" t="s">
        <v>347</v>
      </c>
      <c r="G360" s="0" t="n">
        <v>56</v>
      </c>
      <c r="H360" s="0" t="n">
        <v>56</v>
      </c>
      <c r="I360" s="23" t="s">
        <v>97</v>
      </c>
      <c r="J360" s="0" t="n">
        <v>106</v>
      </c>
      <c r="K360" s="0" t="n">
        <v>64</v>
      </c>
      <c r="M360" s="0" t="n">
        <v>145.29</v>
      </c>
      <c r="N360" s="0" t="n">
        <v>43.03</v>
      </c>
      <c r="O360" s="0" t="n">
        <v>24.76</v>
      </c>
      <c r="P360" s="0" t="n">
        <v>4.16</v>
      </c>
      <c r="Q360" s="0" t="n">
        <v>3.43</v>
      </c>
      <c r="R360" s="0" t="n">
        <v>4492</v>
      </c>
      <c r="S360" s="0" t="n">
        <v>9166</v>
      </c>
      <c r="T360" s="0" t="n">
        <v>49.85</v>
      </c>
      <c r="U360" s="0" t="n">
        <v>1167</v>
      </c>
      <c r="V360" s="0" t="n">
        <v>2</v>
      </c>
      <c r="W360" s="0" t="str">
        <f aca="false">IF(OR(AND(B360&gt;=1,B360&lt;=6),B360=10),"Vaca em lactação",IF(I360="Male","Macho",IF(E360&gt;=1,"Vaca seca",IF(I360="Youngstock","Bezerra/recria","Novilha"))))</f>
        <v>Vaca em lactação</v>
      </c>
      <c r="X360" s="0" t="str">
        <f aca="false">IF(AND(B360&gt;=1,B360&lt;=6),"Tanque",IF(B360=10,"Descarte",""))</f>
        <v>Tanque</v>
      </c>
    </row>
    <row r="361" customFormat="false" ht="15" hidden="false" customHeight="false" outlineLevel="0" collapsed="false">
      <c r="A361" s="22" t="n">
        <v>46309</v>
      </c>
      <c r="B361" s="0" t="n">
        <v>2</v>
      </c>
      <c r="C361" s="0" t="n">
        <v>4896</v>
      </c>
      <c r="D361" s="0" t="n">
        <v>154</v>
      </c>
      <c r="E361" s="0" t="n">
        <v>2</v>
      </c>
      <c r="F361" s="23" t="s">
        <v>348</v>
      </c>
      <c r="G361" s="0" t="n">
        <v>57.1</v>
      </c>
      <c r="H361" s="0" t="n">
        <v>58</v>
      </c>
      <c r="I361" s="23" t="s">
        <v>92</v>
      </c>
      <c r="J361" s="0" t="n">
        <v>98</v>
      </c>
      <c r="K361" s="0" t="n">
        <v>63</v>
      </c>
      <c r="L361" s="0" t="n">
        <v>56</v>
      </c>
      <c r="M361" s="0" t="n">
        <v>904.49</v>
      </c>
      <c r="N361" s="0" t="n">
        <v>58.01</v>
      </c>
      <c r="O361" s="0" t="n">
        <v>38.36</v>
      </c>
      <c r="P361" s="0" t="n">
        <v>3.28</v>
      </c>
      <c r="Q361" s="0" t="n">
        <v>3.2</v>
      </c>
      <c r="R361" s="0" t="n">
        <v>5205</v>
      </c>
      <c r="S361" s="0" t="n">
        <v>10814</v>
      </c>
      <c r="T361" s="0" t="n">
        <v>56.3</v>
      </c>
      <c r="U361" s="0" t="n">
        <v>1169</v>
      </c>
      <c r="V361" s="0" t="n">
        <v>2</v>
      </c>
      <c r="W361" s="0" t="str">
        <f aca="false">IF(OR(AND(B361&gt;=1,B361&lt;=6),B361=10),"Vaca em lactação",IF(I361="Male","Macho",IF(E361&gt;=1,"Vaca seca",IF(I361="Youngstock","Bezerra/recria","Novilha"))))</f>
        <v>Vaca em lactação</v>
      </c>
      <c r="X361" s="0" t="str">
        <f aca="false">IF(AND(B361&gt;=1,B361&lt;=6),"Tanque",IF(B361=10,"Descarte",""))</f>
        <v>Tanque</v>
      </c>
    </row>
    <row r="362" customFormat="false" ht="15" hidden="false" customHeight="false" outlineLevel="0" collapsed="false">
      <c r="A362" s="22" t="n">
        <v>46309</v>
      </c>
      <c r="B362" s="0" t="n">
        <v>2</v>
      </c>
      <c r="C362" s="0" t="n">
        <v>4912</v>
      </c>
      <c r="D362" s="0" t="n">
        <v>131</v>
      </c>
      <c r="E362" s="0" t="n">
        <v>2</v>
      </c>
      <c r="F362" s="23" t="s">
        <v>349</v>
      </c>
      <c r="G362" s="0" t="n">
        <v>47.6</v>
      </c>
      <c r="H362" s="0" t="n">
        <v>47</v>
      </c>
      <c r="I362" s="23" t="s">
        <v>109</v>
      </c>
      <c r="J362" s="0" t="n">
        <v>131</v>
      </c>
      <c r="K362" s="0" t="n">
        <v>68</v>
      </c>
      <c r="M362" s="0" t="n">
        <v>398.14</v>
      </c>
      <c r="N362" s="0" t="n">
        <v>72.67</v>
      </c>
      <c r="O362" s="0" t="n">
        <v>31.66</v>
      </c>
      <c r="P362" s="0" t="n">
        <v>4.04</v>
      </c>
      <c r="Q362" s="0" t="n">
        <v>3.28</v>
      </c>
      <c r="R362" s="0" t="n">
        <v>4456</v>
      </c>
      <c r="S362" s="0" t="n">
        <v>8925</v>
      </c>
      <c r="T362" s="0" t="n">
        <v>45.3</v>
      </c>
      <c r="U362" s="0" t="n">
        <v>1162</v>
      </c>
      <c r="V362" s="0" t="n">
        <v>1</v>
      </c>
      <c r="W362" s="0" t="str">
        <f aca="false">IF(OR(AND(B362&gt;=1,B362&lt;=6),B362=10),"Vaca em lactação",IF(I362="Male","Macho",IF(E362&gt;=1,"Vaca seca",IF(I362="Youngstock","Bezerra/recria","Novilha"))))</f>
        <v>Vaca em lactação</v>
      </c>
      <c r="X362" s="0" t="str">
        <f aca="false">IF(AND(B362&gt;=1,B362&lt;=6),"Tanque",IF(B362=10,"Descarte",""))</f>
        <v>Tanque</v>
      </c>
    </row>
    <row r="363" customFormat="false" ht="15" hidden="false" customHeight="false" outlineLevel="0" collapsed="false">
      <c r="A363" s="22" t="n">
        <v>46309</v>
      </c>
      <c r="B363" s="0" t="n">
        <v>2</v>
      </c>
      <c r="C363" s="0" t="n">
        <v>4916</v>
      </c>
      <c r="D363" s="0" t="n">
        <v>55</v>
      </c>
      <c r="E363" s="0" t="n">
        <v>2</v>
      </c>
      <c r="F363" s="23" t="s">
        <v>350</v>
      </c>
      <c r="G363" s="0" t="n">
        <v>34.9</v>
      </c>
      <c r="H363" s="0" t="n">
        <v>49</v>
      </c>
      <c r="I363" s="23" t="s">
        <v>94</v>
      </c>
      <c r="J363" s="0" t="n">
        <v>55</v>
      </c>
      <c r="M363" s="0" t="n">
        <v>517.56</v>
      </c>
      <c r="N363" s="0" t="n">
        <v>52.8</v>
      </c>
      <c r="O363" s="0" t="n">
        <v>33.4</v>
      </c>
      <c r="P363" s="0" t="n">
        <v>3.62</v>
      </c>
      <c r="Q363" s="0" t="n">
        <v>3.68</v>
      </c>
      <c r="R363" s="0" t="n">
        <v>4539</v>
      </c>
      <c r="S363" s="0" t="n">
        <v>9124</v>
      </c>
      <c r="U363" s="0" t="n">
        <v>1159</v>
      </c>
      <c r="V363" s="0" t="n">
        <v>0</v>
      </c>
      <c r="W363" s="0" t="str">
        <f aca="false">IF(OR(AND(B363&gt;=1,B363&lt;=6),B363=10),"Vaca em lactação",IF(I363="Male","Macho",IF(E363&gt;=1,"Vaca seca",IF(I363="Youngstock","Bezerra/recria","Novilha"))))</f>
        <v>Vaca em lactação</v>
      </c>
      <c r="X363" s="0" t="str">
        <f aca="false">IF(AND(B363&gt;=1,B363&lt;=6),"Tanque",IF(B363=10,"Descarte",""))</f>
        <v>Tanque</v>
      </c>
    </row>
    <row r="364" customFormat="false" ht="15" hidden="false" customHeight="false" outlineLevel="0" collapsed="false">
      <c r="A364" s="22" t="n">
        <v>46309</v>
      </c>
      <c r="B364" s="0" t="n">
        <v>2</v>
      </c>
      <c r="C364" s="0" t="n">
        <v>4882</v>
      </c>
      <c r="D364" s="0" t="n">
        <v>88</v>
      </c>
      <c r="E364" s="0" t="n">
        <v>2</v>
      </c>
      <c r="F364" s="23" t="s">
        <v>351</v>
      </c>
      <c r="G364" s="0" t="n">
        <v>70</v>
      </c>
      <c r="H364" s="0" t="n">
        <v>72</v>
      </c>
      <c r="I364" s="23" t="s">
        <v>97</v>
      </c>
      <c r="J364" s="0" t="n">
        <v>88</v>
      </c>
      <c r="K364" s="0" t="n">
        <v>67</v>
      </c>
      <c r="M364" s="0" t="n">
        <v>445.32</v>
      </c>
      <c r="N364" s="0" t="n">
        <v>75.31</v>
      </c>
      <c r="O364" s="0" t="n">
        <v>36.23</v>
      </c>
      <c r="P364" s="0" t="n">
        <v>4.11</v>
      </c>
      <c r="Q364" s="0" t="n">
        <v>3.05</v>
      </c>
      <c r="R364" s="0" t="n">
        <v>6388</v>
      </c>
      <c r="S364" s="0" t="n">
        <v>12841</v>
      </c>
      <c r="U364" s="0" t="n">
        <v>1176</v>
      </c>
      <c r="V364" s="0" t="n">
        <v>1</v>
      </c>
      <c r="W364" s="0" t="str">
        <f aca="false">IF(OR(AND(B364&gt;=1,B364&lt;=6),B364=10),"Vaca em lactação",IF(I364="Male","Macho",IF(E364&gt;=1,"Vaca seca",IF(I364="Youngstock","Bezerra/recria","Novilha"))))</f>
        <v>Vaca em lactação</v>
      </c>
      <c r="X364" s="0" t="str">
        <f aca="false">IF(AND(B364&gt;=1,B364&lt;=6),"Tanque",IF(B364=10,"Descarte",""))</f>
        <v>Tanque</v>
      </c>
    </row>
    <row r="365" customFormat="false" ht="15" hidden="false" customHeight="false" outlineLevel="0" collapsed="false">
      <c r="A365" s="22" t="n">
        <v>46309</v>
      </c>
      <c r="B365" s="0" t="n">
        <v>2</v>
      </c>
      <c r="C365" s="0" t="n">
        <v>4884</v>
      </c>
      <c r="D365" s="0" t="n">
        <v>212</v>
      </c>
      <c r="E365" s="0" t="n">
        <v>2</v>
      </c>
      <c r="F365" s="23" t="s">
        <v>351</v>
      </c>
      <c r="G365" s="0" t="n">
        <v>47.8</v>
      </c>
      <c r="H365" s="0" t="n">
        <v>47</v>
      </c>
      <c r="I365" s="23" t="s">
        <v>92</v>
      </c>
      <c r="J365" s="0" t="n">
        <v>65</v>
      </c>
      <c r="K365" s="0" t="n">
        <v>65</v>
      </c>
      <c r="L365" s="0" t="n">
        <v>147</v>
      </c>
      <c r="M365" s="0" t="n">
        <v>378.9</v>
      </c>
      <c r="N365" s="0" t="n">
        <v>28.45</v>
      </c>
      <c r="O365" s="0" t="n">
        <v>20.25</v>
      </c>
      <c r="P365" s="0" t="n">
        <v>3.06</v>
      </c>
      <c r="Q365" s="0" t="n">
        <v>3.27</v>
      </c>
      <c r="R365" s="0" t="n">
        <v>4680</v>
      </c>
      <c r="S365" s="0" t="n">
        <v>10350</v>
      </c>
      <c r="T365" s="0" t="n">
        <v>55.75</v>
      </c>
      <c r="U365" s="0" t="n">
        <v>1176</v>
      </c>
      <c r="V365" s="0" t="n">
        <v>1</v>
      </c>
      <c r="W365" s="0" t="str">
        <f aca="false">IF(OR(AND(B365&gt;=1,B365&lt;=6),B365=10),"Vaca em lactação",IF(I365="Male","Macho",IF(E365&gt;=1,"Vaca seca",IF(I365="Youngstock","Bezerra/recria","Novilha"))))</f>
        <v>Vaca em lactação</v>
      </c>
      <c r="X365" s="0" t="str">
        <f aca="false">IF(AND(B365&gt;=1,B365&lt;=6),"Tanque",IF(B365=10,"Descarte",""))</f>
        <v>Tanque</v>
      </c>
    </row>
    <row r="366" customFormat="false" ht="15" hidden="false" customHeight="false" outlineLevel="0" collapsed="false">
      <c r="A366" s="22" t="n">
        <v>46309</v>
      </c>
      <c r="B366" s="0" t="n">
        <v>2</v>
      </c>
      <c r="C366" s="0" t="n">
        <v>4889</v>
      </c>
      <c r="D366" s="0" t="n">
        <v>87</v>
      </c>
      <c r="E366" s="0" t="n">
        <v>2</v>
      </c>
      <c r="F366" s="23" t="s">
        <v>352</v>
      </c>
      <c r="G366" s="0" t="n">
        <v>56.4</v>
      </c>
      <c r="H366" s="0" t="n">
        <v>57</v>
      </c>
      <c r="I366" s="23" t="s">
        <v>97</v>
      </c>
      <c r="J366" s="0" t="n">
        <v>87</v>
      </c>
      <c r="K366" s="0" t="n">
        <v>66</v>
      </c>
      <c r="M366" s="0" t="n">
        <v>1546.13</v>
      </c>
      <c r="N366" s="0" t="n">
        <v>72.19</v>
      </c>
      <c r="O366" s="0" t="n">
        <v>53.53</v>
      </c>
      <c r="P366" s="0" t="n">
        <v>2.84</v>
      </c>
      <c r="Q366" s="0" t="n">
        <v>3.15</v>
      </c>
      <c r="R366" s="0" t="n">
        <v>6091</v>
      </c>
      <c r="S366" s="0" t="n">
        <v>12244</v>
      </c>
      <c r="U366" s="0" t="n">
        <v>1174</v>
      </c>
      <c r="V366" s="0" t="n">
        <v>1</v>
      </c>
      <c r="W366" s="0" t="str">
        <f aca="false">IF(OR(AND(B366&gt;=1,B366&lt;=6),B366=10),"Vaca em lactação",IF(I366="Male","Macho",IF(E366&gt;=1,"Vaca seca",IF(I366="Youngstock","Bezerra/recria","Novilha"))))</f>
        <v>Vaca em lactação</v>
      </c>
      <c r="X366" s="0" t="str">
        <f aca="false">IF(AND(B366&gt;=1,B366&lt;=6),"Tanque",IF(B366=10,"Descarte",""))</f>
        <v>Tanque</v>
      </c>
    </row>
    <row r="367" customFormat="false" ht="15" hidden="false" customHeight="false" outlineLevel="0" collapsed="false">
      <c r="A367" s="22" t="n">
        <v>46309</v>
      </c>
      <c r="B367" s="0" t="n">
        <v>2</v>
      </c>
      <c r="C367" s="0" t="n">
        <v>4274</v>
      </c>
      <c r="D367" s="0" t="n">
        <v>106</v>
      </c>
      <c r="E367" s="0" t="n">
        <v>3</v>
      </c>
      <c r="F367" s="23" t="s">
        <v>353</v>
      </c>
      <c r="G367" s="0" t="n">
        <v>72.4</v>
      </c>
      <c r="H367" s="0" t="n">
        <v>68</v>
      </c>
      <c r="I367" s="23" t="s">
        <v>97</v>
      </c>
      <c r="J367" s="0" t="n">
        <v>106</v>
      </c>
      <c r="K367" s="0" t="n">
        <v>64</v>
      </c>
      <c r="M367" s="0" t="n">
        <v>487.72</v>
      </c>
      <c r="N367" s="0" t="n">
        <v>72.88</v>
      </c>
      <c r="O367" s="0" t="n">
        <v>34.86</v>
      </c>
      <c r="P367" s="0" t="n">
        <v>3.45</v>
      </c>
      <c r="Q367" s="0" t="n">
        <v>3.11</v>
      </c>
      <c r="R367" s="0" t="n">
        <v>6471</v>
      </c>
      <c r="S367" s="0" t="n">
        <v>13033</v>
      </c>
      <c r="T367" s="0" t="n">
        <v>75.15</v>
      </c>
      <c r="U367" s="0" t="n">
        <v>1465</v>
      </c>
      <c r="V367" s="0" t="n">
        <v>2</v>
      </c>
      <c r="W367" s="0" t="str">
        <f aca="false">IF(OR(AND(B367&gt;=1,B367&lt;=6),B367=10),"Vaca em lactação",IF(I367="Male","Macho",IF(E367&gt;=1,"Vaca seca",IF(I367="Youngstock","Bezerra/recria","Novilha"))))</f>
        <v>Vaca em lactação</v>
      </c>
      <c r="X367" s="0" t="str">
        <f aca="false">IF(AND(B367&gt;=1,B367&lt;=6),"Tanque",IF(B367=10,"Descarte",""))</f>
        <v>Tanque</v>
      </c>
    </row>
    <row r="368" customFormat="false" ht="15" hidden="false" customHeight="false" outlineLevel="0" collapsed="false">
      <c r="A368" s="22" t="n">
        <v>46309</v>
      </c>
      <c r="B368" s="0" t="n">
        <v>2</v>
      </c>
      <c r="C368" s="0" t="n">
        <v>4281</v>
      </c>
      <c r="D368" s="0" t="n">
        <v>105</v>
      </c>
      <c r="E368" s="0" t="n">
        <v>3</v>
      </c>
      <c r="F368" s="23" t="s">
        <v>354</v>
      </c>
      <c r="G368" s="0" t="n">
        <v>54.5</v>
      </c>
      <c r="H368" s="0" t="n">
        <v>55</v>
      </c>
      <c r="I368" s="23" t="s">
        <v>92</v>
      </c>
      <c r="J368" s="0" t="n">
        <v>63</v>
      </c>
      <c r="K368" s="0" t="n">
        <v>63</v>
      </c>
      <c r="L368" s="0" t="n">
        <v>42</v>
      </c>
      <c r="M368" s="0" t="n">
        <v>741.2</v>
      </c>
      <c r="N368" s="0" t="n">
        <v>31.08</v>
      </c>
      <c r="O368" s="0" t="n">
        <v>29.79</v>
      </c>
      <c r="P368" s="0" t="n">
        <v>2.64</v>
      </c>
      <c r="Q368" s="0" t="n">
        <v>3.62</v>
      </c>
      <c r="R368" s="0" t="n">
        <v>5674</v>
      </c>
      <c r="S368" s="0" t="n">
        <v>11401</v>
      </c>
      <c r="T368" s="0" t="n">
        <v>63.65</v>
      </c>
      <c r="U368" s="0" t="n">
        <v>1460</v>
      </c>
      <c r="V368" s="0" t="n">
        <v>1</v>
      </c>
      <c r="W368" s="0" t="str">
        <f aca="false">IF(OR(AND(B368&gt;=1,B368&lt;=6),B368=10),"Vaca em lactação",IF(I368="Male","Macho",IF(E368&gt;=1,"Vaca seca",IF(I368="Youngstock","Bezerra/recria","Novilha"))))</f>
        <v>Vaca em lactação</v>
      </c>
      <c r="X368" s="0" t="str">
        <f aca="false">IF(AND(B368&gt;=1,B368&lt;=6),"Tanque",IF(B368=10,"Descarte",""))</f>
        <v>Tanque</v>
      </c>
    </row>
    <row r="369" customFormat="false" ht="15" hidden="false" customHeight="false" outlineLevel="0" collapsed="false">
      <c r="A369" s="22" t="n">
        <v>46309</v>
      </c>
      <c r="B369" s="0" t="n">
        <v>2</v>
      </c>
      <c r="C369" s="0" t="n">
        <v>4293</v>
      </c>
      <c r="D369" s="0" t="n">
        <v>181</v>
      </c>
      <c r="E369" s="0" t="n">
        <v>2</v>
      </c>
      <c r="F369" s="23" t="s">
        <v>355</v>
      </c>
      <c r="G369" s="0" t="n">
        <v>51.1</v>
      </c>
      <c r="H369" s="0" t="n">
        <v>52</v>
      </c>
      <c r="I369" s="23" t="s">
        <v>92</v>
      </c>
      <c r="J369" s="0" t="n">
        <v>69</v>
      </c>
      <c r="K369" s="0" t="n">
        <v>69</v>
      </c>
      <c r="L369" s="0" t="n">
        <v>112</v>
      </c>
      <c r="M369" s="0" t="n">
        <v>338.29</v>
      </c>
      <c r="N369" s="0" t="n">
        <v>72.95</v>
      </c>
      <c r="O369" s="0" t="n">
        <v>21.89</v>
      </c>
      <c r="P369" s="0" t="n">
        <v>3.66</v>
      </c>
      <c r="Q369" s="0" t="n">
        <v>3.38</v>
      </c>
      <c r="R369" s="0" t="n">
        <v>5343</v>
      </c>
      <c r="S369" s="0" t="n">
        <v>10994</v>
      </c>
      <c r="T369" s="0" t="n">
        <v>56.45</v>
      </c>
      <c r="U369" s="0" t="n">
        <v>1450</v>
      </c>
      <c r="V369" s="0" t="n">
        <v>1</v>
      </c>
      <c r="W369" s="0" t="str">
        <f aca="false">IF(OR(AND(B369&gt;=1,B369&lt;=6),B369=10),"Vaca em lactação",IF(I369="Male","Macho",IF(E369&gt;=1,"Vaca seca",IF(I369="Youngstock","Bezerra/recria","Novilha"))))</f>
        <v>Vaca em lactação</v>
      </c>
      <c r="X369" s="0" t="str">
        <f aca="false">IF(AND(B369&gt;=1,B369&lt;=6),"Tanque",IF(B369=10,"Descarte",""))</f>
        <v>Tanque</v>
      </c>
    </row>
    <row r="370" customFormat="false" ht="15" hidden="false" customHeight="false" outlineLevel="0" collapsed="false">
      <c r="A370" s="22" t="n">
        <v>46309</v>
      </c>
      <c r="B370" s="0" t="n">
        <v>2</v>
      </c>
      <c r="C370" s="0" t="n">
        <v>4229</v>
      </c>
      <c r="D370" s="0" t="n">
        <v>278</v>
      </c>
      <c r="E370" s="0" t="n">
        <v>2</v>
      </c>
      <c r="F370" s="23" t="s">
        <v>356</v>
      </c>
      <c r="I370" s="23" t="s">
        <v>357</v>
      </c>
      <c r="J370" s="0" t="n">
        <v>113</v>
      </c>
      <c r="K370" s="0" t="n">
        <v>79</v>
      </c>
      <c r="L370" s="0" t="n">
        <v>266</v>
      </c>
      <c r="M370" s="0" t="n">
        <v>1369.72</v>
      </c>
      <c r="N370" s="0" t="n">
        <v>64.24</v>
      </c>
      <c r="O370" s="0" t="n">
        <v>43.35</v>
      </c>
      <c r="P370" s="0" t="n">
        <v>3.33</v>
      </c>
      <c r="Q370" s="0" t="n">
        <v>3.48</v>
      </c>
      <c r="R370" s="0" t="n">
        <v>5663</v>
      </c>
      <c r="S370" s="0" t="n">
        <v>11523</v>
      </c>
      <c r="T370" s="0" t="n">
        <v>68.8</v>
      </c>
      <c r="U370" s="0" t="n">
        <v>1490</v>
      </c>
      <c r="V370" s="0" t="n">
        <v>2</v>
      </c>
      <c r="W370" s="0" t="str">
        <f aca="false">IF(OR(AND(B370&gt;=1,B370&lt;=6),B370=10),"Vaca em lactação",IF(I370="Male","Macho",IF(E370&gt;=1,"Vaca seca",IF(I370="Youngstock","Bezerra/recria","Novilha"))))</f>
        <v>Vaca em lactação</v>
      </c>
      <c r="X370" s="0" t="str">
        <f aca="false">IF(AND(B370&gt;=1,B370&lt;=6),"Tanque",IF(B370=10,"Descarte",""))</f>
        <v>Tanque</v>
      </c>
    </row>
    <row r="371" customFormat="false" ht="15" hidden="false" customHeight="false" outlineLevel="0" collapsed="false">
      <c r="A371" s="22" t="n">
        <v>46309</v>
      </c>
      <c r="B371" s="0" t="n">
        <v>2</v>
      </c>
      <c r="C371" s="0" t="n">
        <v>4225</v>
      </c>
      <c r="D371" s="0" t="n">
        <v>52</v>
      </c>
      <c r="E371" s="0" t="n">
        <v>3</v>
      </c>
      <c r="F371" s="23" t="s">
        <v>358</v>
      </c>
      <c r="G371" s="0" t="n">
        <v>60.9</v>
      </c>
      <c r="H371" s="0" t="n">
        <v>56</v>
      </c>
      <c r="I371" s="23" t="s">
        <v>94</v>
      </c>
      <c r="J371" s="0" t="n">
        <v>52</v>
      </c>
      <c r="M371" s="0" t="n">
        <v>781.88</v>
      </c>
      <c r="N371" s="0" t="n">
        <v>77.84</v>
      </c>
      <c r="O371" s="0" t="n">
        <v>44.71</v>
      </c>
      <c r="P371" s="0" t="n">
        <v>3.69</v>
      </c>
      <c r="Q371" s="0" t="n">
        <v>2.91</v>
      </c>
      <c r="R371" s="0" t="n">
        <v>4854</v>
      </c>
      <c r="S371" s="0" t="n">
        <v>9758</v>
      </c>
      <c r="U371" s="0" t="n">
        <v>1491</v>
      </c>
      <c r="V371" s="0" t="n">
        <v>0</v>
      </c>
      <c r="W371" s="0" t="str">
        <f aca="false">IF(OR(AND(B371&gt;=1,B371&lt;=6),B371=10),"Vaca em lactação",IF(I371="Male","Macho",IF(E371&gt;=1,"Vaca seca",IF(I371="Youngstock","Bezerra/recria","Novilha"))))</f>
        <v>Vaca em lactação</v>
      </c>
      <c r="X371" s="0" t="str">
        <f aca="false">IF(AND(B371&gt;=1,B371&lt;=6),"Tanque",IF(B371=10,"Descarte",""))</f>
        <v>Tanque</v>
      </c>
    </row>
    <row r="372" customFormat="false" ht="15" hidden="false" customHeight="false" outlineLevel="0" collapsed="false">
      <c r="A372" s="22" t="n">
        <v>46309</v>
      </c>
      <c r="B372" s="0" t="n">
        <v>2</v>
      </c>
      <c r="C372" s="0" t="n">
        <v>4222</v>
      </c>
      <c r="D372" s="0" t="n">
        <v>163</v>
      </c>
      <c r="E372" s="0" t="n">
        <v>2</v>
      </c>
      <c r="F372" s="23" t="s">
        <v>359</v>
      </c>
      <c r="G372" s="0" t="n">
        <v>35.6</v>
      </c>
      <c r="H372" s="0" t="n">
        <v>47</v>
      </c>
      <c r="I372" s="23" t="s">
        <v>97</v>
      </c>
      <c r="J372" s="0" t="n">
        <v>163</v>
      </c>
      <c r="K372" s="0" t="n">
        <v>72</v>
      </c>
      <c r="M372" s="0" t="n">
        <v>1155.04</v>
      </c>
      <c r="N372" s="0" t="n">
        <v>52.01</v>
      </c>
      <c r="O372" s="0" t="n">
        <v>31.66</v>
      </c>
      <c r="P372" s="0" t="n">
        <v>4.15</v>
      </c>
      <c r="Q372" s="0" t="n">
        <v>3.38</v>
      </c>
      <c r="R372" s="0" t="n">
        <v>3413</v>
      </c>
      <c r="S372" s="0" t="n">
        <v>8250</v>
      </c>
      <c r="T372" s="0" t="n">
        <v>32.85</v>
      </c>
      <c r="U372" s="0" t="n">
        <v>1492</v>
      </c>
      <c r="V372" s="0" t="n">
        <v>3</v>
      </c>
      <c r="W372" s="0" t="str">
        <f aca="false">IF(OR(AND(B372&gt;=1,B372&lt;=6),B372=10),"Vaca em lactação",IF(I372="Male","Macho",IF(E372&gt;=1,"Vaca seca",IF(I372="Youngstock","Bezerra/recria","Novilha"))))</f>
        <v>Vaca em lactação</v>
      </c>
      <c r="X372" s="0" t="str">
        <f aca="false">IF(AND(B372&gt;=1,B372&lt;=6),"Tanque",IF(B372=10,"Descarte",""))</f>
        <v>Tanque</v>
      </c>
    </row>
    <row r="373" customFormat="false" ht="15" hidden="false" customHeight="false" outlineLevel="0" collapsed="false">
      <c r="A373" s="22" t="n">
        <v>46309</v>
      </c>
      <c r="B373" s="0" t="n">
        <v>2</v>
      </c>
      <c r="C373" s="0" t="n">
        <v>4234</v>
      </c>
      <c r="D373" s="0" t="n">
        <v>316</v>
      </c>
      <c r="E373" s="0" t="n">
        <v>2</v>
      </c>
      <c r="F373" s="23" t="s">
        <v>360</v>
      </c>
      <c r="G373" s="0" t="n">
        <v>55.3</v>
      </c>
      <c r="H373" s="0" t="n">
        <v>56</v>
      </c>
      <c r="I373" s="23" t="s">
        <v>92</v>
      </c>
      <c r="J373" s="0" t="n">
        <v>148</v>
      </c>
      <c r="K373" s="0" t="n">
        <v>64</v>
      </c>
      <c r="L373" s="0" t="n">
        <v>168</v>
      </c>
      <c r="M373" s="0" t="n">
        <v>956.38</v>
      </c>
      <c r="N373" s="0" t="n">
        <v>68.49</v>
      </c>
      <c r="O373" s="0" t="n">
        <v>38.67</v>
      </c>
      <c r="P373" s="0" t="n">
        <v>4.88</v>
      </c>
      <c r="Q373" s="0" t="n">
        <v>3.89</v>
      </c>
      <c r="R373" s="0" t="n">
        <v>5598</v>
      </c>
      <c r="S373" s="0" t="n">
        <v>11597</v>
      </c>
      <c r="T373" s="0" t="n">
        <v>64.9</v>
      </c>
      <c r="U373" s="0" t="n">
        <v>1489</v>
      </c>
      <c r="V373" s="0" t="n">
        <v>3</v>
      </c>
      <c r="W373" s="0" t="str">
        <f aca="false">IF(OR(AND(B373&gt;=1,B373&lt;=6),B373=10),"Vaca em lactação",IF(I373="Male","Macho",IF(E373&gt;=1,"Vaca seca",IF(I373="Youngstock","Bezerra/recria","Novilha"))))</f>
        <v>Vaca em lactação</v>
      </c>
      <c r="X373" s="0" t="str">
        <f aca="false">IF(AND(B373&gt;=1,B373&lt;=6),"Tanque",IF(B373=10,"Descarte",""))</f>
        <v>Tanque</v>
      </c>
    </row>
    <row r="374" customFormat="false" ht="15" hidden="false" customHeight="false" outlineLevel="0" collapsed="false">
      <c r="A374" s="22" t="n">
        <v>46309</v>
      </c>
      <c r="B374" s="0" t="n">
        <v>2</v>
      </c>
      <c r="C374" s="0" t="n">
        <v>4232</v>
      </c>
      <c r="D374" s="0" t="n">
        <v>12</v>
      </c>
      <c r="E374" s="0" t="n">
        <v>3</v>
      </c>
      <c r="F374" s="23" t="s">
        <v>360</v>
      </c>
      <c r="G374" s="0" t="n">
        <v>48</v>
      </c>
      <c r="H374" s="0" t="n">
        <v>43</v>
      </c>
      <c r="I374" s="23" t="s">
        <v>94</v>
      </c>
      <c r="J374" s="0" t="n">
        <v>12</v>
      </c>
      <c r="M374" s="0" t="n">
        <v>909.89</v>
      </c>
      <c r="N374" s="0" t="n">
        <v>63.17</v>
      </c>
      <c r="O374" s="0" t="n">
        <v>40.16</v>
      </c>
      <c r="R374" s="0" t="n">
        <v>3162</v>
      </c>
      <c r="S374" s="0" t="n">
        <v>6356</v>
      </c>
      <c r="U374" s="0" t="n">
        <v>1489</v>
      </c>
      <c r="V374" s="0" t="n">
        <v>0</v>
      </c>
      <c r="W374" s="0" t="str">
        <f aca="false">IF(OR(AND(B374&gt;=1,B374&lt;=6),B374=10),"Vaca em lactação",IF(I374="Male","Macho",IF(E374&gt;=1,"Vaca seca",IF(I374="Youngstock","Bezerra/recria","Novilha"))))</f>
        <v>Vaca em lactação</v>
      </c>
      <c r="X374" s="0" t="str">
        <f aca="false">IF(AND(B374&gt;=1,B374&lt;=6),"Tanque",IF(B374=10,"Descarte",""))</f>
        <v>Tanque</v>
      </c>
    </row>
    <row r="375" customFormat="false" ht="15" hidden="false" customHeight="false" outlineLevel="0" collapsed="false">
      <c r="A375" s="22" t="n">
        <v>46309</v>
      </c>
      <c r="B375" s="0" t="n">
        <v>2</v>
      </c>
      <c r="C375" s="0" t="n">
        <v>4259</v>
      </c>
      <c r="D375" s="0" t="n">
        <v>262</v>
      </c>
      <c r="E375" s="0" t="n">
        <v>2</v>
      </c>
      <c r="F375" s="23" t="s">
        <v>361</v>
      </c>
      <c r="G375" s="0" t="n">
        <v>59.8</v>
      </c>
      <c r="H375" s="0" t="n">
        <v>64</v>
      </c>
      <c r="I375" s="23" t="s">
        <v>92</v>
      </c>
      <c r="J375" s="0" t="n">
        <v>136</v>
      </c>
      <c r="K375" s="0" t="n">
        <v>66</v>
      </c>
      <c r="L375" s="0" t="n">
        <v>126</v>
      </c>
      <c r="M375" s="0" t="n">
        <v>1116.77</v>
      </c>
      <c r="N375" s="0" t="n">
        <v>64.17</v>
      </c>
      <c r="O375" s="0" t="n">
        <v>46.44</v>
      </c>
      <c r="P375" s="0" t="n">
        <v>3.07</v>
      </c>
      <c r="Q375" s="0" t="n">
        <v>3.6</v>
      </c>
      <c r="R375" s="0" t="n">
        <v>7005</v>
      </c>
      <c r="S375" s="0" t="n">
        <v>14403</v>
      </c>
      <c r="T375" s="0" t="n">
        <v>76</v>
      </c>
      <c r="U375" s="0" t="n">
        <v>1474</v>
      </c>
      <c r="V375" s="0" t="n">
        <v>3</v>
      </c>
      <c r="W375" s="0" t="str">
        <f aca="false">IF(OR(AND(B375&gt;=1,B375&lt;=6),B375=10),"Vaca em lactação",IF(I375="Male","Macho",IF(E375&gt;=1,"Vaca seca",IF(I375="Youngstock","Bezerra/recria","Novilha"))))</f>
        <v>Vaca em lactação</v>
      </c>
      <c r="X375" s="0" t="str">
        <f aca="false">IF(AND(B375&gt;=1,B375&lt;=6),"Tanque",IF(B375=10,"Descarte",""))</f>
        <v>Tanque</v>
      </c>
    </row>
    <row r="376" customFormat="false" ht="15" hidden="false" customHeight="false" outlineLevel="0" collapsed="false">
      <c r="A376" s="22" t="n">
        <v>46309</v>
      </c>
      <c r="B376" s="0" t="n">
        <v>2</v>
      </c>
      <c r="C376" s="0" t="n">
        <v>4255</v>
      </c>
      <c r="D376" s="0" t="n">
        <v>80</v>
      </c>
      <c r="E376" s="0" t="n">
        <v>3</v>
      </c>
      <c r="F376" s="23" t="s">
        <v>362</v>
      </c>
      <c r="G376" s="0" t="n">
        <v>69.1</v>
      </c>
      <c r="H376" s="0" t="n">
        <v>62</v>
      </c>
      <c r="I376" s="23" t="s">
        <v>97</v>
      </c>
      <c r="J376" s="0" t="n">
        <v>80</v>
      </c>
      <c r="K376" s="0" t="n">
        <v>66</v>
      </c>
      <c r="M376" s="0" t="n">
        <v>819.26</v>
      </c>
      <c r="N376" s="0" t="n">
        <v>58.94</v>
      </c>
      <c r="O376" s="0" t="n">
        <v>36.81</v>
      </c>
      <c r="P376" s="0" t="n">
        <v>2.1</v>
      </c>
      <c r="Q376" s="0" t="n">
        <v>3.07</v>
      </c>
      <c r="R376" s="0" t="n">
        <v>6222</v>
      </c>
      <c r="S376" s="0" t="n">
        <v>12507</v>
      </c>
      <c r="U376" s="0" t="n">
        <v>1476</v>
      </c>
      <c r="V376" s="0" t="n">
        <v>1</v>
      </c>
      <c r="W376" s="0" t="str">
        <f aca="false">IF(OR(AND(B376&gt;=1,B376&lt;=6),B376=10),"Vaca em lactação",IF(I376="Male","Macho",IF(E376&gt;=1,"Vaca seca",IF(I376="Youngstock","Bezerra/recria","Novilha"))))</f>
        <v>Vaca em lactação</v>
      </c>
      <c r="X376" s="0" t="str">
        <f aca="false">IF(AND(B376&gt;=1,B376&lt;=6),"Tanque",IF(B376=10,"Descarte",""))</f>
        <v>Tanque</v>
      </c>
    </row>
    <row r="377" customFormat="false" ht="15" hidden="false" customHeight="false" outlineLevel="0" collapsed="false">
      <c r="A377" s="22" t="n">
        <v>46309</v>
      </c>
      <c r="B377" s="0" t="n">
        <v>2</v>
      </c>
      <c r="C377" s="0" t="n">
        <v>4254</v>
      </c>
      <c r="D377" s="0" t="n">
        <v>75</v>
      </c>
      <c r="E377" s="0" t="n">
        <v>3</v>
      </c>
      <c r="F377" s="23" t="s">
        <v>362</v>
      </c>
      <c r="G377" s="0" t="n">
        <v>64</v>
      </c>
      <c r="H377" s="0" t="n">
        <v>61</v>
      </c>
      <c r="I377" s="23" t="s">
        <v>97</v>
      </c>
      <c r="J377" s="0" t="n">
        <v>75</v>
      </c>
      <c r="K377" s="0" t="n">
        <v>68</v>
      </c>
      <c r="M377" s="0" t="n">
        <v>776.99</v>
      </c>
      <c r="N377" s="0" t="n">
        <v>52.3</v>
      </c>
      <c r="O377" s="0" t="n">
        <v>35.43</v>
      </c>
      <c r="P377" s="0" t="n">
        <v>3.17</v>
      </c>
      <c r="Q377" s="0" t="n">
        <v>3.18</v>
      </c>
      <c r="R377" s="0" t="n">
        <v>5697</v>
      </c>
      <c r="S377" s="0" t="n">
        <v>11453</v>
      </c>
      <c r="U377" s="0" t="n">
        <v>1476</v>
      </c>
      <c r="V377" s="0" t="n">
        <v>1</v>
      </c>
      <c r="W377" s="0" t="str">
        <f aca="false">IF(OR(AND(B377&gt;=1,B377&lt;=6),B377=10),"Vaca em lactação",IF(I377="Male","Macho",IF(E377&gt;=1,"Vaca seca",IF(I377="Youngstock","Bezerra/recria","Novilha"))))</f>
        <v>Vaca em lactação</v>
      </c>
      <c r="X377" s="0" t="str">
        <f aca="false">IF(AND(B377&gt;=1,B377&lt;=6),"Tanque",IF(B377=10,"Descarte",""))</f>
        <v>Tanque</v>
      </c>
    </row>
    <row r="378" customFormat="false" ht="15" hidden="false" customHeight="false" outlineLevel="0" collapsed="false">
      <c r="A378" s="22" t="n">
        <v>46309</v>
      </c>
      <c r="B378" s="0" t="n">
        <v>2</v>
      </c>
      <c r="C378" s="0" t="n">
        <v>4338</v>
      </c>
      <c r="D378" s="0" t="n">
        <v>53</v>
      </c>
      <c r="E378" s="0" t="n">
        <v>3</v>
      </c>
      <c r="F378" s="23" t="s">
        <v>363</v>
      </c>
      <c r="G378" s="0" t="n">
        <v>65.8</v>
      </c>
      <c r="H378" s="0" t="n">
        <v>61</v>
      </c>
      <c r="I378" s="23" t="s">
        <v>94</v>
      </c>
      <c r="J378" s="0" t="n">
        <v>53</v>
      </c>
      <c r="M378" s="0" t="n">
        <v>1140.18</v>
      </c>
      <c r="N378" s="0" t="n">
        <v>69.04</v>
      </c>
      <c r="O378" s="0" t="n">
        <v>49.28</v>
      </c>
      <c r="P378" s="0" t="n">
        <v>3.39</v>
      </c>
      <c r="Q378" s="0" t="n">
        <v>3.09</v>
      </c>
      <c r="R378" s="0" t="n">
        <v>5602</v>
      </c>
      <c r="S378" s="0" t="n">
        <v>11261</v>
      </c>
      <c r="U378" s="0" t="n">
        <v>1429</v>
      </c>
      <c r="V378" s="0" t="n">
        <v>0</v>
      </c>
      <c r="W378" s="0" t="str">
        <f aca="false">IF(OR(AND(B378&gt;=1,B378&lt;=6),B378=10),"Vaca em lactação",IF(I378="Male","Macho",IF(E378&gt;=1,"Vaca seca",IF(I378="Youngstock","Bezerra/recria","Novilha"))))</f>
        <v>Vaca em lactação</v>
      </c>
      <c r="X378" s="0" t="str">
        <f aca="false">IF(AND(B378&gt;=1,B378&lt;=6),"Tanque",IF(B378=10,"Descarte",""))</f>
        <v>Tanque</v>
      </c>
    </row>
    <row r="379" customFormat="false" ht="15" hidden="false" customHeight="false" outlineLevel="0" collapsed="false">
      <c r="A379" s="22" t="n">
        <v>46309</v>
      </c>
      <c r="B379" s="0" t="n">
        <v>2</v>
      </c>
      <c r="C379" s="0" t="n">
        <v>4357</v>
      </c>
      <c r="D379" s="0" t="n">
        <v>75</v>
      </c>
      <c r="E379" s="0" t="n">
        <v>3</v>
      </c>
      <c r="F379" s="23" t="s">
        <v>364</v>
      </c>
      <c r="G379" s="0" t="n">
        <v>57</v>
      </c>
      <c r="H379" s="0" t="n">
        <v>52</v>
      </c>
      <c r="I379" s="23" t="s">
        <v>97</v>
      </c>
      <c r="J379" s="0" t="n">
        <v>75</v>
      </c>
      <c r="K379" s="0" t="n">
        <v>68</v>
      </c>
      <c r="M379" s="0" t="n">
        <v>419.04</v>
      </c>
      <c r="N379" s="0" t="n">
        <v>79.03</v>
      </c>
      <c r="O379" s="0" t="n">
        <v>40.21</v>
      </c>
      <c r="P379" s="0" t="n">
        <v>3.04</v>
      </c>
      <c r="Q379" s="0" t="n">
        <v>3.56</v>
      </c>
      <c r="R379" s="0" t="n">
        <v>4942</v>
      </c>
      <c r="S379" s="0" t="n">
        <v>9934</v>
      </c>
      <c r="U379" s="0" t="n">
        <v>1417</v>
      </c>
      <c r="V379" s="0" t="n">
        <v>1</v>
      </c>
      <c r="W379" s="0" t="str">
        <f aca="false">IF(OR(AND(B379&gt;=1,B379&lt;=6),B379=10),"Vaca em lactação",IF(I379="Male","Macho",IF(E379&gt;=1,"Vaca seca",IF(I379="Youngstock","Bezerra/recria","Novilha"))))</f>
        <v>Vaca em lactação</v>
      </c>
      <c r="X379" s="0" t="str">
        <f aca="false">IF(AND(B379&gt;=1,B379&lt;=6),"Tanque",IF(B379=10,"Descarte",""))</f>
        <v>Tanque</v>
      </c>
    </row>
    <row r="380" customFormat="false" ht="15" hidden="false" customHeight="false" outlineLevel="0" collapsed="false">
      <c r="A380" s="22" t="n">
        <v>46309</v>
      </c>
      <c r="B380" s="0" t="n">
        <v>2</v>
      </c>
      <c r="C380" s="0" t="n">
        <v>4352</v>
      </c>
      <c r="D380" s="0" t="n">
        <v>99</v>
      </c>
      <c r="E380" s="0" t="n">
        <v>3</v>
      </c>
      <c r="F380" s="23" t="s">
        <v>365</v>
      </c>
      <c r="G380" s="0" t="n">
        <v>61.8</v>
      </c>
      <c r="H380" s="0" t="n">
        <v>59</v>
      </c>
      <c r="I380" s="23" t="s">
        <v>109</v>
      </c>
      <c r="J380" s="0" t="n">
        <v>99</v>
      </c>
      <c r="K380" s="0" t="n">
        <v>64</v>
      </c>
      <c r="M380" s="0" t="n">
        <v>722.72</v>
      </c>
      <c r="N380" s="0" t="n">
        <v>62.01</v>
      </c>
      <c r="O380" s="0" t="n">
        <v>34.85</v>
      </c>
      <c r="P380" s="0" t="n">
        <v>2.49</v>
      </c>
      <c r="Q380" s="0" t="n">
        <v>3.13</v>
      </c>
      <c r="R380" s="0" t="n">
        <v>5550</v>
      </c>
      <c r="S380" s="0" t="n">
        <v>11156</v>
      </c>
      <c r="T380" s="0" t="n">
        <v>65.95</v>
      </c>
      <c r="U380" s="0" t="n">
        <v>1419</v>
      </c>
      <c r="V380" s="0" t="n">
        <v>1</v>
      </c>
      <c r="W380" s="0" t="str">
        <f aca="false">IF(OR(AND(B380&gt;=1,B380&lt;=6),B380=10),"Vaca em lactação",IF(I380="Male","Macho",IF(E380&gt;=1,"Vaca seca",IF(I380="Youngstock","Bezerra/recria","Novilha"))))</f>
        <v>Vaca em lactação</v>
      </c>
      <c r="X380" s="0" t="str">
        <f aca="false">IF(AND(B380&gt;=1,B380&lt;=6),"Tanque",IF(B380=10,"Descarte",""))</f>
        <v>Tanque</v>
      </c>
    </row>
    <row r="381" customFormat="false" ht="15" hidden="false" customHeight="false" outlineLevel="0" collapsed="false">
      <c r="A381" s="22" t="n">
        <v>46309</v>
      </c>
      <c r="B381" s="0" t="n">
        <v>2</v>
      </c>
      <c r="C381" s="0" t="n">
        <v>4299</v>
      </c>
      <c r="D381" s="0" t="n">
        <v>299</v>
      </c>
      <c r="E381" s="0" t="n">
        <v>2</v>
      </c>
      <c r="F381" s="23" t="s">
        <v>366</v>
      </c>
      <c r="G381" s="0" t="n">
        <v>44.9</v>
      </c>
      <c r="H381" s="0" t="n">
        <v>45</v>
      </c>
      <c r="I381" s="23" t="s">
        <v>97</v>
      </c>
      <c r="J381" s="0" t="n">
        <v>299</v>
      </c>
      <c r="K381" s="0" t="n">
        <v>68</v>
      </c>
      <c r="M381" s="0" t="n">
        <v>1268.38</v>
      </c>
      <c r="N381" s="0" t="n">
        <v>70.71</v>
      </c>
      <c r="O381" s="0" t="n">
        <v>44.83</v>
      </c>
      <c r="P381" s="0" t="n">
        <v>3.26</v>
      </c>
      <c r="Q381" s="0" t="n">
        <v>3.65</v>
      </c>
      <c r="R381" s="0" t="n">
        <v>6008</v>
      </c>
      <c r="S381" s="0" t="n">
        <v>12015</v>
      </c>
      <c r="T381" s="0" t="n">
        <v>68.65</v>
      </c>
      <c r="U381" s="0" t="n">
        <v>1448</v>
      </c>
      <c r="V381" s="0" t="n">
        <v>6</v>
      </c>
      <c r="W381" s="0" t="str">
        <f aca="false">IF(OR(AND(B381&gt;=1,B381&lt;=6),B381=10),"Vaca em lactação",IF(I381="Male","Macho",IF(E381&gt;=1,"Vaca seca",IF(I381="Youngstock","Bezerra/recria","Novilha"))))</f>
        <v>Vaca em lactação</v>
      </c>
      <c r="X381" s="0" t="str">
        <f aca="false">IF(AND(B381&gt;=1,B381&lt;=6),"Tanque",IF(B381=10,"Descarte",""))</f>
        <v>Tanque</v>
      </c>
    </row>
    <row r="382" customFormat="false" ht="15" hidden="false" customHeight="false" outlineLevel="0" collapsed="false">
      <c r="A382" s="22" t="n">
        <v>46309</v>
      </c>
      <c r="B382" s="0" t="n">
        <v>2</v>
      </c>
      <c r="C382" s="0" t="n">
        <v>4296</v>
      </c>
      <c r="D382" s="0" t="n">
        <v>244</v>
      </c>
      <c r="E382" s="0" t="n">
        <v>2</v>
      </c>
      <c r="F382" s="23" t="s">
        <v>367</v>
      </c>
      <c r="G382" s="0" t="n">
        <v>50.7</v>
      </c>
      <c r="H382" s="0" t="n">
        <v>50</v>
      </c>
      <c r="I382" s="23" t="s">
        <v>92</v>
      </c>
      <c r="J382" s="0" t="n">
        <v>188</v>
      </c>
      <c r="K382" s="0" t="n">
        <v>76</v>
      </c>
      <c r="L382" s="0" t="n">
        <v>56</v>
      </c>
      <c r="M382" s="0" t="n">
        <v>941.79</v>
      </c>
      <c r="N382" s="0" t="n">
        <v>45.24</v>
      </c>
      <c r="O382" s="0" t="n">
        <v>32.46</v>
      </c>
      <c r="P382" s="0" t="n">
        <v>5.17</v>
      </c>
      <c r="Q382" s="0" t="n">
        <v>3.6</v>
      </c>
      <c r="R382" s="0" t="n">
        <v>5926</v>
      </c>
      <c r="S382" s="0" t="n">
        <v>12083</v>
      </c>
      <c r="T382" s="0" t="n">
        <v>63.1</v>
      </c>
      <c r="U382" s="0" t="n">
        <v>1449</v>
      </c>
      <c r="V382" s="0" t="n">
        <v>4</v>
      </c>
      <c r="W382" s="0" t="str">
        <f aca="false">IF(OR(AND(B382&gt;=1,B382&lt;=6),B382=10),"Vaca em lactação",IF(I382="Male","Macho",IF(E382&gt;=1,"Vaca seca",IF(I382="Youngstock","Bezerra/recria","Novilha"))))</f>
        <v>Vaca em lactação</v>
      </c>
      <c r="X382" s="0" t="str">
        <f aca="false">IF(AND(B382&gt;=1,B382&lt;=6),"Tanque",IF(B382=10,"Descarte",""))</f>
        <v>Tanque</v>
      </c>
    </row>
    <row r="383" customFormat="false" ht="15" hidden="false" customHeight="false" outlineLevel="0" collapsed="false">
      <c r="A383" s="22" t="n">
        <v>46309</v>
      </c>
      <c r="B383" s="0" t="n">
        <v>2</v>
      </c>
      <c r="C383" s="0" t="n">
        <v>4295</v>
      </c>
      <c r="D383" s="0" t="n">
        <v>55</v>
      </c>
      <c r="E383" s="0" t="n">
        <v>3</v>
      </c>
      <c r="F383" s="23" t="s">
        <v>367</v>
      </c>
      <c r="G383" s="0" t="n">
        <v>68.6</v>
      </c>
      <c r="H383" s="0" t="n">
        <v>68</v>
      </c>
      <c r="I383" s="23" t="s">
        <v>94</v>
      </c>
      <c r="J383" s="0" t="n">
        <v>55</v>
      </c>
      <c r="M383" s="0" t="n">
        <v>511.93</v>
      </c>
      <c r="N383" s="0" t="n">
        <v>41.92</v>
      </c>
      <c r="O383" s="0" t="n">
        <v>24.47</v>
      </c>
      <c r="P383" s="0" t="n">
        <v>4.24</v>
      </c>
      <c r="Q383" s="0" t="n">
        <v>3.02</v>
      </c>
      <c r="R383" s="0" t="n">
        <v>5705</v>
      </c>
      <c r="S383" s="0" t="n">
        <v>11468</v>
      </c>
      <c r="U383" s="0" t="n">
        <v>1449</v>
      </c>
      <c r="V383" s="0" t="n">
        <v>0</v>
      </c>
      <c r="W383" s="0" t="str">
        <f aca="false">IF(OR(AND(B383&gt;=1,B383&lt;=6),B383=10),"Vaca em lactação",IF(I383="Male","Macho",IF(E383&gt;=1,"Vaca seca",IF(I383="Youngstock","Bezerra/recria","Novilha"))))</f>
        <v>Vaca em lactação</v>
      </c>
      <c r="X383" s="0" t="str">
        <f aca="false">IF(AND(B383&gt;=1,B383&lt;=6),"Tanque",IF(B383=10,"Descarte",""))</f>
        <v>Tanque</v>
      </c>
    </row>
    <row r="384" customFormat="false" ht="15" hidden="false" customHeight="false" outlineLevel="0" collapsed="false">
      <c r="A384" s="22" t="n">
        <v>46309</v>
      </c>
      <c r="B384" s="0" t="n">
        <v>2</v>
      </c>
      <c r="C384" s="0" t="n">
        <v>4308</v>
      </c>
      <c r="D384" s="0" t="n">
        <v>21</v>
      </c>
      <c r="E384" s="0" t="n">
        <v>3</v>
      </c>
      <c r="F384" s="23" t="s">
        <v>368</v>
      </c>
      <c r="G384" s="0" t="n">
        <v>58.4</v>
      </c>
      <c r="H384" s="0" t="n">
        <v>51</v>
      </c>
      <c r="I384" s="23" t="s">
        <v>94</v>
      </c>
      <c r="J384" s="0" t="n">
        <v>21</v>
      </c>
      <c r="M384" s="0" t="n">
        <v>432.45</v>
      </c>
      <c r="N384" s="0" t="n">
        <v>74.18</v>
      </c>
      <c r="O384" s="0" t="n">
        <v>36.11</v>
      </c>
      <c r="R384" s="0" t="n">
        <v>4397</v>
      </c>
      <c r="S384" s="0" t="n">
        <v>8839</v>
      </c>
      <c r="U384" s="0" t="n">
        <v>1444</v>
      </c>
      <c r="V384" s="0" t="n">
        <v>0</v>
      </c>
      <c r="W384" s="0" t="str">
        <f aca="false">IF(OR(AND(B384&gt;=1,B384&lt;=6),B384=10),"Vaca em lactação",IF(I384="Male","Macho",IF(E384&gt;=1,"Vaca seca",IF(I384="Youngstock","Bezerra/recria","Novilha"))))</f>
        <v>Vaca em lactação</v>
      </c>
      <c r="X384" s="0" t="str">
        <f aca="false">IF(AND(B384&gt;=1,B384&lt;=6),"Tanque",IF(B384=10,"Descarte",""))</f>
        <v>Tanque</v>
      </c>
    </row>
    <row r="385" customFormat="false" ht="15" hidden="false" customHeight="false" outlineLevel="0" collapsed="false">
      <c r="A385" s="22" t="n">
        <v>46309</v>
      </c>
      <c r="B385" s="0" t="n">
        <v>2</v>
      </c>
      <c r="C385" s="0" t="n">
        <v>4318</v>
      </c>
      <c r="D385" s="0" t="n">
        <v>132</v>
      </c>
      <c r="E385" s="0" t="n">
        <v>3</v>
      </c>
      <c r="F385" s="23" t="s">
        <v>369</v>
      </c>
      <c r="G385" s="0" t="n">
        <v>56.4</v>
      </c>
      <c r="H385" s="0" t="n">
        <v>53</v>
      </c>
      <c r="I385" s="23" t="s">
        <v>92</v>
      </c>
      <c r="J385" s="0" t="n">
        <v>69</v>
      </c>
      <c r="K385" s="0" t="n">
        <v>69</v>
      </c>
      <c r="L385" s="0" t="n">
        <v>63</v>
      </c>
      <c r="M385" s="0" t="n">
        <v>317.77</v>
      </c>
      <c r="N385" s="0" t="n">
        <v>46.32</v>
      </c>
      <c r="O385" s="0" t="n">
        <v>35.33</v>
      </c>
      <c r="P385" s="0" t="n">
        <v>2.6</v>
      </c>
      <c r="Q385" s="0" t="n">
        <v>3.58</v>
      </c>
      <c r="R385" s="0" t="n">
        <v>6083</v>
      </c>
      <c r="S385" s="0" t="n">
        <v>12256</v>
      </c>
      <c r="T385" s="0" t="n">
        <v>66.2</v>
      </c>
      <c r="U385" s="0" t="n">
        <v>1436</v>
      </c>
      <c r="V385" s="0" t="n">
        <v>1</v>
      </c>
      <c r="W385" s="0" t="str">
        <f aca="false">IF(OR(AND(B385&gt;=1,B385&lt;=6),B385=10),"Vaca em lactação",IF(I385="Male","Macho",IF(E385&gt;=1,"Vaca seca",IF(I385="Youngstock","Bezerra/recria","Novilha"))))</f>
        <v>Vaca em lactação</v>
      </c>
      <c r="X385" s="0" t="str">
        <f aca="false">IF(AND(B385&gt;=1,B385&lt;=6),"Tanque",IF(B385=10,"Descarte",""))</f>
        <v>Tanque</v>
      </c>
    </row>
    <row r="386" customFormat="false" ht="15" hidden="false" customHeight="false" outlineLevel="0" collapsed="false">
      <c r="A386" s="22" t="n">
        <v>46309</v>
      </c>
      <c r="B386" s="0" t="n">
        <v>2</v>
      </c>
      <c r="C386" s="0" t="n">
        <v>4327</v>
      </c>
      <c r="D386" s="0" t="n">
        <v>106</v>
      </c>
      <c r="E386" s="0" t="n">
        <v>3</v>
      </c>
      <c r="F386" s="23" t="s">
        <v>370</v>
      </c>
      <c r="G386" s="0" t="n">
        <v>55.4</v>
      </c>
      <c r="H386" s="0" t="n">
        <v>55</v>
      </c>
      <c r="I386" s="23" t="s">
        <v>92</v>
      </c>
      <c r="J386" s="0" t="n">
        <v>64</v>
      </c>
      <c r="K386" s="0" t="n">
        <v>64</v>
      </c>
      <c r="L386" s="0" t="n">
        <v>42</v>
      </c>
      <c r="M386" s="0" t="n">
        <v>690.49</v>
      </c>
      <c r="N386" s="0" t="n">
        <v>45.81</v>
      </c>
      <c r="O386" s="0" t="n">
        <v>26.18</v>
      </c>
      <c r="P386" s="0" t="n">
        <v>3.01</v>
      </c>
      <c r="Q386" s="0" t="n">
        <v>2.94</v>
      </c>
      <c r="R386" s="0" t="n">
        <v>5131</v>
      </c>
      <c r="S386" s="0" t="n">
        <v>10363</v>
      </c>
      <c r="T386" s="0" t="n">
        <v>57</v>
      </c>
      <c r="U386" s="0" t="n">
        <v>1433</v>
      </c>
      <c r="V386" s="0" t="n">
        <v>1</v>
      </c>
      <c r="W386" s="0" t="str">
        <f aca="false">IF(OR(AND(B386&gt;=1,B386&lt;=6),B386=10),"Vaca em lactação",IF(I386="Male","Macho",IF(E386&gt;=1,"Vaca seca",IF(I386="Youngstock","Bezerra/recria","Novilha"))))</f>
        <v>Vaca em lactação</v>
      </c>
      <c r="X386" s="0" t="str">
        <f aca="false">IF(AND(B386&gt;=1,B386&lt;=6),"Tanque",IF(B386=10,"Descarte",""))</f>
        <v>Tanque</v>
      </c>
    </row>
    <row r="387" customFormat="false" ht="15" hidden="false" customHeight="false" outlineLevel="0" collapsed="false">
      <c r="A387" s="22" t="n">
        <v>46309</v>
      </c>
      <c r="B387" s="0" t="n">
        <v>2</v>
      </c>
      <c r="C387" s="0" t="n">
        <v>4325</v>
      </c>
      <c r="D387" s="0" t="n">
        <v>282</v>
      </c>
      <c r="E387" s="0" t="n">
        <v>2</v>
      </c>
      <c r="F387" s="23" t="s">
        <v>371</v>
      </c>
      <c r="G387" s="0" t="n">
        <v>54.2</v>
      </c>
      <c r="H387" s="0" t="n">
        <v>51</v>
      </c>
      <c r="I387" s="23" t="s">
        <v>92</v>
      </c>
      <c r="J387" s="0" t="n">
        <v>191</v>
      </c>
      <c r="K387" s="0" t="n">
        <v>65</v>
      </c>
      <c r="L387" s="0" t="n">
        <v>91</v>
      </c>
      <c r="M387" s="0" t="n">
        <v>284.07</v>
      </c>
      <c r="N387" s="0" t="n">
        <v>57.11</v>
      </c>
      <c r="O387" s="0" t="n">
        <v>32.59</v>
      </c>
      <c r="P387" s="0" t="n">
        <v>3.68</v>
      </c>
      <c r="Q387" s="0" t="n">
        <v>3.68</v>
      </c>
      <c r="R387" s="0" t="n">
        <v>6211</v>
      </c>
      <c r="S387" s="0" t="n">
        <v>11751</v>
      </c>
      <c r="T387" s="0" t="n">
        <v>65.2</v>
      </c>
      <c r="U387" s="0" t="n">
        <v>1434</v>
      </c>
      <c r="V387" s="0" t="n">
        <v>4</v>
      </c>
      <c r="W387" s="0" t="str">
        <f aca="false">IF(OR(AND(B387&gt;=1,B387&lt;=6),B387=10),"Vaca em lactação",IF(I387="Male","Macho",IF(E387&gt;=1,"Vaca seca",IF(I387="Youngstock","Bezerra/recria","Novilha"))))</f>
        <v>Vaca em lactação</v>
      </c>
      <c r="X387" s="0" t="str">
        <f aca="false">IF(AND(B387&gt;=1,B387&lt;=6),"Tanque",IF(B387=10,"Descarte",""))</f>
        <v>Tanque</v>
      </c>
    </row>
    <row r="388" customFormat="false" ht="15" hidden="false" customHeight="false" outlineLevel="0" collapsed="false">
      <c r="A388" s="22" t="n">
        <v>46309</v>
      </c>
      <c r="B388" s="0" t="n">
        <v>2</v>
      </c>
      <c r="C388" s="0" t="n">
        <v>4323</v>
      </c>
      <c r="D388" s="0" t="n">
        <v>33</v>
      </c>
      <c r="E388" s="0" t="n">
        <v>3</v>
      </c>
      <c r="F388" s="23" t="s">
        <v>371</v>
      </c>
      <c r="G388" s="0" t="n">
        <v>68.4</v>
      </c>
      <c r="H388" s="0" t="n">
        <v>71</v>
      </c>
      <c r="I388" s="23" t="s">
        <v>94</v>
      </c>
      <c r="J388" s="0" t="n">
        <v>33</v>
      </c>
      <c r="M388" s="0" t="n">
        <v>210.6</v>
      </c>
      <c r="N388" s="0" t="n">
        <v>40.23</v>
      </c>
      <c r="O388" s="0" t="n">
        <v>15.53</v>
      </c>
      <c r="P388" s="0" t="n">
        <v>4.72</v>
      </c>
      <c r="Q388" s="0" t="n">
        <v>4.11</v>
      </c>
      <c r="R388" s="0" t="n">
        <v>5614</v>
      </c>
      <c r="S388" s="0" t="n">
        <v>11286</v>
      </c>
      <c r="U388" s="0" t="n">
        <v>1434</v>
      </c>
      <c r="V388" s="0" t="n">
        <v>0</v>
      </c>
      <c r="W388" s="0" t="str">
        <f aca="false">IF(OR(AND(B388&gt;=1,B388&lt;=6),B388=10),"Vaca em lactação",IF(I388="Male","Macho",IF(E388&gt;=1,"Vaca seca",IF(I388="Youngstock","Bezerra/recria","Novilha"))))</f>
        <v>Vaca em lactação</v>
      </c>
      <c r="X388" s="0" t="str">
        <f aca="false">IF(AND(B388&gt;=1,B388&lt;=6),"Tanque",IF(B388=10,"Descarte",""))</f>
        <v>Tanque</v>
      </c>
    </row>
    <row r="389" customFormat="false" ht="15" hidden="false" customHeight="false" outlineLevel="0" collapsed="false">
      <c r="A389" s="22" t="n">
        <v>46309</v>
      </c>
      <c r="B389" s="0" t="n">
        <v>2</v>
      </c>
      <c r="C389" s="0" t="n">
        <v>4132</v>
      </c>
      <c r="D389" s="0" t="n">
        <v>154</v>
      </c>
      <c r="E389" s="0" t="n">
        <v>3</v>
      </c>
      <c r="F389" s="23" t="s">
        <v>372</v>
      </c>
      <c r="G389" s="0" t="n">
        <v>74</v>
      </c>
      <c r="H389" s="0" t="n">
        <v>73</v>
      </c>
      <c r="I389" s="23" t="s">
        <v>92</v>
      </c>
      <c r="J389" s="0" t="n">
        <v>64</v>
      </c>
      <c r="K389" s="0" t="n">
        <v>71</v>
      </c>
      <c r="L389" s="0" t="n">
        <v>90</v>
      </c>
      <c r="M389" s="0" t="n">
        <v>918.02</v>
      </c>
      <c r="N389" s="0" t="n">
        <v>51.68</v>
      </c>
      <c r="O389" s="0" t="n">
        <v>30.3</v>
      </c>
      <c r="P389" s="0" t="n">
        <v>2.57</v>
      </c>
      <c r="Q389" s="0" t="n">
        <v>3.34</v>
      </c>
      <c r="R389" s="0" t="n">
        <v>6766</v>
      </c>
      <c r="S389" s="0" t="n">
        <v>14330</v>
      </c>
      <c r="T389" s="0" t="n">
        <v>75.8</v>
      </c>
      <c r="U389" s="0" t="n">
        <v>1531</v>
      </c>
      <c r="V389" s="0" t="n">
        <v>1</v>
      </c>
      <c r="W389" s="0" t="str">
        <f aca="false">IF(OR(AND(B389&gt;=1,B389&lt;=6),B389=10),"Vaca em lactação",IF(I389="Male","Macho",IF(E389&gt;=1,"Vaca seca",IF(I389="Youngstock","Bezerra/recria","Novilha"))))</f>
        <v>Vaca em lactação</v>
      </c>
      <c r="X389" s="0" t="str">
        <f aca="false">IF(AND(B389&gt;=1,B389&lt;=6),"Tanque",IF(B389=10,"Descarte",""))</f>
        <v>Tanque</v>
      </c>
    </row>
    <row r="390" customFormat="false" ht="15" hidden="false" customHeight="false" outlineLevel="0" collapsed="false">
      <c r="A390" s="22" t="n">
        <v>46309</v>
      </c>
      <c r="B390" s="0" t="n">
        <v>2</v>
      </c>
      <c r="C390" s="0" t="n">
        <v>4130</v>
      </c>
      <c r="D390" s="0" t="n">
        <v>100</v>
      </c>
      <c r="E390" s="0" t="n">
        <v>3</v>
      </c>
      <c r="F390" s="23" t="s">
        <v>372</v>
      </c>
      <c r="G390" s="0" t="n">
        <v>68.8</v>
      </c>
      <c r="H390" s="0" t="n">
        <v>65</v>
      </c>
      <c r="I390" s="23" t="s">
        <v>92</v>
      </c>
      <c r="J390" s="0" t="n">
        <v>65</v>
      </c>
      <c r="K390" s="0" t="n">
        <v>65</v>
      </c>
      <c r="L390" s="0" t="n">
        <v>35</v>
      </c>
      <c r="M390" s="0" t="n">
        <v>912.27</v>
      </c>
      <c r="N390" s="0" t="n">
        <v>47.06</v>
      </c>
      <c r="O390" s="0" t="n">
        <v>29.7</v>
      </c>
      <c r="P390" s="0" t="n">
        <v>2.38</v>
      </c>
      <c r="Q390" s="0" t="n">
        <v>3.14</v>
      </c>
      <c r="R390" s="0" t="n">
        <v>6301</v>
      </c>
      <c r="S390" s="0" t="n">
        <v>12666</v>
      </c>
      <c r="T390" s="0" t="n">
        <v>72.55</v>
      </c>
      <c r="U390" s="0" t="n">
        <v>1531</v>
      </c>
      <c r="V390" s="0" t="n">
        <v>1</v>
      </c>
      <c r="W390" s="0" t="str">
        <f aca="false">IF(OR(AND(B390&gt;=1,B390&lt;=6),B390=10),"Vaca em lactação",IF(I390="Male","Macho",IF(E390&gt;=1,"Vaca seca",IF(I390="Youngstock","Bezerra/recria","Novilha"))))</f>
        <v>Vaca em lactação</v>
      </c>
      <c r="X390" s="0" t="str">
        <f aca="false">IF(AND(B390&gt;=1,B390&lt;=6),"Tanque",IF(B390=10,"Descarte",""))</f>
        <v>Tanque</v>
      </c>
    </row>
    <row r="391" customFormat="false" ht="15" hidden="false" customHeight="false" outlineLevel="0" collapsed="false">
      <c r="A391" s="22" t="n">
        <v>46309</v>
      </c>
      <c r="B391" s="0" t="n">
        <v>2</v>
      </c>
      <c r="C391" s="0" t="n">
        <v>4140</v>
      </c>
      <c r="D391" s="0" t="n">
        <v>182</v>
      </c>
      <c r="E391" s="0" t="n">
        <v>3</v>
      </c>
      <c r="F391" s="23" t="s">
        <v>373</v>
      </c>
      <c r="G391" s="0" t="n">
        <v>38</v>
      </c>
      <c r="H391" s="0" t="n">
        <v>46</v>
      </c>
      <c r="I391" s="23" t="s">
        <v>97</v>
      </c>
      <c r="J391" s="0" t="n">
        <v>182</v>
      </c>
      <c r="K391" s="0" t="n">
        <v>98</v>
      </c>
      <c r="M391" s="0" t="n">
        <v>965.11</v>
      </c>
      <c r="N391" s="0" t="n">
        <v>12.15</v>
      </c>
      <c r="O391" s="0" t="n">
        <v>30.54</v>
      </c>
      <c r="P391" s="0" t="n">
        <v>2.49</v>
      </c>
      <c r="Q391" s="0" t="n">
        <v>3.56</v>
      </c>
      <c r="R391" s="0" t="n">
        <v>4915</v>
      </c>
      <c r="S391" s="0" t="n">
        <v>10080</v>
      </c>
      <c r="T391" s="0" t="n">
        <v>54.75</v>
      </c>
      <c r="U391" s="0" t="n">
        <v>1526</v>
      </c>
      <c r="V391" s="0" t="n">
        <v>3</v>
      </c>
      <c r="W391" s="0" t="str">
        <f aca="false">IF(OR(AND(B391&gt;=1,B391&lt;=6),B391=10),"Vaca em lactação",IF(I391="Male","Macho",IF(E391&gt;=1,"Vaca seca",IF(I391="Youngstock","Bezerra/recria","Novilha"))))</f>
        <v>Vaca em lactação</v>
      </c>
      <c r="X391" s="0" t="str">
        <f aca="false">IF(AND(B391&gt;=1,B391&lt;=6),"Tanque",IF(B391=10,"Descarte",""))</f>
        <v>Tanque</v>
      </c>
    </row>
    <row r="392" customFormat="false" ht="15" hidden="false" customHeight="false" outlineLevel="0" collapsed="false">
      <c r="A392" s="22" t="n">
        <v>46309</v>
      </c>
      <c r="B392" s="0" t="n">
        <v>2</v>
      </c>
      <c r="C392" s="0" t="n">
        <v>4142</v>
      </c>
      <c r="D392" s="0" t="n">
        <v>100</v>
      </c>
      <c r="E392" s="0" t="n">
        <v>3</v>
      </c>
      <c r="F392" s="23" t="s">
        <v>373</v>
      </c>
      <c r="G392" s="0" t="n">
        <v>46.6</v>
      </c>
      <c r="H392" s="0" t="n">
        <v>47</v>
      </c>
      <c r="I392" s="23" t="s">
        <v>109</v>
      </c>
      <c r="J392" s="0" t="n">
        <v>100</v>
      </c>
      <c r="K392" s="0" t="n">
        <v>65</v>
      </c>
      <c r="M392" s="0" t="n">
        <v>1458.44</v>
      </c>
      <c r="N392" s="0" t="n">
        <v>85</v>
      </c>
      <c r="O392" s="0" t="n">
        <v>51.33</v>
      </c>
      <c r="P392" s="0" t="n">
        <v>3.47</v>
      </c>
      <c r="Q392" s="0" t="n">
        <v>2.89</v>
      </c>
      <c r="R392" s="0" t="n">
        <v>5271</v>
      </c>
      <c r="S392" s="0" t="n">
        <v>10595</v>
      </c>
      <c r="T392" s="0" t="n">
        <v>58.6</v>
      </c>
      <c r="U392" s="0" t="n">
        <v>1526</v>
      </c>
      <c r="V392" s="0" t="n">
        <v>1</v>
      </c>
      <c r="W392" s="0" t="str">
        <f aca="false">IF(OR(AND(B392&gt;=1,B392&lt;=6),B392=10),"Vaca em lactação",IF(I392="Male","Macho",IF(E392&gt;=1,"Vaca seca",IF(I392="Youngstock","Bezerra/recria","Novilha"))))</f>
        <v>Vaca em lactação</v>
      </c>
      <c r="X392" s="0" t="str">
        <f aca="false">IF(AND(B392&gt;=1,B392&lt;=6),"Tanque",IF(B392=10,"Descarte",""))</f>
        <v>Tanque</v>
      </c>
    </row>
    <row r="393" customFormat="false" ht="15" hidden="false" customHeight="false" outlineLevel="0" collapsed="false">
      <c r="A393" s="22" t="n">
        <v>46309</v>
      </c>
      <c r="B393" s="0" t="n">
        <v>2</v>
      </c>
      <c r="C393" s="0" t="n">
        <v>4158</v>
      </c>
      <c r="D393" s="0" t="n">
        <v>132</v>
      </c>
      <c r="E393" s="0" t="n">
        <v>2</v>
      </c>
      <c r="F393" s="23" t="s">
        <v>374</v>
      </c>
      <c r="G393" s="0" t="n">
        <v>71</v>
      </c>
      <c r="H393" s="0" t="n">
        <v>73</v>
      </c>
      <c r="I393" s="23" t="s">
        <v>97</v>
      </c>
      <c r="J393" s="0" t="n">
        <v>132</v>
      </c>
      <c r="K393" s="0" t="n">
        <v>69</v>
      </c>
      <c r="M393" s="0" t="n">
        <v>582.45</v>
      </c>
      <c r="N393" s="0" t="n">
        <v>83.78</v>
      </c>
      <c r="O393" s="0" t="n">
        <v>30.91</v>
      </c>
      <c r="P393" s="0" t="n">
        <v>3.33</v>
      </c>
      <c r="Q393" s="0" t="n">
        <v>3.06</v>
      </c>
      <c r="R393" s="0" t="n">
        <v>7251</v>
      </c>
      <c r="S393" s="0" t="n">
        <v>14790</v>
      </c>
      <c r="T393" s="0" t="n">
        <v>76.5</v>
      </c>
      <c r="U393" s="0" t="n">
        <v>1523</v>
      </c>
      <c r="V393" s="0" t="n">
        <v>2</v>
      </c>
      <c r="W393" s="0" t="str">
        <f aca="false">IF(OR(AND(B393&gt;=1,B393&lt;=6),B393=10),"Vaca em lactação",IF(I393="Male","Macho",IF(E393&gt;=1,"Vaca seca",IF(I393="Youngstock","Bezerra/recria","Novilha"))))</f>
        <v>Vaca em lactação</v>
      </c>
      <c r="X393" s="0" t="str">
        <f aca="false">IF(AND(B393&gt;=1,B393&lt;=6),"Tanque",IF(B393=10,"Descarte",""))</f>
        <v>Tanque</v>
      </c>
    </row>
    <row r="394" customFormat="false" ht="15" hidden="false" customHeight="false" outlineLevel="0" collapsed="false">
      <c r="A394" s="22" t="n">
        <v>46309</v>
      </c>
      <c r="B394" s="0" t="n">
        <v>2</v>
      </c>
      <c r="C394" s="0" t="n">
        <v>4096</v>
      </c>
      <c r="D394" s="0" t="n">
        <v>131</v>
      </c>
      <c r="E394" s="0" t="n">
        <v>3</v>
      </c>
      <c r="F394" s="23" t="s">
        <v>375</v>
      </c>
      <c r="G394" s="0" t="n">
        <v>59.6</v>
      </c>
      <c r="H394" s="0" t="n">
        <v>58</v>
      </c>
      <c r="I394" s="23" t="s">
        <v>97</v>
      </c>
      <c r="J394" s="0" t="n">
        <v>131</v>
      </c>
      <c r="K394" s="0" t="n">
        <v>68</v>
      </c>
      <c r="M394" s="0" t="n">
        <v>764.78</v>
      </c>
      <c r="N394" s="0" t="n">
        <v>53.31</v>
      </c>
      <c r="O394" s="0" t="n">
        <v>28.52</v>
      </c>
      <c r="P394" s="0" t="n">
        <v>2.52</v>
      </c>
      <c r="Q394" s="0" t="n">
        <v>3.44</v>
      </c>
      <c r="R394" s="0" t="n">
        <v>5656</v>
      </c>
      <c r="S394" s="0" t="n">
        <v>11355</v>
      </c>
      <c r="T394" s="0" t="n">
        <v>64.45</v>
      </c>
      <c r="U394" s="0" t="n">
        <v>1550</v>
      </c>
      <c r="V394" s="0" t="n">
        <v>3</v>
      </c>
      <c r="W394" s="0" t="str">
        <f aca="false">IF(OR(AND(B394&gt;=1,B394&lt;=6),B394=10),"Vaca em lactação",IF(I394="Male","Macho",IF(E394&gt;=1,"Vaca seca",IF(I394="Youngstock","Bezerra/recria","Novilha"))))</f>
        <v>Vaca em lactação</v>
      </c>
      <c r="X394" s="0" t="str">
        <f aca="false">IF(AND(B394&gt;=1,B394&lt;=6),"Tanque",IF(B394=10,"Descarte",""))</f>
        <v>Tanque</v>
      </c>
    </row>
    <row r="395" customFormat="false" ht="15" hidden="false" customHeight="false" outlineLevel="0" collapsed="false">
      <c r="A395" s="22" t="n">
        <v>46309</v>
      </c>
      <c r="B395" s="0" t="n">
        <v>2</v>
      </c>
      <c r="C395" s="0" t="n">
        <v>4114</v>
      </c>
      <c r="D395" s="0" t="n">
        <v>152</v>
      </c>
      <c r="E395" s="0" t="n">
        <v>3</v>
      </c>
      <c r="F395" s="23" t="s">
        <v>376</v>
      </c>
      <c r="G395" s="0" t="n">
        <v>62.7</v>
      </c>
      <c r="H395" s="0" t="n">
        <v>62</v>
      </c>
      <c r="I395" s="23" t="s">
        <v>92</v>
      </c>
      <c r="J395" s="0" t="n">
        <v>82</v>
      </c>
      <c r="K395" s="0" t="n">
        <v>82</v>
      </c>
      <c r="L395" s="0" t="n">
        <v>70</v>
      </c>
      <c r="M395" s="0" t="n">
        <v>924.46</v>
      </c>
      <c r="N395" s="0" t="n">
        <v>57.42</v>
      </c>
      <c r="O395" s="0" t="n">
        <v>37.98</v>
      </c>
      <c r="P395" s="0" t="n">
        <v>3.24</v>
      </c>
      <c r="Q395" s="0" t="n">
        <v>3.21</v>
      </c>
      <c r="R395" s="0" t="n">
        <v>6168</v>
      </c>
      <c r="S395" s="0" t="n">
        <v>12652</v>
      </c>
      <c r="T395" s="0" t="n">
        <v>66.8</v>
      </c>
      <c r="U395" s="0" t="n">
        <v>1539</v>
      </c>
      <c r="V395" s="0" t="n">
        <v>1</v>
      </c>
      <c r="W395" s="0" t="str">
        <f aca="false">IF(OR(AND(B395&gt;=1,B395&lt;=6),B395=10),"Vaca em lactação",IF(I395="Male","Macho",IF(E395&gt;=1,"Vaca seca",IF(I395="Youngstock","Bezerra/recria","Novilha"))))</f>
        <v>Vaca em lactação</v>
      </c>
      <c r="X395" s="0" t="str">
        <f aca="false">IF(AND(B395&gt;=1,B395&lt;=6),"Tanque",IF(B395=10,"Descarte",""))</f>
        <v>Tanque</v>
      </c>
    </row>
    <row r="396" customFormat="false" ht="15" hidden="false" customHeight="false" outlineLevel="0" collapsed="false">
      <c r="A396" s="22" t="n">
        <v>46309</v>
      </c>
      <c r="B396" s="0" t="n">
        <v>2</v>
      </c>
      <c r="C396" s="0" t="n">
        <v>4111</v>
      </c>
      <c r="D396" s="0" t="n">
        <v>98</v>
      </c>
      <c r="E396" s="0" t="n">
        <v>3</v>
      </c>
      <c r="F396" s="23" t="s">
        <v>377</v>
      </c>
      <c r="G396" s="0" t="n">
        <v>50.8</v>
      </c>
      <c r="H396" s="0" t="n">
        <v>53</v>
      </c>
      <c r="I396" s="23" t="s">
        <v>92</v>
      </c>
      <c r="J396" s="0" t="n">
        <v>63</v>
      </c>
      <c r="K396" s="0" t="n">
        <v>63</v>
      </c>
      <c r="L396" s="0" t="n">
        <v>35</v>
      </c>
      <c r="M396" s="0" t="n">
        <v>599.98</v>
      </c>
      <c r="N396" s="0" t="n">
        <v>55.22</v>
      </c>
      <c r="O396" s="0" t="n">
        <v>29.62</v>
      </c>
      <c r="P396" s="0" t="n">
        <v>3.71</v>
      </c>
      <c r="Q396" s="0" t="n">
        <v>3.03</v>
      </c>
      <c r="R396" s="0" t="n">
        <v>5067</v>
      </c>
      <c r="S396" s="0" t="n">
        <v>10186</v>
      </c>
      <c r="T396" s="0" t="n">
        <v>59</v>
      </c>
      <c r="U396" s="0" t="n">
        <v>1541</v>
      </c>
      <c r="V396" s="0" t="n">
        <v>1</v>
      </c>
      <c r="W396" s="0" t="str">
        <f aca="false">IF(OR(AND(B396&gt;=1,B396&lt;=6),B396=10),"Vaca em lactação",IF(I396="Male","Macho",IF(E396&gt;=1,"Vaca seca",IF(I396="Youngstock","Bezerra/recria","Novilha"))))</f>
        <v>Vaca em lactação</v>
      </c>
      <c r="X396" s="0" t="str">
        <f aca="false">IF(AND(B396&gt;=1,B396&lt;=6),"Tanque",IF(B396=10,"Descarte",""))</f>
        <v>Tanque</v>
      </c>
    </row>
    <row r="397" customFormat="false" ht="15" hidden="false" customHeight="false" outlineLevel="0" collapsed="false">
      <c r="A397" s="22" t="n">
        <v>46309</v>
      </c>
      <c r="B397" s="0" t="n">
        <v>2</v>
      </c>
      <c r="C397" s="0" t="n">
        <v>4124</v>
      </c>
      <c r="D397" s="0" t="n">
        <v>161</v>
      </c>
      <c r="E397" s="0" t="n">
        <v>2</v>
      </c>
      <c r="F397" s="23" t="s">
        <v>378</v>
      </c>
      <c r="G397" s="0" t="n">
        <v>55.1</v>
      </c>
      <c r="H397" s="0" t="n">
        <v>52</v>
      </c>
      <c r="I397" s="23" t="s">
        <v>97</v>
      </c>
      <c r="J397" s="0" t="n">
        <v>161</v>
      </c>
      <c r="K397" s="0" t="n">
        <v>66</v>
      </c>
      <c r="M397" s="0" t="n">
        <v>363.31</v>
      </c>
      <c r="N397" s="0" t="n">
        <v>51.67</v>
      </c>
      <c r="O397" s="0" t="n">
        <v>25.99</v>
      </c>
      <c r="P397" s="0" t="n">
        <v>2.46</v>
      </c>
      <c r="Q397" s="0" t="n">
        <v>3.42</v>
      </c>
      <c r="R397" s="0" t="n">
        <v>4982</v>
      </c>
      <c r="S397" s="0" t="n">
        <v>10222</v>
      </c>
      <c r="T397" s="0" t="n">
        <v>61.05</v>
      </c>
      <c r="U397" s="0" t="n">
        <v>1534</v>
      </c>
      <c r="V397" s="0" t="n">
        <v>3</v>
      </c>
      <c r="W397" s="0" t="str">
        <f aca="false">IF(OR(AND(B397&gt;=1,B397&lt;=6),B397=10),"Vaca em lactação",IF(I397="Male","Macho",IF(E397&gt;=1,"Vaca seca",IF(I397="Youngstock","Bezerra/recria","Novilha"))))</f>
        <v>Vaca em lactação</v>
      </c>
      <c r="X397" s="0" t="str">
        <f aca="false">IF(AND(B397&gt;=1,B397&lt;=6),"Tanque",IF(B397=10,"Descarte",""))</f>
        <v>Tanque</v>
      </c>
    </row>
    <row r="398" customFormat="false" ht="15" hidden="false" customHeight="false" outlineLevel="0" collapsed="false">
      <c r="A398" s="22" t="n">
        <v>46309</v>
      </c>
      <c r="B398" s="0" t="n">
        <v>2</v>
      </c>
      <c r="C398" s="0" t="n">
        <v>4123</v>
      </c>
      <c r="D398" s="0" t="n">
        <v>177</v>
      </c>
      <c r="E398" s="0" t="n">
        <v>3</v>
      </c>
      <c r="F398" s="23" t="s">
        <v>378</v>
      </c>
      <c r="G398" s="0" t="n">
        <v>55.6</v>
      </c>
      <c r="H398" s="0" t="n">
        <v>51</v>
      </c>
      <c r="I398" s="23" t="s">
        <v>92</v>
      </c>
      <c r="J398" s="0" t="n">
        <v>66</v>
      </c>
      <c r="K398" s="0" t="n">
        <v>73</v>
      </c>
      <c r="L398" s="0" t="n">
        <v>111</v>
      </c>
      <c r="M398" s="0" t="n">
        <v>585.09</v>
      </c>
      <c r="N398" s="0" t="n">
        <v>26.53</v>
      </c>
      <c r="O398" s="0" t="n">
        <v>20.12</v>
      </c>
      <c r="P398" s="0" t="n">
        <v>2.84</v>
      </c>
      <c r="Q398" s="0" t="n">
        <v>3.22</v>
      </c>
      <c r="R398" s="0" t="n">
        <v>5727</v>
      </c>
      <c r="S398" s="0" t="n">
        <v>11385</v>
      </c>
      <c r="T398" s="0" t="n">
        <v>61.3</v>
      </c>
      <c r="U398" s="0" t="n">
        <v>1534</v>
      </c>
      <c r="V398" s="0" t="n">
        <v>1</v>
      </c>
      <c r="W398" s="0" t="str">
        <f aca="false">IF(OR(AND(B398&gt;=1,B398&lt;=6),B398=10),"Vaca em lactação",IF(I398="Male","Macho",IF(E398&gt;=1,"Vaca seca",IF(I398="Youngstock","Bezerra/recria","Novilha"))))</f>
        <v>Vaca em lactação</v>
      </c>
      <c r="X398" s="0" t="str">
        <f aca="false">IF(AND(B398&gt;=1,B398&lt;=6),"Tanque",IF(B398=10,"Descarte",""))</f>
        <v>Tanque</v>
      </c>
    </row>
    <row r="399" customFormat="false" ht="15" hidden="false" customHeight="false" outlineLevel="0" collapsed="false">
      <c r="A399" s="22" t="n">
        <v>46309</v>
      </c>
      <c r="B399" s="0" t="n">
        <v>2</v>
      </c>
      <c r="C399" s="0" t="n">
        <v>4118</v>
      </c>
      <c r="D399" s="0" t="n">
        <v>42</v>
      </c>
      <c r="E399" s="0" t="n">
        <v>3</v>
      </c>
      <c r="F399" s="23" t="s">
        <v>379</v>
      </c>
      <c r="G399" s="0" t="n">
        <v>62.9</v>
      </c>
      <c r="H399" s="0" t="n">
        <v>65</v>
      </c>
      <c r="I399" s="23" t="s">
        <v>94</v>
      </c>
      <c r="J399" s="0" t="n">
        <v>42</v>
      </c>
      <c r="M399" s="0" t="n">
        <v>223.51</v>
      </c>
      <c r="N399" s="0" t="n">
        <v>47.9</v>
      </c>
      <c r="O399" s="0" t="n">
        <v>22.46</v>
      </c>
      <c r="P399" s="0" t="n">
        <v>3.77</v>
      </c>
      <c r="Q399" s="0" t="n">
        <v>3.27</v>
      </c>
      <c r="R399" s="0" t="n">
        <v>5747</v>
      </c>
      <c r="S399" s="0" t="n">
        <v>11553</v>
      </c>
      <c r="U399" s="0" t="n">
        <v>1537</v>
      </c>
      <c r="V399" s="0" t="n">
        <v>0</v>
      </c>
      <c r="W399" s="0" t="str">
        <f aca="false">IF(OR(AND(B399&gt;=1,B399&lt;=6),B399=10),"Vaca em lactação",IF(I399="Male","Macho",IF(E399&gt;=1,"Vaca seca",IF(I399="Youngstock","Bezerra/recria","Novilha"))))</f>
        <v>Vaca em lactação</v>
      </c>
      <c r="X399" s="0" t="str">
        <f aca="false">IF(AND(B399&gt;=1,B399&lt;=6),"Tanque",IF(B399=10,"Descarte",""))</f>
        <v>Tanque</v>
      </c>
    </row>
    <row r="400" customFormat="false" ht="15" hidden="false" customHeight="false" outlineLevel="0" collapsed="false">
      <c r="A400" s="22" t="n">
        <v>46309</v>
      </c>
      <c r="B400" s="0" t="n">
        <v>2</v>
      </c>
      <c r="C400" s="0" t="n">
        <v>4211</v>
      </c>
      <c r="D400" s="0" t="n">
        <v>44</v>
      </c>
      <c r="E400" s="0" t="n">
        <v>3</v>
      </c>
      <c r="F400" s="23" t="s">
        <v>380</v>
      </c>
      <c r="G400" s="0" t="n">
        <v>71.5</v>
      </c>
      <c r="H400" s="0" t="n">
        <v>71</v>
      </c>
      <c r="I400" s="23" t="s">
        <v>94</v>
      </c>
      <c r="J400" s="0" t="n">
        <v>44</v>
      </c>
      <c r="M400" s="0" t="n">
        <v>502.18</v>
      </c>
      <c r="N400" s="0" t="n">
        <v>52.06</v>
      </c>
      <c r="O400" s="0" t="n">
        <v>25.26</v>
      </c>
      <c r="P400" s="0" t="n">
        <v>3.4</v>
      </c>
      <c r="Q400" s="0" t="n">
        <v>3.57</v>
      </c>
      <c r="R400" s="0" t="n">
        <v>6056</v>
      </c>
      <c r="S400" s="0" t="n">
        <v>12174</v>
      </c>
      <c r="U400" s="0" t="n">
        <v>1495</v>
      </c>
      <c r="V400" s="0" t="n">
        <v>0</v>
      </c>
      <c r="W400" s="0" t="str">
        <f aca="false">IF(OR(AND(B400&gt;=1,B400&lt;=6),B400=10),"Vaca em lactação",IF(I400="Male","Macho",IF(E400&gt;=1,"Vaca seca",IF(I400="Youngstock","Bezerra/recria","Novilha"))))</f>
        <v>Vaca em lactação</v>
      </c>
      <c r="X400" s="0" t="str">
        <f aca="false">IF(AND(B400&gt;=1,B400&lt;=6),"Tanque",IF(B400=10,"Descarte",""))</f>
        <v>Tanque</v>
      </c>
    </row>
    <row r="401" customFormat="false" ht="15" hidden="false" customHeight="false" outlineLevel="0" collapsed="false">
      <c r="A401" s="22" t="n">
        <v>46309</v>
      </c>
      <c r="B401" s="0" t="n">
        <v>2</v>
      </c>
      <c r="C401" s="0" t="n">
        <v>4169</v>
      </c>
      <c r="D401" s="0" t="n">
        <v>26</v>
      </c>
      <c r="E401" s="0" t="n">
        <v>3</v>
      </c>
      <c r="F401" s="23" t="s">
        <v>381</v>
      </c>
      <c r="G401" s="0" t="n">
        <v>37.8</v>
      </c>
      <c r="H401" s="0" t="n">
        <v>38</v>
      </c>
      <c r="I401" s="23" t="s">
        <v>94</v>
      </c>
      <c r="J401" s="0" t="n">
        <v>26</v>
      </c>
      <c r="M401" s="0" t="n">
        <v>456.57</v>
      </c>
      <c r="N401" s="0" t="n">
        <v>44.99</v>
      </c>
      <c r="O401" s="0" t="n">
        <v>27.26</v>
      </c>
      <c r="R401" s="0" t="n">
        <v>2820</v>
      </c>
      <c r="S401" s="0" t="n">
        <v>5669</v>
      </c>
      <c r="U401" s="0" t="n">
        <v>1520</v>
      </c>
      <c r="V401" s="0" t="n">
        <v>0</v>
      </c>
      <c r="W401" s="0" t="str">
        <f aca="false">IF(OR(AND(B401&gt;=1,B401&lt;=6),B401=10),"Vaca em lactação",IF(I401="Male","Macho",IF(E401&gt;=1,"Vaca seca",IF(I401="Youngstock","Bezerra/recria","Novilha"))))</f>
        <v>Vaca em lactação</v>
      </c>
      <c r="X401" s="0" t="str">
        <f aca="false">IF(AND(B401&gt;=1,B401&lt;=6),"Tanque",IF(B401=10,"Descarte",""))</f>
        <v>Tanque</v>
      </c>
    </row>
    <row r="402" customFormat="false" ht="15" hidden="false" customHeight="false" outlineLevel="0" collapsed="false">
      <c r="A402" s="22" t="n">
        <v>46309</v>
      </c>
      <c r="B402" s="0" t="n">
        <v>2</v>
      </c>
      <c r="C402" s="0" t="n">
        <v>4178</v>
      </c>
      <c r="D402" s="0" t="n">
        <v>205</v>
      </c>
      <c r="E402" s="0" t="n">
        <v>2</v>
      </c>
      <c r="F402" s="23" t="s">
        <v>382</v>
      </c>
      <c r="G402" s="0" t="n">
        <v>56.2</v>
      </c>
      <c r="H402" s="0" t="n">
        <v>52</v>
      </c>
      <c r="I402" s="23" t="s">
        <v>92</v>
      </c>
      <c r="J402" s="0" t="n">
        <v>65</v>
      </c>
      <c r="K402" s="0" t="n">
        <v>65</v>
      </c>
      <c r="L402" s="0" t="n">
        <v>140</v>
      </c>
      <c r="M402" s="0" t="n">
        <v>754.47</v>
      </c>
      <c r="N402" s="0" t="n">
        <v>26.51</v>
      </c>
      <c r="O402" s="0" t="n">
        <v>19.95</v>
      </c>
      <c r="P402" s="0" t="n">
        <v>2.74</v>
      </c>
      <c r="Q402" s="0" t="n">
        <v>3.2</v>
      </c>
      <c r="R402" s="0" t="n">
        <v>6449</v>
      </c>
      <c r="S402" s="0" t="n">
        <v>12909</v>
      </c>
      <c r="T402" s="0" t="n">
        <v>69.7</v>
      </c>
      <c r="U402" s="0" t="n">
        <v>1514</v>
      </c>
      <c r="V402" s="0" t="n">
        <v>1</v>
      </c>
      <c r="W402" s="0" t="str">
        <f aca="false">IF(OR(AND(B402&gt;=1,B402&lt;=6),B402=10),"Vaca em lactação",IF(I402="Male","Macho",IF(E402&gt;=1,"Vaca seca",IF(I402="Youngstock","Bezerra/recria","Novilha"))))</f>
        <v>Vaca em lactação</v>
      </c>
      <c r="X402" s="0" t="str">
        <f aca="false">IF(AND(B402&gt;=1,B402&lt;=6),"Tanque",IF(B402=10,"Descarte",""))</f>
        <v>Tanque</v>
      </c>
    </row>
    <row r="403" customFormat="false" ht="15" hidden="false" customHeight="false" outlineLevel="0" collapsed="false">
      <c r="A403" s="22" t="n">
        <v>46309</v>
      </c>
      <c r="B403" s="0" t="n">
        <v>2</v>
      </c>
      <c r="C403" s="0" t="n">
        <v>4189</v>
      </c>
      <c r="D403" s="0" t="n">
        <v>40</v>
      </c>
      <c r="E403" s="0" t="n">
        <v>3</v>
      </c>
      <c r="F403" s="23" t="s">
        <v>383</v>
      </c>
      <c r="G403" s="0" t="n">
        <v>54.4</v>
      </c>
      <c r="H403" s="0" t="n">
        <v>57</v>
      </c>
      <c r="I403" s="23" t="s">
        <v>94</v>
      </c>
      <c r="J403" s="0" t="n">
        <v>40</v>
      </c>
      <c r="M403" s="0" t="n">
        <v>241.46</v>
      </c>
      <c r="N403" s="0" t="n">
        <v>30.14</v>
      </c>
      <c r="O403" s="0" t="n">
        <v>18.06</v>
      </c>
      <c r="P403" s="0" t="n">
        <v>3.92</v>
      </c>
      <c r="Q403" s="0" t="n">
        <v>3.85</v>
      </c>
      <c r="R403" s="0" t="n">
        <v>4814</v>
      </c>
      <c r="S403" s="0" t="n">
        <v>9678</v>
      </c>
      <c r="U403" s="0" t="n">
        <v>1508</v>
      </c>
      <c r="V403" s="0" t="n">
        <v>0</v>
      </c>
      <c r="W403" s="0" t="str">
        <f aca="false">IF(OR(AND(B403&gt;=1,B403&lt;=6),B403=10),"Vaca em lactação",IF(I403="Male","Macho",IF(E403&gt;=1,"Vaca seca",IF(I403="Youngstock","Bezerra/recria","Novilha"))))</f>
        <v>Vaca em lactação</v>
      </c>
      <c r="X403" s="0" t="str">
        <f aca="false">IF(AND(B403&gt;=1,B403&lt;=6),"Tanque",IF(B403=10,"Descarte",""))</f>
        <v>Tanque</v>
      </c>
    </row>
    <row r="404" customFormat="false" ht="15" hidden="false" customHeight="false" outlineLevel="0" collapsed="false">
      <c r="A404" s="22" t="n">
        <v>46309</v>
      </c>
      <c r="B404" s="0" t="n">
        <v>2</v>
      </c>
      <c r="C404" s="0" t="n">
        <v>4535</v>
      </c>
      <c r="D404" s="0" t="n">
        <v>352</v>
      </c>
      <c r="E404" s="0" t="n">
        <v>2</v>
      </c>
      <c r="F404" s="23" t="s">
        <v>384</v>
      </c>
      <c r="G404" s="0" t="n">
        <v>43.4</v>
      </c>
      <c r="H404" s="0" t="n">
        <v>46</v>
      </c>
      <c r="I404" s="23" t="s">
        <v>92</v>
      </c>
      <c r="J404" s="0" t="n">
        <v>142</v>
      </c>
      <c r="K404" s="0" t="n">
        <v>66</v>
      </c>
      <c r="L404" s="0" t="n">
        <v>210</v>
      </c>
      <c r="M404" s="0" t="n">
        <v>556.95</v>
      </c>
      <c r="N404" s="0" t="n">
        <v>31.85</v>
      </c>
      <c r="O404" s="0" t="n">
        <v>32.96</v>
      </c>
      <c r="P404" s="0" t="n">
        <v>4.68</v>
      </c>
      <c r="Q404" s="0" t="n">
        <v>3.54</v>
      </c>
      <c r="R404" s="0" t="n">
        <v>5577</v>
      </c>
      <c r="S404" s="0" t="n">
        <v>11506</v>
      </c>
      <c r="T404" s="0" t="n">
        <v>60.3</v>
      </c>
      <c r="U404" s="0" t="n">
        <v>1336</v>
      </c>
      <c r="V404" s="0" t="n">
        <v>4</v>
      </c>
      <c r="W404" s="0" t="str">
        <f aca="false">IF(OR(AND(B404&gt;=1,B404&lt;=6),B404=10),"Vaca em lactação",IF(I404="Male","Macho",IF(E404&gt;=1,"Vaca seca",IF(I404="Youngstock","Bezerra/recria","Novilha"))))</f>
        <v>Vaca em lactação</v>
      </c>
      <c r="X404" s="0" t="str">
        <f aca="false">IF(AND(B404&gt;=1,B404&lt;=6),"Tanque",IF(B404=10,"Descarte",""))</f>
        <v>Tanque</v>
      </c>
    </row>
    <row r="405" customFormat="false" ht="15" hidden="false" customHeight="false" outlineLevel="0" collapsed="false">
      <c r="A405" s="22" t="n">
        <v>46309</v>
      </c>
      <c r="B405" s="0" t="n">
        <v>2</v>
      </c>
      <c r="C405" s="0" t="n">
        <v>4553</v>
      </c>
      <c r="D405" s="0" t="n">
        <v>212</v>
      </c>
      <c r="E405" s="0" t="n">
        <v>2</v>
      </c>
      <c r="F405" s="23" t="s">
        <v>385</v>
      </c>
      <c r="G405" s="0" t="n">
        <v>60.2</v>
      </c>
      <c r="H405" s="0" t="n">
        <v>59</v>
      </c>
      <c r="I405" s="23" t="s">
        <v>92</v>
      </c>
      <c r="J405" s="0" t="n">
        <v>65</v>
      </c>
      <c r="K405" s="0" t="n">
        <v>65</v>
      </c>
      <c r="L405" s="0" t="n">
        <v>147</v>
      </c>
      <c r="M405" s="0" t="n">
        <v>822.46</v>
      </c>
      <c r="N405" s="0" t="n">
        <v>54.96</v>
      </c>
      <c r="O405" s="0" t="n">
        <v>28.67</v>
      </c>
      <c r="P405" s="0" t="n">
        <v>2.52</v>
      </c>
      <c r="Q405" s="0" t="n">
        <v>3.14</v>
      </c>
      <c r="R405" s="0" t="n">
        <v>5607</v>
      </c>
      <c r="S405" s="0" t="n">
        <v>12285</v>
      </c>
      <c r="T405" s="0" t="n">
        <v>65.75</v>
      </c>
      <c r="U405" s="0" t="n">
        <v>1330</v>
      </c>
      <c r="V405" s="0" t="n">
        <v>1</v>
      </c>
      <c r="W405" s="0" t="str">
        <f aca="false">IF(OR(AND(B405&gt;=1,B405&lt;=6),B405=10),"Vaca em lactação",IF(I405="Male","Macho",IF(E405&gt;=1,"Vaca seca",IF(I405="Youngstock","Bezerra/recria","Novilha"))))</f>
        <v>Vaca em lactação</v>
      </c>
      <c r="X405" s="0" t="str">
        <f aca="false">IF(AND(B405&gt;=1,B405&lt;=6),"Tanque",IF(B405=10,"Descarte",""))</f>
        <v>Tanque</v>
      </c>
    </row>
    <row r="406" customFormat="false" ht="15" hidden="false" customHeight="false" outlineLevel="0" collapsed="false">
      <c r="A406" s="22" t="n">
        <v>46309</v>
      </c>
      <c r="B406" s="0" t="n">
        <v>2</v>
      </c>
      <c r="C406" s="0" t="n">
        <v>4547</v>
      </c>
      <c r="D406" s="0" t="n">
        <v>258</v>
      </c>
      <c r="E406" s="0" t="n">
        <v>2</v>
      </c>
      <c r="F406" s="23" t="s">
        <v>386</v>
      </c>
      <c r="G406" s="0" t="n">
        <v>50.3</v>
      </c>
      <c r="H406" s="0" t="n">
        <v>49</v>
      </c>
      <c r="I406" s="23" t="s">
        <v>92</v>
      </c>
      <c r="J406" s="0" t="n">
        <v>125</v>
      </c>
      <c r="K406" s="0" t="n">
        <v>69</v>
      </c>
      <c r="L406" s="0" t="n">
        <v>133</v>
      </c>
      <c r="M406" s="0" t="n">
        <v>785.32</v>
      </c>
      <c r="N406" s="0" t="n">
        <v>64.42</v>
      </c>
      <c r="O406" s="0" t="n">
        <v>35.69</v>
      </c>
      <c r="P406" s="0" t="n">
        <v>3.06</v>
      </c>
      <c r="Q406" s="0" t="n">
        <v>3.65</v>
      </c>
      <c r="R406" s="0" t="n">
        <v>4514</v>
      </c>
      <c r="S406" s="0" t="n">
        <v>10216</v>
      </c>
      <c r="T406" s="0" t="n">
        <v>50.45</v>
      </c>
      <c r="U406" s="0" t="n">
        <v>1331</v>
      </c>
      <c r="V406" s="0" t="n">
        <v>2</v>
      </c>
      <c r="W406" s="0" t="str">
        <f aca="false">IF(OR(AND(B406&gt;=1,B406&lt;=6),B406=10),"Vaca em lactação",IF(I406="Male","Macho",IF(E406&gt;=1,"Vaca seca",IF(I406="Youngstock","Bezerra/recria","Novilha"))))</f>
        <v>Vaca em lactação</v>
      </c>
      <c r="X406" s="0" t="str">
        <f aca="false">IF(AND(B406&gt;=1,B406&lt;=6),"Tanque",IF(B406=10,"Descarte",""))</f>
        <v>Tanque</v>
      </c>
    </row>
    <row r="407" customFormat="false" ht="15" hidden="false" customHeight="false" outlineLevel="0" collapsed="false">
      <c r="A407" s="22" t="n">
        <v>46309</v>
      </c>
      <c r="B407" s="0" t="n">
        <v>2</v>
      </c>
      <c r="C407" s="0" t="n">
        <v>4513</v>
      </c>
      <c r="D407" s="0" t="n">
        <v>310</v>
      </c>
      <c r="E407" s="0" t="n">
        <v>2</v>
      </c>
      <c r="F407" s="23" t="s">
        <v>387</v>
      </c>
      <c r="G407" s="0" t="n">
        <v>49.9</v>
      </c>
      <c r="H407" s="0" t="n">
        <v>52</v>
      </c>
      <c r="I407" s="23" t="s">
        <v>92</v>
      </c>
      <c r="J407" s="0" t="n">
        <v>135</v>
      </c>
      <c r="K407" s="0" t="n">
        <v>72</v>
      </c>
      <c r="L407" s="0" t="n">
        <v>175</v>
      </c>
      <c r="M407" s="0" t="n">
        <v>766.57</v>
      </c>
      <c r="N407" s="0" t="n">
        <v>72.41</v>
      </c>
      <c r="O407" s="0" t="n">
        <v>35.56</v>
      </c>
      <c r="P407" s="0" t="n">
        <v>3.08</v>
      </c>
      <c r="Q407" s="0" t="n">
        <v>3.7</v>
      </c>
      <c r="R407" s="0" t="n">
        <v>6637</v>
      </c>
      <c r="S407" s="0" t="n">
        <v>13268</v>
      </c>
      <c r="T407" s="0" t="n">
        <v>76.9</v>
      </c>
      <c r="U407" s="0" t="n">
        <v>1345</v>
      </c>
      <c r="V407" s="0" t="n">
        <v>2</v>
      </c>
      <c r="W407" s="0" t="str">
        <f aca="false">IF(OR(AND(B407&gt;=1,B407&lt;=6),B407=10),"Vaca em lactação",IF(I407="Male","Macho",IF(E407&gt;=1,"Vaca seca",IF(I407="Youngstock","Bezerra/recria","Novilha"))))</f>
        <v>Vaca em lactação</v>
      </c>
      <c r="X407" s="0" t="str">
        <f aca="false">IF(AND(B407&gt;=1,B407&lt;=6),"Tanque",IF(B407=10,"Descarte",""))</f>
        <v>Tanque</v>
      </c>
    </row>
    <row r="408" customFormat="false" ht="15" hidden="false" customHeight="false" outlineLevel="0" collapsed="false">
      <c r="A408" s="22" t="n">
        <v>46309</v>
      </c>
      <c r="B408" s="0" t="n">
        <v>2</v>
      </c>
      <c r="C408" s="0" t="n">
        <v>4528</v>
      </c>
      <c r="D408" s="0" t="n">
        <v>193</v>
      </c>
      <c r="E408" s="0" t="n">
        <v>2</v>
      </c>
      <c r="F408" s="23" t="s">
        <v>388</v>
      </c>
      <c r="G408" s="0" t="n">
        <v>55.4</v>
      </c>
      <c r="H408" s="0" t="n">
        <v>55</v>
      </c>
      <c r="I408" s="23" t="s">
        <v>92</v>
      </c>
      <c r="J408" s="0" t="n">
        <v>67</v>
      </c>
      <c r="K408" s="0" t="n">
        <v>67</v>
      </c>
      <c r="L408" s="0" t="n">
        <v>126</v>
      </c>
      <c r="M408" s="0" t="n">
        <v>56.94</v>
      </c>
      <c r="N408" s="0" t="n">
        <v>29.81</v>
      </c>
      <c r="O408" s="0" t="n">
        <v>23.79</v>
      </c>
      <c r="P408" s="0" t="n">
        <v>3.39</v>
      </c>
      <c r="Q408" s="0" t="n">
        <v>3.8</v>
      </c>
      <c r="R408" s="0" t="n">
        <v>4741</v>
      </c>
      <c r="S408" s="0" t="n">
        <v>9979</v>
      </c>
      <c r="T408" s="0" t="n">
        <v>51.15</v>
      </c>
      <c r="U408" s="0" t="n">
        <v>1338</v>
      </c>
      <c r="V408" s="0" t="n">
        <v>1</v>
      </c>
      <c r="W408" s="0" t="str">
        <f aca="false">IF(OR(AND(B408&gt;=1,B408&lt;=6),B408=10),"Vaca em lactação",IF(I408="Male","Macho",IF(E408&gt;=1,"Vaca seca",IF(I408="Youngstock","Bezerra/recria","Novilha"))))</f>
        <v>Vaca em lactação</v>
      </c>
      <c r="X408" s="0" t="str">
        <f aca="false">IF(AND(B408&gt;=1,B408&lt;=6),"Tanque",IF(B408=10,"Descarte",""))</f>
        <v>Tanque</v>
      </c>
    </row>
    <row r="409" customFormat="false" ht="15" hidden="false" customHeight="false" outlineLevel="0" collapsed="false">
      <c r="A409" s="22" t="n">
        <v>46309</v>
      </c>
      <c r="B409" s="0" t="n">
        <v>2</v>
      </c>
      <c r="C409" s="0" t="n">
        <v>4592</v>
      </c>
      <c r="D409" s="0" t="n">
        <v>68</v>
      </c>
      <c r="E409" s="0" t="n">
        <v>2</v>
      </c>
      <c r="F409" s="23" t="s">
        <v>389</v>
      </c>
      <c r="G409" s="0" t="n">
        <v>43.5</v>
      </c>
      <c r="H409" s="0" t="n">
        <v>57</v>
      </c>
      <c r="I409" s="23" t="s">
        <v>97</v>
      </c>
      <c r="J409" s="0" t="n">
        <v>68</v>
      </c>
      <c r="K409" s="0" t="n">
        <v>68</v>
      </c>
      <c r="M409" s="0" t="n">
        <v>511.7</v>
      </c>
      <c r="N409" s="0" t="n">
        <v>33.48</v>
      </c>
      <c r="O409" s="0" t="n">
        <v>25.15</v>
      </c>
      <c r="P409" s="0" t="n">
        <v>3.04</v>
      </c>
      <c r="Q409" s="0" t="n">
        <v>3.43</v>
      </c>
      <c r="R409" s="0" t="n">
        <v>5525</v>
      </c>
      <c r="S409" s="0" t="n">
        <v>11106</v>
      </c>
      <c r="U409" s="0" t="n">
        <v>1314</v>
      </c>
      <c r="V409" s="0" t="n">
        <v>1</v>
      </c>
      <c r="W409" s="0" t="str">
        <f aca="false">IF(OR(AND(B409&gt;=1,B409&lt;=6),B409=10),"Vaca em lactação",IF(I409="Male","Macho",IF(E409&gt;=1,"Vaca seca",IF(I409="Youngstock","Bezerra/recria","Novilha"))))</f>
        <v>Vaca em lactação</v>
      </c>
      <c r="X409" s="0" t="str">
        <f aca="false">IF(AND(B409&gt;=1,B409&lt;=6),"Tanque",IF(B409=10,"Descarte",""))</f>
        <v>Tanque</v>
      </c>
    </row>
    <row r="410" customFormat="false" ht="15" hidden="false" customHeight="false" outlineLevel="0" collapsed="false">
      <c r="A410" s="22" t="n">
        <v>46309</v>
      </c>
      <c r="B410" s="0" t="n">
        <v>2</v>
      </c>
      <c r="C410" s="0" t="n">
        <v>4602</v>
      </c>
      <c r="D410" s="0" t="n">
        <v>219</v>
      </c>
      <c r="E410" s="0" t="n">
        <v>2</v>
      </c>
      <c r="F410" s="23" t="s">
        <v>390</v>
      </c>
      <c r="G410" s="0" t="n">
        <v>55</v>
      </c>
      <c r="H410" s="0" t="n">
        <v>54</v>
      </c>
      <c r="I410" s="23" t="s">
        <v>92</v>
      </c>
      <c r="J410" s="0" t="n">
        <v>108</v>
      </c>
      <c r="K410" s="0" t="n">
        <v>72</v>
      </c>
      <c r="L410" s="0" t="n">
        <v>111</v>
      </c>
      <c r="M410" s="0" t="n">
        <v>1344.8</v>
      </c>
      <c r="N410" s="0" t="n">
        <v>57.09</v>
      </c>
      <c r="O410" s="0" t="n">
        <v>31.49</v>
      </c>
      <c r="P410" s="0" t="n">
        <v>3.96</v>
      </c>
      <c r="Q410" s="0" t="n">
        <v>3.38</v>
      </c>
      <c r="R410" s="0" t="n">
        <v>5239</v>
      </c>
      <c r="S410" s="0" t="n">
        <v>11242</v>
      </c>
      <c r="T410" s="0" t="n">
        <v>54.35</v>
      </c>
      <c r="U410" s="0" t="n">
        <v>1311</v>
      </c>
      <c r="V410" s="0" t="n">
        <v>2</v>
      </c>
      <c r="W410" s="0" t="str">
        <f aca="false">IF(OR(AND(B410&gt;=1,B410&lt;=6),B410=10),"Vaca em lactação",IF(I410="Male","Macho",IF(E410&gt;=1,"Vaca seca",IF(I410="Youngstock","Bezerra/recria","Novilha"))))</f>
        <v>Vaca em lactação</v>
      </c>
      <c r="X410" s="0" t="str">
        <f aca="false">IF(AND(B410&gt;=1,B410&lt;=6),"Tanque",IF(B410=10,"Descarte",""))</f>
        <v>Tanque</v>
      </c>
    </row>
    <row r="411" customFormat="false" ht="15" hidden="false" customHeight="false" outlineLevel="0" collapsed="false">
      <c r="A411" s="22" t="n">
        <v>46309</v>
      </c>
      <c r="B411" s="0" t="n">
        <v>2</v>
      </c>
      <c r="C411" s="0" t="n">
        <v>4563</v>
      </c>
      <c r="D411" s="0" t="n">
        <v>153</v>
      </c>
      <c r="E411" s="0" t="n">
        <v>2</v>
      </c>
      <c r="F411" s="23" t="s">
        <v>391</v>
      </c>
      <c r="G411" s="0" t="n">
        <v>54.3</v>
      </c>
      <c r="H411" s="0" t="n">
        <v>54</v>
      </c>
      <c r="I411" s="23" t="s">
        <v>92</v>
      </c>
      <c r="J411" s="0" t="n">
        <v>104</v>
      </c>
      <c r="K411" s="0" t="n">
        <v>69</v>
      </c>
      <c r="L411" s="0" t="n">
        <v>49</v>
      </c>
      <c r="M411" s="0" t="n">
        <v>1107.55</v>
      </c>
      <c r="N411" s="0" t="n">
        <v>41.38</v>
      </c>
      <c r="O411" s="0" t="n">
        <v>25.35</v>
      </c>
      <c r="P411" s="0" t="n">
        <v>2.84</v>
      </c>
      <c r="Q411" s="0" t="n">
        <v>3.05</v>
      </c>
      <c r="R411" s="0" t="n">
        <v>5470</v>
      </c>
      <c r="S411" s="0" t="n">
        <v>11431</v>
      </c>
      <c r="T411" s="0" t="n">
        <v>60</v>
      </c>
      <c r="U411" s="0" t="n">
        <v>1326</v>
      </c>
      <c r="V411" s="0" t="n">
        <v>2</v>
      </c>
      <c r="W411" s="0" t="str">
        <f aca="false">IF(OR(AND(B411&gt;=1,B411&lt;=6),B411=10),"Vaca em lactação",IF(I411="Male","Macho",IF(E411&gt;=1,"Vaca seca",IF(I411="Youngstock","Bezerra/recria","Novilha"))))</f>
        <v>Vaca em lactação</v>
      </c>
      <c r="X411" s="0" t="str">
        <f aca="false">IF(AND(B411&gt;=1,B411&lt;=6),"Tanque",IF(B411=10,"Descarte",""))</f>
        <v>Tanque</v>
      </c>
    </row>
    <row r="412" customFormat="false" ht="15" hidden="false" customHeight="false" outlineLevel="0" collapsed="false">
      <c r="A412" s="22" t="n">
        <v>46309</v>
      </c>
      <c r="B412" s="0" t="n">
        <v>2</v>
      </c>
      <c r="C412" s="0" t="n">
        <v>4574</v>
      </c>
      <c r="D412" s="0" t="n">
        <v>86</v>
      </c>
      <c r="E412" s="0" t="n">
        <v>2</v>
      </c>
      <c r="F412" s="23" t="s">
        <v>392</v>
      </c>
      <c r="G412" s="0" t="n">
        <v>54</v>
      </c>
      <c r="H412" s="0" t="n">
        <v>53</v>
      </c>
      <c r="I412" s="23" t="s">
        <v>97</v>
      </c>
      <c r="J412" s="0" t="n">
        <v>86</v>
      </c>
      <c r="K412" s="0" t="n">
        <v>65</v>
      </c>
      <c r="M412" s="0" t="n">
        <v>394.69</v>
      </c>
      <c r="N412" s="0" t="n">
        <v>42.82</v>
      </c>
      <c r="O412" s="0" t="n">
        <v>30.31</v>
      </c>
      <c r="P412" s="0" t="n">
        <v>3.58</v>
      </c>
      <c r="Q412" s="0" t="n">
        <v>3.1</v>
      </c>
      <c r="R412" s="0" t="n">
        <v>4677</v>
      </c>
      <c r="S412" s="0" t="n">
        <v>9402</v>
      </c>
      <c r="U412" s="0" t="n">
        <v>1320</v>
      </c>
      <c r="V412" s="0" t="n">
        <v>1</v>
      </c>
      <c r="W412" s="0" t="str">
        <f aca="false">IF(OR(AND(B412&gt;=1,B412&lt;=6),B412=10),"Vaca em lactação",IF(I412="Male","Macho",IF(E412&gt;=1,"Vaca seca",IF(I412="Youngstock","Bezerra/recria","Novilha"))))</f>
        <v>Vaca em lactação</v>
      </c>
      <c r="X412" s="0" t="str">
        <f aca="false">IF(AND(B412&gt;=1,B412&lt;=6),"Tanque",IF(B412=10,"Descarte",""))</f>
        <v>Tanque</v>
      </c>
    </row>
    <row r="413" customFormat="false" ht="15" hidden="false" customHeight="false" outlineLevel="0" collapsed="false">
      <c r="A413" s="22" t="n">
        <v>46309</v>
      </c>
      <c r="B413" s="0" t="n">
        <v>2</v>
      </c>
      <c r="C413" s="0" t="n">
        <v>4577</v>
      </c>
      <c r="D413" s="0" t="n">
        <v>277</v>
      </c>
      <c r="E413" s="0" t="n">
        <v>2</v>
      </c>
      <c r="F413" s="23" t="s">
        <v>393</v>
      </c>
      <c r="G413" s="0" t="n">
        <v>59.7</v>
      </c>
      <c r="H413" s="0" t="n">
        <v>62</v>
      </c>
      <c r="I413" s="23" t="s">
        <v>92</v>
      </c>
      <c r="J413" s="0" t="n">
        <v>127</v>
      </c>
      <c r="K413" s="0" t="n">
        <v>67</v>
      </c>
      <c r="L413" s="0" t="n">
        <v>150</v>
      </c>
      <c r="M413" s="0" t="n">
        <v>584.37</v>
      </c>
      <c r="N413" s="0" t="n">
        <v>25.99</v>
      </c>
      <c r="O413" s="0" t="n">
        <v>23.62</v>
      </c>
      <c r="P413" s="0" t="n">
        <v>3.08</v>
      </c>
      <c r="Q413" s="0" t="n">
        <v>3.39</v>
      </c>
      <c r="R413" s="0" t="n">
        <v>5750</v>
      </c>
      <c r="S413" s="0" t="n">
        <v>12637</v>
      </c>
      <c r="T413" s="0" t="n">
        <v>58.75</v>
      </c>
      <c r="U413" s="0" t="n">
        <v>1319</v>
      </c>
      <c r="V413" s="0" t="n">
        <v>3</v>
      </c>
      <c r="W413" s="0" t="str">
        <f aca="false">IF(OR(AND(B413&gt;=1,B413&lt;=6),B413=10),"Vaca em lactação",IF(I413="Male","Macho",IF(E413&gt;=1,"Vaca seca",IF(I413="Youngstock","Bezerra/recria","Novilha"))))</f>
        <v>Vaca em lactação</v>
      </c>
      <c r="X413" s="0" t="str">
        <f aca="false">IF(AND(B413&gt;=1,B413&lt;=6),"Tanque",IF(B413=10,"Descarte",""))</f>
        <v>Tanque</v>
      </c>
    </row>
    <row r="414" customFormat="false" ht="15" hidden="false" customHeight="false" outlineLevel="0" collapsed="false">
      <c r="A414" s="22" t="n">
        <v>46309</v>
      </c>
      <c r="B414" s="0" t="n">
        <v>2</v>
      </c>
      <c r="C414" s="0" t="n">
        <v>4590</v>
      </c>
      <c r="D414" s="0" t="n">
        <v>318</v>
      </c>
      <c r="E414" s="0" t="n">
        <v>2</v>
      </c>
      <c r="F414" s="23" t="s">
        <v>394</v>
      </c>
      <c r="G414" s="0" t="n">
        <v>41.8</v>
      </c>
      <c r="H414" s="0" t="n">
        <v>46</v>
      </c>
      <c r="I414" s="23" t="s">
        <v>92</v>
      </c>
      <c r="J414" s="0" t="n">
        <v>101</v>
      </c>
      <c r="K414" s="0" t="n">
        <v>66</v>
      </c>
      <c r="L414" s="0" t="n">
        <v>217</v>
      </c>
      <c r="M414" s="0" t="n">
        <v>633.36</v>
      </c>
      <c r="N414" s="0" t="n">
        <v>45.24</v>
      </c>
      <c r="O414" s="0" t="n">
        <v>31.83</v>
      </c>
      <c r="P414" s="0" t="n">
        <v>4.17</v>
      </c>
      <c r="Q414" s="0" t="n">
        <v>3.71</v>
      </c>
      <c r="R414" s="0" t="n">
        <v>5607</v>
      </c>
      <c r="S414" s="0" t="n">
        <v>11999</v>
      </c>
      <c r="T414" s="0" t="n">
        <v>57.2</v>
      </c>
      <c r="U414" s="0" t="n">
        <v>1316</v>
      </c>
      <c r="V414" s="0" t="n">
        <v>2</v>
      </c>
      <c r="W414" s="0" t="str">
        <f aca="false">IF(OR(AND(B414&gt;=1,B414&lt;=6),B414=10),"Vaca em lactação",IF(I414="Male","Macho",IF(E414&gt;=1,"Vaca seca",IF(I414="Youngstock","Bezerra/recria","Novilha"))))</f>
        <v>Vaca em lactação</v>
      </c>
      <c r="X414" s="0" t="str">
        <f aca="false">IF(AND(B414&gt;=1,B414&lt;=6),"Tanque",IF(B414=10,"Descarte",""))</f>
        <v>Tanque</v>
      </c>
    </row>
    <row r="415" customFormat="false" ht="15" hidden="false" customHeight="false" outlineLevel="0" collapsed="false">
      <c r="A415" s="22" t="n">
        <v>46309</v>
      </c>
      <c r="B415" s="0" t="n">
        <v>2</v>
      </c>
      <c r="C415" s="0" t="n">
        <v>4398</v>
      </c>
      <c r="D415" s="0" t="n">
        <v>24</v>
      </c>
      <c r="E415" s="0" t="n">
        <v>3</v>
      </c>
      <c r="F415" s="23" t="s">
        <v>395</v>
      </c>
      <c r="G415" s="0" t="n">
        <v>59</v>
      </c>
      <c r="H415" s="0" t="n">
        <v>57</v>
      </c>
      <c r="I415" s="23" t="s">
        <v>94</v>
      </c>
      <c r="J415" s="0" t="n">
        <v>24</v>
      </c>
      <c r="M415" s="0" t="n">
        <v>581.54</v>
      </c>
      <c r="N415" s="0" t="n">
        <v>42.13</v>
      </c>
      <c r="O415" s="0" t="n">
        <v>29.71</v>
      </c>
      <c r="R415" s="0" t="n">
        <v>4864</v>
      </c>
      <c r="S415" s="0" t="n">
        <v>9778</v>
      </c>
      <c r="U415" s="0" t="n">
        <v>1395</v>
      </c>
      <c r="V415" s="0" t="n">
        <v>0</v>
      </c>
      <c r="W415" s="0" t="str">
        <f aca="false">IF(OR(AND(B415&gt;=1,B415&lt;=6),B415=10),"Vaca em lactação",IF(I415="Male","Macho",IF(E415&gt;=1,"Vaca seca",IF(I415="Youngstock","Bezerra/recria","Novilha"))))</f>
        <v>Vaca em lactação</v>
      </c>
      <c r="X415" s="0" t="str">
        <f aca="false">IF(AND(B415&gt;=1,B415&lt;=6),"Tanque",IF(B415=10,"Descarte",""))</f>
        <v>Tanque</v>
      </c>
    </row>
    <row r="416" customFormat="false" ht="15" hidden="false" customHeight="false" outlineLevel="0" collapsed="false">
      <c r="A416" s="22" t="n">
        <v>46309</v>
      </c>
      <c r="B416" s="0" t="n">
        <v>2</v>
      </c>
      <c r="C416" s="0" t="n">
        <v>4396</v>
      </c>
      <c r="D416" s="0" t="n">
        <v>121</v>
      </c>
      <c r="E416" s="0" t="n">
        <v>2</v>
      </c>
      <c r="F416" s="23" t="s">
        <v>395</v>
      </c>
      <c r="G416" s="0" t="n">
        <v>48.6</v>
      </c>
      <c r="H416" s="0" t="n">
        <v>52</v>
      </c>
      <c r="I416" s="23" t="s">
        <v>92</v>
      </c>
      <c r="J416" s="0" t="n">
        <v>66</v>
      </c>
      <c r="K416" s="0" t="n">
        <v>66</v>
      </c>
      <c r="L416" s="0" t="n">
        <v>55</v>
      </c>
      <c r="M416" s="0" t="n">
        <v>661.14</v>
      </c>
      <c r="N416" s="0" t="n">
        <v>34.34</v>
      </c>
      <c r="O416" s="0" t="n">
        <v>27.63</v>
      </c>
      <c r="P416" s="0" t="n">
        <v>3.3</v>
      </c>
      <c r="Q416" s="0" t="n">
        <v>3.11</v>
      </c>
      <c r="R416" s="0" t="n">
        <v>5499</v>
      </c>
      <c r="S416" s="0" t="n">
        <v>11041</v>
      </c>
      <c r="T416" s="0" t="n">
        <v>57</v>
      </c>
      <c r="U416" s="0" t="n">
        <v>1395</v>
      </c>
      <c r="V416" s="0" t="n">
        <v>1</v>
      </c>
      <c r="W416" s="0" t="str">
        <f aca="false">IF(OR(AND(B416&gt;=1,B416&lt;=6),B416=10),"Vaca em lactação",IF(I416="Male","Macho",IF(E416&gt;=1,"Vaca seca",IF(I416="Youngstock","Bezerra/recria","Novilha"))))</f>
        <v>Vaca em lactação</v>
      </c>
      <c r="X416" s="0" t="str">
        <f aca="false">IF(AND(B416&gt;=1,B416&lt;=6),"Tanque",IF(B416=10,"Descarte",""))</f>
        <v>Tanque</v>
      </c>
    </row>
    <row r="417" customFormat="false" ht="15" hidden="false" customHeight="false" outlineLevel="0" collapsed="false">
      <c r="A417" s="22" t="n">
        <v>46309</v>
      </c>
      <c r="B417" s="0" t="n">
        <v>2</v>
      </c>
      <c r="C417" s="0" t="n">
        <v>4417</v>
      </c>
      <c r="D417" s="0" t="n">
        <v>259</v>
      </c>
      <c r="E417" s="0" t="n">
        <v>2</v>
      </c>
      <c r="F417" s="23" t="s">
        <v>396</v>
      </c>
      <c r="G417" s="0" t="n">
        <v>51.6</v>
      </c>
      <c r="H417" s="0" t="n">
        <v>52</v>
      </c>
      <c r="I417" s="23" t="s">
        <v>97</v>
      </c>
      <c r="J417" s="0" t="n">
        <v>259</v>
      </c>
      <c r="K417" s="0" t="n">
        <v>77</v>
      </c>
      <c r="M417" s="0" t="n">
        <v>1517.52</v>
      </c>
      <c r="N417" s="0" t="n">
        <v>18.44</v>
      </c>
      <c r="O417" s="0" t="n">
        <v>54.19</v>
      </c>
      <c r="P417" s="0" t="n">
        <v>2.9</v>
      </c>
      <c r="Q417" s="0" t="n">
        <v>4.02</v>
      </c>
      <c r="R417" s="0" t="n">
        <v>5922</v>
      </c>
      <c r="S417" s="0" t="n">
        <v>11320</v>
      </c>
      <c r="T417" s="0" t="n">
        <v>67.5</v>
      </c>
      <c r="U417" s="0" t="n">
        <v>1384</v>
      </c>
      <c r="V417" s="0" t="n">
        <v>5</v>
      </c>
      <c r="W417" s="0" t="str">
        <f aca="false">IF(OR(AND(B417&gt;=1,B417&lt;=6),B417=10),"Vaca em lactação",IF(I417="Male","Macho",IF(E417&gt;=1,"Vaca seca",IF(I417="Youngstock","Bezerra/recria","Novilha"))))</f>
        <v>Vaca em lactação</v>
      </c>
      <c r="X417" s="0" t="str">
        <f aca="false">IF(AND(B417&gt;=1,B417&lt;=6),"Tanque",IF(B417=10,"Descarte",""))</f>
        <v>Tanque</v>
      </c>
    </row>
    <row r="418" customFormat="false" ht="15" hidden="false" customHeight="false" outlineLevel="0" collapsed="false">
      <c r="A418" s="22" t="n">
        <v>46309</v>
      </c>
      <c r="B418" s="0" t="n">
        <v>2</v>
      </c>
      <c r="C418" s="0" t="n">
        <v>4361</v>
      </c>
      <c r="D418" s="0" t="n">
        <v>82</v>
      </c>
      <c r="E418" s="0" t="n">
        <v>3</v>
      </c>
      <c r="F418" s="23" t="s">
        <v>397</v>
      </c>
      <c r="G418" s="0" t="n">
        <v>59.5</v>
      </c>
      <c r="H418" s="0" t="n">
        <v>56</v>
      </c>
      <c r="I418" s="23" t="s">
        <v>97</v>
      </c>
      <c r="J418" s="0" t="n">
        <v>82</v>
      </c>
      <c r="K418" s="0" t="n">
        <v>68</v>
      </c>
      <c r="M418" s="0" t="n">
        <v>613.81</v>
      </c>
      <c r="N418" s="0" t="n">
        <v>43.92</v>
      </c>
      <c r="O418" s="0" t="n">
        <v>29.21</v>
      </c>
      <c r="P418" s="0" t="n">
        <v>2.43</v>
      </c>
      <c r="Q418" s="0" t="n">
        <v>2.93</v>
      </c>
      <c r="R418" s="0" t="n">
        <v>5509</v>
      </c>
      <c r="S418" s="0" t="n">
        <v>11074</v>
      </c>
      <c r="U418" s="0" t="n">
        <v>1416</v>
      </c>
      <c r="V418" s="0" t="n">
        <v>1</v>
      </c>
      <c r="W418" s="0" t="str">
        <f aca="false">IF(OR(AND(B418&gt;=1,B418&lt;=6),B418=10),"Vaca em lactação",IF(I418="Male","Macho",IF(E418&gt;=1,"Vaca seca",IF(I418="Youngstock","Bezerra/recria","Novilha"))))</f>
        <v>Vaca em lactação</v>
      </c>
      <c r="X418" s="0" t="str">
        <f aca="false">IF(AND(B418&gt;=1,B418&lt;=6),"Tanque",IF(B418=10,"Descarte",""))</f>
        <v>Tanque</v>
      </c>
    </row>
    <row r="419" customFormat="false" ht="15" hidden="false" customHeight="false" outlineLevel="0" collapsed="false">
      <c r="A419" s="22" t="n">
        <v>46309</v>
      </c>
      <c r="B419" s="0" t="n">
        <v>2</v>
      </c>
      <c r="C419" s="0" t="n">
        <v>4392</v>
      </c>
      <c r="D419" s="0" t="n">
        <v>86</v>
      </c>
      <c r="E419" s="0" t="n">
        <v>2</v>
      </c>
      <c r="F419" s="23" t="s">
        <v>398</v>
      </c>
      <c r="G419" s="0" t="n">
        <v>77.2</v>
      </c>
      <c r="H419" s="0" t="n">
        <v>74</v>
      </c>
      <c r="I419" s="23" t="s">
        <v>97</v>
      </c>
      <c r="J419" s="0" t="n">
        <v>86</v>
      </c>
      <c r="K419" s="0" t="n">
        <v>65</v>
      </c>
      <c r="M419" s="0" t="n">
        <v>1040.81</v>
      </c>
      <c r="N419" s="0" t="n">
        <v>39.27</v>
      </c>
      <c r="O419" s="0" t="n">
        <v>29.65</v>
      </c>
      <c r="P419" s="0" t="n">
        <v>1.73</v>
      </c>
      <c r="Q419" s="0" t="n">
        <v>3.16</v>
      </c>
      <c r="R419" s="0" t="n">
        <v>6060</v>
      </c>
      <c r="S419" s="0" t="n">
        <v>12181</v>
      </c>
      <c r="U419" s="0" t="n">
        <v>1399</v>
      </c>
      <c r="V419" s="0" t="n">
        <v>1</v>
      </c>
      <c r="W419" s="0" t="str">
        <f aca="false">IF(OR(AND(B419&gt;=1,B419&lt;=6),B419=10),"Vaca em lactação",IF(I419="Male","Macho",IF(E419&gt;=1,"Vaca seca",IF(I419="Youngstock","Bezerra/recria","Novilha"))))</f>
        <v>Vaca em lactação</v>
      </c>
      <c r="X419" s="0" t="str">
        <f aca="false">IF(AND(B419&gt;=1,B419&lt;=6),"Tanque",IF(B419=10,"Descarte",""))</f>
        <v>Tanque</v>
      </c>
    </row>
    <row r="420" customFormat="false" ht="15" hidden="false" customHeight="false" outlineLevel="0" collapsed="false">
      <c r="A420" s="22" t="n">
        <v>46309</v>
      </c>
      <c r="B420" s="0" t="n">
        <v>2</v>
      </c>
      <c r="C420" s="0" t="n">
        <v>4387</v>
      </c>
      <c r="D420" s="0" t="n">
        <v>17</v>
      </c>
      <c r="E420" s="0" t="n">
        <v>3</v>
      </c>
      <c r="F420" s="23" t="s">
        <v>399</v>
      </c>
      <c r="G420" s="0" t="n">
        <v>53.5</v>
      </c>
      <c r="H420" s="0" t="n">
        <v>51</v>
      </c>
      <c r="I420" s="23" t="s">
        <v>94</v>
      </c>
      <c r="J420" s="0" t="n">
        <v>17</v>
      </c>
      <c r="M420" s="0" t="n">
        <v>710.84</v>
      </c>
      <c r="N420" s="0" t="n">
        <v>42.08</v>
      </c>
      <c r="O420" s="0" t="n">
        <v>29.93</v>
      </c>
      <c r="R420" s="0" t="n">
        <v>3888</v>
      </c>
      <c r="S420" s="0" t="n">
        <v>7815</v>
      </c>
      <c r="U420" s="0" t="n">
        <v>1401</v>
      </c>
      <c r="V420" s="0" t="n">
        <v>0</v>
      </c>
      <c r="W420" s="0" t="str">
        <f aca="false">IF(OR(AND(B420&gt;=1,B420&lt;=6),B420=10),"Vaca em lactação",IF(I420="Male","Macho",IF(E420&gt;=1,"Vaca seca",IF(I420="Youngstock","Bezerra/recria","Novilha"))))</f>
        <v>Vaca em lactação</v>
      </c>
      <c r="X420" s="0" t="str">
        <f aca="false">IF(AND(B420&gt;=1,B420&lt;=6),"Tanque",IF(B420=10,"Descarte",""))</f>
        <v>Tanque</v>
      </c>
    </row>
    <row r="421" customFormat="false" ht="15" hidden="false" customHeight="false" outlineLevel="0" collapsed="false">
      <c r="A421" s="22" t="n">
        <v>46309</v>
      </c>
      <c r="B421" s="0" t="n">
        <v>2</v>
      </c>
      <c r="C421" s="0" t="n">
        <v>4458</v>
      </c>
      <c r="D421" s="0" t="n">
        <v>22</v>
      </c>
      <c r="E421" s="0" t="n">
        <v>3</v>
      </c>
      <c r="F421" s="23" t="s">
        <v>400</v>
      </c>
      <c r="G421" s="0" t="n">
        <v>57.3</v>
      </c>
      <c r="H421" s="0" t="n">
        <v>56</v>
      </c>
      <c r="I421" s="23" t="s">
        <v>94</v>
      </c>
      <c r="J421" s="0" t="n">
        <v>22</v>
      </c>
      <c r="M421" s="0" t="n">
        <v>988.06</v>
      </c>
      <c r="N421" s="0" t="n">
        <v>40.9</v>
      </c>
      <c r="O421" s="0" t="n">
        <v>31.75</v>
      </c>
      <c r="R421" s="0" t="n">
        <v>4230</v>
      </c>
      <c r="S421" s="0" t="n">
        <v>8503</v>
      </c>
      <c r="U421" s="0" t="n">
        <v>1369</v>
      </c>
      <c r="V421" s="0" t="n">
        <v>0</v>
      </c>
      <c r="W421" s="0" t="str">
        <f aca="false">IF(OR(AND(B421&gt;=1,B421&lt;=6),B421=10),"Vaca em lactação",IF(I421="Male","Macho",IF(E421&gt;=1,"Vaca seca",IF(I421="Youngstock","Bezerra/recria","Novilha"))))</f>
        <v>Vaca em lactação</v>
      </c>
      <c r="X421" s="0" t="str">
        <f aca="false">IF(AND(B421&gt;=1,B421&lt;=6),"Tanque",IF(B421=10,"Descarte",""))</f>
        <v>Tanque</v>
      </c>
    </row>
    <row r="422" customFormat="false" ht="15" hidden="false" customHeight="false" outlineLevel="0" collapsed="false">
      <c r="A422" s="22" t="n">
        <v>46309</v>
      </c>
      <c r="B422" s="0" t="n">
        <v>2</v>
      </c>
      <c r="C422" s="0" t="n">
        <v>4491</v>
      </c>
      <c r="D422" s="0" t="n">
        <v>11</v>
      </c>
      <c r="E422" s="0" t="n">
        <v>3</v>
      </c>
      <c r="F422" s="23" t="s">
        <v>401</v>
      </c>
      <c r="G422" s="0" t="n">
        <v>36.2</v>
      </c>
      <c r="H422" s="0" t="n">
        <v>32</v>
      </c>
      <c r="I422" s="23" t="s">
        <v>94</v>
      </c>
      <c r="J422" s="0" t="n">
        <v>11</v>
      </c>
      <c r="M422" s="0" t="n">
        <v>538.34</v>
      </c>
      <c r="N422" s="0" t="n">
        <v>45.5</v>
      </c>
      <c r="O422" s="0" t="n">
        <v>35.31</v>
      </c>
      <c r="R422" s="0" t="n">
        <v>2541</v>
      </c>
      <c r="S422" s="0" t="n">
        <v>5107</v>
      </c>
      <c r="U422" s="0" t="n">
        <v>1359</v>
      </c>
      <c r="V422" s="0" t="n">
        <v>0</v>
      </c>
      <c r="W422" s="0" t="str">
        <f aca="false">IF(OR(AND(B422&gt;=1,B422&lt;=6),B422=10),"Vaca em lactação",IF(I422="Male","Macho",IF(E422&gt;=1,"Vaca seca",IF(I422="Youngstock","Bezerra/recria","Novilha"))))</f>
        <v>Vaca em lactação</v>
      </c>
      <c r="X422" s="0" t="str">
        <f aca="false">IF(AND(B422&gt;=1,B422&lt;=6),"Tanque",IF(B422=10,"Descarte",""))</f>
        <v>Tanque</v>
      </c>
    </row>
    <row r="423" customFormat="false" ht="15" hidden="false" customHeight="false" outlineLevel="0" collapsed="false">
      <c r="A423" s="22" t="n">
        <v>46309</v>
      </c>
      <c r="B423" s="0" t="n">
        <v>2</v>
      </c>
      <c r="C423" s="0" t="n">
        <v>4490</v>
      </c>
      <c r="D423" s="0" t="n">
        <v>49</v>
      </c>
      <c r="E423" s="0" t="n">
        <v>3</v>
      </c>
      <c r="F423" s="23" t="s">
        <v>401</v>
      </c>
      <c r="G423" s="0" t="n">
        <v>60.8</v>
      </c>
      <c r="H423" s="0" t="n">
        <v>57</v>
      </c>
      <c r="I423" s="23" t="s">
        <v>94</v>
      </c>
      <c r="J423" s="0" t="n">
        <v>49</v>
      </c>
      <c r="M423" s="0" t="n">
        <v>1000.09</v>
      </c>
      <c r="N423" s="0" t="n">
        <v>39.58</v>
      </c>
      <c r="O423" s="0" t="n">
        <v>31.55</v>
      </c>
      <c r="P423" s="0" t="n">
        <v>3.9</v>
      </c>
      <c r="Q423" s="0" t="n">
        <v>3.28</v>
      </c>
      <c r="R423" s="0" t="n">
        <v>4683</v>
      </c>
      <c r="S423" s="0" t="n">
        <v>9414</v>
      </c>
      <c r="U423" s="0" t="n">
        <v>1359</v>
      </c>
      <c r="V423" s="0" t="n">
        <v>0</v>
      </c>
      <c r="W423" s="0" t="str">
        <f aca="false">IF(OR(AND(B423&gt;=1,B423&lt;=6),B423=10),"Vaca em lactação",IF(I423="Male","Macho",IF(E423&gt;=1,"Vaca seca",IF(I423="Youngstock","Bezerra/recria","Novilha"))))</f>
        <v>Vaca em lactação</v>
      </c>
      <c r="X423" s="0" t="str">
        <f aca="false">IF(AND(B423&gt;=1,B423&lt;=6),"Tanque",IF(B423=10,"Descarte",""))</f>
        <v>Tanque</v>
      </c>
    </row>
    <row r="424" customFormat="false" ht="15" hidden="false" customHeight="false" outlineLevel="0" collapsed="false">
      <c r="A424" s="22" t="n">
        <v>46309</v>
      </c>
      <c r="B424" s="0" t="n">
        <v>2</v>
      </c>
      <c r="C424" s="0" t="n">
        <v>4483</v>
      </c>
      <c r="D424" s="0" t="n">
        <v>184</v>
      </c>
      <c r="E424" s="0" t="n">
        <v>2</v>
      </c>
      <c r="F424" s="23" t="s">
        <v>402</v>
      </c>
      <c r="G424" s="0" t="n">
        <v>40</v>
      </c>
      <c r="H424" s="0" t="n">
        <v>43</v>
      </c>
      <c r="I424" s="23" t="s">
        <v>92</v>
      </c>
      <c r="J424" s="0" t="n">
        <v>65</v>
      </c>
      <c r="K424" s="0" t="n">
        <v>65</v>
      </c>
      <c r="L424" s="0" t="n">
        <v>119</v>
      </c>
      <c r="M424" s="0" t="n">
        <v>891.66</v>
      </c>
      <c r="N424" s="0" t="n">
        <v>34.51</v>
      </c>
      <c r="O424" s="0" t="n">
        <v>32.88</v>
      </c>
      <c r="P424" s="0" t="n">
        <v>3.77</v>
      </c>
      <c r="Q424" s="0" t="n">
        <v>3.36</v>
      </c>
      <c r="R424" s="0" t="n">
        <v>5670</v>
      </c>
      <c r="S424" s="0" t="n">
        <v>11521</v>
      </c>
      <c r="T424" s="0" t="n">
        <v>61.65</v>
      </c>
      <c r="U424" s="0" t="n">
        <v>1362</v>
      </c>
      <c r="V424" s="0" t="n">
        <v>1</v>
      </c>
      <c r="W424" s="0" t="str">
        <f aca="false">IF(OR(AND(B424&gt;=1,B424&lt;=6),B424=10),"Vaca em lactação",IF(I424="Male","Macho",IF(E424&gt;=1,"Vaca seca",IF(I424="Youngstock","Bezerra/recria","Novilha"))))</f>
        <v>Vaca em lactação</v>
      </c>
      <c r="X424" s="0" t="str">
        <f aca="false">IF(AND(B424&gt;=1,B424&lt;=6),"Tanque",IF(B424=10,"Descarte",""))</f>
        <v>Tanque</v>
      </c>
    </row>
    <row r="425" customFormat="false" ht="15" hidden="false" customHeight="false" outlineLevel="0" collapsed="false">
      <c r="A425" s="22" t="n">
        <v>46309</v>
      </c>
      <c r="B425" s="0" t="n">
        <v>2</v>
      </c>
      <c r="C425" s="0" t="n">
        <v>4439</v>
      </c>
      <c r="D425" s="0" t="n">
        <v>65</v>
      </c>
      <c r="E425" s="0" t="n">
        <v>3</v>
      </c>
      <c r="F425" s="23" t="s">
        <v>403</v>
      </c>
      <c r="G425" s="0" t="n">
        <v>48.1</v>
      </c>
      <c r="H425" s="0" t="n">
        <v>58</v>
      </c>
      <c r="I425" s="23" t="s">
        <v>97</v>
      </c>
      <c r="J425" s="0" t="n">
        <v>65</v>
      </c>
      <c r="K425" s="0" t="n">
        <v>65</v>
      </c>
      <c r="M425" s="0" t="n">
        <v>704.65</v>
      </c>
      <c r="N425" s="0" t="n">
        <v>52.64</v>
      </c>
      <c r="O425" s="0" t="n">
        <v>37.16</v>
      </c>
      <c r="P425" s="0" t="n">
        <v>3.41</v>
      </c>
      <c r="Q425" s="0" t="n">
        <v>3.44</v>
      </c>
      <c r="R425" s="0" t="n">
        <v>5001</v>
      </c>
      <c r="S425" s="0" t="n">
        <v>10053</v>
      </c>
      <c r="U425" s="0" t="n">
        <v>1375</v>
      </c>
      <c r="V425" s="0" t="n">
        <v>1</v>
      </c>
      <c r="W425" s="0" t="str">
        <f aca="false">IF(OR(AND(B425&gt;=1,B425&lt;=6),B425=10),"Vaca em lactação",IF(I425="Male","Macho",IF(E425&gt;=1,"Vaca seca",IF(I425="Youngstock","Bezerra/recria","Novilha"))))</f>
        <v>Vaca em lactação</v>
      </c>
      <c r="X425" s="0" t="str">
        <f aca="false">IF(AND(B425&gt;=1,B425&lt;=6),"Tanque",IF(B425=10,"Descarte",""))</f>
        <v>Tanque</v>
      </c>
    </row>
    <row r="426" customFormat="false" ht="15" hidden="false" customHeight="false" outlineLevel="0" collapsed="false">
      <c r="A426" s="22" t="n">
        <v>46309</v>
      </c>
      <c r="B426" s="0" t="n">
        <v>2</v>
      </c>
      <c r="C426" s="0" t="n">
        <v>4443</v>
      </c>
      <c r="D426" s="0" t="n">
        <v>27</v>
      </c>
      <c r="E426" s="0" t="n">
        <v>3</v>
      </c>
      <c r="F426" s="23" t="s">
        <v>404</v>
      </c>
      <c r="G426" s="0" t="n">
        <v>59.8</v>
      </c>
      <c r="H426" s="0" t="n">
        <v>60</v>
      </c>
      <c r="I426" s="23" t="s">
        <v>94</v>
      </c>
      <c r="J426" s="0" t="n">
        <v>27</v>
      </c>
      <c r="M426" s="0" t="n">
        <v>1028.98</v>
      </c>
      <c r="N426" s="0" t="n">
        <v>45.35</v>
      </c>
      <c r="O426" s="0" t="n">
        <v>36.77</v>
      </c>
      <c r="R426" s="0" t="n">
        <v>4729</v>
      </c>
      <c r="S426" s="0" t="n">
        <v>9506</v>
      </c>
      <c r="U426" s="0" t="n">
        <v>1372</v>
      </c>
      <c r="V426" s="0" t="n">
        <v>0</v>
      </c>
      <c r="W426" s="0" t="str">
        <f aca="false">IF(OR(AND(B426&gt;=1,B426&lt;=6),B426=10),"Vaca em lactação",IF(I426="Male","Macho",IF(E426&gt;=1,"Vaca seca",IF(I426="Youngstock","Bezerra/recria","Novilha"))))</f>
        <v>Vaca em lactação</v>
      </c>
      <c r="X426" s="0" t="str">
        <f aca="false">IF(AND(B426&gt;=1,B426&lt;=6),"Tanque",IF(B426=10,"Descarte",""))</f>
        <v>Tanque</v>
      </c>
    </row>
    <row r="427" customFormat="false" ht="15" hidden="false" customHeight="false" outlineLevel="0" collapsed="false">
      <c r="A427" s="22" t="n">
        <v>46309</v>
      </c>
      <c r="B427" s="0" t="n">
        <v>2</v>
      </c>
      <c r="C427" s="0" t="n">
        <v>4442</v>
      </c>
      <c r="D427" s="0" t="n">
        <v>55</v>
      </c>
      <c r="E427" s="0" t="n">
        <v>3</v>
      </c>
      <c r="F427" s="23" t="s">
        <v>404</v>
      </c>
      <c r="G427" s="0" t="n">
        <v>76.3</v>
      </c>
      <c r="H427" s="0" t="n">
        <v>75</v>
      </c>
      <c r="I427" s="23" t="s">
        <v>94</v>
      </c>
      <c r="J427" s="0" t="n">
        <v>55</v>
      </c>
      <c r="M427" s="0" t="n">
        <v>1338.62</v>
      </c>
      <c r="N427" s="0" t="n">
        <v>59.67</v>
      </c>
      <c r="O427" s="0" t="n">
        <v>32.24</v>
      </c>
      <c r="P427" s="0" t="n">
        <v>2.34</v>
      </c>
      <c r="Q427" s="0" t="n">
        <v>2.89</v>
      </c>
      <c r="R427" s="0" t="n">
        <v>6491</v>
      </c>
      <c r="S427" s="0" t="n">
        <v>13048</v>
      </c>
      <c r="U427" s="0" t="n">
        <v>1372</v>
      </c>
      <c r="V427" s="0" t="n">
        <v>0</v>
      </c>
      <c r="W427" s="0" t="str">
        <f aca="false">IF(OR(AND(B427&gt;=1,B427&lt;=6),B427=10),"Vaca em lactação",IF(I427="Male","Macho",IF(E427&gt;=1,"Vaca seca",IF(I427="Youngstock","Bezerra/recria","Novilha"))))</f>
        <v>Vaca em lactação</v>
      </c>
      <c r="X427" s="0" t="str">
        <f aca="false">IF(AND(B427&gt;=1,B427&lt;=6),"Tanque",IF(B427=10,"Descarte",""))</f>
        <v>Tanque</v>
      </c>
    </row>
    <row r="428" customFormat="false" ht="15" hidden="false" customHeight="false" outlineLevel="0" collapsed="false">
      <c r="A428" s="22" t="n">
        <v>46309</v>
      </c>
      <c r="B428" s="0" t="n">
        <v>2</v>
      </c>
      <c r="C428" s="0" t="n">
        <v>4451</v>
      </c>
      <c r="D428" s="0" t="n">
        <v>166</v>
      </c>
      <c r="E428" s="0" t="n">
        <v>2</v>
      </c>
      <c r="F428" s="23" t="s">
        <v>405</v>
      </c>
      <c r="G428" s="0" t="n">
        <v>55.7</v>
      </c>
      <c r="H428" s="0" t="n">
        <v>59</v>
      </c>
      <c r="I428" s="23" t="s">
        <v>92</v>
      </c>
      <c r="J428" s="0" t="n">
        <v>103</v>
      </c>
      <c r="K428" s="0" t="n">
        <v>68</v>
      </c>
      <c r="L428" s="0" t="n">
        <v>63</v>
      </c>
      <c r="M428" s="0" t="n">
        <v>822.96</v>
      </c>
      <c r="N428" s="0" t="n">
        <v>29.77</v>
      </c>
      <c r="O428" s="0" t="n">
        <v>30.64</v>
      </c>
      <c r="P428" s="0" t="n">
        <v>2.86</v>
      </c>
      <c r="Q428" s="0" t="n">
        <v>3.19</v>
      </c>
      <c r="R428" s="0" t="n">
        <v>5396</v>
      </c>
      <c r="S428" s="0" t="n">
        <v>11360</v>
      </c>
      <c r="T428" s="0" t="n">
        <v>62.8</v>
      </c>
      <c r="U428" s="0" t="n">
        <v>1371</v>
      </c>
      <c r="V428" s="0" t="n">
        <v>2</v>
      </c>
      <c r="W428" s="0" t="str">
        <f aca="false">IF(OR(AND(B428&gt;=1,B428&lt;=6),B428=10),"Vaca em lactação",IF(I428="Male","Macho",IF(E428&gt;=1,"Vaca seca",IF(I428="Youngstock","Bezerra/recria","Novilha"))))</f>
        <v>Vaca em lactação</v>
      </c>
      <c r="X428" s="0" t="str">
        <f aca="false">IF(AND(B428&gt;=1,B428&lt;=6),"Tanque",IF(B428=10,"Descarte",""))</f>
        <v>Tanque</v>
      </c>
    </row>
    <row r="429" customFormat="false" ht="15" hidden="false" customHeight="false" outlineLevel="0" collapsed="false">
      <c r="A429" s="22" t="n">
        <v>46309</v>
      </c>
      <c r="B429" s="0" t="n">
        <v>2</v>
      </c>
      <c r="C429" s="0" t="n">
        <v>4828</v>
      </c>
      <c r="D429" s="0" t="n">
        <v>66</v>
      </c>
      <c r="E429" s="0" t="n">
        <v>2</v>
      </c>
      <c r="F429" s="23" t="s">
        <v>406</v>
      </c>
      <c r="G429" s="0" t="n">
        <v>52.9</v>
      </c>
      <c r="H429" s="0" t="n">
        <v>56</v>
      </c>
      <c r="I429" s="23" t="s">
        <v>97</v>
      </c>
      <c r="J429" s="0" t="n">
        <v>66</v>
      </c>
      <c r="K429" s="0" t="n">
        <v>66</v>
      </c>
      <c r="M429" s="0" t="n">
        <v>558.67</v>
      </c>
      <c r="N429" s="0" t="n">
        <v>67.43</v>
      </c>
      <c r="O429" s="0" t="n">
        <v>33.3</v>
      </c>
      <c r="P429" s="0" t="n">
        <v>3.6</v>
      </c>
      <c r="Q429" s="0" t="n">
        <v>3.29</v>
      </c>
      <c r="R429" s="0" t="n">
        <v>4537</v>
      </c>
      <c r="S429" s="0" t="n">
        <v>9120</v>
      </c>
      <c r="U429" s="0" t="n">
        <v>1198</v>
      </c>
      <c r="V429" s="0" t="n">
        <v>1</v>
      </c>
      <c r="W429" s="0" t="str">
        <f aca="false">IF(OR(AND(B429&gt;=1,B429&lt;=6),B429=10),"Vaca em lactação",IF(I429="Male","Macho",IF(E429&gt;=1,"Vaca seca",IF(I429="Youngstock","Bezerra/recria","Novilha"))))</f>
        <v>Vaca em lactação</v>
      </c>
      <c r="X429" s="0" t="str">
        <f aca="false">IF(AND(B429&gt;=1,B429&lt;=6),"Tanque",IF(B429=10,"Descarte",""))</f>
        <v>Tanque</v>
      </c>
    </row>
    <row r="430" customFormat="false" ht="15" hidden="false" customHeight="false" outlineLevel="0" collapsed="false">
      <c r="A430" s="22" t="n">
        <v>46309</v>
      </c>
      <c r="B430" s="0" t="n">
        <v>3</v>
      </c>
      <c r="C430" s="0" t="n">
        <v>3743</v>
      </c>
      <c r="D430" s="0" t="n">
        <v>213</v>
      </c>
      <c r="E430" s="0" t="n">
        <v>3</v>
      </c>
      <c r="F430" s="23" t="s">
        <v>407</v>
      </c>
      <c r="G430" s="0" t="n">
        <v>62.2</v>
      </c>
      <c r="H430" s="0" t="n">
        <v>61</v>
      </c>
      <c r="I430" s="23" t="s">
        <v>109</v>
      </c>
      <c r="J430" s="0" t="n">
        <v>213</v>
      </c>
      <c r="K430" s="0" t="n">
        <v>62</v>
      </c>
      <c r="M430" s="0" t="n">
        <v>729.1</v>
      </c>
      <c r="N430" s="0" t="n">
        <v>37.32</v>
      </c>
      <c r="O430" s="0" t="n">
        <v>35.64</v>
      </c>
      <c r="P430" s="0" t="n">
        <v>2.94</v>
      </c>
      <c r="Q430" s="0" t="n">
        <v>3.54</v>
      </c>
      <c r="R430" s="0" t="n">
        <v>5831</v>
      </c>
      <c r="S430" s="0" t="n">
        <v>11646</v>
      </c>
      <c r="T430" s="0" t="n">
        <v>68.6</v>
      </c>
      <c r="U430" s="0" t="n">
        <v>1779</v>
      </c>
      <c r="V430" s="0" t="n">
        <v>2</v>
      </c>
      <c r="W430" s="0" t="str">
        <f aca="false">IF(OR(AND(B430&gt;=1,B430&lt;=6),B430=10),"Vaca em lactação",IF(I430="Male","Macho",IF(E430&gt;=1,"Vaca seca",IF(I430="Youngstock","Bezerra/recria","Novilha"))))</f>
        <v>Vaca em lactação</v>
      </c>
      <c r="X430" s="0" t="str">
        <f aca="false">IF(AND(B430&gt;=1,B430&lt;=6),"Tanque",IF(B430=10,"Descarte",""))</f>
        <v>Tanque</v>
      </c>
    </row>
    <row r="431" customFormat="false" ht="15" hidden="false" customHeight="false" outlineLevel="0" collapsed="false">
      <c r="A431" s="22" t="n">
        <v>46309</v>
      </c>
      <c r="B431" s="0" t="n">
        <v>3</v>
      </c>
      <c r="C431" s="0" t="n">
        <v>3747</v>
      </c>
      <c r="D431" s="0" t="n">
        <v>186</v>
      </c>
      <c r="E431" s="0" t="n">
        <v>3</v>
      </c>
      <c r="F431" s="23" t="s">
        <v>408</v>
      </c>
      <c r="G431" s="0" t="n">
        <v>63.3</v>
      </c>
      <c r="H431" s="0" t="n">
        <v>61</v>
      </c>
      <c r="I431" s="23" t="s">
        <v>92</v>
      </c>
      <c r="J431" s="0" t="n">
        <v>102</v>
      </c>
      <c r="K431" s="0" t="n">
        <v>67</v>
      </c>
      <c r="L431" s="0" t="n">
        <v>84</v>
      </c>
      <c r="M431" s="0" t="n">
        <v>-645.34</v>
      </c>
      <c r="N431" s="0" t="n">
        <v>16.08</v>
      </c>
      <c r="O431" s="0" t="n">
        <v>-5.04</v>
      </c>
      <c r="P431" s="0" t="n">
        <v>3.71</v>
      </c>
      <c r="Q431" s="0" t="n">
        <v>3.22</v>
      </c>
      <c r="R431" s="0" t="n">
        <v>6287</v>
      </c>
      <c r="S431" s="0" t="n">
        <v>12524</v>
      </c>
      <c r="T431" s="0" t="n">
        <v>63.15</v>
      </c>
      <c r="U431" s="0" t="n">
        <v>1777</v>
      </c>
      <c r="V431" s="0" t="n">
        <v>2</v>
      </c>
      <c r="W431" s="0" t="str">
        <f aca="false">IF(OR(AND(B431&gt;=1,B431&lt;=6),B431=10),"Vaca em lactação",IF(I431="Male","Macho",IF(E431&gt;=1,"Vaca seca",IF(I431="Youngstock","Bezerra/recria","Novilha"))))</f>
        <v>Vaca em lactação</v>
      </c>
      <c r="X431" s="0" t="str">
        <f aca="false">IF(AND(B431&gt;=1,B431&lt;=6),"Tanque",IF(B431=10,"Descarte",""))</f>
        <v>Tanque</v>
      </c>
    </row>
    <row r="432" customFormat="false" ht="15" hidden="false" customHeight="false" outlineLevel="0" collapsed="false">
      <c r="A432" s="22" t="n">
        <v>46309</v>
      </c>
      <c r="B432" s="0" t="n">
        <v>3</v>
      </c>
      <c r="C432" s="0" t="n">
        <v>3717</v>
      </c>
      <c r="D432" s="0" t="n">
        <v>161</v>
      </c>
      <c r="E432" s="0" t="n">
        <v>3</v>
      </c>
      <c r="F432" s="23" t="s">
        <v>409</v>
      </c>
      <c r="G432" s="0" t="n">
        <v>56.1</v>
      </c>
      <c r="H432" s="0" t="n">
        <v>54</v>
      </c>
      <c r="I432" s="23" t="s">
        <v>109</v>
      </c>
      <c r="J432" s="0" t="n">
        <v>161</v>
      </c>
      <c r="K432" s="0" t="n">
        <v>63</v>
      </c>
      <c r="M432" s="0" t="n">
        <v>745.9</v>
      </c>
      <c r="N432" s="0" t="n">
        <v>32.34</v>
      </c>
      <c r="O432" s="0" t="n">
        <v>29.46</v>
      </c>
      <c r="P432" s="0" t="n">
        <v>3.93</v>
      </c>
      <c r="Q432" s="0" t="n">
        <v>3.22</v>
      </c>
      <c r="R432" s="0" t="n">
        <v>6190</v>
      </c>
      <c r="S432" s="0" t="n">
        <v>12080</v>
      </c>
      <c r="T432" s="0" t="n">
        <v>68.9</v>
      </c>
      <c r="U432" s="0" t="n">
        <v>1799</v>
      </c>
      <c r="V432" s="0" t="n">
        <v>2</v>
      </c>
      <c r="W432" s="0" t="str">
        <f aca="false">IF(OR(AND(B432&gt;=1,B432&lt;=6),B432=10),"Vaca em lactação",IF(I432="Male","Macho",IF(E432&gt;=1,"Vaca seca",IF(I432="Youngstock","Bezerra/recria","Novilha"))))</f>
        <v>Vaca em lactação</v>
      </c>
      <c r="X432" s="0" t="str">
        <f aca="false">IF(AND(B432&gt;=1,B432&lt;=6),"Tanque",IF(B432=10,"Descarte",""))</f>
        <v>Tanque</v>
      </c>
    </row>
    <row r="433" customFormat="false" ht="15" hidden="false" customHeight="false" outlineLevel="0" collapsed="false">
      <c r="A433" s="22" t="n">
        <v>46309</v>
      </c>
      <c r="B433" s="0" t="n">
        <v>3</v>
      </c>
      <c r="C433" s="0" t="n">
        <v>3722</v>
      </c>
      <c r="D433" s="0" t="n">
        <v>34</v>
      </c>
      <c r="E433" s="0" t="n">
        <v>3</v>
      </c>
      <c r="F433" s="23" t="s">
        <v>410</v>
      </c>
      <c r="G433" s="0" t="n">
        <v>62.2</v>
      </c>
      <c r="H433" s="0" t="n">
        <v>61</v>
      </c>
      <c r="I433" s="23" t="s">
        <v>94</v>
      </c>
      <c r="J433" s="0" t="n">
        <v>34</v>
      </c>
      <c r="M433" s="0" t="n">
        <v>794.8</v>
      </c>
      <c r="N433" s="0" t="n">
        <v>22.98</v>
      </c>
      <c r="O433" s="0" t="n">
        <v>24.63</v>
      </c>
      <c r="P433" s="0" t="n">
        <v>4.82</v>
      </c>
      <c r="Q433" s="0" t="n">
        <v>3.92</v>
      </c>
      <c r="R433" s="0" t="n">
        <v>5009</v>
      </c>
      <c r="S433" s="0" t="n">
        <v>10069</v>
      </c>
      <c r="U433" s="0" t="n">
        <v>1796</v>
      </c>
      <c r="V433" s="0" t="n">
        <v>0</v>
      </c>
      <c r="W433" s="0" t="str">
        <f aca="false">IF(OR(AND(B433&gt;=1,B433&lt;=6),B433=10),"Vaca em lactação",IF(I433="Male","Macho",IF(E433&gt;=1,"Vaca seca",IF(I433="Youngstock","Bezerra/recria","Novilha"))))</f>
        <v>Vaca em lactação</v>
      </c>
      <c r="X433" s="0" t="str">
        <f aca="false">IF(AND(B433&gt;=1,B433&lt;=6),"Tanque",IF(B433=10,"Descarte",""))</f>
        <v>Tanque</v>
      </c>
    </row>
    <row r="434" customFormat="false" ht="15" hidden="false" customHeight="false" outlineLevel="0" collapsed="false">
      <c r="A434" s="22" t="n">
        <v>46309</v>
      </c>
      <c r="B434" s="0" t="n">
        <v>3</v>
      </c>
      <c r="C434" s="0" t="n">
        <v>3805</v>
      </c>
      <c r="D434" s="0" t="n">
        <v>125</v>
      </c>
      <c r="E434" s="0" t="n">
        <v>3</v>
      </c>
      <c r="F434" s="23" t="s">
        <v>411</v>
      </c>
      <c r="G434" s="0" t="n">
        <v>60.7</v>
      </c>
      <c r="H434" s="0" t="n">
        <v>60</v>
      </c>
      <c r="I434" s="23" t="s">
        <v>97</v>
      </c>
      <c r="J434" s="0" t="n">
        <v>125</v>
      </c>
      <c r="K434" s="0" t="n">
        <v>69</v>
      </c>
      <c r="M434" s="0" t="n">
        <v>572.2</v>
      </c>
      <c r="N434" s="0" t="n">
        <v>68.33</v>
      </c>
      <c r="O434" s="0" t="n">
        <v>31.03</v>
      </c>
      <c r="P434" s="0" t="n">
        <v>4.83</v>
      </c>
      <c r="Q434" s="0" t="n">
        <v>3.06</v>
      </c>
      <c r="R434" s="0" t="n">
        <v>5937</v>
      </c>
      <c r="S434" s="0" t="n">
        <v>11860</v>
      </c>
      <c r="T434" s="0" t="n">
        <v>67.2</v>
      </c>
      <c r="U434" s="0" t="n">
        <v>1727</v>
      </c>
      <c r="V434" s="0" t="n">
        <v>2</v>
      </c>
      <c r="W434" s="0" t="str">
        <f aca="false">IF(OR(AND(B434&gt;=1,B434&lt;=6),B434=10),"Vaca em lactação",IF(I434="Male","Macho",IF(E434&gt;=1,"Vaca seca",IF(I434="Youngstock","Bezerra/recria","Novilha"))))</f>
        <v>Vaca em lactação</v>
      </c>
      <c r="X434" s="0" t="str">
        <f aca="false">IF(AND(B434&gt;=1,B434&lt;=6),"Tanque",IF(B434=10,"Descarte",""))</f>
        <v>Tanque</v>
      </c>
    </row>
    <row r="435" customFormat="false" ht="15" hidden="false" customHeight="false" outlineLevel="0" collapsed="false">
      <c r="A435" s="22" t="n">
        <v>46309</v>
      </c>
      <c r="B435" s="0" t="n">
        <v>3</v>
      </c>
      <c r="C435" s="0" t="n">
        <v>3812</v>
      </c>
      <c r="D435" s="0" t="n">
        <v>137</v>
      </c>
      <c r="E435" s="0" t="n">
        <v>3</v>
      </c>
      <c r="F435" s="23" t="s">
        <v>412</v>
      </c>
      <c r="G435" s="0" t="n">
        <v>61.4</v>
      </c>
      <c r="H435" s="0" t="n">
        <v>62</v>
      </c>
      <c r="I435" s="23" t="s">
        <v>92</v>
      </c>
      <c r="J435" s="0" t="n">
        <v>67</v>
      </c>
      <c r="K435" s="0" t="n">
        <v>67</v>
      </c>
      <c r="L435" s="0" t="n">
        <v>70</v>
      </c>
      <c r="M435" s="0" t="n">
        <v>641.16</v>
      </c>
      <c r="N435" s="0" t="n">
        <v>46.36</v>
      </c>
      <c r="O435" s="0" t="n">
        <v>21.15</v>
      </c>
      <c r="P435" s="0" t="n">
        <v>4.62</v>
      </c>
      <c r="Q435" s="0" t="n">
        <v>2.99</v>
      </c>
      <c r="R435" s="0" t="n">
        <v>6035</v>
      </c>
      <c r="S435" s="0" t="n">
        <v>12501</v>
      </c>
      <c r="T435" s="0" t="n">
        <v>66.05</v>
      </c>
      <c r="U435" s="0" t="n">
        <v>1721</v>
      </c>
      <c r="V435" s="0" t="n">
        <v>1</v>
      </c>
      <c r="W435" s="0" t="str">
        <f aca="false">IF(OR(AND(B435&gt;=1,B435&lt;=6),B435=10),"Vaca em lactação",IF(I435="Male","Macho",IF(E435&gt;=1,"Vaca seca",IF(I435="Youngstock","Bezerra/recria","Novilha"))))</f>
        <v>Vaca em lactação</v>
      </c>
      <c r="X435" s="0" t="str">
        <f aca="false">IF(AND(B435&gt;=1,B435&lt;=6),"Tanque",IF(B435=10,"Descarte",""))</f>
        <v>Tanque</v>
      </c>
    </row>
    <row r="436" customFormat="false" ht="15" hidden="false" customHeight="false" outlineLevel="0" collapsed="false">
      <c r="A436" s="22" t="n">
        <v>46309</v>
      </c>
      <c r="B436" s="0" t="n">
        <v>3</v>
      </c>
      <c r="C436" s="0" t="n">
        <v>3764</v>
      </c>
      <c r="D436" s="0" t="n">
        <v>24</v>
      </c>
      <c r="E436" s="0" t="n">
        <v>4</v>
      </c>
      <c r="F436" s="23" t="s">
        <v>228</v>
      </c>
      <c r="G436" s="0" t="n">
        <v>43.8</v>
      </c>
      <c r="H436" s="0" t="n">
        <v>42</v>
      </c>
      <c r="I436" s="23" t="s">
        <v>94</v>
      </c>
      <c r="J436" s="0" t="n">
        <v>24</v>
      </c>
      <c r="M436" s="0" t="n">
        <v>606.03</v>
      </c>
      <c r="N436" s="0" t="n">
        <v>17.71</v>
      </c>
      <c r="O436" s="0" t="n">
        <v>14.2</v>
      </c>
      <c r="R436" s="0" t="n">
        <v>3375</v>
      </c>
      <c r="S436" s="0" t="n">
        <v>6785</v>
      </c>
      <c r="U436" s="0" t="n">
        <v>1766</v>
      </c>
      <c r="V436" s="0" t="n">
        <v>0</v>
      </c>
      <c r="W436" s="0" t="str">
        <f aca="false">IF(OR(AND(B436&gt;=1,B436&lt;=6),B436=10),"Vaca em lactação",IF(I436="Male","Macho",IF(E436&gt;=1,"Vaca seca",IF(I436="Youngstock","Bezerra/recria","Novilha"))))</f>
        <v>Vaca em lactação</v>
      </c>
      <c r="X436" s="0" t="str">
        <f aca="false">IF(AND(B436&gt;=1,B436&lt;=6),"Tanque",IF(B436=10,"Descarte",""))</f>
        <v>Tanque</v>
      </c>
    </row>
    <row r="437" customFormat="false" ht="15" hidden="false" customHeight="false" outlineLevel="0" collapsed="false">
      <c r="A437" s="22" t="n">
        <v>46309</v>
      </c>
      <c r="B437" s="0" t="n">
        <v>3</v>
      </c>
      <c r="C437" s="0" t="n">
        <v>3785</v>
      </c>
      <c r="D437" s="0" t="n">
        <v>87</v>
      </c>
      <c r="E437" s="0" t="n">
        <v>3</v>
      </c>
      <c r="F437" s="23" t="s">
        <v>413</v>
      </c>
      <c r="G437" s="0" t="n">
        <v>53</v>
      </c>
      <c r="H437" s="0" t="n">
        <v>54</v>
      </c>
      <c r="I437" s="23" t="s">
        <v>97</v>
      </c>
      <c r="J437" s="0" t="n">
        <v>87</v>
      </c>
      <c r="K437" s="0" t="n">
        <v>66</v>
      </c>
      <c r="M437" s="0" t="n">
        <v>602.76</v>
      </c>
      <c r="N437" s="0" t="n">
        <v>52.14</v>
      </c>
      <c r="O437" s="0" t="n">
        <v>30.4</v>
      </c>
      <c r="P437" s="0" t="n">
        <v>4.91</v>
      </c>
      <c r="Q437" s="0" t="n">
        <v>2.98</v>
      </c>
      <c r="R437" s="0" t="n">
        <v>5692</v>
      </c>
      <c r="S437" s="0" t="n">
        <v>11442</v>
      </c>
      <c r="U437" s="0" t="n">
        <v>1744</v>
      </c>
      <c r="V437" s="0" t="n">
        <v>1</v>
      </c>
      <c r="W437" s="0" t="str">
        <f aca="false">IF(OR(AND(B437&gt;=1,B437&lt;=6),B437=10),"Vaca em lactação",IF(I437="Male","Macho",IF(E437&gt;=1,"Vaca seca",IF(I437="Youngstock","Bezerra/recria","Novilha"))))</f>
        <v>Vaca em lactação</v>
      </c>
      <c r="X437" s="0" t="str">
        <f aca="false">IF(AND(B437&gt;=1,B437&lt;=6),"Tanque",IF(B437=10,"Descarte",""))</f>
        <v>Tanque</v>
      </c>
    </row>
    <row r="438" customFormat="false" ht="15" hidden="false" customHeight="false" outlineLevel="0" collapsed="false">
      <c r="A438" s="22" t="n">
        <v>46309</v>
      </c>
      <c r="B438" s="0" t="n">
        <v>3</v>
      </c>
      <c r="C438" s="0" t="n">
        <v>3613</v>
      </c>
      <c r="D438" s="0" t="n">
        <v>245</v>
      </c>
      <c r="E438" s="0" t="n">
        <v>3</v>
      </c>
      <c r="F438" s="23" t="s">
        <v>414</v>
      </c>
      <c r="G438" s="0" t="n">
        <v>48.8</v>
      </c>
      <c r="H438" s="0" t="n">
        <v>49</v>
      </c>
      <c r="I438" s="23" t="s">
        <v>92</v>
      </c>
      <c r="J438" s="0" t="n">
        <v>133</v>
      </c>
      <c r="K438" s="0" t="n">
        <v>91</v>
      </c>
      <c r="L438" s="0" t="n">
        <v>112</v>
      </c>
      <c r="M438" s="0" t="n">
        <v>1083.16</v>
      </c>
      <c r="N438" s="0" t="n">
        <v>51.73</v>
      </c>
      <c r="O438" s="0" t="n">
        <v>42.53</v>
      </c>
      <c r="P438" s="0" t="n">
        <v>2.87</v>
      </c>
      <c r="Q438" s="0" t="n">
        <v>3.57</v>
      </c>
      <c r="R438" s="0" t="n">
        <v>6704</v>
      </c>
      <c r="S438" s="0" t="n">
        <v>12801</v>
      </c>
      <c r="T438" s="0" t="n">
        <v>75</v>
      </c>
      <c r="U438" s="0" t="n">
        <v>1868</v>
      </c>
      <c r="V438" s="0" t="n">
        <v>2</v>
      </c>
      <c r="W438" s="0" t="str">
        <f aca="false">IF(OR(AND(B438&gt;=1,B438&lt;=6),B438=10),"Vaca em lactação",IF(I438="Male","Macho",IF(E438&gt;=1,"Vaca seca",IF(I438="Youngstock","Bezerra/recria","Novilha"))))</f>
        <v>Vaca em lactação</v>
      </c>
      <c r="X438" s="0" t="str">
        <f aca="false">IF(AND(B438&gt;=1,B438&lt;=6),"Tanque",IF(B438=10,"Descarte",""))</f>
        <v>Tanque</v>
      </c>
    </row>
    <row r="439" customFormat="false" ht="15" hidden="false" customHeight="false" outlineLevel="0" collapsed="false">
      <c r="A439" s="22" t="n">
        <v>46309</v>
      </c>
      <c r="B439" s="0" t="n">
        <v>3</v>
      </c>
      <c r="C439" s="0" t="n">
        <v>3624</v>
      </c>
      <c r="D439" s="0" t="n">
        <v>557</v>
      </c>
      <c r="E439" s="0" t="n">
        <v>2</v>
      </c>
      <c r="F439" s="23" t="s">
        <v>415</v>
      </c>
      <c r="I439" s="23" t="s">
        <v>357</v>
      </c>
      <c r="J439" s="0" t="n">
        <v>467</v>
      </c>
      <c r="K439" s="0" t="n">
        <v>69</v>
      </c>
      <c r="L439" s="0" t="n">
        <v>252</v>
      </c>
      <c r="M439" s="0" t="n">
        <v>762.36</v>
      </c>
      <c r="N439" s="0" t="n">
        <v>83.83</v>
      </c>
      <c r="O439" s="0" t="n">
        <v>40.39</v>
      </c>
      <c r="P439" s="0" t="n">
        <v>3.72</v>
      </c>
      <c r="Q439" s="0" t="n">
        <v>4.07</v>
      </c>
      <c r="R439" s="0" t="n">
        <v>8061</v>
      </c>
      <c r="S439" s="0" t="n">
        <v>13741</v>
      </c>
      <c r="T439" s="0" t="n">
        <v>86.75</v>
      </c>
      <c r="U439" s="0" t="n">
        <v>1859</v>
      </c>
      <c r="V439" s="0" t="n">
        <v>9</v>
      </c>
      <c r="W439" s="0" t="str">
        <f aca="false">IF(OR(AND(B439&gt;=1,B439&lt;=6),B439=10),"Vaca em lactação",IF(I439="Male","Macho",IF(E439&gt;=1,"Vaca seca",IF(I439="Youngstock","Bezerra/recria","Novilha"))))</f>
        <v>Vaca em lactação</v>
      </c>
      <c r="X439" s="0" t="str">
        <f aca="false">IF(AND(B439&gt;=1,B439&lt;=6),"Tanque",IF(B439=10,"Descarte",""))</f>
        <v>Tanque</v>
      </c>
    </row>
    <row r="440" customFormat="false" ht="15" hidden="false" customHeight="false" outlineLevel="0" collapsed="false">
      <c r="A440" s="22" t="n">
        <v>46309</v>
      </c>
      <c r="B440" s="0" t="n">
        <v>3</v>
      </c>
      <c r="C440" s="0" t="n">
        <v>3551</v>
      </c>
      <c r="D440" s="0" t="n">
        <v>158</v>
      </c>
      <c r="E440" s="0" t="n">
        <v>3</v>
      </c>
      <c r="F440" s="23" t="s">
        <v>230</v>
      </c>
      <c r="G440" s="0" t="n">
        <v>56.4</v>
      </c>
      <c r="H440" s="0" t="n">
        <v>55</v>
      </c>
      <c r="I440" s="23" t="s">
        <v>97</v>
      </c>
      <c r="J440" s="0" t="n">
        <v>158</v>
      </c>
      <c r="K440" s="0" t="n">
        <v>47</v>
      </c>
      <c r="M440" s="0" t="n">
        <v>638.22</v>
      </c>
      <c r="N440" s="0" t="n">
        <v>46.68</v>
      </c>
      <c r="O440" s="0" t="n">
        <v>26.24</v>
      </c>
      <c r="P440" s="0" t="n">
        <v>3.24</v>
      </c>
      <c r="Q440" s="0" t="n">
        <v>3.11</v>
      </c>
      <c r="R440" s="0" t="n">
        <v>4561</v>
      </c>
      <c r="S440" s="0" t="n">
        <v>9802</v>
      </c>
      <c r="T440" s="0" t="n">
        <v>54.35</v>
      </c>
      <c r="U440" s="0" t="n">
        <v>1899</v>
      </c>
      <c r="V440" s="0" t="n">
        <v>4</v>
      </c>
      <c r="W440" s="0" t="str">
        <f aca="false">IF(OR(AND(B440&gt;=1,B440&lt;=6),B440=10),"Vaca em lactação",IF(I440="Male","Macho",IF(E440&gt;=1,"Vaca seca",IF(I440="Youngstock","Bezerra/recria","Novilha"))))</f>
        <v>Vaca em lactação</v>
      </c>
      <c r="X440" s="0" t="str">
        <f aca="false">IF(AND(B440&gt;=1,B440&lt;=6),"Tanque",IF(B440=10,"Descarte",""))</f>
        <v>Tanque</v>
      </c>
    </row>
    <row r="441" customFormat="false" ht="15" hidden="false" customHeight="false" outlineLevel="0" collapsed="false">
      <c r="A441" s="22" t="n">
        <v>46309</v>
      </c>
      <c r="B441" s="0" t="n">
        <v>3</v>
      </c>
      <c r="C441" s="0" t="n">
        <v>3575</v>
      </c>
      <c r="D441" s="0" t="n">
        <v>46</v>
      </c>
      <c r="E441" s="0" t="n">
        <v>4</v>
      </c>
      <c r="F441" s="23" t="s">
        <v>231</v>
      </c>
      <c r="G441" s="0" t="n">
        <v>79.2</v>
      </c>
      <c r="H441" s="0" t="n">
        <v>78</v>
      </c>
      <c r="I441" s="23" t="s">
        <v>94</v>
      </c>
      <c r="J441" s="0" t="n">
        <v>46</v>
      </c>
      <c r="M441" s="0" t="n">
        <v>848.38</v>
      </c>
      <c r="N441" s="0" t="n">
        <v>43.68</v>
      </c>
      <c r="O441" s="0" t="n">
        <v>30.36</v>
      </c>
      <c r="P441" s="0" t="n">
        <v>2.73</v>
      </c>
      <c r="Q441" s="0" t="n">
        <v>3.28</v>
      </c>
      <c r="R441" s="0" t="n">
        <v>6361</v>
      </c>
      <c r="S441" s="0" t="n">
        <v>12786</v>
      </c>
      <c r="U441" s="0" t="n">
        <v>1884</v>
      </c>
      <c r="V441" s="0" t="n">
        <v>0</v>
      </c>
      <c r="W441" s="0" t="str">
        <f aca="false">IF(OR(AND(B441&gt;=1,B441&lt;=6),B441=10),"Vaca em lactação",IF(I441="Male","Macho",IF(E441&gt;=1,"Vaca seca",IF(I441="Youngstock","Bezerra/recria","Novilha"))))</f>
        <v>Vaca em lactação</v>
      </c>
      <c r="X441" s="0" t="str">
        <f aca="false">IF(AND(B441&gt;=1,B441&lt;=6),"Tanque",IF(B441=10,"Descarte",""))</f>
        <v>Tanque</v>
      </c>
    </row>
    <row r="442" customFormat="false" ht="15" hidden="false" customHeight="false" outlineLevel="0" collapsed="false">
      <c r="A442" s="22" t="n">
        <v>46309</v>
      </c>
      <c r="B442" s="0" t="n">
        <v>3</v>
      </c>
      <c r="C442" s="0" t="n">
        <v>3668</v>
      </c>
      <c r="D442" s="0" t="n">
        <v>75</v>
      </c>
      <c r="E442" s="0" t="n">
        <v>3</v>
      </c>
      <c r="F442" s="23" t="s">
        <v>235</v>
      </c>
      <c r="G442" s="0" t="n">
        <v>61.4</v>
      </c>
      <c r="H442" s="0" t="n">
        <v>60</v>
      </c>
      <c r="I442" s="23" t="s">
        <v>97</v>
      </c>
      <c r="J442" s="0" t="n">
        <v>75</v>
      </c>
      <c r="K442" s="0" t="n">
        <v>68</v>
      </c>
      <c r="M442" s="0" t="n">
        <v>150.46</v>
      </c>
      <c r="N442" s="0" t="n">
        <v>49.79</v>
      </c>
      <c r="O442" s="0" t="n">
        <v>18.97</v>
      </c>
      <c r="P442" s="0" t="n">
        <v>1.96</v>
      </c>
      <c r="Q442" s="0" t="n">
        <v>2.91</v>
      </c>
      <c r="R442" s="0" t="n">
        <v>6220</v>
      </c>
      <c r="S442" s="0" t="n">
        <v>12504</v>
      </c>
      <c r="U442" s="0" t="n">
        <v>1832</v>
      </c>
      <c r="V442" s="0" t="n">
        <v>1</v>
      </c>
      <c r="W442" s="0" t="str">
        <f aca="false">IF(OR(AND(B442&gt;=1,B442&lt;=6),B442=10),"Vaca em lactação",IF(I442="Male","Macho",IF(E442&gt;=1,"Vaca seca",IF(I442="Youngstock","Bezerra/recria","Novilha"))))</f>
        <v>Vaca em lactação</v>
      </c>
      <c r="X442" s="0" t="str">
        <f aca="false">IF(AND(B442&gt;=1,B442&lt;=6),"Tanque",IF(B442=10,"Descarte",""))</f>
        <v>Tanque</v>
      </c>
    </row>
    <row r="443" customFormat="false" ht="15" hidden="false" customHeight="false" outlineLevel="0" collapsed="false">
      <c r="A443" s="22" t="n">
        <v>46309</v>
      </c>
      <c r="B443" s="0" t="n">
        <v>3</v>
      </c>
      <c r="C443" s="0" t="n">
        <v>3674</v>
      </c>
      <c r="D443" s="0" t="n">
        <v>360</v>
      </c>
      <c r="E443" s="0" t="n">
        <v>3</v>
      </c>
      <c r="F443" s="23" t="s">
        <v>416</v>
      </c>
      <c r="G443" s="0" t="n">
        <v>49.3</v>
      </c>
      <c r="H443" s="0" t="n">
        <v>54</v>
      </c>
      <c r="I443" s="23" t="s">
        <v>92</v>
      </c>
      <c r="J443" s="0" t="n">
        <v>276</v>
      </c>
      <c r="K443" s="0" t="n">
        <v>67</v>
      </c>
      <c r="L443" s="0" t="n">
        <v>84</v>
      </c>
      <c r="M443" s="0" t="n">
        <v>878.8</v>
      </c>
      <c r="N443" s="0" t="n">
        <v>27.14</v>
      </c>
      <c r="O443" s="0" t="n">
        <v>36.75</v>
      </c>
      <c r="P443" s="0" t="n">
        <v>3.44</v>
      </c>
      <c r="Q443" s="0" t="n">
        <v>3.5</v>
      </c>
      <c r="R443" s="0" t="n">
        <v>7095</v>
      </c>
      <c r="S443" s="0" t="n">
        <v>13732</v>
      </c>
      <c r="T443" s="0" t="n">
        <v>80.95</v>
      </c>
      <c r="U443" s="0" t="n">
        <v>1826</v>
      </c>
      <c r="V443" s="0" t="n">
        <v>9</v>
      </c>
      <c r="W443" s="0" t="str">
        <f aca="false">IF(OR(AND(B443&gt;=1,B443&lt;=6),B443=10),"Vaca em lactação",IF(I443="Male","Macho",IF(E443&gt;=1,"Vaca seca",IF(I443="Youngstock","Bezerra/recria","Novilha"))))</f>
        <v>Vaca em lactação</v>
      </c>
      <c r="X443" s="0" t="str">
        <f aca="false">IF(AND(B443&gt;=1,B443&lt;=6),"Tanque",IF(B443=10,"Descarte",""))</f>
        <v>Tanque</v>
      </c>
    </row>
    <row r="444" customFormat="false" ht="15" hidden="false" customHeight="false" outlineLevel="0" collapsed="false">
      <c r="A444" s="22" t="n">
        <v>46309</v>
      </c>
      <c r="B444" s="0" t="n">
        <v>3</v>
      </c>
      <c r="C444" s="0" t="n">
        <v>3658</v>
      </c>
      <c r="D444" s="0" t="n">
        <v>296</v>
      </c>
      <c r="E444" s="0" t="n">
        <v>3</v>
      </c>
      <c r="F444" s="23" t="s">
        <v>417</v>
      </c>
      <c r="G444" s="0" t="n">
        <v>55.1</v>
      </c>
      <c r="H444" s="0" t="n">
        <v>52</v>
      </c>
      <c r="I444" s="23" t="s">
        <v>97</v>
      </c>
      <c r="J444" s="0" t="n">
        <v>296</v>
      </c>
      <c r="K444" s="0" t="n">
        <v>72</v>
      </c>
      <c r="M444" s="0" t="n">
        <v>627.96</v>
      </c>
      <c r="N444" s="0" t="n">
        <v>47.94</v>
      </c>
      <c r="O444" s="0" t="n">
        <v>36.29</v>
      </c>
      <c r="P444" s="0" t="n">
        <v>2.83</v>
      </c>
      <c r="Q444" s="0" t="n">
        <v>3.33</v>
      </c>
      <c r="R444" s="0" t="n">
        <v>4542</v>
      </c>
      <c r="S444" s="0" t="n">
        <v>10365</v>
      </c>
      <c r="T444" s="0" t="n">
        <v>47.8</v>
      </c>
      <c r="U444" s="0" t="n">
        <v>1841</v>
      </c>
      <c r="V444" s="0" t="n">
        <v>6</v>
      </c>
      <c r="W444" s="0" t="str">
        <f aca="false">IF(OR(AND(B444&gt;=1,B444&lt;=6),B444=10),"Vaca em lactação",IF(I444="Male","Macho",IF(E444&gt;=1,"Vaca seca",IF(I444="Youngstock","Bezerra/recria","Novilha"))))</f>
        <v>Vaca em lactação</v>
      </c>
      <c r="X444" s="0" t="str">
        <f aca="false">IF(AND(B444&gt;=1,B444&lt;=6),"Tanque",IF(B444=10,"Descarte",""))</f>
        <v>Tanque</v>
      </c>
    </row>
    <row r="445" customFormat="false" ht="15" hidden="false" customHeight="false" outlineLevel="0" collapsed="false">
      <c r="A445" s="22" t="n">
        <v>46309</v>
      </c>
      <c r="B445" s="0" t="n">
        <v>3</v>
      </c>
      <c r="C445" s="0" t="n">
        <v>3998</v>
      </c>
      <c r="D445" s="0" t="n">
        <v>157</v>
      </c>
      <c r="E445" s="0" t="n">
        <v>3</v>
      </c>
      <c r="F445" s="23" t="s">
        <v>238</v>
      </c>
      <c r="G445" s="0" t="n">
        <v>63.1</v>
      </c>
      <c r="H445" s="0" t="n">
        <v>62</v>
      </c>
      <c r="I445" s="23" t="s">
        <v>92</v>
      </c>
      <c r="J445" s="0" t="n">
        <v>67</v>
      </c>
      <c r="K445" s="0" t="n">
        <v>74</v>
      </c>
      <c r="L445" s="0" t="n">
        <v>90</v>
      </c>
      <c r="M445" s="0" t="n">
        <v>764.8</v>
      </c>
      <c r="N445" s="0" t="n">
        <v>20.04</v>
      </c>
      <c r="O445" s="0" t="n">
        <v>17.71</v>
      </c>
      <c r="P445" s="0" t="n">
        <v>1.86</v>
      </c>
      <c r="Q445" s="0" t="n">
        <v>3.1</v>
      </c>
      <c r="R445" s="0" t="n">
        <v>6086</v>
      </c>
      <c r="S445" s="0" t="n">
        <v>12595</v>
      </c>
      <c r="T445" s="0" t="n">
        <v>68.05</v>
      </c>
      <c r="U445" s="0" t="n">
        <v>1615</v>
      </c>
      <c r="V445" s="0" t="n">
        <v>1</v>
      </c>
      <c r="W445" s="0" t="str">
        <f aca="false">IF(OR(AND(B445&gt;=1,B445&lt;=6),B445=10),"Vaca em lactação",IF(I445="Male","Macho",IF(E445&gt;=1,"Vaca seca",IF(I445="Youngstock","Bezerra/recria","Novilha"))))</f>
        <v>Vaca em lactação</v>
      </c>
      <c r="X445" s="0" t="str">
        <f aca="false">IF(AND(B445&gt;=1,B445&lt;=6),"Tanque",IF(B445=10,"Descarte",""))</f>
        <v>Tanque</v>
      </c>
    </row>
    <row r="446" customFormat="false" ht="15" hidden="false" customHeight="false" outlineLevel="0" collapsed="false">
      <c r="A446" s="22" t="n">
        <v>46309</v>
      </c>
      <c r="B446" s="0" t="n">
        <v>3</v>
      </c>
      <c r="C446" s="0" t="n">
        <v>4015</v>
      </c>
      <c r="D446" s="0" t="n">
        <v>126</v>
      </c>
      <c r="E446" s="0" t="n">
        <v>3</v>
      </c>
      <c r="F446" s="23" t="s">
        <v>242</v>
      </c>
      <c r="G446" s="0" t="n">
        <v>70.9</v>
      </c>
      <c r="H446" s="0" t="n">
        <v>69</v>
      </c>
      <c r="I446" s="23" t="s">
        <v>92</v>
      </c>
      <c r="J446" s="0" t="n">
        <v>91</v>
      </c>
      <c r="K446" s="0" t="n">
        <v>63</v>
      </c>
      <c r="L446" s="0" t="n">
        <v>35</v>
      </c>
      <c r="M446" s="0" t="n">
        <v>626.13</v>
      </c>
      <c r="N446" s="0" t="n">
        <v>41.57</v>
      </c>
      <c r="O446" s="0" t="n">
        <v>32.46</v>
      </c>
      <c r="P446" s="0" t="n">
        <v>3.96</v>
      </c>
      <c r="Q446" s="0" t="n">
        <v>3.02</v>
      </c>
      <c r="R446" s="0" t="n">
        <v>6688</v>
      </c>
      <c r="S446" s="0" t="n">
        <v>13701</v>
      </c>
      <c r="T446" s="0" t="n">
        <v>68.8</v>
      </c>
      <c r="U446" s="0" t="n">
        <v>1605</v>
      </c>
      <c r="V446" s="0" t="n">
        <v>3</v>
      </c>
      <c r="W446" s="0" t="str">
        <f aca="false">IF(OR(AND(B446&gt;=1,B446&lt;=6),B446=10),"Vaca em lactação",IF(I446="Male","Macho",IF(E446&gt;=1,"Vaca seca",IF(I446="Youngstock","Bezerra/recria","Novilha"))))</f>
        <v>Vaca em lactação</v>
      </c>
      <c r="X446" s="0" t="str">
        <f aca="false">IF(AND(B446&gt;=1,B446&lt;=6),"Tanque",IF(B446=10,"Descarte",""))</f>
        <v>Tanque</v>
      </c>
    </row>
    <row r="447" customFormat="false" ht="15" hidden="false" customHeight="false" outlineLevel="0" collapsed="false">
      <c r="A447" s="22" t="n">
        <v>46309</v>
      </c>
      <c r="B447" s="0" t="n">
        <v>3</v>
      </c>
      <c r="C447" s="0" t="n">
        <v>3958</v>
      </c>
      <c r="D447" s="0" t="n">
        <v>6</v>
      </c>
      <c r="E447" s="0" t="n">
        <v>3</v>
      </c>
      <c r="F447" s="23" t="s">
        <v>418</v>
      </c>
      <c r="G447" s="0" t="n">
        <v>36.3</v>
      </c>
      <c r="H447" s="0" t="n">
        <v>25</v>
      </c>
      <c r="I447" s="23" t="s">
        <v>94</v>
      </c>
      <c r="J447" s="0" t="n">
        <v>6</v>
      </c>
      <c r="M447" s="0" t="n">
        <v>1113.11</v>
      </c>
      <c r="N447" s="0" t="n">
        <v>42.5</v>
      </c>
      <c r="O447" s="0" t="n">
        <v>33.01</v>
      </c>
      <c r="R447" s="0" t="n">
        <v>1997</v>
      </c>
      <c r="S447" s="0" t="n">
        <v>4015</v>
      </c>
      <c r="U447" s="0" t="n">
        <v>1647</v>
      </c>
      <c r="V447" s="0" t="n">
        <v>0</v>
      </c>
      <c r="W447" s="0" t="str">
        <f aca="false">IF(OR(AND(B447&gt;=1,B447&lt;=6),B447=10),"Vaca em lactação",IF(I447="Male","Macho",IF(E447&gt;=1,"Vaca seca",IF(I447="Youngstock","Bezerra/recria","Novilha"))))</f>
        <v>Vaca em lactação</v>
      </c>
      <c r="X447" s="0" t="str">
        <f aca="false">IF(AND(B447&gt;=1,B447&lt;=6),"Tanque",IF(B447=10,"Descarte",""))</f>
        <v>Tanque</v>
      </c>
    </row>
    <row r="448" customFormat="false" ht="15" hidden="false" customHeight="false" outlineLevel="0" collapsed="false">
      <c r="A448" s="22" t="n">
        <v>46309</v>
      </c>
      <c r="B448" s="0" t="n">
        <v>3</v>
      </c>
      <c r="C448" s="0" t="n">
        <v>3974</v>
      </c>
      <c r="D448" s="0" t="n">
        <v>219</v>
      </c>
      <c r="E448" s="0" t="n">
        <v>3</v>
      </c>
      <c r="F448" s="23" t="s">
        <v>419</v>
      </c>
      <c r="I448" s="23" t="s">
        <v>92</v>
      </c>
      <c r="J448" s="0" t="n">
        <v>135</v>
      </c>
      <c r="K448" s="0" t="n">
        <v>65</v>
      </c>
      <c r="L448" s="0" t="n">
        <v>84</v>
      </c>
      <c r="M448" s="0" t="n">
        <v>690.94</v>
      </c>
      <c r="N448" s="0" t="n">
        <v>43.19</v>
      </c>
      <c r="O448" s="0" t="n">
        <v>30.11</v>
      </c>
      <c r="P448" s="0" t="n">
        <v>4.09</v>
      </c>
      <c r="Q448" s="0" t="n">
        <v>3.63</v>
      </c>
      <c r="R448" s="0" t="n">
        <v>4623</v>
      </c>
      <c r="S448" s="0" t="n">
        <v>10038</v>
      </c>
      <c r="T448" s="0" t="n">
        <v>53.9</v>
      </c>
      <c r="U448" s="0" t="n">
        <v>1638</v>
      </c>
      <c r="V448" s="0" t="n">
        <v>3</v>
      </c>
      <c r="W448" s="0" t="str">
        <f aca="false">IF(OR(AND(B448&gt;=1,B448&lt;=6),B448=10),"Vaca em lactação",IF(I448="Male","Macho",IF(E448&gt;=1,"Vaca seca",IF(I448="Youngstock","Bezerra/recria","Novilha"))))</f>
        <v>Vaca em lactação</v>
      </c>
      <c r="X448" s="0" t="str">
        <f aca="false">IF(AND(B448&gt;=1,B448&lt;=6),"Tanque",IF(B448=10,"Descarte",""))</f>
        <v>Tanque</v>
      </c>
    </row>
    <row r="449" customFormat="false" ht="15" hidden="false" customHeight="false" outlineLevel="0" collapsed="false">
      <c r="A449" s="22" t="n">
        <v>46309</v>
      </c>
      <c r="B449" s="0" t="n">
        <v>3</v>
      </c>
      <c r="C449" s="0" t="n">
        <v>3986</v>
      </c>
      <c r="D449" s="0" t="n">
        <v>100</v>
      </c>
      <c r="E449" s="0" t="n">
        <v>3</v>
      </c>
      <c r="F449" s="23" t="s">
        <v>420</v>
      </c>
      <c r="G449" s="0" t="n">
        <v>69.4</v>
      </c>
      <c r="H449" s="0" t="n">
        <v>67</v>
      </c>
      <c r="I449" s="23" t="s">
        <v>92</v>
      </c>
      <c r="J449" s="0" t="n">
        <v>65</v>
      </c>
      <c r="K449" s="0" t="n">
        <v>65</v>
      </c>
      <c r="L449" s="0" t="n">
        <v>35</v>
      </c>
      <c r="M449" s="0" t="n">
        <v>520.46</v>
      </c>
      <c r="N449" s="0" t="n">
        <v>65.09</v>
      </c>
      <c r="O449" s="0" t="n">
        <v>32.11</v>
      </c>
      <c r="P449" s="0" t="n">
        <v>3.19</v>
      </c>
      <c r="Q449" s="0" t="n">
        <v>3.25</v>
      </c>
      <c r="R449" s="0" t="n">
        <v>5621</v>
      </c>
      <c r="S449" s="0" t="n">
        <v>11298</v>
      </c>
      <c r="T449" s="0" t="n">
        <v>62.75</v>
      </c>
      <c r="U449" s="0" t="n">
        <v>1627</v>
      </c>
      <c r="V449" s="0" t="n">
        <v>1</v>
      </c>
      <c r="W449" s="0" t="str">
        <f aca="false">IF(OR(AND(B449&gt;=1,B449&lt;=6),B449=10),"Vaca em lactação",IF(I449="Male","Macho",IF(E449&gt;=1,"Vaca seca",IF(I449="Youngstock","Bezerra/recria","Novilha"))))</f>
        <v>Vaca em lactação</v>
      </c>
      <c r="X449" s="0" t="str">
        <f aca="false">IF(AND(B449&gt;=1,B449&lt;=6),"Tanque",IF(B449=10,"Descarte",""))</f>
        <v>Tanque</v>
      </c>
    </row>
    <row r="450" customFormat="false" ht="15" hidden="false" customHeight="false" outlineLevel="0" collapsed="false">
      <c r="A450" s="22" t="n">
        <v>46309</v>
      </c>
      <c r="B450" s="0" t="n">
        <v>3</v>
      </c>
      <c r="C450" s="0" t="n">
        <v>3983</v>
      </c>
      <c r="D450" s="0" t="n">
        <v>52</v>
      </c>
      <c r="E450" s="0" t="n">
        <v>3</v>
      </c>
      <c r="F450" s="23" t="s">
        <v>421</v>
      </c>
      <c r="G450" s="0" t="n">
        <v>75.9</v>
      </c>
      <c r="H450" s="0" t="n">
        <v>77</v>
      </c>
      <c r="I450" s="23" t="s">
        <v>94</v>
      </c>
      <c r="J450" s="0" t="n">
        <v>52</v>
      </c>
      <c r="M450" s="0" t="n">
        <v>1358.08</v>
      </c>
      <c r="N450" s="0" t="n">
        <v>33.85</v>
      </c>
      <c r="O450" s="0" t="n">
        <v>36.83</v>
      </c>
      <c r="P450" s="0" t="n">
        <v>3.29</v>
      </c>
      <c r="Q450" s="0" t="n">
        <v>3.11</v>
      </c>
      <c r="R450" s="0" t="n">
        <v>6381</v>
      </c>
      <c r="S450" s="0" t="n">
        <v>12826</v>
      </c>
      <c r="U450" s="0" t="n">
        <v>1630</v>
      </c>
      <c r="V450" s="0" t="n">
        <v>0</v>
      </c>
      <c r="W450" s="0" t="str">
        <f aca="false">IF(OR(AND(B450&gt;=1,B450&lt;=6),B450=10),"Vaca em lactação",IF(I450="Male","Macho",IF(E450&gt;=1,"Vaca seca",IF(I450="Youngstock","Bezerra/recria","Novilha"))))</f>
        <v>Vaca em lactação</v>
      </c>
      <c r="X450" s="0" t="str">
        <f aca="false">IF(AND(B450&gt;=1,B450&lt;=6),"Tanque",IF(B450=10,"Descarte",""))</f>
        <v>Tanque</v>
      </c>
    </row>
    <row r="451" customFormat="false" ht="15" hidden="false" customHeight="false" outlineLevel="0" collapsed="false">
      <c r="A451" s="22" t="n">
        <v>46309</v>
      </c>
      <c r="B451" s="0" t="n">
        <v>3</v>
      </c>
      <c r="C451" s="0" t="n">
        <v>4078</v>
      </c>
      <c r="D451" s="0" t="n">
        <v>154</v>
      </c>
      <c r="E451" s="0" t="n">
        <v>3</v>
      </c>
      <c r="F451" s="23" t="s">
        <v>422</v>
      </c>
      <c r="G451" s="0" t="n">
        <v>59.1</v>
      </c>
      <c r="H451" s="0" t="n">
        <v>59</v>
      </c>
      <c r="I451" s="23" t="s">
        <v>109</v>
      </c>
      <c r="J451" s="0" t="n">
        <v>154</v>
      </c>
      <c r="K451" s="0" t="n">
        <v>63</v>
      </c>
      <c r="M451" s="0" t="n">
        <v>420.55</v>
      </c>
      <c r="N451" s="0" t="n">
        <v>47.43</v>
      </c>
      <c r="O451" s="0" t="n">
        <v>28.37</v>
      </c>
      <c r="P451" s="0" t="n">
        <v>2.1</v>
      </c>
      <c r="Q451" s="0" t="n">
        <v>3.16</v>
      </c>
      <c r="R451" s="0" t="n">
        <v>5766</v>
      </c>
      <c r="S451" s="0" t="n">
        <v>11935</v>
      </c>
      <c r="T451" s="0" t="n">
        <v>62.7</v>
      </c>
      <c r="U451" s="0" t="n">
        <v>1561</v>
      </c>
      <c r="V451" s="0" t="n">
        <v>3</v>
      </c>
      <c r="W451" s="0" t="str">
        <f aca="false">IF(OR(AND(B451&gt;=1,B451&lt;=6),B451=10),"Vaca em lactação",IF(I451="Male","Macho",IF(E451&gt;=1,"Vaca seca",IF(I451="Youngstock","Bezerra/recria","Novilha"))))</f>
        <v>Vaca em lactação</v>
      </c>
      <c r="X451" s="0" t="str">
        <f aca="false">IF(AND(B451&gt;=1,B451&lt;=6),"Tanque",IF(B451=10,"Descarte",""))</f>
        <v>Tanque</v>
      </c>
    </row>
    <row r="452" customFormat="false" ht="15" hidden="false" customHeight="false" outlineLevel="0" collapsed="false">
      <c r="A452" s="22" t="n">
        <v>46309</v>
      </c>
      <c r="B452" s="0" t="n">
        <v>3</v>
      </c>
      <c r="C452" s="0" t="n">
        <v>4091</v>
      </c>
      <c r="D452" s="0" t="n">
        <v>121</v>
      </c>
      <c r="E452" s="0" t="n">
        <v>3</v>
      </c>
      <c r="F452" s="23" t="s">
        <v>423</v>
      </c>
      <c r="G452" s="0" t="n">
        <v>57.7</v>
      </c>
      <c r="H452" s="0" t="n">
        <v>57</v>
      </c>
      <c r="I452" s="23" t="s">
        <v>97</v>
      </c>
      <c r="J452" s="0" t="n">
        <v>121</v>
      </c>
      <c r="K452" s="0" t="n">
        <v>65</v>
      </c>
      <c r="M452" s="0" t="n">
        <v>431.97</v>
      </c>
      <c r="N452" s="0" t="n">
        <v>27.71</v>
      </c>
      <c r="O452" s="0" t="n">
        <v>14.54</v>
      </c>
      <c r="P452" s="0" t="n">
        <v>3.1</v>
      </c>
      <c r="Q452" s="0" t="n">
        <v>3.03</v>
      </c>
      <c r="R452" s="0" t="n">
        <v>5420</v>
      </c>
      <c r="S452" s="0" t="n">
        <v>10967</v>
      </c>
      <c r="T452" s="0" t="n">
        <v>58.55</v>
      </c>
      <c r="U452" s="0" t="n">
        <v>1554</v>
      </c>
      <c r="V452" s="0" t="n">
        <v>2</v>
      </c>
      <c r="W452" s="0" t="str">
        <f aca="false">IF(OR(AND(B452&gt;=1,B452&lt;=6),B452=10),"Vaca em lactação",IF(I452="Male","Macho",IF(E452&gt;=1,"Vaca seca",IF(I452="Youngstock","Bezerra/recria","Novilha"))))</f>
        <v>Vaca em lactação</v>
      </c>
      <c r="X452" s="0" t="str">
        <f aca="false">IF(AND(B452&gt;=1,B452&lt;=6),"Tanque",IF(B452=10,"Descarte",""))</f>
        <v>Tanque</v>
      </c>
    </row>
    <row r="453" customFormat="false" ht="15" hidden="false" customHeight="false" outlineLevel="0" collapsed="false">
      <c r="A453" s="22" t="n">
        <v>46309</v>
      </c>
      <c r="B453" s="0" t="n">
        <v>3</v>
      </c>
      <c r="C453" s="0" t="n">
        <v>4090</v>
      </c>
      <c r="D453" s="0" t="n">
        <v>48</v>
      </c>
      <c r="E453" s="0" t="n">
        <v>3</v>
      </c>
      <c r="F453" s="23" t="s">
        <v>424</v>
      </c>
      <c r="G453" s="0" t="n">
        <v>58.5</v>
      </c>
      <c r="H453" s="0" t="n">
        <v>58</v>
      </c>
      <c r="I453" s="23" t="s">
        <v>94</v>
      </c>
      <c r="J453" s="0" t="n">
        <v>48</v>
      </c>
      <c r="M453" s="0" t="n">
        <v>561.78</v>
      </c>
      <c r="N453" s="0" t="n">
        <v>49.53</v>
      </c>
      <c r="O453" s="0" t="n">
        <v>37.1</v>
      </c>
      <c r="P453" s="0" t="n">
        <v>3.29</v>
      </c>
      <c r="Q453" s="0" t="n">
        <v>3.59</v>
      </c>
      <c r="R453" s="0" t="n">
        <v>4900</v>
      </c>
      <c r="S453" s="0" t="n">
        <v>9851</v>
      </c>
      <c r="U453" s="0" t="n">
        <v>1555</v>
      </c>
      <c r="V453" s="0" t="n">
        <v>0</v>
      </c>
      <c r="W453" s="0" t="str">
        <f aca="false">IF(OR(AND(B453&gt;=1,B453&lt;=6),B453=10),"Vaca em lactação",IF(I453="Male","Macho",IF(E453&gt;=1,"Vaca seca",IF(I453="Youngstock","Bezerra/recria","Novilha"))))</f>
        <v>Vaca em lactação</v>
      </c>
      <c r="X453" s="0" t="str">
        <f aca="false">IF(AND(B453&gt;=1,B453&lt;=6),"Tanque",IF(B453=10,"Descarte",""))</f>
        <v>Tanque</v>
      </c>
    </row>
    <row r="454" customFormat="false" ht="15" hidden="false" customHeight="false" outlineLevel="0" collapsed="false">
      <c r="A454" s="22" t="n">
        <v>46309</v>
      </c>
      <c r="B454" s="0" t="n">
        <v>3</v>
      </c>
      <c r="C454" s="0" t="n">
        <v>4085</v>
      </c>
      <c r="D454" s="0" t="n">
        <v>46</v>
      </c>
      <c r="E454" s="0" t="n">
        <v>3</v>
      </c>
      <c r="F454" s="23" t="s">
        <v>247</v>
      </c>
      <c r="G454" s="0" t="n">
        <v>62.2</v>
      </c>
      <c r="H454" s="0" t="n">
        <v>58</v>
      </c>
      <c r="I454" s="23" t="s">
        <v>94</v>
      </c>
      <c r="J454" s="0" t="n">
        <v>46</v>
      </c>
      <c r="M454" s="0" t="n">
        <v>225.7</v>
      </c>
      <c r="N454" s="0" t="n">
        <v>43.09</v>
      </c>
      <c r="O454" s="0" t="n">
        <v>28.59</v>
      </c>
      <c r="P454" s="0" t="n">
        <v>5.8</v>
      </c>
      <c r="Q454" s="0" t="n">
        <v>3.72</v>
      </c>
      <c r="R454" s="0" t="n">
        <v>4622</v>
      </c>
      <c r="S454" s="0" t="n">
        <v>9291</v>
      </c>
      <c r="U454" s="0" t="n">
        <v>1557</v>
      </c>
      <c r="V454" s="0" t="n">
        <v>0</v>
      </c>
      <c r="W454" s="0" t="str">
        <f aca="false">IF(OR(AND(B454&gt;=1,B454&lt;=6),B454=10),"Vaca em lactação",IF(I454="Male","Macho",IF(E454&gt;=1,"Vaca seca",IF(I454="Youngstock","Bezerra/recria","Novilha"))))</f>
        <v>Vaca em lactação</v>
      </c>
      <c r="X454" s="0" t="str">
        <f aca="false">IF(AND(B454&gt;=1,B454&lt;=6),"Tanque",IF(B454=10,"Descarte",""))</f>
        <v>Tanque</v>
      </c>
    </row>
    <row r="455" customFormat="false" ht="15" hidden="false" customHeight="false" outlineLevel="0" collapsed="false">
      <c r="A455" s="22" t="n">
        <v>46309</v>
      </c>
      <c r="B455" s="0" t="n">
        <v>3</v>
      </c>
      <c r="C455" s="0" t="n">
        <v>4031</v>
      </c>
      <c r="D455" s="0" t="n">
        <v>161</v>
      </c>
      <c r="E455" s="0" t="n">
        <v>3</v>
      </c>
      <c r="F455" s="23" t="s">
        <v>248</v>
      </c>
      <c r="G455" s="0" t="n">
        <v>48.1</v>
      </c>
      <c r="H455" s="0" t="n">
        <v>55</v>
      </c>
      <c r="I455" s="23" t="s">
        <v>97</v>
      </c>
      <c r="J455" s="0" t="n">
        <v>161</v>
      </c>
      <c r="K455" s="0" t="n">
        <v>63</v>
      </c>
      <c r="M455" s="0" t="n">
        <v>-16.31</v>
      </c>
      <c r="N455" s="0" t="n">
        <v>30.73</v>
      </c>
      <c r="O455" s="0" t="n">
        <v>13.08</v>
      </c>
      <c r="P455" s="0" t="n">
        <v>5.75</v>
      </c>
      <c r="Q455" s="0" t="n">
        <v>3.53</v>
      </c>
      <c r="R455" s="0" t="n">
        <v>4955</v>
      </c>
      <c r="S455" s="0" t="n">
        <v>10508</v>
      </c>
      <c r="T455" s="0" t="n">
        <v>51.9</v>
      </c>
      <c r="U455" s="0" t="n">
        <v>1595</v>
      </c>
      <c r="V455" s="0" t="n">
        <v>3</v>
      </c>
      <c r="W455" s="0" t="str">
        <f aca="false">IF(OR(AND(B455&gt;=1,B455&lt;=6),B455=10),"Vaca em lactação",IF(I455="Male","Macho",IF(E455&gt;=1,"Vaca seca",IF(I455="Youngstock","Bezerra/recria","Novilha"))))</f>
        <v>Vaca em lactação</v>
      </c>
      <c r="X455" s="0" t="str">
        <f aca="false">IF(AND(B455&gt;=1,B455&lt;=6),"Tanque",IF(B455=10,"Descarte",""))</f>
        <v>Tanque</v>
      </c>
    </row>
    <row r="456" customFormat="false" ht="15" hidden="false" customHeight="false" outlineLevel="0" collapsed="false">
      <c r="A456" s="22" t="n">
        <v>46309</v>
      </c>
      <c r="B456" s="0" t="n">
        <v>3</v>
      </c>
      <c r="C456" s="0" t="n">
        <v>4047</v>
      </c>
      <c r="D456" s="0" t="n">
        <v>108</v>
      </c>
      <c r="E456" s="0" t="n">
        <v>3</v>
      </c>
      <c r="F456" s="23" t="s">
        <v>249</v>
      </c>
      <c r="G456" s="0" t="n">
        <v>48.5</v>
      </c>
      <c r="H456" s="0" t="n">
        <v>59</v>
      </c>
      <c r="I456" s="23" t="s">
        <v>92</v>
      </c>
      <c r="J456" s="0" t="n">
        <v>66</v>
      </c>
      <c r="K456" s="0" t="n">
        <v>66</v>
      </c>
      <c r="L456" s="0" t="n">
        <v>42</v>
      </c>
      <c r="M456" s="0" t="n">
        <v>776.75</v>
      </c>
      <c r="N456" s="0" t="n">
        <v>74.84</v>
      </c>
      <c r="O456" s="0" t="n">
        <v>28.9</v>
      </c>
      <c r="P456" s="0" t="n">
        <v>4.24</v>
      </c>
      <c r="Q456" s="0" t="n">
        <v>3.36</v>
      </c>
      <c r="R456" s="0" t="n">
        <v>4646</v>
      </c>
      <c r="S456" s="0" t="n">
        <v>9553</v>
      </c>
      <c r="T456" s="0" t="n">
        <v>50.45</v>
      </c>
      <c r="U456" s="0" t="n">
        <v>1578</v>
      </c>
      <c r="V456" s="0" t="n">
        <v>1</v>
      </c>
      <c r="W456" s="0" t="str">
        <f aca="false">IF(OR(AND(B456&gt;=1,B456&lt;=6),B456=10),"Vaca em lactação",IF(I456="Male","Macho",IF(E456&gt;=1,"Vaca seca",IF(I456="Youngstock","Bezerra/recria","Novilha"))))</f>
        <v>Vaca em lactação</v>
      </c>
      <c r="X456" s="0" t="str">
        <f aca="false">IF(AND(B456&gt;=1,B456&lt;=6),"Tanque",IF(B456=10,"Descarte",""))</f>
        <v>Tanque</v>
      </c>
    </row>
    <row r="457" customFormat="false" ht="15" hidden="false" customHeight="false" outlineLevel="0" collapsed="false">
      <c r="A457" s="22" t="n">
        <v>46309</v>
      </c>
      <c r="B457" s="0" t="n">
        <v>3</v>
      </c>
      <c r="C457" s="0" t="n">
        <v>4054</v>
      </c>
      <c r="D457" s="0" t="n">
        <v>137</v>
      </c>
      <c r="E457" s="0" t="n">
        <v>2</v>
      </c>
      <c r="F457" s="23" t="s">
        <v>425</v>
      </c>
      <c r="G457" s="0" t="n">
        <v>68.7</v>
      </c>
      <c r="H457" s="0" t="n">
        <v>66</v>
      </c>
      <c r="I457" s="23" t="s">
        <v>97</v>
      </c>
      <c r="J457" s="0" t="n">
        <v>137</v>
      </c>
      <c r="K457" s="0" t="n">
        <v>67</v>
      </c>
      <c r="M457" s="0" t="n">
        <v>1031.2</v>
      </c>
      <c r="N457" s="0" t="n">
        <v>60.53</v>
      </c>
      <c r="O457" s="0" t="n">
        <v>36.15</v>
      </c>
      <c r="P457" s="0" t="n">
        <v>3</v>
      </c>
      <c r="Q457" s="0" t="n">
        <v>3.15</v>
      </c>
      <c r="R457" s="0" t="n">
        <v>5959</v>
      </c>
      <c r="S457" s="0" t="n">
        <v>12373</v>
      </c>
      <c r="T457" s="0" t="n">
        <v>64.8</v>
      </c>
      <c r="U457" s="0" t="n">
        <v>1573</v>
      </c>
      <c r="V457" s="0" t="n">
        <v>2</v>
      </c>
      <c r="W457" s="0" t="str">
        <f aca="false">IF(OR(AND(B457&gt;=1,B457&lt;=6),B457=10),"Vaca em lactação",IF(I457="Male","Macho",IF(E457&gt;=1,"Vaca seca",IF(I457="Youngstock","Bezerra/recria","Novilha"))))</f>
        <v>Vaca em lactação</v>
      </c>
      <c r="X457" s="0" t="str">
        <f aca="false">IF(AND(B457&gt;=1,B457&lt;=6),"Tanque",IF(B457=10,"Descarte",""))</f>
        <v>Tanque</v>
      </c>
    </row>
    <row r="458" customFormat="false" ht="15" hidden="false" customHeight="false" outlineLevel="0" collapsed="false">
      <c r="A458" s="22" t="n">
        <v>46309</v>
      </c>
      <c r="B458" s="0" t="n">
        <v>3</v>
      </c>
      <c r="C458" s="0" t="n">
        <v>3879</v>
      </c>
      <c r="D458" s="0" t="n">
        <v>122</v>
      </c>
      <c r="E458" s="0" t="n">
        <v>3</v>
      </c>
      <c r="F458" s="23" t="s">
        <v>250</v>
      </c>
      <c r="G458" s="0" t="n">
        <v>59.6</v>
      </c>
      <c r="H458" s="0" t="n">
        <v>60</v>
      </c>
      <c r="I458" s="23" t="s">
        <v>97</v>
      </c>
      <c r="J458" s="0" t="n">
        <v>122</v>
      </c>
      <c r="K458" s="0" t="n">
        <v>80</v>
      </c>
      <c r="M458" s="0" t="n">
        <v>830.4</v>
      </c>
      <c r="N458" s="0" t="n">
        <v>26.92</v>
      </c>
      <c r="O458" s="0" t="n">
        <v>30.33</v>
      </c>
      <c r="P458" s="0" t="n">
        <v>2.99</v>
      </c>
      <c r="Q458" s="0" t="n">
        <v>3.25</v>
      </c>
      <c r="R458" s="0" t="n">
        <v>6469</v>
      </c>
      <c r="S458" s="0" t="n">
        <v>12935</v>
      </c>
      <c r="T458" s="0" t="n">
        <v>71.45</v>
      </c>
      <c r="U458" s="0" t="n">
        <v>1679</v>
      </c>
      <c r="V458" s="0" t="n">
        <v>2</v>
      </c>
      <c r="W458" s="0" t="str">
        <f aca="false">IF(OR(AND(B458&gt;=1,B458&lt;=6),B458=10),"Vaca em lactação",IF(I458="Male","Macho",IF(E458&gt;=1,"Vaca seca",IF(I458="Youngstock","Bezerra/recria","Novilha"))))</f>
        <v>Vaca em lactação</v>
      </c>
      <c r="X458" s="0" t="str">
        <f aca="false">IF(AND(B458&gt;=1,B458&lt;=6),"Tanque",IF(B458=10,"Descarte",""))</f>
        <v>Tanque</v>
      </c>
    </row>
    <row r="459" customFormat="false" ht="15" hidden="false" customHeight="false" outlineLevel="0" collapsed="false">
      <c r="A459" s="22" t="n">
        <v>46309</v>
      </c>
      <c r="B459" s="0" t="n">
        <v>3</v>
      </c>
      <c r="C459" s="0" t="n">
        <v>3885</v>
      </c>
      <c r="D459" s="0" t="n">
        <v>141</v>
      </c>
      <c r="E459" s="0" t="n">
        <v>3</v>
      </c>
      <c r="F459" s="23" t="s">
        <v>426</v>
      </c>
      <c r="G459" s="0" t="n">
        <v>58.4</v>
      </c>
      <c r="H459" s="0" t="n">
        <v>55</v>
      </c>
      <c r="I459" s="23" t="s">
        <v>97</v>
      </c>
      <c r="J459" s="0" t="n">
        <v>141</v>
      </c>
      <c r="K459" s="0" t="n">
        <v>64</v>
      </c>
      <c r="M459" s="0" t="n">
        <v>638.2</v>
      </c>
      <c r="N459" s="0" t="n">
        <v>31.54</v>
      </c>
      <c r="O459" s="0" t="n">
        <v>23.05</v>
      </c>
      <c r="P459" s="0" t="n">
        <v>4.28</v>
      </c>
      <c r="Q459" s="0" t="n">
        <v>3.19</v>
      </c>
      <c r="R459" s="0" t="n">
        <v>6249</v>
      </c>
      <c r="S459" s="0" t="n">
        <v>12346</v>
      </c>
      <c r="T459" s="0" t="n">
        <v>65.35</v>
      </c>
      <c r="U459" s="0" t="n">
        <v>1677</v>
      </c>
      <c r="V459" s="0" t="n">
        <v>3</v>
      </c>
      <c r="W459" s="0" t="str">
        <f aca="false">IF(OR(AND(B459&gt;=1,B459&lt;=6),B459=10),"Vaca em lactação",IF(I459="Male","Macho",IF(E459&gt;=1,"Vaca seca",IF(I459="Youngstock","Bezerra/recria","Novilha"))))</f>
        <v>Vaca em lactação</v>
      </c>
      <c r="X459" s="0" t="str">
        <f aca="false">IF(AND(B459&gt;=1,B459&lt;=6),"Tanque",IF(B459=10,"Descarte",""))</f>
        <v>Tanque</v>
      </c>
    </row>
    <row r="460" customFormat="false" ht="15" hidden="false" customHeight="false" outlineLevel="0" collapsed="false">
      <c r="A460" s="22" t="n">
        <v>46309</v>
      </c>
      <c r="B460" s="0" t="n">
        <v>3</v>
      </c>
      <c r="C460" s="0" t="n">
        <v>3838</v>
      </c>
      <c r="D460" s="0" t="n">
        <v>7</v>
      </c>
      <c r="E460" s="0" t="n">
        <v>4</v>
      </c>
      <c r="F460" s="23" t="s">
        <v>427</v>
      </c>
      <c r="I460" s="23" t="s">
        <v>94</v>
      </c>
      <c r="J460" s="0" t="n">
        <v>7</v>
      </c>
      <c r="M460" s="0" t="n">
        <v>511.24</v>
      </c>
      <c r="N460" s="0" t="n">
        <v>48</v>
      </c>
      <c r="O460" s="0" t="n">
        <v>19.31</v>
      </c>
      <c r="U460" s="0" t="n">
        <v>1700</v>
      </c>
      <c r="V460" s="0" t="n">
        <v>0</v>
      </c>
      <c r="W460" s="0" t="str">
        <f aca="false">IF(OR(AND(B460&gt;=1,B460&lt;=6),B460=10),"Vaca em lactação",IF(I460="Male","Macho",IF(E460&gt;=1,"Vaca seca",IF(I460="Youngstock","Bezerra/recria","Novilha"))))</f>
        <v>Vaca em lactação</v>
      </c>
      <c r="X460" s="0" t="str">
        <f aca="false">IF(AND(B460&gt;=1,B460&lt;=6),"Tanque",IF(B460=10,"Descarte",""))</f>
        <v>Tanque</v>
      </c>
    </row>
    <row r="461" customFormat="false" ht="15" hidden="false" customHeight="false" outlineLevel="0" collapsed="false">
      <c r="A461" s="22" t="n">
        <v>46309</v>
      </c>
      <c r="B461" s="0" t="n">
        <v>3</v>
      </c>
      <c r="C461" s="0" t="n">
        <v>3856</v>
      </c>
      <c r="D461" s="0" t="n">
        <v>234</v>
      </c>
      <c r="E461" s="0" t="n">
        <v>3</v>
      </c>
      <c r="F461" s="23" t="s">
        <v>428</v>
      </c>
      <c r="G461" s="0" t="n">
        <v>60.3</v>
      </c>
      <c r="H461" s="0" t="n">
        <v>58</v>
      </c>
      <c r="I461" s="23" t="s">
        <v>97</v>
      </c>
      <c r="J461" s="0" t="n">
        <v>234</v>
      </c>
      <c r="K461" s="0" t="n">
        <v>66</v>
      </c>
      <c r="M461" s="0" t="n">
        <v>744.8</v>
      </c>
      <c r="N461" s="0" t="n">
        <v>60.89</v>
      </c>
      <c r="O461" s="0" t="n">
        <v>27.78</v>
      </c>
      <c r="P461" s="0" t="n">
        <v>3.19</v>
      </c>
      <c r="Q461" s="0" t="n">
        <v>3.16</v>
      </c>
      <c r="R461" s="0" t="n">
        <v>5982</v>
      </c>
      <c r="S461" s="0" t="n">
        <v>12606</v>
      </c>
      <c r="T461" s="0" t="n">
        <v>72.15</v>
      </c>
      <c r="U461" s="0" t="n">
        <v>1690</v>
      </c>
      <c r="V461" s="0" t="n">
        <v>5</v>
      </c>
      <c r="W461" s="0" t="str">
        <f aca="false">IF(OR(AND(B461&gt;=1,B461&lt;=6),B461=10),"Vaca em lactação",IF(I461="Male","Macho",IF(E461&gt;=1,"Vaca seca",IF(I461="Youngstock","Bezerra/recria","Novilha"))))</f>
        <v>Vaca em lactação</v>
      </c>
      <c r="X461" s="0" t="str">
        <f aca="false">IF(AND(B461&gt;=1,B461&lt;=6),"Tanque",IF(B461=10,"Descarte",""))</f>
        <v>Tanque</v>
      </c>
    </row>
    <row r="462" customFormat="false" ht="15" hidden="false" customHeight="false" outlineLevel="0" collapsed="false">
      <c r="A462" s="22" t="n">
        <v>46309</v>
      </c>
      <c r="B462" s="0" t="n">
        <v>3</v>
      </c>
      <c r="C462" s="0" t="n">
        <v>3853</v>
      </c>
      <c r="D462" s="0" t="n">
        <v>179</v>
      </c>
      <c r="E462" s="0" t="n">
        <v>3</v>
      </c>
      <c r="F462" s="23" t="s">
        <v>429</v>
      </c>
      <c r="G462" s="0" t="n">
        <v>53.3</v>
      </c>
      <c r="H462" s="0" t="n">
        <v>52</v>
      </c>
      <c r="I462" s="23" t="s">
        <v>92</v>
      </c>
      <c r="J462" s="0" t="n">
        <v>102</v>
      </c>
      <c r="K462" s="0" t="n">
        <v>67</v>
      </c>
      <c r="L462" s="0" t="n">
        <v>77</v>
      </c>
      <c r="M462" s="0" t="n">
        <v>1624.24</v>
      </c>
      <c r="N462" s="0" t="n">
        <v>23.7</v>
      </c>
      <c r="O462" s="0" t="n">
        <v>44.1</v>
      </c>
      <c r="P462" s="0" t="n">
        <v>3.47</v>
      </c>
      <c r="Q462" s="0" t="n">
        <v>3.56</v>
      </c>
      <c r="R462" s="0" t="n">
        <v>5268</v>
      </c>
      <c r="S462" s="0" t="n">
        <v>10539</v>
      </c>
      <c r="T462" s="0" t="n">
        <v>55.8</v>
      </c>
      <c r="U462" s="0" t="n">
        <v>1693</v>
      </c>
      <c r="V462" s="0" t="n">
        <v>2</v>
      </c>
      <c r="W462" s="0" t="str">
        <f aca="false">IF(OR(AND(B462&gt;=1,B462&lt;=6),B462=10),"Vaca em lactação",IF(I462="Male","Macho",IF(E462&gt;=1,"Vaca seca",IF(I462="Youngstock","Bezerra/recria","Novilha"))))</f>
        <v>Vaca em lactação</v>
      </c>
      <c r="X462" s="0" t="str">
        <f aca="false">IF(AND(B462&gt;=1,B462&lt;=6),"Tanque",IF(B462=10,"Descarte",""))</f>
        <v>Tanque</v>
      </c>
    </row>
    <row r="463" customFormat="false" ht="15" hidden="false" customHeight="false" outlineLevel="0" collapsed="false">
      <c r="A463" s="22" t="n">
        <v>46309</v>
      </c>
      <c r="B463" s="0" t="n">
        <v>3</v>
      </c>
      <c r="C463" s="0" t="n">
        <v>3928</v>
      </c>
      <c r="D463" s="0" t="n">
        <v>266</v>
      </c>
      <c r="E463" s="0" t="n">
        <v>3</v>
      </c>
      <c r="F463" s="23" t="s">
        <v>430</v>
      </c>
      <c r="G463" s="0" t="n">
        <v>54.5</v>
      </c>
      <c r="H463" s="0" t="n">
        <v>55</v>
      </c>
      <c r="I463" s="23" t="s">
        <v>92</v>
      </c>
      <c r="J463" s="0" t="n">
        <v>140</v>
      </c>
      <c r="K463" s="0" t="n">
        <v>63</v>
      </c>
      <c r="L463" s="0" t="n">
        <v>126</v>
      </c>
      <c r="M463" s="0" t="n">
        <v>873.45</v>
      </c>
      <c r="N463" s="0" t="n">
        <v>60.55</v>
      </c>
      <c r="O463" s="0" t="n">
        <v>24.33</v>
      </c>
      <c r="P463" s="0" t="n">
        <v>3.6</v>
      </c>
      <c r="Q463" s="0" t="n">
        <v>3.23</v>
      </c>
      <c r="R463" s="0" t="n">
        <v>5885</v>
      </c>
      <c r="S463" s="0" t="n">
        <v>12607</v>
      </c>
      <c r="T463" s="0" t="n">
        <v>64.2</v>
      </c>
      <c r="U463" s="0" t="n">
        <v>1658</v>
      </c>
      <c r="V463" s="0" t="n">
        <v>4</v>
      </c>
      <c r="W463" s="0" t="str">
        <f aca="false">IF(OR(AND(B463&gt;=1,B463&lt;=6),B463=10),"Vaca em lactação",IF(I463="Male","Macho",IF(E463&gt;=1,"Vaca seca",IF(I463="Youngstock","Bezerra/recria","Novilha"))))</f>
        <v>Vaca em lactação</v>
      </c>
      <c r="X463" s="0" t="str">
        <f aca="false">IF(AND(B463&gt;=1,B463&lt;=6),"Tanque",IF(B463=10,"Descarte",""))</f>
        <v>Tanque</v>
      </c>
    </row>
    <row r="464" customFormat="false" ht="15" hidden="false" customHeight="false" outlineLevel="0" collapsed="false">
      <c r="A464" s="22" t="n">
        <v>46309</v>
      </c>
      <c r="B464" s="0" t="n">
        <v>3</v>
      </c>
      <c r="C464" s="0" t="n">
        <v>3935</v>
      </c>
      <c r="D464" s="0" t="n">
        <v>183</v>
      </c>
      <c r="E464" s="0" t="n">
        <v>3</v>
      </c>
      <c r="F464" s="23" t="s">
        <v>431</v>
      </c>
      <c r="G464" s="0" t="n">
        <v>58.2</v>
      </c>
      <c r="H464" s="0" t="n">
        <v>59</v>
      </c>
      <c r="I464" s="23" t="s">
        <v>92</v>
      </c>
      <c r="J464" s="0" t="n">
        <v>64</v>
      </c>
      <c r="K464" s="0" t="n">
        <v>64</v>
      </c>
      <c r="L464" s="0" t="n">
        <v>119</v>
      </c>
      <c r="M464" s="0" t="n">
        <v>1097.7</v>
      </c>
      <c r="N464" s="0" t="n">
        <v>40.45</v>
      </c>
      <c r="O464" s="0" t="n">
        <v>37.43</v>
      </c>
      <c r="P464" s="0" t="n">
        <v>3.27</v>
      </c>
      <c r="Q464" s="0" t="n">
        <v>3.68</v>
      </c>
      <c r="R464" s="0" t="n">
        <v>7379</v>
      </c>
      <c r="S464" s="0" t="n">
        <v>14101</v>
      </c>
      <c r="T464" s="0" t="n">
        <v>78.25</v>
      </c>
      <c r="U464" s="0" t="n">
        <v>1654</v>
      </c>
      <c r="V464" s="0" t="n">
        <v>1</v>
      </c>
      <c r="W464" s="0" t="str">
        <f aca="false">IF(OR(AND(B464&gt;=1,B464&lt;=6),B464=10),"Vaca em lactação",IF(I464="Male","Macho",IF(E464&gt;=1,"Vaca seca",IF(I464="Youngstock","Bezerra/recria","Novilha"))))</f>
        <v>Vaca em lactação</v>
      </c>
      <c r="X464" s="0" t="str">
        <f aca="false">IF(AND(B464&gt;=1,B464&lt;=6),"Tanque",IF(B464=10,"Descarte",""))</f>
        <v>Tanque</v>
      </c>
    </row>
    <row r="465" customFormat="false" ht="15" hidden="false" customHeight="false" outlineLevel="0" collapsed="false">
      <c r="A465" s="22" t="n">
        <v>46309</v>
      </c>
      <c r="B465" s="0" t="n">
        <v>3</v>
      </c>
      <c r="C465" s="0" t="n">
        <v>3948</v>
      </c>
      <c r="D465" s="0" t="n">
        <v>31</v>
      </c>
      <c r="E465" s="0" t="n">
        <v>3</v>
      </c>
      <c r="F465" s="23" t="s">
        <v>432</v>
      </c>
      <c r="G465" s="0" t="n">
        <v>72.3</v>
      </c>
      <c r="H465" s="0" t="n">
        <v>69</v>
      </c>
      <c r="I465" s="23" t="s">
        <v>94</v>
      </c>
      <c r="J465" s="0" t="n">
        <v>31</v>
      </c>
      <c r="M465" s="0" t="n">
        <v>688.22</v>
      </c>
      <c r="N465" s="0" t="n">
        <v>70.85</v>
      </c>
      <c r="O465" s="0" t="n">
        <v>40.02</v>
      </c>
      <c r="P465" s="0" t="n">
        <v>5.69</v>
      </c>
      <c r="Q465" s="0" t="n">
        <v>4.14</v>
      </c>
      <c r="R465" s="0" t="n">
        <v>5191</v>
      </c>
      <c r="S465" s="0" t="n">
        <v>10436</v>
      </c>
      <c r="U465" s="0" t="n">
        <v>1649</v>
      </c>
      <c r="V465" s="0" t="n">
        <v>0</v>
      </c>
      <c r="W465" s="0" t="str">
        <f aca="false">IF(OR(AND(B465&gt;=1,B465&lt;=6),B465=10),"Vaca em lactação",IF(I465="Male","Macho",IF(E465&gt;=1,"Vaca seca",IF(I465="Youngstock","Bezerra/recria","Novilha"))))</f>
        <v>Vaca em lactação</v>
      </c>
      <c r="X465" s="0" t="str">
        <f aca="false">IF(AND(B465&gt;=1,B465&lt;=6),"Tanque",IF(B465=10,"Descarte",""))</f>
        <v>Tanque</v>
      </c>
    </row>
    <row r="466" customFormat="false" ht="15" hidden="false" customHeight="false" outlineLevel="0" collapsed="false">
      <c r="A466" s="22" t="n">
        <v>46309</v>
      </c>
      <c r="B466" s="0" t="n">
        <v>3</v>
      </c>
      <c r="C466" s="0" t="n">
        <v>3944</v>
      </c>
      <c r="D466" s="0" t="n">
        <v>346</v>
      </c>
      <c r="E466" s="0" t="n">
        <v>2</v>
      </c>
      <c r="F466" s="23" t="s">
        <v>433</v>
      </c>
      <c r="G466" s="0" t="n">
        <v>43.2</v>
      </c>
      <c r="H466" s="0" t="n">
        <v>46</v>
      </c>
      <c r="I466" s="23" t="s">
        <v>109</v>
      </c>
      <c r="J466" s="0" t="n">
        <v>346</v>
      </c>
      <c r="K466" s="0" t="n">
        <v>67</v>
      </c>
      <c r="M466" s="0" t="n">
        <v>1511.66</v>
      </c>
      <c r="N466" s="0" t="n">
        <v>61.54</v>
      </c>
      <c r="O466" s="0" t="n">
        <v>43.44</v>
      </c>
      <c r="P466" s="0" t="n">
        <v>3.63</v>
      </c>
      <c r="Q466" s="0" t="n">
        <v>3.57</v>
      </c>
      <c r="R466" s="0" t="n">
        <v>6571</v>
      </c>
      <c r="S466" s="0" t="n">
        <v>12841</v>
      </c>
      <c r="T466" s="0" t="n">
        <v>63.4</v>
      </c>
      <c r="U466" s="0" t="n">
        <v>1651</v>
      </c>
      <c r="V466" s="0" t="n">
        <v>6</v>
      </c>
      <c r="W466" s="0" t="str">
        <f aca="false">IF(OR(AND(B466&gt;=1,B466&lt;=6),B466=10),"Vaca em lactação",IF(I466="Male","Macho",IF(E466&gt;=1,"Vaca seca",IF(I466="Youngstock","Bezerra/recria","Novilha"))))</f>
        <v>Vaca em lactação</v>
      </c>
      <c r="X466" s="0" t="str">
        <f aca="false">IF(AND(B466&gt;=1,B466&lt;=6),"Tanque",IF(B466=10,"Descarte",""))</f>
        <v>Tanque</v>
      </c>
    </row>
    <row r="467" customFormat="false" ht="15" hidden="false" customHeight="false" outlineLevel="0" collapsed="false">
      <c r="A467" s="22" t="n">
        <v>46309</v>
      </c>
      <c r="B467" s="0" t="n">
        <v>3</v>
      </c>
      <c r="C467" s="0" t="n">
        <v>3941</v>
      </c>
      <c r="D467" s="0" t="n">
        <v>244</v>
      </c>
      <c r="E467" s="0" t="n">
        <v>3</v>
      </c>
      <c r="F467" s="23" t="s">
        <v>434</v>
      </c>
      <c r="G467" s="0" t="n">
        <v>68.4</v>
      </c>
      <c r="H467" s="0" t="n">
        <v>65</v>
      </c>
      <c r="I467" s="23" t="s">
        <v>92</v>
      </c>
      <c r="J467" s="0" t="n">
        <v>153</v>
      </c>
      <c r="K467" s="0" t="n">
        <v>125</v>
      </c>
      <c r="L467" s="0" t="n">
        <v>91</v>
      </c>
      <c r="M467" s="0" t="n">
        <v>1057.98</v>
      </c>
      <c r="N467" s="0" t="n">
        <v>51.99</v>
      </c>
      <c r="O467" s="0" t="n">
        <v>35.01</v>
      </c>
      <c r="P467" s="0" t="n">
        <v>3.22</v>
      </c>
      <c r="Q467" s="0" t="n">
        <v>3.06</v>
      </c>
      <c r="R467" s="0" t="n">
        <v>4222</v>
      </c>
      <c r="S467" s="0" t="n">
        <v>10532</v>
      </c>
      <c r="T467" s="0" t="n">
        <v>30.95</v>
      </c>
      <c r="U467" s="0" t="n">
        <v>1653</v>
      </c>
      <c r="V467" s="0" t="n">
        <v>2</v>
      </c>
      <c r="W467" s="0" t="str">
        <f aca="false">IF(OR(AND(B467&gt;=1,B467&lt;=6),B467=10),"Vaca em lactação",IF(I467="Male","Macho",IF(E467&gt;=1,"Vaca seca",IF(I467="Youngstock","Bezerra/recria","Novilha"))))</f>
        <v>Vaca em lactação</v>
      </c>
      <c r="X467" s="0" t="str">
        <f aca="false">IF(AND(B467&gt;=1,B467&lt;=6),"Tanque",IF(B467=10,"Descarte",""))</f>
        <v>Tanque</v>
      </c>
    </row>
    <row r="468" customFormat="false" ht="15" hidden="false" customHeight="false" outlineLevel="0" collapsed="false">
      <c r="A468" s="22" t="n">
        <v>46309</v>
      </c>
      <c r="B468" s="0" t="n">
        <v>3</v>
      </c>
      <c r="C468" s="0" t="n">
        <v>3899</v>
      </c>
      <c r="D468" s="0" t="n">
        <v>233</v>
      </c>
      <c r="E468" s="0" t="n">
        <v>3</v>
      </c>
      <c r="F468" s="23" t="s">
        <v>254</v>
      </c>
      <c r="G468" s="0" t="n">
        <v>46.6</v>
      </c>
      <c r="H468" s="0" t="n">
        <v>56</v>
      </c>
      <c r="I468" s="23" t="s">
        <v>92</v>
      </c>
      <c r="J468" s="0" t="n">
        <v>88</v>
      </c>
      <c r="K468" s="0" t="n">
        <v>65</v>
      </c>
      <c r="L468" s="0" t="n">
        <v>145</v>
      </c>
      <c r="M468" s="0" t="n">
        <v>525.15</v>
      </c>
      <c r="N468" s="0" t="n">
        <v>42.17</v>
      </c>
      <c r="O468" s="0" t="n">
        <v>14.7</v>
      </c>
      <c r="P468" s="0" t="n">
        <v>3.76</v>
      </c>
      <c r="Q468" s="0" t="n">
        <v>3.03</v>
      </c>
      <c r="R468" s="0" t="n">
        <v>4219</v>
      </c>
      <c r="S468" s="0" t="n">
        <v>10161</v>
      </c>
      <c r="T468" s="0" t="n">
        <v>53.3</v>
      </c>
      <c r="U468" s="0" t="n">
        <v>1671</v>
      </c>
      <c r="V468" s="0" t="n">
        <v>2</v>
      </c>
      <c r="W468" s="0" t="str">
        <f aca="false">IF(OR(AND(B468&gt;=1,B468&lt;=6),B468=10),"Vaca em lactação",IF(I468="Male","Macho",IF(E468&gt;=1,"Vaca seca",IF(I468="Youngstock","Bezerra/recria","Novilha"))))</f>
        <v>Vaca em lactação</v>
      </c>
      <c r="X468" s="0" t="str">
        <f aca="false">IF(AND(B468&gt;=1,B468&lt;=6),"Tanque",IF(B468=10,"Descarte",""))</f>
        <v>Tanque</v>
      </c>
    </row>
    <row r="469" customFormat="false" ht="15" hidden="false" customHeight="false" outlineLevel="0" collapsed="false">
      <c r="A469" s="22" t="n">
        <v>46309</v>
      </c>
      <c r="B469" s="0" t="n">
        <v>3</v>
      </c>
      <c r="C469" s="0" t="n">
        <v>3893</v>
      </c>
      <c r="D469" s="0" t="n">
        <v>203</v>
      </c>
      <c r="E469" s="0" t="n">
        <v>3</v>
      </c>
      <c r="F469" s="23" t="s">
        <v>251</v>
      </c>
      <c r="G469" s="0" t="n">
        <v>50.8</v>
      </c>
      <c r="H469" s="0" t="n">
        <v>48</v>
      </c>
      <c r="I469" s="23" t="s">
        <v>92</v>
      </c>
      <c r="J469" s="0" t="n">
        <v>70</v>
      </c>
      <c r="K469" s="0" t="n">
        <v>70</v>
      </c>
      <c r="L469" s="0" t="n">
        <v>133</v>
      </c>
      <c r="M469" s="0" t="n">
        <v>935.47</v>
      </c>
      <c r="N469" s="0" t="n">
        <v>35.98</v>
      </c>
      <c r="O469" s="0" t="n">
        <v>34.13</v>
      </c>
      <c r="P469" s="0" t="n">
        <v>3.36</v>
      </c>
      <c r="Q469" s="0" t="n">
        <v>3.51</v>
      </c>
      <c r="R469" s="0" t="n">
        <v>6153</v>
      </c>
      <c r="S469" s="0" t="n">
        <v>12716</v>
      </c>
      <c r="T469" s="0" t="n">
        <v>69.7</v>
      </c>
      <c r="U469" s="0" t="n">
        <v>1674</v>
      </c>
      <c r="V469" s="0" t="n">
        <v>1</v>
      </c>
      <c r="W469" s="0" t="str">
        <f aca="false">IF(OR(AND(B469&gt;=1,B469&lt;=6),B469=10),"Vaca em lactação",IF(I469="Male","Macho",IF(E469&gt;=1,"Vaca seca",IF(I469="Youngstock","Bezerra/recria","Novilha"))))</f>
        <v>Vaca em lactação</v>
      </c>
      <c r="X469" s="0" t="str">
        <f aca="false">IF(AND(B469&gt;=1,B469&lt;=6),"Tanque",IF(B469=10,"Descarte",""))</f>
        <v>Tanque</v>
      </c>
    </row>
    <row r="470" customFormat="false" ht="15" hidden="false" customHeight="false" outlineLevel="0" collapsed="false">
      <c r="A470" s="22" t="n">
        <v>46309</v>
      </c>
      <c r="B470" s="0" t="n">
        <v>3</v>
      </c>
      <c r="C470" s="0" t="n">
        <v>3901</v>
      </c>
      <c r="D470" s="0" t="n">
        <v>44</v>
      </c>
      <c r="E470" s="0" t="n">
        <v>3</v>
      </c>
      <c r="F470" s="23" t="s">
        <v>435</v>
      </c>
      <c r="G470" s="0" t="n">
        <v>80.7</v>
      </c>
      <c r="H470" s="0" t="n">
        <v>77</v>
      </c>
      <c r="I470" s="23" t="s">
        <v>94</v>
      </c>
      <c r="J470" s="0" t="n">
        <v>44</v>
      </c>
      <c r="M470" s="0" t="n">
        <v>519.64</v>
      </c>
      <c r="N470" s="0" t="n">
        <v>71.43</v>
      </c>
      <c r="O470" s="0" t="n">
        <v>41.3</v>
      </c>
      <c r="P470" s="0" t="n">
        <v>3.21</v>
      </c>
      <c r="Q470" s="0" t="n">
        <v>3.26</v>
      </c>
      <c r="R470" s="0" t="n">
        <v>6776</v>
      </c>
      <c r="S470" s="0" t="n">
        <v>13620</v>
      </c>
      <c r="U470" s="0" t="n">
        <v>1669</v>
      </c>
      <c r="V470" s="0" t="n">
        <v>0</v>
      </c>
      <c r="W470" s="0" t="str">
        <f aca="false">IF(OR(AND(B470&gt;=1,B470&lt;=6),B470=10),"Vaca em lactação",IF(I470="Male","Macho",IF(E470&gt;=1,"Vaca seca",IF(I470="Youngstock","Bezerra/recria","Novilha"))))</f>
        <v>Vaca em lactação</v>
      </c>
      <c r="X470" s="0" t="str">
        <f aca="false">IF(AND(B470&gt;=1,B470&lt;=6),"Tanque",IF(B470=10,"Descarte",""))</f>
        <v>Tanque</v>
      </c>
    </row>
    <row r="471" customFormat="false" ht="15" hidden="false" customHeight="false" outlineLevel="0" collapsed="false">
      <c r="A471" s="22" t="n">
        <v>46309</v>
      </c>
      <c r="B471" s="0" t="n">
        <v>3</v>
      </c>
      <c r="C471" s="0" t="n">
        <v>3915</v>
      </c>
      <c r="D471" s="0" t="n">
        <v>179</v>
      </c>
      <c r="E471" s="0" t="n">
        <v>3</v>
      </c>
      <c r="F471" s="23" t="s">
        <v>436</v>
      </c>
      <c r="G471" s="0" t="n">
        <v>54.6</v>
      </c>
      <c r="H471" s="0" t="n">
        <v>55</v>
      </c>
      <c r="I471" s="23" t="s">
        <v>92</v>
      </c>
      <c r="J471" s="0" t="n">
        <v>67</v>
      </c>
      <c r="K471" s="0" t="n">
        <v>67</v>
      </c>
      <c r="L471" s="0" t="n">
        <v>112</v>
      </c>
      <c r="M471" s="0" t="n">
        <v>694.18</v>
      </c>
      <c r="N471" s="0" t="n">
        <v>38.79</v>
      </c>
      <c r="O471" s="0" t="n">
        <v>36.94</v>
      </c>
      <c r="P471" s="0" t="n">
        <v>0</v>
      </c>
      <c r="Q471" s="0" t="n">
        <v>0</v>
      </c>
      <c r="R471" s="0" t="n">
        <v>5356</v>
      </c>
      <c r="S471" s="0" t="n">
        <v>11164</v>
      </c>
      <c r="T471" s="0" t="n">
        <v>58.95</v>
      </c>
      <c r="U471" s="0" t="n">
        <v>1664</v>
      </c>
      <c r="V471" s="0" t="n">
        <v>1</v>
      </c>
      <c r="W471" s="0" t="str">
        <f aca="false">IF(OR(AND(B471&gt;=1,B471&lt;=6),B471=10),"Vaca em lactação",IF(I471="Male","Macho",IF(E471&gt;=1,"Vaca seca",IF(I471="Youngstock","Bezerra/recria","Novilha"))))</f>
        <v>Vaca em lactação</v>
      </c>
      <c r="X471" s="0" t="str">
        <f aca="false">IF(AND(B471&gt;=1,B471&lt;=6),"Tanque",IF(B471=10,"Descarte",""))</f>
        <v>Tanque</v>
      </c>
    </row>
    <row r="472" customFormat="false" ht="15" hidden="false" customHeight="false" outlineLevel="0" collapsed="false">
      <c r="A472" s="22" t="n">
        <v>46309</v>
      </c>
      <c r="B472" s="0" t="n">
        <v>3</v>
      </c>
      <c r="C472" s="0" t="n">
        <v>1200</v>
      </c>
      <c r="D472" s="0" t="n">
        <v>62</v>
      </c>
      <c r="E472" s="0" t="n">
        <v>6</v>
      </c>
      <c r="F472" s="23" t="s">
        <v>437</v>
      </c>
      <c r="G472" s="0" t="n">
        <v>49</v>
      </c>
      <c r="H472" s="0" t="n">
        <v>46</v>
      </c>
      <c r="I472" s="23" t="s">
        <v>94</v>
      </c>
      <c r="J472" s="0" t="n">
        <v>62</v>
      </c>
      <c r="M472" s="0" t="n">
        <v>-76.69</v>
      </c>
      <c r="N472" s="0" t="n">
        <v>25.94</v>
      </c>
      <c r="O472" s="0" t="n">
        <v>5.65</v>
      </c>
      <c r="P472" s="0" t="n">
        <v>3.04</v>
      </c>
      <c r="Q472" s="0" t="n">
        <v>2.9</v>
      </c>
      <c r="R472" s="0" t="n">
        <v>5707</v>
      </c>
      <c r="S472" s="0" t="n">
        <v>11472</v>
      </c>
      <c r="U472" s="0" t="n">
        <v>2184</v>
      </c>
      <c r="V472" s="0" t="n">
        <v>0</v>
      </c>
      <c r="W472" s="0" t="str">
        <f aca="false">IF(OR(AND(B472&gt;=1,B472&lt;=6),B472=10),"Vaca em lactação",IF(I472="Male","Macho",IF(E472&gt;=1,"Vaca seca",IF(I472="Youngstock","Bezerra/recria","Novilha"))))</f>
        <v>Vaca em lactação</v>
      </c>
      <c r="X472" s="0" t="str">
        <f aca="false">IF(AND(B472&gt;=1,B472&lt;=6),"Tanque",IF(B472=10,"Descarte",""))</f>
        <v>Tanque</v>
      </c>
    </row>
    <row r="473" customFormat="false" ht="15" hidden="false" customHeight="false" outlineLevel="0" collapsed="false">
      <c r="A473" s="22" t="n">
        <v>46309</v>
      </c>
      <c r="B473" s="0" t="n">
        <v>3</v>
      </c>
      <c r="C473" s="0" t="n">
        <v>1204</v>
      </c>
      <c r="D473" s="0" t="n">
        <v>46</v>
      </c>
      <c r="E473" s="0" t="n">
        <v>4</v>
      </c>
      <c r="F473" s="23" t="s">
        <v>438</v>
      </c>
      <c r="G473" s="0" t="n">
        <v>55</v>
      </c>
      <c r="H473" s="0" t="n">
        <v>51</v>
      </c>
      <c r="I473" s="23" t="s">
        <v>94</v>
      </c>
      <c r="J473" s="0" t="n">
        <v>46</v>
      </c>
      <c r="M473" s="0" t="n">
        <v>517.38</v>
      </c>
      <c r="N473" s="0" t="n">
        <v>22.36</v>
      </c>
      <c r="O473" s="0" t="n">
        <v>17.25</v>
      </c>
      <c r="P473" s="0" t="n">
        <v>3.86</v>
      </c>
      <c r="Q473" s="0" t="n">
        <v>3.57</v>
      </c>
      <c r="R473" s="0" t="n">
        <v>4139</v>
      </c>
      <c r="S473" s="0" t="n">
        <v>8320</v>
      </c>
      <c r="U473" s="0" t="n">
        <v>2183</v>
      </c>
      <c r="V473" s="0" t="n">
        <v>0</v>
      </c>
      <c r="W473" s="0" t="str">
        <f aca="false">IF(OR(AND(B473&gt;=1,B473&lt;=6),B473=10),"Vaca em lactação",IF(I473="Male","Macho",IF(E473&gt;=1,"Vaca seca",IF(I473="Youngstock","Bezerra/recria","Novilha"))))</f>
        <v>Vaca em lactação</v>
      </c>
      <c r="X473" s="0" t="str">
        <f aca="false">IF(AND(B473&gt;=1,B473&lt;=6),"Tanque",IF(B473=10,"Descarte",""))</f>
        <v>Tanque</v>
      </c>
    </row>
    <row r="474" customFormat="false" ht="15" hidden="false" customHeight="false" outlineLevel="0" collapsed="false">
      <c r="A474" s="22" t="n">
        <v>46309</v>
      </c>
      <c r="B474" s="0" t="n">
        <v>3</v>
      </c>
      <c r="C474" s="0" t="n">
        <v>3224</v>
      </c>
      <c r="D474" s="0" t="n">
        <v>75</v>
      </c>
      <c r="E474" s="0" t="n">
        <v>4</v>
      </c>
      <c r="F474" s="23" t="s">
        <v>439</v>
      </c>
      <c r="G474" s="0" t="n">
        <v>57.1</v>
      </c>
      <c r="H474" s="0" t="n">
        <v>53</v>
      </c>
      <c r="I474" s="23" t="s">
        <v>109</v>
      </c>
      <c r="J474" s="0" t="n">
        <v>75</v>
      </c>
      <c r="M474" s="0" t="n">
        <v>1397.34</v>
      </c>
      <c r="N474" s="0" t="n">
        <v>35.91</v>
      </c>
      <c r="O474" s="0" t="n">
        <v>38.36</v>
      </c>
      <c r="P474" s="0" t="n">
        <v>2.76</v>
      </c>
      <c r="Q474" s="0" t="n">
        <v>2.96</v>
      </c>
      <c r="R474" s="0" t="n">
        <v>5102</v>
      </c>
      <c r="S474" s="0" t="n">
        <v>10256</v>
      </c>
      <c r="U474" s="0" t="n">
        <v>2128</v>
      </c>
      <c r="V474" s="0" t="n">
        <v>0</v>
      </c>
      <c r="W474" s="0" t="str">
        <f aca="false">IF(OR(AND(B474&gt;=1,B474&lt;=6),B474=10),"Vaca em lactação",IF(I474="Male","Macho",IF(E474&gt;=1,"Vaca seca",IF(I474="Youngstock","Bezerra/recria","Novilha"))))</f>
        <v>Vaca em lactação</v>
      </c>
      <c r="X474" s="0" t="str">
        <f aca="false">IF(AND(B474&gt;=1,B474&lt;=6),"Tanque",IF(B474=10,"Descarte",""))</f>
        <v>Tanque</v>
      </c>
    </row>
    <row r="475" customFormat="false" ht="15" hidden="false" customHeight="false" outlineLevel="0" collapsed="false">
      <c r="A475" s="22" t="n">
        <v>46309</v>
      </c>
      <c r="B475" s="0" t="n">
        <v>3</v>
      </c>
      <c r="C475" s="0" t="n">
        <v>3164</v>
      </c>
      <c r="D475" s="0" t="n">
        <v>213</v>
      </c>
      <c r="E475" s="0" t="n">
        <v>4</v>
      </c>
      <c r="F475" s="23" t="s">
        <v>440</v>
      </c>
      <c r="G475" s="0" t="n">
        <v>48.4</v>
      </c>
      <c r="H475" s="0" t="n">
        <v>50</v>
      </c>
      <c r="I475" s="23" t="s">
        <v>92</v>
      </c>
      <c r="J475" s="0" t="n">
        <v>164</v>
      </c>
      <c r="K475" s="0" t="n">
        <v>66</v>
      </c>
      <c r="L475" s="0" t="n">
        <v>49</v>
      </c>
      <c r="M475" s="0" t="n">
        <v>917.35</v>
      </c>
      <c r="N475" s="0" t="n">
        <v>30.68</v>
      </c>
      <c r="O475" s="0" t="n">
        <v>41.07</v>
      </c>
      <c r="P475" s="0" t="n">
        <v>2.68</v>
      </c>
      <c r="Q475" s="0" t="n">
        <v>4.1</v>
      </c>
      <c r="R475" s="0" t="n">
        <v>6216</v>
      </c>
      <c r="S475" s="0" t="n">
        <v>11138</v>
      </c>
      <c r="T475" s="0" t="n">
        <v>68.65</v>
      </c>
      <c r="U475" s="0" t="n">
        <v>2158</v>
      </c>
      <c r="V475" s="0" t="n">
        <v>3</v>
      </c>
      <c r="W475" s="0" t="str">
        <f aca="false">IF(OR(AND(B475&gt;=1,B475&lt;=6),B475=10),"Vaca em lactação",IF(I475="Male","Macho",IF(E475&gt;=1,"Vaca seca",IF(I475="Youngstock","Bezerra/recria","Novilha"))))</f>
        <v>Vaca em lactação</v>
      </c>
      <c r="X475" s="0" t="str">
        <f aca="false">IF(AND(B475&gt;=1,B475&lt;=6),"Tanque",IF(B475=10,"Descarte",""))</f>
        <v>Tanque</v>
      </c>
    </row>
    <row r="476" customFormat="false" ht="15" hidden="false" customHeight="false" outlineLevel="0" collapsed="false">
      <c r="A476" s="22" t="n">
        <v>46309</v>
      </c>
      <c r="B476" s="0" t="n">
        <v>3</v>
      </c>
      <c r="C476" s="0" t="n">
        <v>3163</v>
      </c>
      <c r="D476" s="0" t="n">
        <v>3</v>
      </c>
      <c r="E476" s="0" t="n">
        <v>5</v>
      </c>
      <c r="F476" s="23" t="s">
        <v>440</v>
      </c>
      <c r="G476" s="0" t="n">
        <v>17.3</v>
      </c>
      <c r="H476" s="0" t="n">
        <v>13</v>
      </c>
      <c r="I476" s="23" t="s">
        <v>94</v>
      </c>
      <c r="J476" s="0" t="n">
        <v>3</v>
      </c>
      <c r="M476" s="0" t="n">
        <v>-226.65</v>
      </c>
      <c r="N476" s="0" t="n">
        <v>41.25</v>
      </c>
      <c r="O476" s="0" t="n">
        <v>11.62</v>
      </c>
      <c r="R476" s="0" t="n">
        <v>1120</v>
      </c>
      <c r="S476" s="0" t="n">
        <v>2252</v>
      </c>
      <c r="U476" s="0" t="n">
        <v>2158</v>
      </c>
      <c r="V476" s="0" t="n">
        <v>0</v>
      </c>
      <c r="W476" s="0" t="str">
        <f aca="false">IF(OR(AND(B476&gt;=1,B476&lt;=6),B476=10),"Vaca em lactação",IF(I476="Male","Macho",IF(E476&gt;=1,"Vaca seca",IF(I476="Youngstock","Bezerra/recria","Novilha"))))</f>
        <v>Vaca em lactação</v>
      </c>
      <c r="X476" s="0" t="str">
        <f aca="false">IF(AND(B476&gt;=1,B476&lt;=6),"Tanque",IF(B476=10,"Descarte",""))</f>
        <v>Tanque</v>
      </c>
    </row>
    <row r="477" customFormat="false" ht="15" hidden="false" customHeight="false" outlineLevel="0" collapsed="false">
      <c r="A477" s="22" t="n">
        <v>46309</v>
      </c>
      <c r="B477" s="0" t="n">
        <v>3</v>
      </c>
      <c r="C477" s="0" t="n">
        <v>3186</v>
      </c>
      <c r="D477" s="0" t="n">
        <v>44</v>
      </c>
      <c r="E477" s="0" t="n">
        <v>5</v>
      </c>
      <c r="F477" s="23" t="s">
        <v>441</v>
      </c>
      <c r="G477" s="0" t="n">
        <v>65.3</v>
      </c>
      <c r="H477" s="0" t="n">
        <v>63</v>
      </c>
      <c r="I477" s="23" t="s">
        <v>94</v>
      </c>
      <c r="J477" s="0" t="n">
        <v>44</v>
      </c>
      <c r="M477" s="0" t="n">
        <v>846.92</v>
      </c>
      <c r="N477" s="0" t="n">
        <v>-0.28</v>
      </c>
      <c r="O477" s="0" t="n">
        <v>24.23</v>
      </c>
      <c r="P477" s="0" t="n">
        <v>3.77</v>
      </c>
      <c r="Q477" s="0" t="n">
        <v>3.23</v>
      </c>
      <c r="R477" s="0" t="n">
        <v>4834</v>
      </c>
      <c r="S477" s="0" t="n">
        <v>9718</v>
      </c>
      <c r="U477" s="0" t="n">
        <v>2148</v>
      </c>
      <c r="V477" s="0" t="n">
        <v>0</v>
      </c>
      <c r="W477" s="0" t="str">
        <f aca="false">IF(OR(AND(B477&gt;=1,B477&lt;=6),B477=10),"Vaca em lactação",IF(I477="Male","Macho",IF(E477&gt;=1,"Vaca seca",IF(I477="Youngstock","Bezerra/recria","Novilha"))))</f>
        <v>Vaca em lactação</v>
      </c>
      <c r="X477" s="0" t="str">
        <f aca="false">IF(AND(B477&gt;=1,B477&lt;=6),"Tanque",IF(B477=10,"Descarte",""))</f>
        <v>Tanque</v>
      </c>
    </row>
    <row r="478" customFormat="false" ht="15" hidden="false" customHeight="false" outlineLevel="0" collapsed="false">
      <c r="A478" s="22" t="n">
        <v>46309</v>
      </c>
      <c r="B478" s="0" t="n">
        <v>3</v>
      </c>
      <c r="C478" s="0" t="n">
        <v>3443</v>
      </c>
      <c r="D478" s="0" t="n">
        <v>13</v>
      </c>
      <c r="E478" s="0" t="n">
        <v>4</v>
      </c>
      <c r="F478" s="23" t="s">
        <v>442</v>
      </c>
      <c r="G478" s="0" t="n">
        <v>34.6</v>
      </c>
      <c r="H478" s="0" t="n">
        <v>24</v>
      </c>
      <c r="I478" s="23" t="s">
        <v>94</v>
      </c>
      <c r="J478" s="0" t="n">
        <v>13</v>
      </c>
      <c r="M478" s="0" t="n">
        <v>-4.46</v>
      </c>
      <c r="N478" s="0" t="n">
        <v>25.54</v>
      </c>
      <c r="O478" s="0" t="n">
        <v>8.45</v>
      </c>
      <c r="R478" s="0" t="n">
        <v>2923</v>
      </c>
      <c r="S478" s="0" t="n">
        <v>5875</v>
      </c>
      <c r="U478" s="0" t="n">
        <v>1977</v>
      </c>
      <c r="V478" s="0" t="n">
        <v>0</v>
      </c>
      <c r="W478" s="0" t="str">
        <f aca="false">IF(OR(AND(B478&gt;=1,B478&lt;=6),B478=10),"Vaca em lactação",IF(I478="Male","Macho",IF(E478&gt;=1,"Vaca seca",IF(I478="Youngstock","Bezerra/recria","Novilha"))))</f>
        <v>Vaca em lactação</v>
      </c>
      <c r="X478" s="0" t="str">
        <f aca="false">IF(AND(B478&gt;=1,B478&lt;=6),"Tanque",IF(B478=10,"Descarte",""))</f>
        <v>Tanque</v>
      </c>
    </row>
    <row r="479" customFormat="false" ht="15" hidden="false" customHeight="false" outlineLevel="0" collapsed="false">
      <c r="A479" s="22" t="n">
        <v>46309</v>
      </c>
      <c r="B479" s="0" t="n">
        <v>3</v>
      </c>
      <c r="C479" s="0" t="n">
        <v>3413</v>
      </c>
      <c r="D479" s="0" t="n">
        <v>80</v>
      </c>
      <c r="E479" s="0" t="n">
        <v>4</v>
      </c>
      <c r="F479" s="23" t="s">
        <v>443</v>
      </c>
      <c r="G479" s="0" t="n">
        <v>64</v>
      </c>
      <c r="H479" s="0" t="n">
        <v>62</v>
      </c>
      <c r="I479" s="23" t="s">
        <v>97</v>
      </c>
      <c r="J479" s="0" t="n">
        <v>80</v>
      </c>
      <c r="K479" s="0" t="n">
        <v>80</v>
      </c>
      <c r="M479" s="0" t="n">
        <v>267.81</v>
      </c>
      <c r="N479" s="0" t="n">
        <v>44.5</v>
      </c>
      <c r="O479" s="0" t="n">
        <v>19.79</v>
      </c>
      <c r="P479" s="0" t="n">
        <v>4.45</v>
      </c>
      <c r="Q479" s="0" t="n">
        <v>3.37</v>
      </c>
      <c r="R479" s="0" t="n">
        <v>5244</v>
      </c>
      <c r="S479" s="0" t="n">
        <v>10541</v>
      </c>
      <c r="U479" s="0" t="n">
        <v>2001</v>
      </c>
      <c r="V479" s="0" t="n">
        <v>1</v>
      </c>
      <c r="W479" s="0" t="str">
        <f aca="false">IF(OR(AND(B479&gt;=1,B479&lt;=6),B479=10),"Vaca em lactação",IF(I479="Male","Macho",IF(E479&gt;=1,"Vaca seca",IF(I479="Youngstock","Bezerra/recria","Novilha"))))</f>
        <v>Vaca em lactação</v>
      </c>
      <c r="X479" s="0" t="str">
        <f aca="false">IF(AND(B479&gt;=1,B479&lt;=6),"Tanque",IF(B479=10,"Descarte",""))</f>
        <v>Tanque</v>
      </c>
    </row>
    <row r="480" customFormat="false" ht="15" hidden="false" customHeight="false" outlineLevel="0" collapsed="false">
      <c r="A480" s="22" t="n">
        <v>46309</v>
      </c>
      <c r="B480" s="0" t="n">
        <v>3</v>
      </c>
      <c r="C480" s="0" t="n">
        <v>3422</v>
      </c>
      <c r="D480" s="0" t="n">
        <v>22</v>
      </c>
      <c r="E480" s="0" t="n">
        <v>4</v>
      </c>
      <c r="F480" s="23" t="s">
        <v>444</v>
      </c>
      <c r="G480" s="0" t="n">
        <v>61.3</v>
      </c>
      <c r="H480" s="0" t="n">
        <v>57</v>
      </c>
      <c r="I480" s="23" t="s">
        <v>94</v>
      </c>
      <c r="J480" s="0" t="n">
        <v>22</v>
      </c>
      <c r="M480" s="0" t="n">
        <v>291.97</v>
      </c>
      <c r="N480" s="0" t="n">
        <v>32.68</v>
      </c>
      <c r="O480" s="0" t="n">
        <v>13.41</v>
      </c>
      <c r="R480" s="0" t="n">
        <v>4104</v>
      </c>
      <c r="S480" s="0" t="n">
        <v>8250</v>
      </c>
      <c r="U480" s="0" t="n">
        <v>1997</v>
      </c>
      <c r="V480" s="0" t="n">
        <v>0</v>
      </c>
      <c r="W480" s="0" t="str">
        <f aca="false">IF(OR(AND(B480&gt;=1,B480&lt;=6),B480=10),"Vaca em lactação",IF(I480="Male","Macho",IF(E480&gt;=1,"Vaca seca",IF(I480="Youngstock","Bezerra/recria","Novilha"))))</f>
        <v>Vaca em lactação</v>
      </c>
      <c r="X480" s="0" t="str">
        <f aca="false">IF(AND(B480&gt;=1,B480&lt;=6),"Tanque",IF(B480=10,"Descarte",""))</f>
        <v>Tanque</v>
      </c>
    </row>
    <row r="481" customFormat="false" ht="15" hidden="false" customHeight="false" outlineLevel="0" collapsed="false">
      <c r="A481" s="22" t="n">
        <v>46309</v>
      </c>
      <c r="B481" s="0" t="n">
        <v>3</v>
      </c>
      <c r="C481" s="0" t="n">
        <v>3491</v>
      </c>
      <c r="D481" s="0" t="n">
        <v>102</v>
      </c>
      <c r="E481" s="0" t="n">
        <v>5</v>
      </c>
      <c r="F481" s="23" t="s">
        <v>445</v>
      </c>
      <c r="G481" s="0" t="n">
        <v>53.7</v>
      </c>
      <c r="H481" s="0" t="n">
        <v>51</v>
      </c>
      <c r="I481" s="23" t="s">
        <v>109</v>
      </c>
      <c r="J481" s="0" t="n">
        <v>102</v>
      </c>
      <c r="K481" s="0" t="n">
        <v>67</v>
      </c>
      <c r="M481" s="0" t="n">
        <v>305.32</v>
      </c>
      <c r="N481" s="0" t="n">
        <v>17.16</v>
      </c>
      <c r="O481" s="0" t="n">
        <v>15.43</v>
      </c>
      <c r="P481" s="0" t="n">
        <v>3</v>
      </c>
      <c r="Q481" s="0" t="n">
        <v>2.96</v>
      </c>
      <c r="R481" s="0" t="n">
        <v>5603</v>
      </c>
      <c r="S481" s="0" t="n">
        <v>11241</v>
      </c>
      <c r="T481" s="0" t="n">
        <v>61.45</v>
      </c>
      <c r="U481" s="0" t="n">
        <v>1941</v>
      </c>
      <c r="V481" s="0" t="n">
        <v>1</v>
      </c>
      <c r="W481" s="0" t="str">
        <f aca="false">IF(OR(AND(B481&gt;=1,B481&lt;=6),B481=10),"Vaca em lactação",IF(I481="Male","Macho",IF(E481&gt;=1,"Vaca seca",IF(I481="Youngstock","Bezerra/recria","Novilha"))))</f>
        <v>Vaca em lactação</v>
      </c>
      <c r="X481" s="0" t="str">
        <f aca="false">IF(AND(B481&gt;=1,B481&lt;=6),"Tanque",IF(B481=10,"Descarte",""))</f>
        <v>Tanque</v>
      </c>
    </row>
    <row r="482" customFormat="false" ht="15" hidden="false" customHeight="false" outlineLevel="0" collapsed="false">
      <c r="A482" s="22" t="n">
        <v>46309</v>
      </c>
      <c r="B482" s="0" t="n">
        <v>3</v>
      </c>
      <c r="C482" s="0" t="n">
        <v>3507</v>
      </c>
      <c r="D482" s="0" t="n">
        <v>85</v>
      </c>
      <c r="E482" s="0" t="n">
        <v>4</v>
      </c>
      <c r="F482" s="23" t="s">
        <v>446</v>
      </c>
      <c r="G482" s="0" t="n">
        <v>60.5</v>
      </c>
      <c r="H482" s="0" t="n">
        <v>57</v>
      </c>
      <c r="I482" s="23" t="s">
        <v>97</v>
      </c>
      <c r="J482" s="0" t="n">
        <v>85</v>
      </c>
      <c r="K482" s="0" t="n">
        <v>64</v>
      </c>
      <c r="M482" s="0" t="n">
        <v>366.15</v>
      </c>
      <c r="N482" s="0" t="n">
        <v>31.19</v>
      </c>
      <c r="O482" s="0" t="n">
        <v>22.3</v>
      </c>
      <c r="P482" s="0" t="n">
        <v>3.31</v>
      </c>
      <c r="Q482" s="0" t="n">
        <v>3.1</v>
      </c>
      <c r="R482" s="0" t="n">
        <v>5302</v>
      </c>
      <c r="S482" s="0" t="n">
        <v>10658</v>
      </c>
      <c r="U482" s="0" t="n">
        <v>1926</v>
      </c>
      <c r="V482" s="0" t="n">
        <v>1</v>
      </c>
      <c r="W482" s="0" t="str">
        <f aca="false">IF(OR(AND(B482&gt;=1,B482&lt;=6),B482=10),"Vaca em lactação",IF(I482="Male","Macho",IF(E482&gt;=1,"Vaca seca",IF(I482="Youngstock","Bezerra/recria","Novilha"))))</f>
        <v>Vaca em lactação</v>
      </c>
      <c r="X482" s="0" t="str">
        <f aca="false">IF(AND(B482&gt;=1,B482&lt;=6),"Tanque",IF(B482=10,"Descarte",""))</f>
        <v>Tanque</v>
      </c>
    </row>
    <row r="483" customFormat="false" ht="15" hidden="false" customHeight="false" outlineLevel="0" collapsed="false">
      <c r="A483" s="22" t="n">
        <v>46309</v>
      </c>
      <c r="B483" s="0" t="n">
        <v>3</v>
      </c>
      <c r="C483" s="0" t="n">
        <v>3291</v>
      </c>
      <c r="D483" s="0" t="n">
        <v>81</v>
      </c>
      <c r="E483" s="0" t="n">
        <v>4</v>
      </c>
      <c r="F483" s="23" t="s">
        <v>447</v>
      </c>
      <c r="G483" s="0" t="n">
        <v>48.8</v>
      </c>
      <c r="H483" s="0" t="n">
        <v>48</v>
      </c>
      <c r="I483" s="23" t="s">
        <v>97</v>
      </c>
      <c r="J483" s="0" t="n">
        <v>81</v>
      </c>
      <c r="K483" s="0" t="n">
        <v>74</v>
      </c>
      <c r="M483" s="0" t="n">
        <v>-856.64</v>
      </c>
      <c r="N483" s="0" t="n">
        <v>47.71</v>
      </c>
      <c r="O483" s="0" t="n">
        <v>-7.29</v>
      </c>
      <c r="P483" s="0" t="n">
        <v>5.24</v>
      </c>
      <c r="Q483" s="0" t="n">
        <v>3.72</v>
      </c>
      <c r="R483" s="0" t="n">
        <v>4549</v>
      </c>
      <c r="S483" s="0" t="n">
        <v>9144</v>
      </c>
      <c r="U483" s="0" t="n">
        <v>2082</v>
      </c>
      <c r="V483" s="0" t="n">
        <v>1</v>
      </c>
      <c r="W483" s="0" t="str">
        <f aca="false">IF(OR(AND(B483&gt;=1,B483&lt;=6),B483=10),"Vaca em lactação",IF(I483="Male","Macho",IF(E483&gt;=1,"Vaca seca",IF(I483="Youngstock","Bezerra/recria","Novilha"))))</f>
        <v>Vaca em lactação</v>
      </c>
      <c r="X483" s="0" t="str">
        <f aca="false">IF(AND(B483&gt;=1,B483&lt;=6),"Tanque",IF(B483=10,"Descarte",""))</f>
        <v>Tanque</v>
      </c>
    </row>
    <row r="484" customFormat="false" ht="15" hidden="false" customHeight="false" outlineLevel="0" collapsed="false">
      <c r="A484" s="22" t="n">
        <v>46309</v>
      </c>
      <c r="B484" s="0" t="n">
        <v>3</v>
      </c>
      <c r="C484" s="0" t="n">
        <v>3366</v>
      </c>
      <c r="D484" s="0" t="n">
        <v>8</v>
      </c>
      <c r="E484" s="0" t="n">
        <v>5</v>
      </c>
      <c r="F484" s="23" t="s">
        <v>448</v>
      </c>
      <c r="G484" s="0" t="n">
        <v>34.9</v>
      </c>
      <c r="H484" s="0" t="n">
        <v>24</v>
      </c>
      <c r="I484" s="23" t="s">
        <v>94</v>
      </c>
      <c r="J484" s="0" t="n">
        <v>8</v>
      </c>
      <c r="M484" s="0" t="n">
        <v>1280.61</v>
      </c>
      <c r="N484" s="0" t="n">
        <v>31.03</v>
      </c>
      <c r="O484" s="0" t="n">
        <v>29.57</v>
      </c>
      <c r="R484" s="0" t="n">
        <v>1627</v>
      </c>
      <c r="S484" s="0" t="n">
        <v>3271</v>
      </c>
      <c r="U484" s="0" t="n">
        <v>2032</v>
      </c>
      <c r="V484" s="0" t="n">
        <v>0</v>
      </c>
      <c r="W484" s="0" t="str">
        <f aca="false">IF(OR(AND(B484&gt;=1,B484&lt;=6),B484=10),"Vaca em lactação",IF(I484="Male","Macho",IF(E484&gt;=1,"Vaca seca",IF(I484="Youngstock","Bezerra/recria","Novilha"))))</f>
        <v>Vaca em lactação</v>
      </c>
      <c r="X484" s="0" t="str">
        <f aca="false">IF(AND(B484&gt;=1,B484&lt;=6),"Tanque",IF(B484=10,"Descarte",""))</f>
        <v>Tanque</v>
      </c>
    </row>
    <row r="485" customFormat="false" ht="15" hidden="false" customHeight="false" outlineLevel="0" collapsed="false">
      <c r="A485" s="22" t="n">
        <v>46309</v>
      </c>
      <c r="B485" s="0" t="n">
        <v>3</v>
      </c>
      <c r="C485" s="0" t="n">
        <v>3397</v>
      </c>
      <c r="D485" s="0" t="n">
        <v>9</v>
      </c>
      <c r="E485" s="0" t="n">
        <v>4</v>
      </c>
      <c r="F485" s="23" t="s">
        <v>449</v>
      </c>
      <c r="G485" s="0" t="n">
        <v>53</v>
      </c>
      <c r="H485" s="0" t="n">
        <v>45</v>
      </c>
      <c r="I485" s="23" t="s">
        <v>94</v>
      </c>
      <c r="J485" s="0" t="n">
        <v>9</v>
      </c>
      <c r="M485" s="0" t="n">
        <v>607.48</v>
      </c>
      <c r="N485" s="0" t="n">
        <v>34.9</v>
      </c>
      <c r="O485" s="0" t="n">
        <v>29.04</v>
      </c>
      <c r="R485" s="0" t="n">
        <v>3727</v>
      </c>
      <c r="S485" s="0" t="n">
        <v>7493</v>
      </c>
      <c r="U485" s="0" t="n">
        <v>2011</v>
      </c>
      <c r="V485" s="0" t="n">
        <v>0</v>
      </c>
      <c r="W485" s="0" t="str">
        <f aca="false">IF(OR(AND(B485&gt;=1,B485&lt;=6),B485=10),"Vaca em lactação",IF(I485="Male","Macho",IF(E485&gt;=1,"Vaca seca",IF(I485="Youngstock","Bezerra/recria","Novilha"))))</f>
        <v>Vaca em lactação</v>
      </c>
      <c r="X485" s="0" t="str">
        <f aca="false">IF(AND(B485&gt;=1,B485&lt;=6),"Tanque",IF(B485=10,"Descarte",""))</f>
        <v>Tanque</v>
      </c>
    </row>
    <row r="486" customFormat="false" ht="15" hidden="false" customHeight="false" outlineLevel="0" collapsed="false">
      <c r="A486" s="22" t="n">
        <v>46309</v>
      </c>
      <c r="B486" s="0" t="n">
        <v>3</v>
      </c>
      <c r="C486" s="0" t="n">
        <v>3393</v>
      </c>
      <c r="D486" s="0" t="n">
        <v>100</v>
      </c>
      <c r="E486" s="0" t="n">
        <v>4</v>
      </c>
      <c r="F486" s="23" t="s">
        <v>450</v>
      </c>
      <c r="G486" s="0" t="n">
        <v>73.3</v>
      </c>
      <c r="H486" s="0" t="n">
        <v>77</v>
      </c>
      <c r="I486" s="23" t="s">
        <v>109</v>
      </c>
      <c r="J486" s="0" t="n">
        <v>100</v>
      </c>
      <c r="K486" s="0" t="n">
        <v>65</v>
      </c>
      <c r="M486" s="0" t="n">
        <v>940.48</v>
      </c>
      <c r="N486" s="0" t="n">
        <v>2.47</v>
      </c>
      <c r="O486" s="0" t="n">
        <v>24.31</v>
      </c>
      <c r="P486" s="0" t="n">
        <v>2.56</v>
      </c>
      <c r="Q486" s="0" t="n">
        <v>2.94</v>
      </c>
      <c r="R486" s="0" t="n">
        <v>7160</v>
      </c>
      <c r="S486" s="0" t="n">
        <v>14393</v>
      </c>
      <c r="T486" s="0" t="n">
        <v>78.55</v>
      </c>
      <c r="U486" s="0" t="n">
        <v>2013</v>
      </c>
      <c r="V486" s="0" t="n">
        <v>1</v>
      </c>
      <c r="W486" s="0" t="str">
        <f aca="false">IF(OR(AND(B486&gt;=1,B486&lt;=6),B486=10),"Vaca em lactação",IF(I486="Male","Macho",IF(E486&gt;=1,"Vaca seca",IF(I486="Youngstock","Bezerra/recria","Novilha"))))</f>
        <v>Vaca em lactação</v>
      </c>
      <c r="X486" s="0" t="str">
        <f aca="false">IF(AND(B486&gt;=1,B486&lt;=6),"Tanque",IF(B486=10,"Descarte",""))</f>
        <v>Tanque</v>
      </c>
    </row>
    <row r="487" customFormat="false" ht="15" hidden="false" customHeight="false" outlineLevel="0" collapsed="false">
      <c r="A487" s="22" t="n">
        <v>46309</v>
      </c>
      <c r="B487" s="0" t="n">
        <v>3</v>
      </c>
      <c r="C487" s="0" t="n">
        <v>3390</v>
      </c>
      <c r="D487" s="0" t="n">
        <v>6</v>
      </c>
      <c r="E487" s="0" t="n">
        <v>4</v>
      </c>
      <c r="F487" s="23" t="s">
        <v>451</v>
      </c>
      <c r="H487" s="0" t="n">
        <v>10</v>
      </c>
      <c r="I487" s="23" t="s">
        <v>94</v>
      </c>
      <c r="J487" s="0" t="n">
        <v>6</v>
      </c>
      <c r="M487" s="0" t="n">
        <v>845.41</v>
      </c>
      <c r="N487" s="0" t="n">
        <v>30.4</v>
      </c>
      <c r="O487" s="0" t="n">
        <v>33.92</v>
      </c>
      <c r="R487" s="0" t="n">
        <v>875</v>
      </c>
      <c r="S487" s="0" t="n">
        <v>1760</v>
      </c>
      <c r="U487" s="0" t="n">
        <v>2015</v>
      </c>
      <c r="V487" s="0" t="n">
        <v>0</v>
      </c>
      <c r="W487" s="0" t="str">
        <f aca="false">IF(OR(AND(B487&gt;=1,B487&lt;=6),B487=10),"Vaca em lactação",IF(I487="Male","Macho",IF(E487&gt;=1,"Vaca seca",IF(I487="Youngstock","Bezerra/recria","Novilha"))))</f>
        <v>Vaca em lactação</v>
      </c>
      <c r="X487" s="0" t="str">
        <f aca="false">IF(AND(B487&gt;=1,B487&lt;=6),"Tanque",IF(B487=10,"Descarte",""))</f>
        <v>Tanque</v>
      </c>
    </row>
    <row r="488" customFormat="false" ht="15" hidden="false" customHeight="false" outlineLevel="0" collapsed="false">
      <c r="A488" s="22" t="n">
        <v>46309</v>
      </c>
      <c r="B488" s="0" t="n">
        <v>3</v>
      </c>
      <c r="C488" s="0" t="n">
        <v>3339</v>
      </c>
      <c r="D488" s="0" t="n">
        <v>174</v>
      </c>
      <c r="E488" s="0" t="n">
        <v>4</v>
      </c>
      <c r="F488" s="23" t="s">
        <v>452</v>
      </c>
      <c r="G488" s="0" t="n">
        <v>51.9</v>
      </c>
      <c r="H488" s="0" t="n">
        <v>48</v>
      </c>
      <c r="I488" s="23" t="s">
        <v>97</v>
      </c>
      <c r="J488" s="0" t="n">
        <v>174</v>
      </c>
      <c r="K488" s="0" t="n">
        <v>69</v>
      </c>
      <c r="M488" s="0" t="n">
        <v>1342.29</v>
      </c>
      <c r="N488" s="0" t="n">
        <v>15.52</v>
      </c>
      <c r="O488" s="0" t="n">
        <v>26.84</v>
      </c>
      <c r="P488" s="0" t="n">
        <v>2.29</v>
      </c>
      <c r="Q488" s="0" t="n">
        <v>3.2</v>
      </c>
      <c r="R488" s="0" t="n">
        <v>7112</v>
      </c>
      <c r="S488" s="0" t="n">
        <v>13606</v>
      </c>
      <c r="T488" s="0" t="n">
        <v>78.85</v>
      </c>
      <c r="U488" s="0" t="n">
        <v>2049</v>
      </c>
      <c r="V488" s="0" t="n">
        <v>3</v>
      </c>
      <c r="W488" s="0" t="str">
        <f aca="false">IF(OR(AND(B488&gt;=1,B488&lt;=6),B488=10),"Vaca em lactação",IF(I488="Male","Macho",IF(E488&gt;=1,"Vaca seca",IF(I488="Youngstock","Bezerra/recria","Novilha"))))</f>
        <v>Vaca em lactação</v>
      </c>
      <c r="X488" s="0" t="str">
        <f aca="false">IF(AND(B488&gt;=1,B488&lt;=6),"Tanque",IF(B488=10,"Descarte",""))</f>
        <v>Tanque</v>
      </c>
    </row>
    <row r="489" customFormat="false" ht="15" hidden="false" customHeight="false" outlineLevel="0" collapsed="false">
      <c r="A489" s="22" t="n">
        <v>46309</v>
      </c>
      <c r="B489" s="0" t="n">
        <v>3</v>
      </c>
      <c r="C489" s="0" t="n">
        <v>2540</v>
      </c>
      <c r="D489" s="0" t="n">
        <v>17</v>
      </c>
      <c r="E489" s="0" t="n">
        <v>6</v>
      </c>
      <c r="F489" s="23" t="s">
        <v>453</v>
      </c>
      <c r="G489" s="0" t="n">
        <v>34</v>
      </c>
      <c r="H489" s="0" t="n">
        <v>36</v>
      </c>
      <c r="I489" s="23" t="s">
        <v>94</v>
      </c>
      <c r="J489" s="0" t="n">
        <v>17</v>
      </c>
      <c r="M489" s="0" t="n">
        <v>904.75</v>
      </c>
      <c r="N489" s="0" t="n">
        <v>40.83</v>
      </c>
      <c r="O489" s="0" t="n">
        <v>24.84</v>
      </c>
      <c r="R489" s="0" t="n">
        <v>3250</v>
      </c>
      <c r="S489" s="0" t="n">
        <v>6533</v>
      </c>
      <c r="U489" s="0" t="n">
        <v>2686</v>
      </c>
      <c r="V489" s="0" t="n">
        <v>0</v>
      </c>
      <c r="W489" s="0" t="str">
        <f aca="false">IF(OR(AND(B489&gt;=1,B489&lt;=6),B489=10),"Vaca em lactação",IF(I489="Male","Macho",IF(E489&gt;=1,"Vaca seca",IF(I489="Youngstock","Bezerra/recria","Novilha"))))</f>
        <v>Vaca em lactação</v>
      </c>
      <c r="X489" s="0" t="str">
        <f aca="false">IF(AND(B489&gt;=1,B489&lt;=6),"Tanque",IF(B489=10,"Descarte",""))</f>
        <v>Tanque</v>
      </c>
    </row>
    <row r="490" customFormat="false" ht="15" hidden="false" customHeight="false" outlineLevel="0" collapsed="false">
      <c r="A490" s="22" t="n">
        <v>46309</v>
      </c>
      <c r="B490" s="0" t="n">
        <v>3</v>
      </c>
      <c r="C490" s="0" t="n">
        <v>2943</v>
      </c>
      <c r="D490" s="0" t="n">
        <v>74</v>
      </c>
      <c r="E490" s="0" t="n">
        <v>4</v>
      </c>
      <c r="F490" s="23" t="s">
        <v>454</v>
      </c>
      <c r="G490" s="0" t="n">
        <v>67.7</v>
      </c>
      <c r="H490" s="0" t="n">
        <v>66</v>
      </c>
      <c r="I490" s="23" t="s">
        <v>97</v>
      </c>
      <c r="J490" s="0" t="n">
        <v>74</v>
      </c>
      <c r="K490" s="0" t="n">
        <v>67</v>
      </c>
      <c r="M490" s="0" t="n">
        <v>118.18</v>
      </c>
      <c r="N490" s="0" t="n">
        <v>48.19</v>
      </c>
      <c r="O490" s="0" t="n">
        <v>17.77</v>
      </c>
      <c r="P490" s="0" t="n">
        <v>4.35</v>
      </c>
      <c r="Q490" s="0" t="n">
        <v>3.4</v>
      </c>
      <c r="R490" s="0" t="n">
        <v>5152</v>
      </c>
      <c r="S490" s="0" t="n">
        <v>10357</v>
      </c>
      <c r="U490" s="0" t="n">
        <v>2325</v>
      </c>
      <c r="V490" s="0" t="n">
        <v>1</v>
      </c>
      <c r="W490" s="0" t="str">
        <f aca="false">IF(OR(AND(B490&gt;=1,B490&lt;=6),B490=10),"Vaca em lactação",IF(I490="Male","Macho",IF(E490&gt;=1,"Vaca seca",IF(I490="Youngstock","Bezerra/recria","Novilha"))))</f>
        <v>Vaca em lactação</v>
      </c>
      <c r="X490" s="0" t="str">
        <f aca="false">IF(AND(B490&gt;=1,B490&lt;=6),"Tanque",IF(B490=10,"Descarte",""))</f>
        <v>Tanque</v>
      </c>
    </row>
    <row r="491" customFormat="false" ht="15" hidden="false" customHeight="false" outlineLevel="0" collapsed="false">
      <c r="A491" s="22" t="n">
        <v>46309</v>
      </c>
      <c r="B491" s="0" t="n">
        <v>3</v>
      </c>
      <c r="C491" s="0" t="n">
        <v>2763</v>
      </c>
      <c r="D491" s="0" t="n">
        <v>160</v>
      </c>
      <c r="E491" s="0" t="n">
        <v>5</v>
      </c>
      <c r="F491" s="23" t="s">
        <v>455</v>
      </c>
      <c r="G491" s="0" t="n">
        <v>57.7</v>
      </c>
      <c r="H491" s="0" t="n">
        <v>56</v>
      </c>
      <c r="I491" s="23" t="s">
        <v>97</v>
      </c>
      <c r="J491" s="0" t="n">
        <v>160</v>
      </c>
      <c r="K491" s="0" t="n">
        <v>69</v>
      </c>
      <c r="M491" s="0" t="n">
        <v>898.98</v>
      </c>
      <c r="N491" s="0" t="n">
        <v>2.52</v>
      </c>
      <c r="O491" s="0" t="n">
        <v>16.87</v>
      </c>
      <c r="P491" s="0" t="n">
        <v>2.92</v>
      </c>
      <c r="Q491" s="0" t="n">
        <v>3.1</v>
      </c>
      <c r="R491" s="0" t="n">
        <v>5351</v>
      </c>
      <c r="S491" s="0" t="n">
        <v>10981</v>
      </c>
      <c r="T491" s="0" t="n">
        <v>70.1</v>
      </c>
      <c r="U491" s="0" t="n">
        <v>2464</v>
      </c>
      <c r="V491" s="0" t="n">
        <v>3</v>
      </c>
      <c r="W491" s="0" t="str">
        <f aca="false">IF(OR(AND(B491&gt;=1,B491&lt;=6),B491=10),"Vaca em lactação",IF(I491="Male","Macho",IF(E491&gt;=1,"Vaca seca",IF(I491="Youngstock","Bezerra/recria","Novilha"))))</f>
        <v>Vaca em lactação</v>
      </c>
      <c r="X491" s="0" t="str">
        <f aca="false">IF(AND(B491&gt;=1,B491&lt;=6),"Tanque",IF(B491=10,"Descarte",""))</f>
        <v>Tanque</v>
      </c>
    </row>
    <row r="492" customFormat="false" ht="15" hidden="false" customHeight="false" outlineLevel="0" collapsed="false">
      <c r="A492" s="22" t="n">
        <v>46309</v>
      </c>
      <c r="B492" s="0" t="n">
        <v>3</v>
      </c>
      <c r="C492" s="0" t="n">
        <v>5404</v>
      </c>
      <c r="D492" s="0" t="n">
        <v>37</v>
      </c>
      <c r="E492" s="0" t="n">
        <v>2</v>
      </c>
      <c r="F492" s="23" t="s">
        <v>456</v>
      </c>
      <c r="G492" s="0" t="n">
        <v>50.6</v>
      </c>
      <c r="H492" s="0" t="n">
        <v>50</v>
      </c>
      <c r="I492" s="23" t="s">
        <v>94</v>
      </c>
      <c r="J492" s="0" t="n">
        <v>37</v>
      </c>
      <c r="M492" s="0" t="n">
        <v>603.79</v>
      </c>
      <c r="N492" s="0" t="n">
        <v>40.61</v>
      </c>
      <c r="O492" s="0" t="n">
        <v>37.2</v>
      </c>
      <c r="P492" s="0" t="n">
        <v>4.58</v>
      </c>
      <c r="Q492" s="0" t="n">
        <v>3.89</v>
      </c>
      <c r="R492" s="0" t="n">
        <v>4259</v>
      </c>
      <c r="S492" s="0" t="n">
        <v>8562</v>
      </c>
      <c r="U492" s="0" t="n">
        <v>941</v>
      </c>
      <c r="V492" s="0" t="n">
        <v>0</v>
      </c>
      <c r="W492" s="0" t="str">
        <f aca="false">IF(OR(AND(B492&gt;=1,B492&lt;=6),B492=10),"Vaca em lactação",IF(I492="Male","Macho",IF(E492&gt;=1,"Vaca seca",IF(I492="Youngstock","Bezerra/recria","Novilha"))))</f>
        <v>Vaca em lactação</v>
      </c>
      <c r="X492" s="0" t="str">
        <f aca="false">IF(AND(B492&gt;=1,B492&lt;=6),"Tanque",IF(B492=10,"Descarte",""))</f>
        <v>Tanque</v>
      </c>
    </row>
    <row r="493" customFormat="false" ht="15" hidden="false" customHeight="false" outlineLevel="0" collapsed="false">
      <c r="A493" s="22" t="n">
        <v>46309</v>
      </c>
      <c r="B493" s="0" t="n">
        <v>3</v>
      </c>
      <c r="C493" s="0" t="n">
        <v>5291</v>
      </c>
      <c r="D493" s="0" t="n">
        <v>24</v>
      </c>
      <c r="E493" s="0" t="n">
        <v>2</v>
      </c>
      <c r="F493" s="23" t="s">
        <v>276</v>
      </c>
      <c r="G493" s="0" t="n">
        <v>54.6</v>
      </c>
      <c r="H493" s="0" t="n">
        <v>53</v>
      </c>
      <c r="I493" s="23" t="s">
        <v>94</v>
      </c>
      <c r="J493" s="0" t="n">
        <v>24</v>
      </c>
      <c r="M493" s="0" t="n">
        <v>347.94</v>
      </c>
      <c r="N493" s="0" t="n">
        <v>28.46</v>
      </c>
      <c r="O493" s="0" t="n">
        <v>20.35</v>
      </c>
      <c r="R493" s="0" t="n">
        <v>5386</v>
      </c>
      <c r="S493" s="0" t="n">
        <v>10827</v>
      </c>
      <c r="U493" s="0" t="n">
        <v>981</v>
      </c>
      <c r="V493" s="0" t="n">
        <v>0</v>
      </c>
      <c r="W493" s="0" t="str">
        <f aca="false">IF(OR(AND(B493&gt;=1,B493&lt;=6),B493=10),"Vaca em lactação",IF(I493="Male","Macho",IF(E493&gt;=1,"Vaca seca",IF(I493="Youngstock","Bezerra/recria","Novilha"))))</f>
        <v>Vaca em lactação</v>
      </c>
      <c r="X493" s="0" t="str">
        <f aca="false">IF(AND(B493&gt;=1,B493&lt;=6),"Tanque",IF(B493=10,"Descarte",""))</f>
        <v>Tanque</v>
      </c>
    </row>
    <row r="494" customFormat="false" ht="15" hidden="false" customHeight="false" outlineLevel="0" collapsed="false">
      <c r="A494" s="22" t="n">
        <v>46309</v>
      </c>
      <c r="B494" s="0" t="n">
        <v>3</v>
      </c>
      <c r="C494" s="0" t="n">
        <v>5302</v>
      </c>
      <c r="D494" s="0" t="n">
        <v>18</v>
      </c>
      <c r="E494" s="0" t="n">
        <v>2</v>
      </c>
      <c r="F494" s="23" t="s">
        <v>457</v>
      </c>
      <c r="G494" s="0" t="n">
        <v>49.9</v>
      </c>
      <c r="H494" s="0" t="n">
        <v>48</v>
      </c>
      <c r="I494" s="23" t="s">
        <v>94</v>
      </c>
      <c r="J494" s="0" t="n">
        <v>18</v>
      </c>
      <c r="M494" s="0" t="n">
        <v>342.98</v>
      </c>
      <c r="N494" s="0" t="n">
        <v>44.2</v>
      </c>
      <c r="O494" s="0" t="n">
        <v>22.75</v>
      </c>
      <c r="R494" s="0" t="n">
        <v>3593</v>
      </c>
      <c r="S494" s="0" t="n">
        <v>7222</v>
      </c>
      <c r="U494" s="0" t="n">
        <v>978</v>
      </c>
      <c r="V494" s="0" t="n">
        <v>0</v>
      </c>
      <c r="W494" s="0" t="str">
        <f aca="false">IF(OR(AND(B494&gt;=1,B494&lt;=6),B494=10),"Vaca em lactação",IF(I494="Male","Macho",IF(E494&gt;=1,"Vaca seca",IF(I494="Youngstock","Bezerra/recria","Novilha"))))</f>
        <v>Vaca em lactação</v>
      </c>
      <c r="X494" s="0" t="str">
        <f aca="false">IF(AND(B494&gt;=1,B494&lt;=6),"Tanque",IF(B494=10,"Descarte",""))</f>
        <v>Tanque</v>
      </c>
    </row>
    <row r="495" customFormat="false" ht="15" hidden="false" customHeight="false" outlineLevel="0" collapsed="false">
      <c r="A495" s="22" t="n">
        <v>46309</v>
      </c>
      <c r="B495" s="0" t="n">
        <v>3</v>
      </c>
      <c r="C495" s="0" t="n">
        <v>5304</v>
      </c>
      <c r="D495" s="0" t="n">
        <v>14</v>
      </c>
      <c r="E495" s="0" t="n">
        <v>2</v>
      </c>
      <c r="F495" s="23" t="s">
        <v>457</v>
      </c>
      <c r="G495" s="0" t="n">
        <v>40.4</v>
      </c>
      <c r="H495" s="0" t="n">
        <v>32</v>
      </c>
      <c r="I495" s="23" t="s">
        <v>94</v>
      </c>
      <c r="J495" s="0" t="n">
        <v>14</v>
      </c>
      <c r="M495" s="0" t="n">
        <v>2553.83</v>
      </c>
      <c r="N495" s="0" t="n">
        <v>41.74</v>
      </c>
      <c r="O495" s="0" t="n">
        <v>57.81</v>
      </c>
      <c r="R495" s="0" t="n">
        <v>2668</v>
      </c>
      <c r="S495" s="0" t="n">
        <v>5363</v>
      </c>
      <c r="U495" s="0" t="n">
        <v>978</v>
      </c>
      <c r="V495" s="0" t="n">
        <v>0</v>
      </c>
      <c r="W495" s="0" t="str">
        <f aca="false">IF(OR(AND(B495&gt;=1,B495&lt;=6),B495=10),"Vaca em lactação",IF(I495="Male","Macho",IF(E495&gt;=1,"Vaca seca",IF(I495="Youngstock","Bezerra/recria","Novilha"))))</f>
        <v>Vaca em lactação</v>
      </c>
      <c r="X495" s="0" t="str">
        <f aca="false">IF(AND(B495&gt;=1,B495&lt;=6),"Tanque",IF(B495=10,"Descarte",""))</f>
        <v>Tanque</v>
      </c>
    </row>
    <row r="496" customFormat="false" ht="15" hidden="false" customHeight="false" outlineLevel="0" collapsed="false">
      <c r="A496" s="22" t="n">
        <v>46309</v>
      </c>
      <c r="B496" s="0" t="n">
        <v>3</v>
      </c>
      <c r="C496" s="0" t="n">
        <v>5303</v>
      </c>
      <c r="D496" s="0" t="n">
        <v>72</v>
      </c>
      <c r="E496" s="0" t="n">
        <v>2</v>
      </c>
      <c r="F496" s="23" t="s">
        <v>457</v>
      </c>
      <c r="G496" s="0" t="n">
        <v>53</v>
      </c>
      <c r="H496" s="0" t="n">
        <v>50</v>
      </c>
      <c r="I496" s="23" t="s">
        <v>97</v>
      </c>
      <c r="J496" s="0" t="n">
        <v>72</v>
      </c>
      <c r="K496" s="0" t="n">
        <v>65</v>
      </c>
      <c r="M496" s="0" t="n">
        <v>530.38</v>
      </c>
      <c r="N496" s="0" t="n">
        <v>68.94</v>
      </c>
      <c r="O496" s="0" t="n">
        <v>32.7</v>
      </c>
      <c r="P496" s="0" t="n">
        <v>4.09</v>
      </c>
      <c r="Q496" s="0" t="n">
        <v>3.33</v>
      </c>
      <c r="R496" s="0" t="n">
        <v>4216</v>
      </c>
      <c r="S496" s="0" t="n">
        <v>8475</v>
      </c>
      <c r="U496" s="0" t="n">
        <v>978</v>
      </c>
      <c r="V496" s="0" t="n">
        <v>1</v>
      </c>
      <c r="W496" s="0" t="str">
        <f aca="false">IF(OR(AND(B496&gt;=1,B496&lt;=6),B496=10),"Vaca em lactação",IF(I496="Male","Macho",IF(E496&gt;=1,"Vaca seca",IF(I496="Youngstock","Bezerra/recria","Novilha"))))</f>
        <v>Vaca em lactação</v>
      </c>
      <c r="X496" s="0" t="str">
        <f aca="false">IF(AND(B496&gt;=1,B496&lt;=6),"Tanque",IF(B496=10,"Descarte",""))</f>
        <v>Tanque</v>
      </c>
    </row>
    <row r="497" customFormat="false" ht="15" hidden="false" customHeight="false" outlineLevel="0" collapsed="false">
      <c r="A497" s="22" t="n">
        <v>46309</v>
      </c>
      <c r="B497" s="0" t="n">
        <v>3</v>
      </c>
      <c r="C497" s="0" t="n">
        <v>5065</v>
      </c>
      <c r="D497" s="0" t="n">
        <v>47</v>
      </c>
      <c r="E497" s="0" t="n">
        <v>2</v>
      </c>
      <c r="F497" s="23" t="s">
        <v>458</v>
      </c>
      <c r="G497" s="0" t="n">
        <v>54.4</v>
      </c>
      <c r="H497" s="0" t="n">
        <v>54</v>
      </c>
      <c r="I497" s="23" t="s">
        <v>94</v>
      </c>
      <c r="J497" s="0" t="n">
        <v>47</v>
      </c>
      <c r="M497" s="0" t="n">
        <v>-163.64</v>
      </c>
      <c r="N497" s="0" t="n">
        <v>56.29</v>
      </c>
      <c r="O497" s="0" t="n">
        <v>18.82</v>
      </c>
      <c r="P497" s="0" t="n">
        <v>3.9</v>
      </c>
      <c r="Q497" s="0" t="n">
        <v>3.73</v>
      </c>
      <c r="R497" s="0" t="n">
        <v>4399</v>
      </c>
      <c r="S497" s="0" t="n">
        <v>8843</v>
      </c>
      <c r="U497" s="0" t="n">
        <v>1078</v>
      </c>
      <c r="V497" s="0" t="n">
        <v>0</v>
      </c>
      <c r="W497" s="0" t="str">
        <f aca="false">IF(OR(AND(B497&gt;=1,B497&lt;=6),B497=10),"Vaca em lactação",IF(I497="Male","Macho",IF(E497&gt;=1,"Vaca seca",IF(I497="Youngstock","Bezerra/recria","Novilha"))))</f>
        <v>Vaca em lactação</v>
      </c>
      <c r="X497" s="0" t="str">
        <f aca="false">IF(AND(B497&gt;=1,B497&lt;=6),"Tanque",IF(B497=10,"Descarte",""))</f>
        <v>Tanque</v>
      </c>
    </row>
    <row r="498" customFormat="false" ht="15" hidden="false" customHeight="false" outlineLevel="0" collapsed="false">
      <c r="A498" s="22" t="n">
        <v>46309</v>
      </c>
      <c r="B498" s="0" t="n">
        <v>3</v>
      </c>
      <c r="C498" s="0" t="n">
        <v>5044</v>
      </c>
      <c r="D498" s="0" t="n">
        <v>111</v>
      </c>
      <c r="E498" s="0" t="n">
        <v>2</v>
      </c>
      <c r="F498" s="23" t="s">
        <v>459</v>
      </c>
      <c r="G498" s="0" t="n">
        <v>65.7</v>
      </c>
      <c r="H498" s="0" t="n">
        <v>63</v>
      </c>
      <c r="I498" s="23" t="s">
        <v>92</v>
      </c>
      <c r="J498" s="0" t="n">
        <v>62</v>
      </c>
      <c r="K498" s="0" t="n">
        <v>69</v>
      </c>
      <c r="L498" s="0" t="n">
        <v>49</v>
      </c>
      <c r="M498" s="0" t="n">
        <v>1672.69</v>
      </c>
      <c r="N498" s="0" t="n">
        <v>43.31</v>
      </c>
      <c r="O498" s="0" t="n">
        <v>42.9</v>
      </c>
      <c r="P498" s="0" t="n">
        <v>3.8</v>
      </c>
      <c r="Q498" s="0" t="n">
        <v>2.94</v>
      </c>
      <c r="R498" s="0" t="n">
        <v>5089</v>
      </c>
      <c r="S498" s="0" t="n">
        <v>10407</v>
      </c>
      <c r="T498" s="0" t="n">
        <v>59.7</v>
      </c>
      <c r="U498" s="0" t="n">
        <v>1090</v>
      </c>
      <c r="V498" s="0" t="n">
        <v>1</v>
      </c>
      <c r="W498" s="0" t="str">
        <f aca="false">IF(OR(AND(B498&gt;=1,B498&lt;=6),B498=10),"Vaca em lactação",IF(I498="Male","Macho",IF(E498&gt;=1,"Vaca seca",IF(I498="Youngstock","Bezerra/recria","Novilha"))))</f>
        <v>Vaca em lactação</v>
      </c>
      <c r="X498" s="0" t="str">
        <f aca="false">IF(AND(B498&gt;=1,B498&lt;=6),"Tanque",IF(B498=10,"Descarte",""))</f>
        <v>Tanque</v>
      </c>
    </row>
    <row r="499" customFormat="false" ht="15" hidden="false" customHeight="false" outlineLevel="0" collapsed="false">
      <c r="A499" s="22" t="n">
        <v>46309</v>
      </c>
      <c r="B499" s="0" t="n">
        <v>3</v>
      </c>
      <c r="C499" s="0" t="n">
        <v>5043</v>
      </c>
      <c r="D499" s="0" t="n">
        <v>60</v>
      </c>
      <c r="E499" s="0" t="n">
        <v>2</v>
      </c>
      <c r="F499" s="23" t="s">
        <v>460</v>
      </c>
      <c r="G499" s="0" t="n">
        <v>71.9</v>
      </c>
      <c r="H499" s="0" t="n">
        <v>67</v>
      </c>
      <c r="I499" s="23" t="s">
        <v>94</v>
      </c>
      <c r="J499" s="0" t="n">
        <v>60</v>
      </c>
      <c r="M499" s="0" t="n">
        <v>466.36</v>
      </c>
      <c r="N499" s="0" t="n">
        <v>32.08</v>
      </c>
      <c r="O499" s="0" t="n">
        <v>19.43</v>
      </c>
      <c r="P499" s="0" t="n">
        <v>2.96</v>
      </c>
      <c r="Q499" s="0" t="n">
        <v>3.05</v>
      </c>
      <c r="R499" s="0" t="n">
        <v>5707</v>
      </c>
      <c r="S499" s="0" t="n">
        <v>11472</v>
      </c>
      <c r="U499" s="0" t="n">
        <v>1091</v>
      </c>
      <c r="V499" s="0" t="n">
        <v>0</v>
      </c>
      <c r="W499" s="0" t="str">
        <f aca="false">IF(OR(AND(B499&gt;=1,B499&lt;=6),B499=10),"Vaca em lactação",IF(I499="Male","Macho",IF(E499&gt;=1,"Vaca seca",IF(I499="Youngstock","Bezerra/recria","Novilha"))))</f>
        <v>Vaca em lactação</v>
      </c>
      <c r="X499" s="0" t="str">
        <f aca="false">IF(AND(B499&gt;=1,B499&lt;=6),"Tanque",IF(B499=10,"Descarte",""))</f>
        <v>Tanque</v>
      </c>
    </row>
    <row r="500" customFormat="false" ht="15" hidden="false" customHeight="false" outlineLevel="0" collapsed="false">
      <c r="A500" s="22" t="n">
        <v>46309</v>
      </c>
      <c r="B500" s="0" t="n">
        <v>3</v>
      </c>
      <c r="C500" s="0" t="n">
        <v>5116</v>
      </c>
      <c r="D500" s="0" t="n">
        <v>54</v>
      </c>
      <c r="E500" s="0" t="n">
        <v>2</v>
      </c>
      <c r="F500" s="23" t="s">
        <v>461</v>
      </c>
      <c r="G500" s="0" t="n">
        <v>61.8</v>
      </c>
      <c r="H500" s="0" t="n">
        <v>55</v>
      </c>
      <c r="I500" s="23" t="s">
        <v>94</v>
      </c>
      <c r="J500" s="0" t="n">
        <v>54</v>
      </c>
      <c r="M500" s="0" t="n">
        <v>677.55</v>
      </c>
      <c r="N500" s="0" t="n">
        <v>32.14</v>
      </c>
      <c r="O500" s="0" t="n">
        <v>27.51</v>
      </c>
      <c r="P500" s="0" t="n">
        <v>3.49</v>
      </c>
      <c r="Q500" s="0" t="n">
        <v>3.22</v>
      </c>
      <c r="R500" s="0" t="n">
        <v>5511</v>
      </c>
      <c r="S500" s="0" t="n">
        <v>11079</v>
      </c>
      <c r="U500" s="0" t="n">
        <v>1058</v>
      </c>
      <c r="V500" s="0" t="n">
        <v>0</v>
      </c>
      <c r="W500" s="0" t="str">
        <f aca="false">IF(OR(AND(B500&gt;=1,B500&lt;=6),B500=10),"Vaca em lactação",IF(I500="Male","Macho",IF(E500&gt;=1,"Vaca seca",IF(I500="Youngstock","Bezerra/recria","Novilha"))))</f>
        <v>Vaca em lactação</v>
      </c>
      <c r="X500" s="0" t="str">
        <f aca="false">IF(AND(B500&gt;=1,B500&lt;=6),"Tanque",IF(B500=10,"Descarte",""))</f>
        <v>Tanque</v>
      </c>
    </row>
    <row r="501" customFormat="false" ht="15" hidden="false" customHeight="false" outlineLevel="0" collapsed="false">
      <c r="A501" s="22" t="n">
        <v>46309</v>
      </c>
      <c r="B501" s="0" t="n">
        <v>3</v>
      </c>
      <c r="C501" s="0" t="n">
        <v>5083</v>
      </c>
      <c r="D501" s="0" t="n">
        <v>109</v>
      </c>
      <c r="E501" s="0" t="n">
        <v>2</v>
      </c>
      <c r="F501" s="23" t="s">
        <v>462</v>
      </c>
      <c r="G501" s="0" t="n">
        <v>56.6</v>
      </c>
      <c r="H501" s="0" t="n">
        <v>65</v>
      </c>
      <c r="I501" s="23" t="s">
        <v>109</v>
      </c>
      <c r="J501" s="0" t="n">
        <v>109</v>
      </c>
      <c r="K501" s="0" t="n">
        <v>67</v>
      </c>
      <c r="M501" s="0" t="n">
        <v>917.25</v>
      </c>
      <c r="N501" s="0" t="n">
        <v>40.95</v>
      </c>
      <c r="O501" s="0" t="n">
        <v>36.17</v>
      </c>
      <c r="P501" s="0" t="n">
        <v>3.59</v>
      </c>
      <c r="Q501" s="0" t="n">
        <v>3.09</v>
      </c>
      <c r="R501" s="0" t="n">
        <v>6448</v>
      </c>
      <c r="S501" s="0" t="n">
        <v>13038</v>
      </c>
      <c r="T501" s="0" t="n">
        <v>72.95</v>
      </c>
      <c r="U501" s="0" t="n">
        <v>1069</v>
      </c>
      <c r="V501" s="0" t="n">
        <v>1</v>
      </c>
      <c r="W501" s="0" t="str">
        <f aca="false">IF(OR(AND(B501&gt;=1,B501&lt;=6),B501=10),"Vaca em lactação",IF(I501="Male","Macho",IF(E501&gt;=1,"Vaca seca",IF(I501="Youngstock","Bezerra/recria","Novilha"))))</f>
        <v>Vaca em lactação</v>
      </c>
      <c r="X501" s="0" t="str">
        <f aca="false">IF(AND(B501&gt;=1,B501&lt;=6),"Tanque",IF(B501=10,"Descarte",""))</f>
        <v>Tanque</v>
      </c>
    </row>
    <row r="502" customFormat="false" ht="15" hidden="false" customHeight="false" outlineLevel="0" collapsed="false">
      <c r="A502" s="22" t="n">
        <v>46309</v>
      </c>
      <c r="B502" s="0" t="n">
        <v>3</v>
      </c>
      <c r="C502" s="0" t="n">
        <v>5093</v>
      </c>
      <c r="D502" s="0" t="n">
        <v>26</v>
      </c>
      <c r="E502" s="0" t="n">
        <v>2</v>
      </c>
      <c r="F502" s="23" t="s">
        <v>282</v>
      </c>
      <c r="G502" s="0" t="n">
        <v>36.7</v>
      </c>
      <c r="H502" s="0" t="n">
        <v>34</v>
      </c>
      <c r="I502" s="23" t="s">
        <v>94</v>
      </c>
      <c r="J502" s="0" t="n">
        <v>26</v>
      </c>
      <c r="M502" s="0" t="n">
        <v>968.85</v>
      </c>
      <c r="N502" s="0" t="n">
        <v>41.43</v>
      </c>
      <c r="O502" s="0" t="n">
        <v>35.34</v>
      </c>
      <c r="R502" s="0" t="n">
        <v>2165</v>
      </c>
      <c r="S502" s="0" t="n">
        <v>4352</v>
      </c>
      <c r="U502" s="0" t="n">
        <v>1067</v>
      </c>
      <c r="V502" s="0" t="n">
        <v>0</v>
      </c>
      <c r="W502" s="0" t="str">
        <f aca="false">IF(OR(AND(B502&gt;=1,B502&lt;=6),B502=10),"Vaca em lactação",IF(I502="Male","Macho",IF(E502&gt;=1,"Vaca seca",IF(I502="Youngstock","Bezerra/recria","Novilha"))))</f>
        <v>Vaca em lactação</v>
      </c>
      <c r="X502" s="0" t="str">
        <f aca="false">IF(AND(B502&gt;=1,B502&lt;=6),"Tanque",IF(B502=10,"Descarte",""))</f>
        <v>Tanque</v>
      </c>
    </row>
    <row r="503" customFormat="false" ht="15" hidden="false" customHeight="false" outlineLevel="0" collapsed="false">
      <c r="A503" s="22" t="n">
        <v>46309</v>
      </c>
      <c r="B503" s="0" t="n">
        <v>3</v>
      </c>
      <c r="C503" s="0" t="n">
        <v>4997</v>
      </c>
      <c r="D503" s="0" t="n">
        <v>127</v>
      </c>
      <c r="E503" s="0" t="n">
        <v>2</v>
      </c>
      <c r="F503" s="23" t="s">
        <v>283</v>
      </c>
      <c r="G503" s="0" t="n">
        <v>53.2</v>
      </c>
      <c r="H503" s="0" t="n">
        <v>56</v>
      </c>
      <c r="I503" s="23" t="s">
        <v>109</v>
      </c>
      <c r="J503" s="0" t="n">
        <v>127</v>
      </c>
      <c r="K503" s="0" t="n">
        <v>64</v>
      </c>
      <c r="M503" s="0" t="n">
        <v>430.86</v>
      </c>
      <c r="N503" s="0" t="n">
        <v>69.71</v>
      </c>
      <c r="O503" s="0" t="n">
        <v>24.25</v>
      </c>
      <c r="P503" s="0" t="n">
        <v>3.5</v>
      </c>
      <c r="Q503" s="0" t="n">
        <v>3.25</v>
      </c>
      <c r="R503" s="0" t="n">
        <v>4993</v>
      </c>
      <c r="S503" s="0" t="n">
        <v>10427</v>
      </c>
      <c r="T503" s="0" t="n">
        <v>51.8</v>
      </c>
      <c r="U503" s="0" t="n">
        <v>1120</v>
      </c>
      <c r="V503" s="0" t="n">
        <v>2</v>
      </c>
      <c r="W503" s="0" t="str">
        <f aca="false">IF(OR(AND(B503&gt;=1,B503&lt;=6),B503=10),"Vaca em lactação",IF(I503="Male","Macho",IF(E503&gt;=1,"Vaca seca",IF(I503="Youngstock","Bezerra/recria","Novilha"))))</f>
        <v>Vaca em lactação</v>
      </c>
      <c r="X503" s="0" t="str">
        <f aca="false">IF(AND(B503&gt;=1,B503&lt;=6),"Tanque",IF(B503=10,"Descarte",""))</f>
        <v>Tanque</v>
      </c>
    </row>
    <row r="504" customFormat="false" ht="15" hidden="false" customHeight="false" outlineLevel="0" collapsed="false">
      <c r="A504" s="22" t="n">
        <v>46309</v>
      </c>
      <c r="B504" s="0" t="n">
        <v>3</v>
      </c>
      <c r="C504" s="0" t="n">
        <v>4999</v>
      </c>
      <c r="D504" s="0" t="n">
        <v>30</v>
      </c>
      <c r="E504" s="0" t="n">
        <v>2</v>
      </c>
      <c r="F504" s="23" t="s">
        <v>463</v>
      </c>
      <c r="G504" s="0" t="n">
        <v>61.9</v>
      </c>
      <c r="H504" s="0" t="n">
        <v>57</v>
      </c>
      <c r="I504" s="23" t="s">
        <v>94</v>
      </c>
      <c r="J504" s="0" t="n">
        <v>30</v>
      </c>
      <c r="M504" s="0" t="n">
        <v>1544.15</v>
      </c>
      <c r="N504" s="0" t="n">
        <v>37.68</v>
      </c>
      <c r="O504" s="0" t="n">
        <v>38.8</v>
      </c>
      <c r="P504" s="0" t="n">
        <v>4.57</v>
      </c>
      <c r="Q504" s="0" t="n">
        <v>4.29</v>
      </c>
      <c r="R504" s="0" t="n">
        <v>4488</v>
      </c>
      <c r="S504" s="0" t="n">
        <v>9021</v>
      </c>
      <c r="U504" s="0" t="n">
        <v>1119</v>
      </c>
      <c r="V504" s="0" t="n">
        <v>0</v>
      </c>
      <c r="W504" s="0" t="str">
        <f aca="false">IF(OR(AND(B504&gt;=1,B504&lt;=6),B504=10),"Vaca em lactação",IF(I504="Male","Macho",IF(E504&gt;=1,"Vaca seca",IF(I504="Youngstock","Bezerra/recria","Novilha"))))</f>
        <v>Vaca em lactação</v>
      </c>
      <c r="X504" s="0" t="str">
        <f aca="false">IF(AND(B504&gt;=1,B504&lt;=6),"Tanque",IF(B504=10,"Descarte",""))</f>
        <v>Tanque</v>
      </c>
    </row>
    <row r="505" customFormat="false" ht="15" hidden="false" customHeight="false" outlineLevel="0" collapsed="false">
      <c r="A505" s="22" t="n">
        <v>46309</v>
      </c>
      <c r="B505" s="0" t="n">
        <v>3</v>
      </c>
      <c r="C505" s="0" t="n">
        <v>5005</v>
      </c>
      <c r="D505" s="0" t="n">
        <v>32</v>
      </c>
      <c r="E505" s="0" t="n">
        <v>2</v>
      </c>
      <c r="F505" s="23" t="s">
        <v>284</v>
      </c>
      <c r="G505" s="0" t="n">
        <v>59.3</v>
      </c>
      <c r="H505" s="0" t="n">
        <v>55</v>
      </c>
      <c r="I505" s="23" t="s">
        <v>94</v>
      </c>
      <c r="J505" s="0" t="n">
        <v>32</v>
      </c>
      <c r="M505" s="0" t="n">
        <v>341.82</v>
      </c>
      <c r="N505" s="0" t="n">
        <v>96.86</v>
      </c>
      <c r="O505" s="0" t="n">
        <v>36.51</v>
      </c>
      <c r="P505" s="0" t="n">
        <v>5.33</v>
      </c>
      <c r="Q505" s="0" t="n">
        <v>4.11</v>
      </c>
      <c r="R505" s="0" t="n">
        <v>5094</v>
      </c>
      <c r="S505" s="0" t="n">
        <v>10239</v>
      </c>
      <c r="U505" s="0" t="n">
        <v>1117</v>
      </c>
      <c r="V505" s="0" t="n">
        <v>0</v>
      </c>
      <c r="W505" s="0" t="str">
        <f aca="false">IF(OR(AND(B505&gt;=1,B505&lt;=6),B505=10),"Vaca em lactação",IF(I505="Male","Macho",IF(E505&gt;=1,"Vaca seca",IF(I505="Youngstock","Bezerra/recria","Novilha"))))</f>
        <v>Vaca em lactação</v>
      </c>
      <c r="X505" s="0" t="str">
        <f aca="false">IF(AND(B505&gt;=1,B505&lt;=6),"Tanque",IF(B505=10,"Descarte",""))</f>
        <v>Tanque</v>
      </c>
    </row>
    <row r="506" customFormat="false" ht="15" hidden="false" customHeight="false" outlineLevel="0" collapsed="false">
      <c r="A506" s="22" t="n">
        <v>46309</v>
      </c>
      <c r="B506" s="0" t="n">
        <v>3</v>
      </c>
      <c r="C506" s="0" t="n">
        <v>5013</v>
      </c>
      <c r="D506" s="0" t="n">
        <v>144</v>
      </c>
      <c r="E506" s="0" t="n">
        <v>2</v>
      </c>
      <c r="F506" s="23" t="s">
        <v>287</v>
      </c>
      <c r="G506" s="0" t="n">
        <v>54.3</v>
      </c>
      <c r="H506" s="0" t="n">
        <v>56</v>
      </c>
      <c r="I506" s="23" t="s">
        <v>92</v>
      </c>
      <c r="J506" s="0" t="n">
        <v>67</v>
      </c>
      <c r="K506" s="0" t="n">
        <v>67</v>
      </c>
      <c r="L506" s="0" t="n">
        <v>77</v>
      </c>
      <c r="M506" s="0" t="n">
        <v>693.43</v>
      </c>
      <c r="N506" s="0" t="n">
        <v>60.61</v>
      </c>
      <c r="O506" s="0" t="n">
        <v>23.19</v>
      </c>
      <c r="P506" s="0" t="n">
        <v>3.47</v>
      </c>
      <c r="Q506" s="0" t="n">
        <v>3.02</v>
      </c>
      <c r="R506" s="0" t="n">
        <v>4858</v>
      </c>
      <c r="S506" s="0" t="n">
        <v>10371</v>
      </c>
      <c r="T506" s="0" t="n">
        <v>55.8</v>
      </c>
      <c r="U506" s="0" t="n">
        <v>1113</v>
      </c>
      <c r="V506" s="0" t="n">
        <v>1</v>
      </c>
      <c r="W506" s="0" t="str">
        <f aca="false">IF(OR(AND(B506&gt;=1,B506&lt;=6),B506=10),"Vaca em lactação",IF(I506="Male","Macho",IF(E506&gt;=1,"Vaca seca",IF(I506="Youngstock","Bezerra/recria","Novilha"))))</f>
        <v>Vaca em lactação</v>
      </c>
      <c r="X506" s="0" t="str">
        <f aca="false">IF(AND(B506&gt;=1,B506&lt;=6),"Tanque",IF(B506=10,"Descarte",""))</f>
        <v>Tanque</v>
      </c>
    </row>
    <row r="507" customFormat="false" ht="15" hidden="false" customHeight="false" outlineLevel="0" collapsed="false">
      <c r="A507" s="22" t="n">
        <v>46309</v>
      </c>
      <c r="B507" s="0" t="n">
        <v>3</v>
      </c>
      <c r="C507" s="0" t="n">
        <v>5007</v>
      </c>
      <c r="D507" s="0" t="n">
        <v>106</v>
      </c>
      <c r="E507" s="0" t="n">
        <v>2</v>
      </c>
      <c r="F507" s="23" t="s">
        <v>464</v>
      </c>
      <c r="G507" s="0" t="n">
        <v>60.6</v>
      </c>
      <c r="H507" s="0" t="n">
        <v>56</v>
      </c>
      <c r="I507" s="23" t="s">
        <v>109</v>
      </c>
      <c r="J507" s="0" t="n">
        <v>106</v>
      </c>
      <c r="K507" s="0" t="n">
        <v>64</v>
      </c>
      <c r="M507" s="0" t="n">
        <v>1337.39</v>
      </c>
      <c r="N507" s="0" t="n">
        <v>35.5</v>
      </c>
      <c r="O507" s="0" t="n">
        <v>38.3</v>
      </c>
      <c r="P507" s="0" t="n">
        <v>3.11</v>
      </c>
      <c r="Q507" s="0" t="n">
        <v>3.29</v>
      </c>
      <c r="R507" s="0" t="n">
        <v>4971</v>
      </c>
      <c r="S507" s="0" t="n">
        <v>10076</v>
      </c>
      <c r="T507" s="0" t="n">
        <v>55.65</v>
      </c>
      <c r="U507" s="0" t="n">
        <v>1115</v>
      </c>
      <c r="V507" s="0" t="n">
        <v>1</v>
      </c>
      <c r="W507" s="0" t="str">
        <f aca="false">IF(OR(AND(B507&gt;=1,B507&lt;=6),B507=10),"Vaca em lactação",IF(I507="Male","Macho",IF(E507&gt;=1,"Vaca seca",IF(I507="Youngstock","Bezerra/recria","Novilha"))))</f>
        <v>Vaca em lactação</v>
      </c>
      <c r="X507" s="0" t="str">
        <f aca="false">IF(AND(B507&gt;=1,B507&lt;=6),"Tanque",IF(B507=10,"Descarte",""))</f>
        <v>Tanque</v>
      </c>
    </row>
    <row r="508" customFormat="false" ht="15" hidden="false" customHeight="false" outlineLevel="0" collapsed="false">
      <c r="A508" s="22" t="n">
        <v>46309</v>
      </c>
      <c r="B508" s="0" t="n">
        <v>3</v>
      </c>
      <c r="C508" s="0" t="n">
        <v>4986</v>
      </c>
      <c r="D508" s="0" t="n">
        <v>66</v>
      </c>
      <c r="E508" s="0" t="n">
        <v>2</v>
      </c>
      <c r="F508" s="23" t="s">
        <v>465</v>
      </c>
      <c r="G508" s="0" t="n">
        <v>56.4</v>
      </c>
      <c r="H508" s="0" t="n">
        <v>55</v>
      </c>
      <c r="I508" s="23" t="s">
        <v>109</v>
      </c>
      <c r="J508" s="0" t="n">
        <v>66</v>
      </c>
      <c r="M508" s="0" t="n">
        <v>1589.87</v>
      </c>
      <c r="N508" s="0" t="n">
        <v>48.66</v>
      </c>
      <c r="O508" s="0" t="n">
        <v>46.41</v>
      </c>
      <c r="P508" s="0" t="n">
        <v>3.02</v>
      </c>
      <c r="Q508" s="0" t="n">
        <v>3.65</v>
      </c>
      <c r="R508" s="0" t="n">
        <v>4765</v>
      </c>
      <c r="S508" s="0" t="n">
        <v>9580</v>
      </c>
      <c r="U508" s="0" t="n">
        <v>1125</v>
      </c>
      <c r="V508" s="0" t="n">
        <v>0</v>
      </c>
      <c r="W508" s="0" t="str">
        <f aca="false">IF(OR(AND(B508&gt;=1,B508&lt;=6),B508=10),"Vaca em lactação",IF(I508="Male","Macho",IF(E508&gt;=1,"Vaca seca",IF(I508="Youngstock","Bezerra/recria","Novilha"))))</f>
        <v>Vaca em lactação</v>
      </c>
      <c r="X508" s="0" t="str">
        <f aca="false">IF(AND(B508&gt;=1,B508&lt;=6),"Tanque",IF(B508=10,"Descarte",""))</f>
        <v>Tanque</v>
      </c>
    </row>
    <row r="509" customFormat="false" ht="15" hidden="false" customHeight="false" outlineLevel="0" collapsed="false">
      <c r="A509" s="22" t="n">
        <v>46309</v>
      </c>
      <c r="B509" s="0" t="n">
        <v>3</v>
      </c>
      <c r="C509" s="0" t="n">
        <v>5033</v>
      </c>
      <c r="D509" s="0" t="n">
        <v>34</v>
      </c>
      <c r="E509" s="0" t="n">
        <v>2</v>
      </c>
      <c r="F509" s="23" t="s">
        <v>466</v>
      </c>
      <c r="G509" s="0" t="n">
        <v>56.1</v>
      </c>
      <c r="H509" s="0" t="n">
        <v>55</v>
      </c>
      <c r="I509" s="23" t="s">
        <v>94</v>
      </c>
      <c r="J509" s="0" t="n">
        <v>34</v>
      </c>
      <c r="M509" s="0" t="n">
        <v>786.16</v>
      </c>
      <c r="N509" s="0" t="n">
        <v>33.47</v>
      </c>
      <c r="O509" s="0" t="n">
        <v>26.94</v>
      </c>
      <c r="P509" s="0" t="n">
        <v>4.99</v>
      </c>
      <c r="Q509" s="0" t="n">
        <v>4.18</v>
      </c>
      <c r="R509" s="0" t="n">
        <v>4257</v>
      </c>
      <c r="S509" s="0" t="n">
        <v>8558</v>
      </c>
      <c r="U509" s="0" t="n">
        <v>1099</v>
      </c>
      <c r="V509" s="0" t="n">
        <v>0</v>
      </c>
      <c r="W509" s="0" t="str">
        <f aca="false">IF(OR(AND(B509&gt;=1,B509&lt;=6),B509=10),"Vaca em lactação",IF(I509="Male","Macho",IF(E509&gt;=1,"Vaca seca",IF(I509="Youngstock","Bezerra/recria","Novilha"))))</f>
        <v>Vaca em lactação</v>
      </c>
      <c r="X509" s="0" t="str">
        <f aca="false">IF(AND(B509&gt;=1,B509&lt;=6),"Tanque",IF(B509=10,"Descarte",""))</f>
        <v>Tanque</v>
      </c>
    </row>
    <row r="510" customFormat="false" ht="15" hidden="false" customHeight="false" outlineLevel="0" collapsed="false">
      <c r="A510" s="22" t="n">
        <v>46309</v>
      </c>
      <c r="B510" s="0" t="n">
        <v>3</v>
      </c>
      <c r="C510" s="0" t="n">
        <v>5040</v>
      </c>
      <c r="D510" s="0" t="n">
        <v>115</v>
      </c>
      <c r="E510" s="0" t="n">
        <v>2</v>
      </c>
      <c r="F510" s="23" t="s">
        <v>467</v>
      </c>
      <c r="G510" s="0" t="n">
        <v>53.6</v>
      </c>
      <c r="H510" s="0" t="n">
        <v>51</v>
      </c>
      <c r="I510" s="23" t="s">
        <v>97</v>
      </c>
      <c r="J510" s="0" t="n">
        <v>115</v>
      </c>
      <c r="K510" s="0" t="n">
        <v>66</v>
      </c>
      <c r="M510" s="0" t="n">
        <v>792.9</v>
      </c>
      <c r="N510" s="0" t="n">
        <v>44.78</v>
      </c>
      <c r="O510" s="0" t="n">
        <v>22.49</v>
      </c>
      <c r="P510" s="0" t="n">
        <v>5.1</v>
      </c>
      <c r="Q510" s="0" t="n">
        <v>3.06</v>
      </c>
      <c r="R510" s="0" t="n">
        <v>5115</v>
      </c>
      <c r="S510" s="0" t="n">
        <v>10296</v>
      </c>
      <c r="T510" s="0" t="n">
        <v>56.55</v>
      </c>
      <c r="U510" s="0" t="n">
        <v>1092</v>
      </c>
      <c r="V510" s="0" t="n">
        <v>3</v>
      </c>
      <c r="W510" s="0" t="str">
        <f aca="false">IF(OR(AND(B510&gt;=1,B510&lt;=6),B510=10),"Vaca em lactação",IF(I510="Male","Macho",IF(E510&gt;=1,"Vaca seca",IF(I510="Youngstock","Bezerra/recria","Novilha"))))</f>
        <v>Vaca em lactação</v>
      </c>
      <c r="X510" s="0" t="str">
        <f aca="false">IF(AND(B510&gt;=1,B510&lt;=6),"Tanque",IF(B510=10,"Descarte",""))</f>
        <v>Tanque</v>
      </c>
    </row>
    <row r="511" customFormat="false" ht="15" hidden="false" customHeight="false" outlineLevel="0" collapsed="false">
      <c r="A511" s="22" t="n">
        <v>46309</v>
      </c>
      <c r="B511" s="0" t="n">
        <v>3</v>
      </c>
      <c r="C511" s="0" t="n">
        <v>5039</v>
      </c>
      <c r="D511" s="0" t="n">
        <v>109</v>
      </c>
      <c r="E511" s="0" t="n">
        <v>2</v>
      </c>
      <c r="F511" s="23" t="s">
        <v>468</v>
      </c>
      <c r="G511" s="0" t="n">
        <v>50.9</v>
      </c>
      <c r="H511" s="0" t="n">
        <v>51</v>
      </c>
      <c r="I511" s="23" t="s">
        <v>92</v>
      </c>
      <c r="J511" s="0" t="n">
        <v>67</v>
      </c>
      <c r="K511" s="0" t="n">
        <v>67</v>
      </c>
      <c r="L511" s="0" t="n">
        <v>42</v>
      </c>
      <c r="M511" s="0" t="n">
        <v>319.9</v>
      </c>
      <c r="N511" s="0" t="n">
        <v>39.2</v>
      </c>
      <c r="O511" s="0" t="n">
        <v>18.83</v>
      </c>
      <c r="P511" s="0" t="n">
        <v>4.22</v>
      </c>
      <c r="Q511" s="0" t="n">
        <v>3.22</v>
      </c>
      <c r="R511" s="0" t="n">
        <v>4668</v>
      </c>
      <c r="S511" s="0" t="n">
        <v>9460</v>
      </c>
      <c r="T511" s="0" t="n">
        <v>53.25</v>
      </c>
      <c r="U511" s="0" t="n">
        <v>1093</v>
      </c>
      <c r="V511" s="0" t="n">
        <v>1</v>
      </c>
      <c r="W511" s="0" t="str">
        <f aca="false">IF(OR(AND(B511&gt;=1,B511&lt;=6),B511=10),"Vaca em lactação",IF(I511="Male","Macho",IF(E511&gt;=1,"Vaca seca",IF(I511="Youngstock","Bezerra/recria","Novilha"))))</f>
        <v>Vaca em lactação</v>
      </c>
      <c r="X511" s="0" t="str">
        <f aca="false">IF(AND(B511&gt;=1,B511&lt;=6),"Tanque",IF(B511=10,"Descarte",""))</f>
        <v>Tanque</v>
      </c>
    </row>
    <row r="512" customFormat="false" ht="15" hidden="false" customHeight="false" outlineLevel="0" collapsed="false">
      <c r="A512" s="22" t="n">
        <v>46309</v>
      </c>
      <c r="B512" s="0" t="n">
        <v>3</v>
      </c>
      <c r="C512" s="0" t="n">
        <v>5015</v>
      </c>
      <c r="D512" s="0" t="n">
        <v>59</v>
      </c>
      <c r="E512" s="0" t="n">
        <v>2</v>
      </c>
      <c r="F512" s="23" t="s">
        <v>469</v>
      </c>
      <c r="G512" s="0" t="n">
        <v>63.2</v>
      </c>
      <c r="H512" s="0" t="n">
        <v>63</v>
      </c>
      <c r="I512" s="23" t="s">
        <v>97</v>
      </c>
      <c r="J512" s="0" t="n">
        <v>59</v>
      </c>
      <c r="K512" s="0" t="n">
        <v>56</v>
      </c>
      <c r="M512" s="0" t="n">
        <v>1346.21</v>
      </c>
      <c r="N512" s="0" t="n">
        <v>43.07</v>
      </c>
      <c r="O512" s="0" t="n">
        <v>37.02</v>
      </c>
      <c r="P512" s="0" t="n">
        <v>3.38</v>
      </c>
      <c r="Q512" s="0" t="n">
        <v>2.87</v>
      </c>
      <c r="R512" s="0" t="n">
        <v>5694</v>
      </c>
      <c r="S512" s="0" t="n">
        <v>11446</v>
      </c>
      <c r="U512" s="0" t="n">
        <v>1112</v>
      </c>
      <c r="V512" s="0" t="n">
        <v>1</v>
      </c>
      <c r="W512" s="0" t="str">
        <f aca="false">IF(OR(AND(B512&gt;=1,B512&lt;=6),B512=10),"Vaca em lactação",IF(I512="Male","Macho",IF(E512&gt;=1,"Vaca seca",IF(I512="Youngstock","Bezerra/recria","Novilha"))))</f>
        <v>Vaca em lactação</v>
      </c>
      <c r="X512" s="0" t="str">
        <f aca="false">IF(AND(B512&gt;=1,B512&lt;=6),"Tanque",IF(B512=10,"Descarte",""))</f>
        <v>Tanque</v>
      </c>
    </row>
    <row r="513" customFormat="false" ht="15" hidden="false" customHeight="false" outlineLevel="0" collapsed="false">
      <c r="A513" s="22" t="n">
        <v>46309</v>
      </c>
      <c r="B513" s="0" t="n">
        <v>3</v>
      </c>
      <c r="C513" s="0" t="n">
        <v>5023</v>
      </c>
      <c r="D513" s="0" t="n">
        <v>45</v>
      </c>
      <c r="E513" s="0" t="n">
        <v>2</v>
      </c>
      <c r="F513" s="23" t="s">
        <v>288</v>
      </c>
      <c r="G513" s="0" t="n">
        <v>60.6</v>
      </c>
      <c r="H513" s="0" t="n">
        <v>59</v>
      </c>
      <c r="I513" s="23" t="s">
        <v>94</v>
      </c>
      <c r="J513" s="0" t="n">
        <v>45</v>
      </c>
      <c r="M513" s="0" t="n">
        <v>151.18</v>
      </c>
      <c r="N513" s="0" t="n">
        <v>61.46</v>
      </c>
      <c r="O513" s="0" t="n">
        <v>23.28</v>
      </c>
      <c r="P513" s="0" t="n">
        <v>5.36</v>
      </c>
      <c r="Q513" s="0" t="n">
        <v>3.43</v>
      </c>
      <c r="R513" s="0" t="n">
        <v>4593</v>
      </c>
      <c r="S513" s="0" t="n">
        <v>9233</v>
      </c>
      <c r="U513" s="0" t="n">
        <v>1110</v>
      </c>
      <c r="V513" s="0" t="n">
        <v>0</v>
      </c>
      <c r="W513" s="0" t="str">
        <f aca="false">IF(OR(AND(B513&gt;=1,B513&lt;=6),B513=10),"Vaca em lactação",IF(I513="Male","Macho",IF(E513&gt;=1,"Vaca seca",IF(I513="Youngstock","Bezerra/recria","Novilha"))))</f>
        <v>Vaca em lactação</v>
      </c>
      <c r="X513" s="0" t="str">
        <f aca="false">IF(AND(B513&gt;=1,B513&lt;=6),"Tanque",IF(B513=10,"Descarte",""))</f>
        <v>Tanque</v>
      </c>
    </row>
    <row r="514" customFormat="false" ht="15" hidden="false" customHeight="false" outlineLevel="0" collapsed="false">
      <c r="A514" s="22" t="n">
        <v>46309</v>
      </c>
      <c r="B514" s="0" t="n">
        <v>3</v>
      </c>
      <c r="C514" s="0" t="n">
        <v>5027</v>
      </c>
      <c r="D514" s="0" t="n">
        <v>125</v>
      </c>
      <c r="E514" s="0" t="n">
        <v>2</v>
      </c>
      <c r="F514" s="23" t="s">
        <v>470</v>
      </c>
      <c r="G514" s="0" t="n">
        <v>51.7</v>
      </c>
      <c r="H514" s="0" t="n">
        <v>45</v>
      </c>
      <c r="I514" s="23" t="s">
        <v>92</v>
      </c>
      <c r="J514" s="0" t="n">
        <v>69</v>
      </c>
      <c r="K514" s="0" t="n">
        <v>69</v>
      </c>
      <c r="L514" s="0" t="n">
        <v>56</v>
      </c>
      <c r="M514" s="0" t="n">
        <v>818.01</v>
      </c>
      <c r="N514" s="0" t="n">
        <v>39.72</v>
      </c>
      <c r="O514" s="0" t="n">
        <v>23.31</v>
      </c>
      <c r="P514" s="0" t="n">
        <v>3.5</v>
      </c>
      <c r="Q514" s="0" t="n">
        <v>3.13</v>
      </c>
      <c r="R514" s="0" t="n">
        <v>4186</v>
      </c>
      <c r="S514" s="0" t="n">
        <v>8581</v>
      </c>
      <c r="T514" s="0" t="n">
        <v>45.25</v>
      </c>
      <c r="U514" s="0" t="n">
        <v>1106</v>
      </c>
      <c r="V514" s="0" t="n">
        <v>1</v>
      </c>
      <c r="W514" s="0" t="str">
        <f aca="false">IF(OR(AND(B514&gt;=1,B514&lt;=6),B514=10),"Vaca em lactação",IF(I514="Male","Macho",IF(E514&gt;=1,"Vaca seca",IF(I514="Youngstock","Bezerra/recria","Novilha"))))</f>
        <v>Vaca em lactação</v>
      </c>
      <c r="X514" s="0" t="str">
        <f aca="false">IF(AND(B514&gt;=1,B514&lt;=6),"Tanque",IF(B514=10,"Descarte",""))</f>
        <v>Tanque</v>
      </c>
    </row>
    <row r="515" customFormat="false" ht="15" hidden="false" customHeight="false" outlineLevel="0" collapsed="false">
      <c r="A515" s="22" t="n">
        <v>46309</v>
      </c>
      <c r="B515" s="0" t="n">
        <v>3</v>
      </c>
      <c r="C515" s="0" t="n">
        <v>5026</v>
      </c>
      <c r="D515" s="0" t="n">
        <v>92</v>
      </c>
      <c r="E515" s="0" t="n">
        <v>2</v>
      </c>
      <c r="F515" s="23" t="s">
        <v>470</v>
      </c>
      <c r="G515" s="0" t="n">
        <v>55.2</v>
      </c>
      <c r="H515" s="0" t="n">
        <v>55</v>
      </c>
      <c r="I515" s="23" t="s">
        <v>97</v>
      </c>
      <c r="J515" s="0" t="n">
        <v>92</v>
      </c>
      <c r="K515" s="0" t="n">
        <v>64</v>
      </c>
      <c r="M515" s="0" t="n">
        <v>748.66</v>
      </c>
      <c r="N515" s="0" t="n">
        <v>59.37</v>
      </c>
      <c r="O515" s="0" t="n">
        <v>34.48</v>
      </c>
      <c r="P515" s="0" t="n">
        <v>2.93</v>
      </c>
      <c r="Q515" s="0" t="n">
        <v>3.47</v>
      </c>
      <c r="R515" s="0" t="n">
        <v>4803</v>
      </c>
      <c r="S515" s="0" t="n">
        <v>9654</v>
      </c>
      <c r="T515" s="0" t="n">
        <v>55.45</v>
      </c>
      <c r="U515" s="0" t="n">
        <v>1106</v>
      </c>
      <c r="V515" s="0" t="n">
        <v>1</v>
      </c>
      <c r="W515" s="0" t="str">
        <f aca="false">IF(OR(AND(B515&gt;=1,B515&lt;=6),B515=10),"Vaca em lactação",IF(I515="Male","Macho",IF(E515&gt;=1,"Vaca seca",IF(I515="Youngstock","Bezerra/recria","Novilha"))))</f>
        <v>Vaca em lactação</v>
      </c>
      <c r="X515" s="0" t="str">
        <f aca="false">IF(AND(B515&gt;=1,B515&lt;=6),"Tanque",IF(B515=10,"Descarte",""))</f>
        <v>Tanque</v>
      </c>
    </row>
    <row r="516" customFormat="false" ht="15" hidden="false" customHeight="false" outlineLevel="0" collapsed="false">
      <c r="A516" s="22" t="n">
        <v>46309</v>
      </c>
      <c r="B516" s="0" t="n">
        <v>3</v>
      </c>
      <c r="C516" s="0" t="n">
        <v>5213</v>
      </c>
      <c r="D516" s="0" t="n">
        <v>81</v>
      </c>
      <c r="E516" s="0" t="n">
        <v>2</v>
      </c>
      <c r="F516" s="23" t="s">
        <v>471</v>
      </c>
      <c r="G516" s="0" t="n">
        <v>54.3</v>
      </c>
      <c r="H516" s="0" t="n">
        <v>49</v>
      </c>
      <c r="I516" s="23" t="s">
        <v>97</v>
      </c>
      <c r="J516" s="0" t="n">
        <v>81</v>
      </c>
      <c r="K516" s="0" t="n">
        <v>67</v>
      </c>
      <c r="M516" s="0" t="n">
        <v>490.79</v>
      </c>
      <c r="N516" s="0" t="n">
        <v>64.38</v>
      </c>
      <c r="O516" s="0" t="n">
        <v>28.33</v>
      </c>
      <c r="P516" s="0" t="n">
        <v>4.59</v>
      </c>
      <c r="Q516" s="0" t="n">
        <v>3.35</v>
      </c>
      <c r="R516" s="0" t="n">
        <v>4136</v>
      </c>
      <c r="S516" s="0" t="n">
        <v>8314</v>
      </c>
      <c r="U516" s="0" t="n">
        <v>1015</v>
      </c>
      <c r="V516" s="0" t="n">
        <v>1</v>
      </c>
      <c r="W516" s="0" t="str">
        <f aca="false">IF(OR(AND(B516&gt;=1,B516&lt;=6),B516=10),"Vaca em lactação",IF(I516="Male","Macho",IF(E516&gt;=1,"Vaca seca",IF(I516="Youngstock","Bezerra/recria","Novilha"))))</f>
        <v>Vaca em lactação</v>
      </c>
      <c r="X516" s="0" t="str">
        <f aca="false">IF(AND(B516&gt;=1,B516&lt;=6),"Tanque",IF(B516=10,"Descarte",""))</f>
        <v>Tanque</v>
      </c>
    </row>
    <row r="517" customFormat="false" ht="15" hidden="false" customHeight="false" outlineLevel="0" collapsed="false">
      <c r="A517" s="22" t="n">
        <v>46309</v>
      </c>
      <c r="B517" s="0" t="n">
        <v>3</v>
      </c>
      <c r="C517" s="0" t="n">
        <v>5241</v>
      </c>
      <c r="D517" s="0" t="n">
        <v>42</v>
      </c>
      <c r="E517" s="0" t="n">
        <v>2</v>
      </c>
      <c r="F517" s="23" t="s">
        <v>290</v>
      </c>
      <c r="G517" s="0" t="n">
        <v>52.5</v>
      </c>
      <c r="H517" s="0" t="n">
        <v>51</v>
      </c>
      <c r="I517" s="23" t="s">
        <v>94</v>
      </c>
      <c r="J517" s="0" t="n">
        <v>42</v>
      </c>
      <c r="M517" s="0" t="n">
        <v>885.91</v>
      </c>
      <c r="N517" s="0" t="n">
        <v>46.75</v>
      </c>
      <c r="O517" s="0" t="n">
        <v>28.93</v>
      </c>
      <c r="P517" s="0" t="n">
        <v>3.33</v>
      </c>
      <c r="Q517" s="0" t="n">
        <v>3.54</v>
      </c>
      <c r="R517" s="0" t="n">
        <v>4937</v>
      </c>
      <c r="S517" s="0" t="n">
        <v>9925</v>
      </c>
      <c r="U517" s="0" t="n">
        <v>1004</v>
      </c>
      <c r="V517" s="0" t="n">
        <v>0</v>
      </c>
      <c r="W517" s="0" t="str">
        <f aca="false">IF(OR(AND(B517&gt;=1,B517&lt;=6),B517=10),"Vaca em lactação",IF(I517="Male","Macho",IF(E517&gt;=1,"Vaca seca",IF(I517="Youngstock","Bezerra/recria","Novilha"))))</f>
        <v>Vaca em lactação</v>
      </c>
      <c r="X517" s="0" t="str">
        <f aca="false">IF(AND(B517&gt;=1,B517&lt;=6),"Tanque",IF(B517=10,"Descarte",""))</f>
        <v>Tanque</v>
      </c>
    </row>
    <row r="518" customFormat="false" ht="15" hidden="false" customHeight="false" outlineLevel="0" collapsed="false">
      <c r="A518" s="22" t="n">
        <v>46309</v>
      </c>
      <c r="B518" s="0" t="n">
        <v>3</v>
      </c>
      <c r="C518" s="0" t="n">
        <v>5252</v>
      </c>
      <c r="D518" s="0" t="n">
        <v>28</v>
      </c>
      <c r="E518" s="0" t="n">
        <v>2</v>
      </c>
      <c r="F518" s="23" t="s">
        <v>295</v>
      </c>
      <c r="G518" s="0" t="n">
        <v>51.6</v>
      </c>
      <c r="H518" s="0" t="n">
        <v>48</v>
      </c>
      <c r="I518" s="23" t="s">
        <v>94</v>
      </c>
      <c r="J518" s="0" t="n">
        <v>28</v>
      </c>
      <c r="M518" s="0" t="n">
        <v>152.9</v>
      </c>
      <c r="N518" s="0" t="n">
        <v>50.73</v>
      </c>
      <c r="O518" s="0" t="n">
        <v>26.7</v>
      </c>
      <c r="P518" s="0" t="n">
        <v>3.84</v>
      </c>
      <c r="Q518" s="0" t="n">
        <v>5.85</v>
      </c>
      <c r="R518" s="0" t="n">
        <v>3793</v>
      </c>
      <c r="S518" s="0" t="n">
        <v>7624</v>
      </c>
      <c r="U518" s="0" t="n">
        <v>999</v>
      </c>
      <c r="V518" s="0" t="n">
        <v>0</v>
      </c>
      <c r="W518" s="0" t="str">
        <f aca="false">IF(OR(AND(B518&gt;=1,B518&lt;=6),B518=10),"Vaca em lactação",IF(I518="Male","Macho",IF(E518&gt;=1,"Vaca seca",IF(I518="Youngstock","Bezerra/recria","Novilha"))))</f>
        <v>Vaca em lactação</v>
      </c>
      <c r="X518" s="0" t="str">
        <f aca="false">IF(AND(B518&gt;=1,B518&lt;=6),"Tanque",IF(B518=10,"Descarte",""))</f>
        <v>Tanque</v>
      </c>
    </row>
    <row r="519" customFormat="false" ht="15" hidden="false" customHeight="false" outlineLevel="0" collapsed="false">
      <c r="A519" s="22" t="n">
        <v>46309</v>
      </c>
      <c r="B519" s="0" t="n">
        <v>3</v>
      </c>
      <c r="C519" s="0" t="n">
        <v>5149</v>
      </c>
      <c r="D519" s="0" t="n">
        <v>90</v>
      </c>
      <c r="E519" s="0" t="n">
        <v>2</v>
      </c>
      <c r="F519" s="23" t="s">
        <v>472</v>
      </c>
      <c r="G519" s="0" t="n">
        <v>61</v>
      </c>
      <c r="H519" s="0" t="n">
        <v>59</v>
      </c>
      <c r="I519" s="23" t="s">
        <v>97</v>
      </c>
      <c r="J519" s="0" t="n">
        <v>90</v>
      </c>
      <c r="K519" s="0" t="n">
        <v>62</v>
      </c>
      <c r="M519" s="0" t="n">
        <v>534.94</v>
      </c>
      <c r="N519" s="0" t="n">
        <v>87.09</v>
      </c>
      <c r="O519" s="0" t="n">
        <v>46.6</v>
      </c>
      <c r="P519" s="0" t="n">
        <v>3.71</v>
      </c>
      <c r="Q519" s="0" t="n">
        <v>3.58</v>
      </c>
      <c r="R519" s="0" t="n">
        <v>5218</v>
      </c>
      <c r="S519" s="0" t="n">
        <v>10490</v>
      </c>
      <c r="U519" s="0" t="n">
        <v>1045</v>
      </c>
      <c r="V519" s="0" t="n">
        <v>1</v>
      </c>
      <c r="W519" s="0" t="str">
        <f aca="false">IF(OR(AND(B519&gt;=1,B519&lt;=6),B519=10),"Vaca em lactação",IF(I519="Male","Macho",IF(E519&gt;=1,"Vaca seca",IF(I519="Youngstock","Bezerra/recria","Novilha"))))</f>
        <v>Vaca em lactação</v>
      </c>
      <c r="X519" s="0" t="str">
        <f aca="false">IF(AND(B519&gt;=1,B519&lt;=6),"Tanque",IF(B519=10,"Descarte",""))</f>
        <v>Tanque</v>
      </c>
    </row>
    <row r="520" customFormat="false" ht="15" hidden="false" customHeight="false" outlineLevel="0" collapsed="false">
      <c r="A520" s="22" t="n">
        <v>46309</v>
      </c>
      <c r="B520" s="0" t="n">
        <v>3</v>
      </c>
      <c r="C520" s="0" t="n">
        <v>5156</v>
      </c>
      <c r="D520" s="0" t="n">
        <v>60</v>
      </c>
      <c r="E520" s="0" t="n">
        <v>2</v>
      </c>
      <c r="F520" s="23" t="s">
        <v>296</v>
      </c>
      <c r="G520" s="0" t="n">
        <v>59.4</v>
      </c>
      <c r="H520" s="0" t="n">
        <v>55</v>
      </c>
      <c r="I520" s="23" t="s">
        <v>94</v>
      </c>
      <c r="J520" s="0" t="n">
        <v>60</v>
      </c>
      <c r="M520" s="0" t="n">
        <v>828.85</v>
      </c>
      <c r="N520" s="0" t="n">
        <v>86.22</v>
      </c>
      <c r="O520" s="0" t="n">
        <v>41.96</v>
      </c>
      <c r="P520" s="0" t="n">
        <v>4.5</v>
      </c>
      <c r="Q520" s="0" t="n">
        <v>3.37</v>
      </c>
      <c r="R520" s="0" t="n">
        <v>4653</v>
      </c>
      <c r="S520" s="0" t="n">
        <v>9354</v>
      </c>
      <c r="U520" s="0" t="n">
        <v>1044</v>
      </c>
      <c r="V520" s="0" t="n">
        <v>0</v>
      </c>
      <c r="W520" s="0" t="str">
        <f aca="false">IF(OR(AND(B520&gt;=1,B520&lt;=6),B520=10),"Vaca em lactação",IF(I520="Male","Macho",IF(E520&gt;=1,"Vaca seca",IF(I520="Youngstock","Bezerra/recria","Novilha"))))</f>
        <v>Vaca em lactação</v>
      </c>
      <c r="X520" s="0" t="str">
        <f aca="false">IF(AND(B520&gt;=1,B520&lt;=6),"Tanque",IF(B520=10,"Descarte",""))</f>
        <v>Tanque</v>
      </c>
    </row>
    <row r="521" customFormat="false" ht="15" hidden="false" customHeight="false" outlineLevel="0" collapsed="false">
      <c r="A521" s="22" t="n">
        <v>46309</v>
      </c>
      <c r="B521" s="0" t="n">
        <v>3</v>
      </c>
      <c r="C521" s="0" t="n">
        <v>5168</v>
      </c>
      <c r="D521" s="0" t="n">
        <v>72</v>
      </c>
      <c r="E521" s="0" t="n">
        <v>2</v>
      </c>
      <c r="F521" s="23" t="s">
        <v>297</v>
      </c>
      <c r="G521" s="0" t="n">
        <v>61.8</v>
      </c>
      <c r="H521" s="0" t="n">
        <v>56</v>
      </c>
      <c r="I521" s="23" t="s">
        <v>109</v>
      </c>
      <c r="J521" s="0" t="n">
        <v>72</v>
      </c>
      <c r="M521" s="0" t="n">
        <v>86.34</v>
      </c>
      <c r="N521" s="0" t="n">
        <v>62.21</v>
      </c>
      <c r="O521" s="0" t="n">
        <v>23.42</v>
      </c>
      <c r="P521" s="0" t="n">
        <v>4.45</v>
      </c>
      <c r="Q521" s="0" t="n">
        <v>3.33</v>
      </c>
      <c r="R521" s="0" t="n">
        <v>5077</v>
      </c>
      <c r="S521" s="0" t="n">
        <v>10205</v>
      </c>
      <c r="U521" s="0" t="n">
        <v>1039</v>
      </c>
      <c r="V521" s="0" t="n">
        <v>0</v>
      </c>
      <c r="W521" s="0" t="str">
        <f aca="false">IF(OR(AND(B521&gt;=1,B521&lt;=6),B521=10),"Vaca em lactação",IF(I521="Male","Macho",IF(E521&gt;=1,"Vaca seca",IF(I521="Youngstock","Bezerra/recria","Novilha"))))</f>
        <v>Vaca em lactação</v>
      </c>
      <c r="X521" s="0" t="str">
        <f aca="false">IF(AND(B521&gt;=1,B521&lt;=6),"Tanque",IF(B521=10,"Descarte",""))</f>
        <v>Tanque</v>
      </c>
    </row>
    <row r="522" customFormat="false" ht="15" hidden="false" customHeight="false" outlineLevel="0" collapsed="false">
      <c r="A522" s="22" t="n">
        <v>46309</v>
      </c>
      <c r="B522" s="0" t="n">
        <v>3</v>
      </c>
      <c r="C522" s="0" t="n">
        <v>5135</v>
      </c>
      <c r="D522" s="0" t="n">
        <v>36</v>
      </c>
      <c r="E522" s="0" t="n">
        <v>2</v>
      </c>
      <c r="F522" s="23" t="s">
        <v>473</v>
      </c>
      <c r="G522" s="0" t="n">
        <v>56.4</v>
      </c>
      <c r="H522" s="0" t="n">
        <v>55</v>
      </c>
      <c r="I522" s="23" t="s">
        <v>94</v>
      </c>
      <c r="J522" s="0" t="n">
        <v>36</v>
      </c>
      <c r="M522" s="0" t="n">
        <v>325.4</v>
      </c>
      <c r="N522" s="0" t="n">
        <v>54.54</v>
      </c>
      <c r="O522" s="0" t="n">
        <v>36.9</v>
      </c>
      <c r="P522" s="0" t="n">
        <v>4.67</v>
      </c>
      <c r="Q522" s="0" t="n">
        <v>4.55</v>
      </c>
      <c r="R522" s="0" t="n">
        <v>3703</v>
      </c>
      <c r="S522" s="0" t="n">
        <v>7445</v>
      </c>
      <c r="U522" s="0" t="n">
        <v>1051</v>
      </c>
      <c r="V522" s="0" t="n">
        <v>0</v>
      </c>
      <c r="W522" s="0" t="str">
        <f aca="false">IF(OR(AND(B522&gt;=1,B522&lt;=6),B522=10),"Vaca em lactação",IF(I522="Male","Macho",IF(E522&gt;=1,"Vaca seca",IF(I522="Youngstock","Bezerra/recria","Novilha"))))</f>
        <v>Vaca em lactação</v>
      </c>
      <c r="X522" s="0" t="str">
        <f aca="false">IF(AND(B522&gt;=1,B522&lt;=6),"Tanque",IF(B522=10,"Descarte",""))</f>
        <v>Tanque</v>
      </c>
    </row>
    <row r="523" customFormat="false" ht="15" hidden="false" customHeight="false" outlineLevel="0" collapsed="false">
      <c r="A523" s="22" t="n">
        <v>46309</v>
      </c>
      <c r="B523" s="0" t="n">
        <v>3</v>
      </c>
      <c r="C523" s="0" t="n">
        <v>5133</v>
      </c>
      <c r="D523" s="0" t="n">
        <v>15</v>
      </c>
      <c r="E523" s="0" t="n">
        <v>2</v>
      </c>
      <c r="F523" s="23" t="s">
        <v>473</v>
      </c>
      <c r="G523" s="0" t="n">
        <v>16.9</v>
      </c>
      <c r="H523" s="0" t="n">
        <v>23</v>
      </c>
      <c r="I523" s="23" t="s">
        <v>94</v>
      </c>
      <c r="J523" s="0" t="n">
        <v>15</v>
      </c>
      <c r="M523" s="0" t="n">
        <v>1103.89</v>
      </c>
      <c r="N523" s="0" t="n">
        <v>94.67</v>
      </c>
      <c r="O523" s="0" t="n">
        <v>55.8</v>
      </c>
      <c r="R523" s="0" t="n">
        <v>2982</v>
      </c>
      <c r="S523" s="0" t="n">
        <v>5995</v>
      </c>
      <c r="U523" s="0" t="n">
        <v>1051</v>
      </c>
      <c r="V523" s="0" t="n">
        <v>0</v>
      </c>
      <c r="W523" s="0" t="str">
        <f aca="false">IF(OR(AND(B523&gt;=1,B523&lt;=6),B523=10),"Vaca em lactação",IF(I523="Male","Macho",IF(E523&gt;=1,"Vaca seca",IF(I523="Youngstock","Bezerra/recria","Novilha"))))</f>
        <v>Vaca em lactação</v>
      </c>
      <c r="X523" s="0" t="str">
        <f aca="false">IF(AND(B523&gt;=1,B523&lt;=6),"Tanque",IF(B523=10,"Descarte",""))</f>
        <v>Tanque</v>
      </c>
    </row>
    <row r="524" customFormat="false" ht="15" hidden="false" customHeight="false" outlineLevel="0" collapsed="false">
      <c r="A524" s="22" t="n">
        <v>46309</v>
      </c>
      <c r="B524" s="0" t="n">
        <v>3</v>
      </c>
      <c r="C524" s="0" t="n">
        <v>5143</v>
      </c>
      <c r="D524" s="0" t="n">
        <v>74</v>
      </c>
      <c r="E524" s="0" t="n">
        <v>2</v>
      </c>
      <c r="F524" s="23" t="s">
        <v>474</v>
      </c>
      <c r="G524" s="0" t="n">
        <v>53.5</v>
      </c>
      <c r="H524" s="0" t="n">
        <v>53</v>
      </c>
      <c r="I524" s="23" t="s">
        <v>97</v>
      </c>
      <c r="J524" s="0" t="n">
        <v>74</v>
      </c>
      <c r="K524" s="0" t="n">
        <v>67</v>
      </c>
      <c r="M524" s="0" t="n">
        <v>299.44</v>
      </c>
      <c r="N524" s="0" t="n">
        <v>33.93</v>
      </c>
      <c r="O524" s="0" t="n">
        <v>14.74</v>
      </c>
      <c r="P524" s="0" t="n">
        <v>3.99</v>
      </c>
      <c r="Q524" s="0" t="n">
        <v>3.02</v>
      </c>
      <c r="R524" s="0" t="n">
        <v>4518</v>
      </c>
      <c r="S524" s="0" t="n">
        <v>9081</v>
      </c>
      <c r="U524" s="0" t="n">
        <v>1048</v>
      </c>
      <c r="V524" s="0" t="n">
        <v>1</v>
      </c>
      <c r="W524" s="0" t="str">
        <f aca="false">IF(OR(AND(B524&gt;=1,B524&lt;=6),B524=10),"Vaca em lactação",IF(I524="Male","Macho",IF(E524&gt;=1,"Vaca seca",IF(I524="Youngstock","Bezerra/recria","Novilha"))))</f>
        <v>Vaca em lactação</v>
      </c>
      <c r="X524" s="0" t="str">
        <f aca="false">IF(AND(B524&gt;=1,B524&lt;=6),"Tanque",IF(B524=10,"Descarte",""))</f>
        <v>Tanque</v>
      </c>
    </row>
    <row r="525" customFormat="false" ht="15" hidden="false" customHeight="false" outlineLevel="0" collapsed="false">
      <c r="A525" s="22" t="n">
        <v>46309</v>
      </c>
      <c r="B525" s="0" t="n">
        <v>3</v>
      </c>
      <c r="C525" s="0" t="n">
        <v>5142</v>
      </c>
      <c r="D525" s="0" t="n">
        <v>62</v>
      </c>
      <c r="E525" s="0" t="n">
        <v>2</v>
      </c>
      <c r="F525" s="23" t="s">
        <v>474</v>
      </c>
      <c r="G525" s="0" t="n">
        <v>56.2</v>
      </c>
      <c r="H525" s="0" t="n">
        <v>61</v>
      </c>
      <c r="I525" s="23" t="s">
        <v>94</v>
      </c>
      <c r="J525" s="0" t="n">
        <v>62</v>
      </c>
      <c r="M525" s="0" t="n">
        <v>1357.26</v>
      </c>
      <c r="N525" s="0" t="n">
        <v>50.68</v>
      </c>
      <c r="O525" s="0" t="n">
        <v>37.7</v>
      </c>
      <c r="P525" s="0" t="n">
        <v>3.91</v>
      </c>
      <c r="Q525" s="0" t="n">
        <v>3.27</v>
      </c>
      <c r="R525" s="0" t="n">
        <v>5082</v>
      </c>
      <c r="S525" s="0" t="n">
        <v>10216</v>
      </c>
      <c r="U525" s="0" t="n">
        <v>1048</v>
      </c>
      <c r="V525" s="0" t="n">
        <v>0</v>
      </c>
      <c r="W525" s="0" t="str">
        <f aca="false">IF(OR(AND(B525&gt;=1,B525&lt;=6),B525=10),"Vaca em lactação",IF(I525="Male","Macho",IF(E525&gt;=1,"Vaca seca",IF(I525="Youngstock","Bezerra/recria","Novilha"))))</f>
        <v>Vaca em lactação</v>
      </c>
      <c r="X525" s="0" t="str">
        <f aca="false">IF(AND(B525&gt;=1,B525&lt;=6),"Tanque",IF(B525=10,"Descarte",""))</f>
        <v>Tanque</v>
      </c>
    </row>
    <row r="526" customFormat="false" ht="15" hidden="false" customHeight="false" outlineLevel="0" collapsed="false">
      <c r="A526" s="22" t="n">
        <v>46309</v>
      </c>
      <c r="B526" s="0" t="n">
        <v>3</v>
      </c>
      <c r="C526" s="0" t="n">
        <v>5174</v>
      </c>
      <c r="D526" s="0" t="n">
        <v>70</v>
      </c>
      <c r="E526" s="0" t="n">
        <v>2</v>
      </c>
      <c r="F526" s="23" t="s">
        <v>297</v>
      </c>
      <c r="G526" s="0" t="n">
        <v>60.3</v>
      </c>
      <c r="H526" s="0" t="n">
        <v>54</v>
      </c>
      <c r="I526" s="23" t="s">
        <v>97</v>
      </c>
      <c r="J526" s="0" t="n">
        <v>70</v>
      </c>
      <c r="K526" s="0" t="n">
        <v>63</v>
      </c>
      <c r="M526" s="0" t="n">
        <v>1336.71</v>
      </c>
      <c r="N526" s="0" t="n">
        <v>53.11</v>
      </c>
      <c r="O526" s="0" t="n">
        <v>38.85</v>
      </c>
      <c r="P526" s="0" t="n">
        <v>3.03</v>
      </c>
      <c r="Q526" s="0" t="n">
        <v>3.07</v>
      </c>
      <c r="R526" s="0" t="n">
        <v>5024</v>
      </c>
      <c r="S526" s="0" t="n">
        <v>10100</v>
      </c>
      <c r="U526" s="0" t="n">
        <v>1039</v>
      </c>
      <c r="V526" s="0" t="n">
        <v>1</v>
      </c>
      <c r="W526" s="0" t="str">
        <f aca="false">IF(OR(AND(B526&gt;=1,B526&lt;=6),B526=10),"Vaca em lactação",IF(I526="Male","Macho",IF(E526&gt;=1,"Vaca seca",IF(I526="Youngstock","Bezerra/recria","Novilha"))))</f>
        <v>Vaca em lactação</v>
      </c>
      <c r="X526" s="0" t="str">
        <f aca="false">IF(AND(B526&gt;=1,B526&lt;=6),"Tanque",IF(B526=10,"Descarte",""))</f>
        <v>Tanque</v>
      </c>
    </row>
    <row r="527" customFormat="false" ht="15" hidden="false" customHeight="false" outlineLevel="0" collapsed="false">
      <c r="A527" s="22" t="n">
        <v>46309</v>
      </c>
      <c r="B527" s="0" t="n">
        <v>3</v>
      </c>
      <c r="C527" s="0" t="n">
        <v>5173</v>
      </c>
      <c r="D527" s="0" t="n">
        <v>51</v>
      </c>
      <c r="E527" s="0" t="n">
        <v>2</v>
      </c>
      <c r="F527" s="23" t="s">
        <v>297</v>
      </c>
      <c r="G527" s="0" t="n">
        <v>64.4</v>
      </c>
      <c r="H527" s="0" t="n">
        <v>64</v>
      </c>
      <c r="I527" s="23" t="s">
        <v>94</v>
      </c>
      <c r="J527" s="0" t="n">
        <v>51</v>
      </c>
      <c r="M527" s="0" t="n">
        <v>1103.15</v>
      </c>
      <c r="N527" s="0" t="n">
        <v>45.67</v>
      </c>
      <c r="O527" s="0" t="n">
        <v>34.39</v>
      </c>
      <c r="P527" s="0" t="n">
        <v>2.74</v>
      </c>
      <c r="Q527" s="0" t="n">
        <v>3.29</v>
      </c>
      <c r="R527" s="0" t="n">
        <v>5262</v>
      </c>
      <c r="S527" s="0" t="n">
        <v>10578</v>
      </c>
      <c r="U527" s="0" t="n">
        <v>1039</v>
      </c>
      <c r="V527" s="0" t="n">
        <v>0</v>
      </c>
      <c r="W527" s="0" t="str">
        <f aca="false">IF(OR(AND(B527&gt;=1,B527&lt;=6),B527=10),"Vaca em lactação",IF(I527="Male","Macho",IF(E527&gt;=1,"Vaca seca",IF(I527="Youngstock","Bezerra/recria","Novilha"))))</f>
        <v>Vaca em lactação</v>
      </c>
      <c r="X527" s="0" t="str">
        <f aca="false">IF(AND(B527&gt;=1,B527&lt;=6),"Tanque",IF(B527=10,"Descarte",""))</f>
        <v>Tanque</v>
      </c>
    </row>
    <row r="528" customFormat="false" ht="15" hidden="false" customHeight="false" outlineLevel="0" collapsed="false">
      <c r="A528" s="22" t="n">
        <v>46309</v>
      </c>
      <c r="B528" s="0" t="n">
        <v>3</v>
      </c>
      <c r="C528" s="0" t="n">
        <v>5177</v>
      </c>
      <c r="D528" s="0" t="n">
        <v>70</v>
      </c>
      <c r="E528" s="0" t="n">
        <v>2</v>
      </c>
      <c r="F528" s="23" t="s">
        <v>475</v>
      </c>
      <c r="G528" s="0" t="n">
        <v>50.6</v>
      </c>
      <c r="H528" s="0" t="n">
        <v>47</v>
      </c>
      <c r="I528" s="23" t="s">
        <v>97</v>
      </c>
      <c r="J528" s="0" t="n">
        <v>70</v>
      </c>
      <c r="K528" s="0" t="n">
        <v>63</v>
      </c>
      <c r="M528" s="0" t="n">
        <v>332.48</v>
      </c>
      <c r="N528" s="0" t="n">
        <v>13.71</v>
      </c>
      <c r="O528" s="0" t="n">
        <v>16.09</v>
      </c>
      <c r="P528" s="0" t="n">
        <v>4.34</v>
      </c>
      <c r="Q528" s="0" t="n">
        <v>3.02</v>
      </c>
      <c r="R528" s="0" t="n">
        <v>4420</v>
      </c>
      <c r="S528" s="0" t="n">
        <v>8886</v>
      </c>
      <c r="U528" s="0" t="n">
        <v>1037</v>
      </c>
      <c r="V528" s="0" t="n">
        <v>1</v>
      </c>
      <c r="W528" s="0" t="str">
        <f aca="false">IF(OR(AND(B528&gt;=1,B528&lt;=6),B528=10),"Vaca em lactação",IF(I528="Male","Macho",IF(E528&gt;=1,"Vaca seca",IF(I528="Youngstock","Bezerra/recria","Novilha"))))</f>
        <v>Vaca em lactação</v>
      </c>
      <c r="X528" s="0" t="str">
        <f aca="false">IF(AND(B528&gt;=1,B528&lt;=6),"Tanque",IF(B528=10,"Descarte",""))</f>
        <v>Tanque</v>
      </c>
    </row>
    <row r="529" customFormat="false" ht="15" hidden="false" customHeight="false" outlineLevel="0" collapsed="false">
      <c r="A529" s="22" t="n">
        <v>46309</v>
      </c>
      <c r="B529" s="0" t="n">
        <v>3</v>
      </c>
      <c r="C529" s="0" t="n">
        <v>5184</v>
      </c>
      <c r="D529" s="0" t="n">
        <v>2</v>
      </c>
      <c r="E529" s="0" t="n">
        <v>2</v>
      </c>
      <c r="F529" s="23" t="s">
        <v>300</v>
      </c>
      <c r="G529" s="0" t="n">
        <v>6.7</v>
      </c>
      <c r="H529" s="0" t="n">
        <v>4</v>
      </c>
      <c r="I529" s="23" t="s">
        <v>94</v>
      </c>
      <c r="J529" s="0" t="n">
        <v>2</v>
      </c>
      <c r="M529" s="0" t="n">
        <v>278.54</v>
      </c>
      <c r="N529" s="0" t="n">
        <v>84.39</v>
      </c>
      <c r="O529" s="0" t="n">
        <v>42.83</v>
      </c>
      <c r="R529" s="0" t="n">
        <v>498</v>
      </c>
      <c r="S529" s="0" t="n">
        <v>1001</v>
      </c>
      <c r="U529" s="0" t="n">
        <v>1035</v>
      </c>
      <c r="V529" s="0" t="n">
        <v>0</v>
      </c>
      <c r="W529" s="0" t="str">
        <f aca="false">IF(OR(AND(B529&gt;=1,B529&lt;=6),B529=10),"Vaca em lactação",IF(I529="Male","Macho",IF(E529&gt;=1,"Vaca seca",IF(I529="Youngstock","Bezerra/recria","Novilha"))))</f>
        <v>Vaca em lactação</v>
      </c>
      <c r="X529" s="0" t="str">
        <f aca="false">IF(AND(B529&gt;=1,B529&lt;=6),"Tanque",IF(B529=10,"Descarte",""))</f>
        <v>Tanque</v>
      </c>
    </row>
    <row r="530" customFormat="false" ht="15" hidden="false" customHeight="false" outlineLevel="0" collapsed="false">
      <c r="A530" s="22" t="n">
        <v>46309</v>
      </c>
      <c r="B530" s="0" t="n">
        <v>3</v>
      </c>
      <c r="C530" s="0" t="n">
        <v>4772</v>
      </c>
      <c r="D530" s="0" t="n">
        <v>169</v>
      </c>
      <c r="E530" s="0" t="n">
        <v>2</v>
      </c>
      <c r="F530" s="23" t="s">
        <v>476</v>
      </c>
      <c r="G530" s="0" t="n">
        <v>46.9</v>
      </c>
      <c r="H530" s="0" t="n">
        <v>45</v>
      </c>
      <c r="I530" s="23" t="s">
        <v>92</v>
      </c>
      <c r="J530" s="0" t="n">
        <v>64</v>
      </c>
      <c r="K530" s="0" t="n">
        <v>64</v>
      </c>
      <c r="L530" s="0" t="n">
        <v>105</v>
      </c>
      <c r="M530" s="0" t="n">
        <v>929.3</v>
      </c>
      <c r="N530" s="0" t="n">
        <v>52.74</v>
      </c>
      <c r="O530" s="0" t="n">
        <v>36.02</v>
      </c>
      <c r="P530" s="0" t="n">
        <v>5.05</v>
      </c>
      <c r="Q530" s="0" t="n">
        <v>3.58</v>
      </c>
      <c r="R530" s="0" t="n">
        <v>5106</v>
      </c>
      <c r="S530" s="0" t="n">
        <v>10354</v>
      </c>
      <c r="T530" s="0" t="n">
        <v>55.75</v>
      </c>
      <c r="U530" s="0" t="n">
        <v>1215</v>
      </c>
      <c r="V530" s="0" t="n">
        <v>1</v>
      </c>
      <c r="W530" s="0" t="str">
        <f aca="false">IF(OR(AND(B530&gt;=1,B530&lt;=6),B530=10),"Vaca em lactação",IF(I530="Male","Macho",IF(E530&gt;=1,"Vaca seca",IF(I530="Youngstock","Bezerra/recria","Novilha"))))</f>
        <v>Vaca em lactação</v>
      </c>
      <c r="X530" s="0" t="str">
        <f aca="false">IF(AND(B530&gt;=1,B530&lt;=6),"Tanque",IF(B530=10,"Descarte",""))</f>
        <v>Tanque</v>
      </c>
    </row>
    <row r="531" customFormat="false" ht="15" hidden="false" customHeight="false" outlineLevel="0" collapsed="false">
      <c r="A531" s="22" t="n">
        <v>46309</v>
      </c>
      <c r="B531" s="0" t="n">
        <v>3</v>
      </c>
      <c r="C531" s="0" t="n">
        <v>4759</v>
      </c>
      <c r="D531" s="0" t="n">
        <v>181</v>
      </c>
      <c r="E531" s="0" t="n">
        <v>2</v>
      </c>
      <c r="F531" s="23" t="s">
        <v>477</v>
      </c>
      <c r="G531" s="0" t="n">
        <v>54.2</v>
      </c>
      <c r="H531" s="0" t="n">
        <v>51</v>
      </c>
      <c r="I531" s="23" t="s">
        <v>92</v>
      </c>
      <c r="J531" s="0" t="n">
        <v>111</v>
      </c>
      <c r="K531" s="0" t="n">
        <v>69</v>
      </c>
      <c r="L531" s="0" t="n">
        <v>70</v>
      </c>
      <c r="M531" s="0" t="n">
        <v>1057.75</v>
      </c>
      <c r="N531" s="0" t="n">
        <v>44.44</v>
      </c>
      <c r="O531" s="0" t="n">
        <v>38.35</v>
      </c>
      <c r="P531" s="0" t="n">
        <v>2.94</v>
      </c>
      <c r="Q531" s="0" t="n">
        <v>3.47</v>
      </c>
      <c r="R531" s="0" t="n">
        <v>4757</v>
      </c>
      <c r="S531" s="0" t="n">
        <v>9444</v>
      </c>
      <c r="T531" s="0" t="n">
        <v>53.75</v>
      </c>
      <c r="U531" s="0" t="n">
        <v>1224</v>
      </c>
      <c r="V531" s="0" t="n">
        <v>2</v>
      </c>
      <c r="W531" s="0" t="str">
        <f aca="false">IF(OR(AND(B531&gt;=1,B531&lt;=6),B531=10),"Vaca em lactação",IF(I531="Male","Macho",IF(E531&gt;=1,"Vaca seca",IF(I531="Youngstock","Bezerra/recria","Novilha"))))</f>
        <v>Vaca em lactação</v>
      </c>
      <c r="X531" s="0" t="str">
        <f aca="false">IF(AND(B531&gt;=1,B531&lt;=6),"Tanque",IF(B531=10,"Descarte",""))</f>
        <v>Tanque</v>
      </c>
    </row>
    <row r="532" customFormat="false" ht="15" hidden="false" customHeight="false" outlineLevel="0" collapsed="false">
      <c r="A532" s="22" t="n">
        <v>46309</v>
      </c>
      <c r="B532" s="0" t="n">
        <v>3</v>
      </c>
      <c r="C532" s="0" t="n">
        <v>4756</v>
      </c>
      <c r="D532" s="0" t="n">
        <v>85</v>
      </c>
      <c r="E532" s="0" t="n">
        <v>2</v>
      </c>
      <c r="F532" s="23" t="s">
        <v>478</v>
      </c>
      <c r="G532" s="0" t="n">
        <v>62.5</v>
      </c>
      <c r="H532" s="0" t="n">
        <v>63</v>
      </c>
      <c r="I532" s="23" t="s">
        <v>97</v>
      </c>
      <c r="J532" s="0" t="n">
        <v>85</v>
      </c>
      <c r="K532" s="0" t="n">
        <v>64</v>
      </c>
      <c r="M532" s="0" t="n">
        <v>686.03</v>
      </c>
      <c r="N532" s="0" t="n">
        <v>90.76</v>
      </c>
      <c r="O532" s="0" t="n">
        <v>40.12</v>
      </c>
      <c r="P532" s="0" t="n">
        <v>3.94</v>
      </c>
      <c r="Q532" s="0" t="n">
        <v>3.29</v>
      </c>
      <c r="R532" s="0" t="n">
        <v>5560</v>
      </c>
      <c r="S532" s="0" t="n">
        <v>11176</v>
      </c>
      <c r="U532" s="0" t="n">
        <v>1225</v>
      </c>
      <c r="V532" s="0" t="n">
        <v>1</v>
      </c>
      <c r="W532" s="0" t="str">
        <f aca="false">IF(OR(AND(B532&gt;=1,B532&lt;=6),B532=10),"Vaca em lactação",IF(I532="Male","Macho",IF(E532&gt;=1,"Vaca seca",IF(I532="Youngstock","Bezerra/recria","Novilha"))))</f>
        <v>Vaca em lactação</v>
      </c>
      <c r="X532" s="0" t="str">
        <f aca="false">IF(AND(B532&gt;=1,B532&lt;=6),"Tanque",IF(B532=10,"Descarte",""))</f>
        <v>Tanque</v>
      </c>
    </row>
    <row r="533" customFormat="false" ht="15" hidden="false" customHeight="false" outlineLevel="0" collapsed="false">
      <c r="A533" s="22" t="n">
        <v>46309</v>
      </c>
      <c r="B533" s="0" t="n">
        <v>3</v>
      </c>
      <c r="C533" s="0" t="n">
        <v>4766</v>
      </c>
      <c r="D533" s="0" t="n">
        <v>58</v>
      </c>
      <c r="E533" s="0" t="n">
        <v>2</v>
      </c>
      <c r="F533" s="23" t="s">
        <v>307</v>
      </c>
      <c r="G533" s="0" t="n">
        <v>52.5</v>
      </c>
      <c r="H533" s="0" t="n">
        <v>51</v>
      </c>
      <c r="I533" s="23" t="s">
        <v>94</v>
      </c>
      <c r="J533" s="0" t="n">
        <v>58</v>
      </c>
      <c r="M533" s="0" t="n">
        <v>-324.08</v>
      </c>
      <c r="N533" s="0" t="n">
        <v>31.7</v>
      </c>
      <c r="O533" s="0" t="n">
        <v>29.17</v>
      </c>
      <c r="P533" s="0" t="n">
        <v>2.97</v>
      </c>
      <c r="Q533" s="0" t="n">
        <v>3.22</v>
      </c>
      <c r="R533" s="0" t="n">
        <v>5093</v>
      </c>
      <c r="S533" s="0" t="n">
        <v>10238</v>
      </c>
      <c r="U533" s="0" t="n">
        <v>1221</v>
      </c>
      <c r="V533" s="0" t="n">
        <v>0</v>
      </c>
      <c r="W533" s="0" t="str">
        <f aca="false">IF(OR(AND(B533&gt;=1,B533&lt;=6),B533=10),"Vaca em lactação",IF(I533="Male","Macho",IF(E533&gt;=1,"Vaca seca",IF(I533="Youngstock","Bezerra/recria","Novilha"))))</f>
        <v>Vaca em lactação</v>
      </c>
      <c r="X533" s="0" t="str">
        <f aca="false">IF(AND(B533&gt;=1,B533&lt;=6),"Tanque",IF(B533=10,"Descarte",""))</f>
        <v>Tanque</v>
      </c>
    </row>
    <row r="534" customFormat="false" ht="15" hidden="false" customHeight="false" outlineLevel="0" collapsed="false">
      <c r="A534" s="22" t="n">
        <v>46309</v>
      </c>
      <c r="B534" s="0" t="n">
        <v>3</v>
      </c>
      <c r="C534" s="0" t="n">
        <v>4774</v>
      </c>
      <c r="D534" s="0" t="n">
        <v>213</v>
      </c>
      <c r="E534" s="0" t="n">
        <v>2</v>
      </c>
      <c r="F534" s="23" t="s">
        <v>479</v>
      </c>
      <c r="G534" s="0" t="n">
        <v>44.9</v>
      </c>
      <c r="H534" s="0" t="n">
        <v>45</v>
      </c>
      <c r="I534" s="23" t="s">
        <v>92</v>
      </c>
      <c r="J534" s="0" t="n">
        <v>101</v>
      </c>
      <c r="K534" s="0" t="n">
        <v>66</v>
      </c>
      <c r="L534" s="0" t="n">
        <v>112</v>
      </c>
      <c r="M534" s="0" t="n">
        <v>1293.72</v>
      </c>
      <c r="N534" s="0" t="n">
        <v>49.99</v>
      </c>
      <c r="O534" s="0" t="n">
        <v>40.54</v>
      </c>
      <c r="P534" s="0" t="n">
        <v>4.2</v>
      </c>
      <c r="Q534" s="0" t="n">
        <v>3.49</v>
      </c>
      <c r="R534" s="0" t="n">
        <v>4446</v>
      </c>
      <c r="S534" s="0" t="n">
        <v>8911</v>
      </c>
      <c r="T534" s="0" t="n">
        <v>50.75</v>
      </c>
      <c r="U534" s="0" t="n">
        <v>1217</v>
      </c>
      <c r="V534" s="0" t="n">
        <v>2</v>
      </c>
      <c r="W534" s="0" t="str">
        <f aca="false">IF(OR(AND(B534&gt;=1,B534&lt;=6),B534=10),"Vaca em lactação",IF(I534="Male","Macho",IF(E534&gt;=1,"Vaca seca",IF(I534="Youngstock","Bezerra/recria","Novilha"))))</f>
        <v>Vaca em lactação</v>
      </c>
      <c r="X534" s="0" t="str">
        <f aca="false">IF(AND(B534&gt;=1,B534&lt;=6),"Tanque",IF(B534=10,"Descarte",""))</f>
        <v>Tanque</v>
      </c>
    </row>
    <row r="535" customFormat="false" ht="15" hidden="false" customHeight="false" outlineLevel="0" collapsed="false">
      <c r="A535" s="22" t="n">
        <v>46309</v>
      </c>
      <c r="B535" s="0" t="n">
        <v>3</v>
      </c>
      <c r="C535" s="0" t="n">
        <v>4815</v>
      </c>
      <c r="D535" s="0" t="n">
        <v>48</v>
      </c>
      <c r="E535" s="0" t="n">
        <v>2</v>
      </c>
      <c r="F535" s="23" t="s">
        <v>480</v>
      </c>
      <c r="G535" s="0" t="n">
        <v>63.5</v>
      </c>
      <c r="H535" s="0" t="n">
        <v>64</v>
      </c>
      <c r="I535" s="23" t="s">
        <v>94</v>
      </c>
      <c r="J535" s="0" t="n">
        <v>48</v>
      </c>
      <c r="M535" s="0" t="n">
        <v>-53.66</v>
      </c>
      <c r="N535" s="0" t="n">
        <v>71.5</v>
      </c>
      <c r="O535" s="0" t="n">
        <v>17.44</v>
      </c>
      <c r="P535" s="0" t="n">
        <v>5.18</v>
      </c>
      <c r="Q535" s="0" t="n">
        <v>2.89</v>
      </c>
      <c r="R535" s="0" t="n">
        <v>5309</v>
      </c>
      <c r="S535" s="0" t="n">
        <v>10671</v>
      </c>
      <c r="U535" s="0" t="n">
        <v>1201</v>
      </c>
      <c r="V535" s="0" t="n">
        <v>0</v>
      </c>
      <c r="W535" s="0" t="str">
        <f aca="false">IF(OR(AND(B535&gt;=1,B535&lt;=6),B535=10),"Vaca em lactação",IF(I535="Male","Macho",IF(E535&gt;=1,"Vaca seca",IF(I535="Youngstock","Bezerra/recria","Novilha"))))</f>
        <v>Vaca em lactação</v>
      </c>
      <c r="X535" s="0" t="str">
        <f aca="false">IF(AND(B535&gt;=1,B535&lt;=6),"Tanque",IF(B535=10,"Descarte",""))</f>
        <v>Tanque</v>
      </c>
    </row>
    <row r="536" customFormat="false" ht="15" hidden="false" customHeight="false" outlineLevel="0" collapsed="false">
      <c r="A536" s="22" t="n">
        <v>46309</v>
      </c>
      <c r="B536" s="0" t="n">
        <v>3</v>
      </c>
      <c r="C536" s="0" t="n">
        <v>4827</v>
      </c>
      <c r="D536" s="0" t="n">
        <v>213</v>
      </c>
      <c r="E536" s="0" t="n">
        <v>2</v>
      </c>
      <c r="F536" s="23" t="s">
        <v>406</v>
      </c>
      <c r="G536" s="0" t="n">
        <v>55.3</v>
      </c>
      <c r="H536" s="0" t="n">
        <v>55</v>
      </c>
      <c r="I536" s="23" t="s">
        <v>92</v>
      </c>
      <c r="J536" s="0" t="n">
        <v>136</v>
      </c>
      <c r="K536" s="0" t="n">
        <v>66</v>
      </c>
      <c r="L536" s="0" t="n">
        <v>77</v>
      </c>
      <c r="M536" s="0" t="n">
        <v>575.11</v>
      </c>
      <c r="N536" s="0" t="n">
        <v>60.33</v>
      </c>
      <c r="O536" s="0" t="n">
        <v>29.16</v>
      </c>
      <c r="P536" s="0" t="n">
        <v>3.16</v>
      </c>
      <c r="Q536" s="0" t="n">
        <v>3.55</v>
      </c>
      <c r="R536" s="0" t="n">
        <v>4844</v>
      </c>
      <c r="S536" s="0" t="n">
        <v>10697</v>
      </c>
      <c r="T536" s="0" t="n">
        <v>52.7</v>
      </c>
      <c r="U536" s="0" t="n">
        <v>1198</v>
      </c>
      <c r="V536" s="0" t="n">
        <v>3</v>
      </c>
      <c r="W536" s="0" t="str">
        <f aca="false">IF(OR(AND(B536&gt;=1,B536&lt;=6),B536=10),"Vaca em lactação",IF(I536="Male","Macho",IF(E536&gt;=1,"Vaca seca",IF(I536="Youngstock","Bezerra/recria","Novilha"))))</f>
        <v>Vaca em lactação</v>
      </c>
      <c r="X536" s="0" t="str">
        <f aca="false">IF(AND(B536&gt;=1,B536&lt;=6),"Tanque",IF(B536=10,"Descarte",""))</f>
        <v>Tanque</v>
      </c>
    </row>
    <row r="537" customFormat="false" ht="15" hidden="false" customHeight="false" outlineLevel="0" collapsed="false">
      <c r="A537" s="22" t="n">
        <v>46309</v>
      </c>
      <c r="B537" s="0" t="n">
        <v>3</v>
      </c>
      <c r="C537" s="0" t="n">
        <v>4824</v>
      </c>
      <c r="D537" s="0" t="n">
        <v>156</v>
      </c>
      <c r="E537" s="0" t="n">
        <v>2</v>
      </c>
      <c r="F537" s="23" t="s">
        <v>406</v>
      </c>
      <c r="G537" s="0" t="n">
        <v>54.2</v>
      </c>
      <c r="H537" s="0" t="n">
        <v>50</v>
      </c>
      <c r="I537" s="23" t="s">
        <v>109</v>
      </c>
      <c r="J537" s="0" t="n">
        <v>156</v>
      </c>
      <c r="K537" s="0" t="n">
        <v>65</v>
      </c>
      <c r="M537" s="0" t="n">
        <v>1021.03</v>
      </c>
      <c r="N537" s="0" t="n">
        <v>30.99</v>
      </c>
      <c r="O537" s="0" t="n">
        <v>25.64</v>
      </c>
      <c r="P537" s="0" t="n">
        <v>3.9</v>
      </c>
      <c r="Q537" s="0" t="n">
        <v>3.34</v>
      </c>
      <c r="R537" s="0" t="n">
        <v>5435</v>
      </c>
      <c r="S537" s="0" t="n">
        <v>10417</v>
      </c>
      <c r="T537" s="0" t="n">
        <v>57.85</v>
      </c>
      <c r="U537" s="0" t="n">
        <v>1198</v>
      </c>
      <c r="V537" s="0" t="n">
        <v>2</v>
      </c>
      <c r="W537" s="0" t="str">
        <f aca="false">IF(OR(AND(B537&gt;=1,B537&lt;=6),B537=10),"Vaca em lactação",IF(I537="Male","Macho",IF(E537&gt;=1,"Vaca seca",IF(I537="Youngstock","Bezerra/recria","Novilha"))))</f>
        <v>Vaca em lactação</v>
      </c>
      <c r="X537" s="0" t="str">
        <f aca="false">IF(AND(B537&gt;=1,B537&lt;=6),"Tanque",IF(B537=10,"Descarte",""))</f>
        <v>Tanque</v>
      </c>
    </row>
    <row r="538" customFormat="false" ht="15" hidden="false" customHeight="false" outlineLevel="0" collapsed="false">
      <c r="A538" s="22" t="n">
        <v>46309</v>
      </c>
      <c r="B538" s="0" t="n">
        <v>3</v>
      </c>
      <c r="C538" s="0" t="n">
        <v>4799</v>
      </c>
      <c r="D538" s="0" t="n">
        <v>203</v>
      </c>
      <c r="E538" s="0" t="n">
        <v>2</v>
      </c>
      <c r="F538" s="23" t="s">
        <v>312</v>
      </c>
      <c r="G538" s="0" t="n">
        <v>58</v>
      </c>
      <c r="H538" s="0" t="n">
        <v>57</v>
      </c>
      <c r="I538" s="23" t="s">
        <v>92</v>
      </c>
      <c r="J538" s="0" t="n">
        <v>98</v>
      </c>
      <c r="K538" s="0" t="n">
        <v>63</v>
      </c>
      <c r="L538" s="0" t="n">
        <v>105</v>
      </c>
      <c r="M538" s="0" t="n">
        <v>1462.65</v>
      </c>
      <c r="N538" s="0" t="n">
        <v>64.27</v>
      </c>
      <c r="O538" s="0" t="n">
        <v>36.79</v>
      </c>
      <c r="P538" s="0" t="n">
        <v>4.32</v>
      </c>
      <c r="Q538" s="0" t="n">
        <v>3.16</v>
      </c>
      <c r="R538" s="0" t="n">
        <v>5198</v>
      </c>
      <c r="S538" s="0" t="n">
        <v>10852</v>
      </c>
      <c r="T538" s="0" t="n">
        <v>57.55</v>
      </c>
      <c r="U538" s="0" t="n">
        <v>1207</v>
      </c>
      <c r="V538" s="0" t="n">
        <v>2</v>
      </c>
      <c r="W538" s="0" t="str">
        <f aca="false">IF(OR(AND(B538&gt;=1,B538&lt;=6),B538=10),"Vaca em lactação",IF(I538="Male","Macho",IF(E538&gt;=1,"Vaca seca",IF(I538="Youngstock","Bezerra/recria","Novilha"))))</f>
        <v>Vaca em lactação</v>
      </c>
      <c r="X538" s="0" t="str">
        <f aca="false">IF(AND(B538&gt;=1,B538&lt;=6),"Tanque",IF(B538=10,"Descarte",""))</f>
        <v>Tanque</v>
      </c>
    </row>
    <row r="539" customFormat="false" ht="15" hidden="false" customHeight="false" outlineLevel="0" collapsed="false">
      <c r="A539" s="22" t="n">
        <v>46309</v>
      </c>
      <c r="B539" s="0" t="n">
        <v>3</v>
      </c>
      <c r="C539" s="0" t="n">
        <v>4802</v>
      </c>
      <c r="D539" s="0" t="n">
        <v>169</v>
      </c>
      <c r="E539" s="0" t="n">
        <v>2</v>
      </c>
      <c r="F539" s="23" t="s">
        <v>311</v>
      </c>
      <c r="G539" s="0" t="n">
        <v>57.8</v>
      </c>
      <c r="H539" s="0" t="n">
        <v>57</v>
      </c>
      <c r="I539" s="23" t="s">
        <v>92</v>
      </c>
      <c r="J539" s="0" t="n">
        <v>127</v>
      </c>
      <c r="K539" s="0" t="n">
        <v>64</v>
      </c>
      <c r="L539" s="0" t="n">
        <v>42</v>
      </c>
      <c r="M539" s="0" t="n">
        <v>1295.18</v>
      </c>
      <c r="N539" s="0" t="n">
        <v>67.83</v>
      </c>
      <c r="O539" s="0" t="n">
        <v>49.45</v>
      </c>
      <c r="P539" s="0" t="n">
        <v>2.92</v>
      </c>
      <c r="Q539" s="0" t="n">
        <v>3.58</v>
      </c>
      <c r="R539" s="0" t="n">
        <v>5769</v>
      </c>
      <c r="S539" s="0" t="n">
        <v>11734</v>
      </c>
      <c r="T539" s="0" t="n">
        <v>64.2</v>
      </c>
      <c r="U539" s="0" t="n">
        <v>1206</v>
      </c>
      <c r="V539" s="0" t="n">
        <v>2</v>
      </c>
      <c r="W539" s="0" t="str">
        <f aca="false">IF(OR(AND(B539&gt;=1,B539&lt;=6),B539=10),"Vaca em lactação",IF(I539="Male","Macho",IF(E539&gt;=1,"Vaca seca",IF(I539="Youngstock","Bezerra/recria","Novilha"))))</f>
        <v>Vaca em lactação</v>
      </c>
      <c r="X539" s="0" t="str">
        <f aca="false">IF(AND(B539&gt;=1,B539&lt;=6),"Tanque",IF(B539=10,"Descarte",""))</f>
        <v>Tanque</v>
      </c>
    </row>
    <row r="540" customFormat="false" ht="15" hidden="false" customHeight="false" outlineLevel="0" collapsed="false">
      <c r="A540" s="22" t="n">
        <v>46309</v>
      </c>
      <c r="B540" s="0" t="n">
        <v>3</v>
      </c>
      <c r="C540" s="0" t="n">
        <v>4812</v>
      </c>
      <c r="D540" s="0" t="n">
        <v>62</v>
      </c>
      <c r="E540" s="0" t="n">
        <v>2</v>
      </c>
      <c r="F540" s="23" t="s">
        <v>481</v>
      </c>
      <c r="G540" s="0" t="n">
        <v>44.9</v>
      </c>
      <c r="H540" s="0" t="n">
        <v>45</v>
      </c>
      <c r="I540" s="23" t="s">
        <v>94</v>
      </c>
      <c r="J540" s="0" t="n">
        <v>62</v>
      </c>
      <c r="M540" s="0" t="n">
        <v>1088.05</v>
      </c>
      <c r="N540" s="0" t="n">
        <v>68.32</v>
      </c>
      <c r="O540" s="0" t="n">
        <v>37.3</v>
      </c>
      <c r="P540" s="0" t="n">
        <v>4.43</v>
      </c>
      <c r="Q540" s="0" t="n">
        <v>3.31</v>
      </c>
      <c r="R540" s="0" t="n">
        <v>3978</v>
      </c>
      <c r="S540" s="0" t="n">
        <v>7996</v>
      </c>
      <c r="U540" s="0" t="n">
        <v>1202</v>
      </c>
      <c r="V540" s="0" t="n">
        <v>0</v>
      </c>
      <c r="W540" s="0" t="str">
        <f aca="false">IF(OR(AND(B540&gt;=1,B540&lt;=6),B540=10),"Vaca em lactação",IF(I540="Male","Macho",IF(E540&gt;=1,"Vaca seca",IF(I540="Youngstock","Bezerra/recria","Novilha"))))</f>
        <v>Vaca em lactação</v>
      </c>
      <c r="X540" s="0" t="str">
        <f aca="false">IF(AND(B540&gt;=1,B540&lt;=6),"Tanque",IF(B540=10,"Descarte",""))</f>
        <v>Tanque</v>
      </c>
    </row>
    <row r="541" customFormat="false" ht="15" hidden="false" customHeight="false" outlineLevel="0" collapsed="false">
      <c r="A541" s="22" t="n">
        <v>46309</v>
      </c>
      <c r="B541" s="0" t="n">
        <v>3</v>
      </c>
      <c r="C541" s="0" t="n">
        <v>4678</v>
      </c>
      <c r="D541" s="0" t="n">
        <v>205</v>
      </c>
      <c r="E541" s="0" t="n">
        <v>2</v>
      </c>
      <c r="F541" s="23" t="s">
        <v>482</v>
      </c>
      <c r="G541" s="0" t="n">
        <v>45.9</v>
      </c>
      <c r="H541" s="0" t="n">
        <v>46</v>
      </c>
      <c r="I541" s="23" t="s">
        <v>92</v>
      </c>
      <c r="J541" s="0" t="n">
        <v>100</v>
      </c>
      <c r="K541" s="0" t="n">
        <v>65</v>
      </c>
      <c r="L541" s="0" t="n">
        <v>105</v>
      </c>
      <c r="M541" s="0" t="n">
        <v>319.62</v>
      </c>
      <c r="N541" s="0" t="n">
        <v>15.93</v>
      </c>
      <c r="O541" s="0" t="n">
        <v>22.1</v>
      </c>
      <c r="P541" s="0" t="n">
        <v>2.81</v>
      </c>
      <c r="Q541" s="0" t="n">
        <v>3.69</v>
      </c>
      <c r="R541" s="0" t="n">
        <v>4901</v>
      </c>
      <c r="S541" s="0" t="n">
        <v>9876</v>
      </c>
      <c r="T541" s="0" t="n">
        <v>57.35</v>
      </c>
      <c r="U541" s="0" t="n">
        <v>1266</v>
      </c>
      <c r="V541" s="0" t="n">
        <v>2</v>
      </c>
      <c r="W541" s="0" t="str">
        <f aca="false">IF(OR(AND(B541&gt;=1,B541&lt;=6),B541=10),"Vaca em lactação",IF(I541="Male","Macho",IF(E541&gt;=1,"Vaca seca",IF(I541="Youngstock","Bezerra/recria","Novilha"))))</f>
        <v>Vaca em lactação</v>
      </c>
      <c r="X541" s="0" t="str">
        <f aca="false">IF(AND(B541&gt;=1,B541&lt;=6),"Tanque",IF(B541=10,"Descarte",""))</f>
        <v>Tanque</v>
      </c>
    </row>
    <row r="542" customFormat="false" ht="15" hidden="false" customHeight="false" outlineLevel="0" collapsed="false">
      <c r="A542" s="22" t="n">
        <v>46309</v>
      </c>
      <c r="B542" s="0" t="n">
        <v>3</v>
      </c>
      <c r="C542" s="0" t="n">
        <v>4676</v>
      </c>
      <c r="D542" s="0" t="n">
        <v>210</v>
      </c>
      <c r="E542" s="0" t="n">
        <v>2</v>
      </c>
      <c r="F542" s="23" t="s">
        <v>483</v>
      </c>
      <c r="G542" s="0" t="n">
        <v>65.5</v>
      </c>
      <c r="H542" s="0" t="n">
        <v>62</v>
      </c>
      <c r="I542" s="23" t="s">
        <v>92</v>
      </c>
      <c r="J542" s="0" t="n">
        <v>129</v>
      </c>
      <c r="K542" s="0" t="n">
        <v>60</v>
      </c>
      <c r="L542" s="0" t="n">
        <v>81</v>
      </c>
      <c r="M542" s="0" t="n">
        <v>1317.16</v>
      </c>
      <c r="N542" s="0" t="n">
        <v>38.4</v>
      </c>
      <c r="O542" s="0" t="n">
        <v>38.43</v>
      </c>
      <c r="P542" s="0" t="n">
        <v>3.21</v>
      </c>
      <c r="Q542" s="0" t="n">
        <v>3.01</v>
      </c>
      <c r="R542" s="0" t="n">
        <v>6431</v>
      </c>
      <c r="S542" s="0" t="n">
        <v>13336</v>
      </c>
      <c r="T542" s="0" t="n">
        <v>77.4</v>
      </c>
      <c r="U542" s="0" t="n">
        <v>1268</v>
      </c>
      <c r="V542" s="0" t="n">
        <v>3</v>
      </c>
      <c r="W542" s="0" t="str">
        <f aca="false">IF(OR(AND(B542&gt;=1,B542&lt;=6),B542=10),"Vaca em lactação",IF(I542="Male","Macho",IF(E542&gt;=1,"Vaca seca",IF(I542="Youngstock","Bezerra/recria","Novilha"))))</f>
        <v>Vaca em lactação</v>
      </c>
      <c r="X542" s="0" t="str">
        <f aca="false">IF(AND(B542&gt;=1,B542&lt;=6),"Tanque",IF(B542=10,"Descarte",""))</f>
        <v>Tanque</v>
      </c>
    </row>
    <row r="543" customFormat="false" ht="15" hidden="false" customHeight="false" outlineLevel="0" collapsed="false">
      <c r="A543" s="22" t="n">
        <v>46309</v>
      </c>
      <c r="B543" s="0" t="n">
        <v>3</v>
      </c>
      <c r="C543" s="0" t="n">
        <v>4688</v>
      </c>
      <c r="D543" s="0" t="n">
        <v>201</v>
      </c>
      <c r="E543" s="0" t="n">
        <v>2</v>
      </c>
      <c r="F543" s="23" t="s">
        <v>484</v>
      </c>
      <c r="G543" s="0" t="n">
        <v>49.9</v>
      </c>
      <c r="H543" s="0" t="n">
        <v>48</v>
      </c>
      <c r="I543" s="23" t="s">
        <v>97</v>
      </c>
      <c r="J543" s="0" t="n">
        <v>201</v>
      </c>
      <c r="K543" s="0" t="n">
        <v>82</v>
      </c>
      <c r="M543" s="0" t="n">
        <v>1056.74</v>
      </c>
      <c r="N543" s="0" t="n">
        <v>64.52</v>
      </c>
      <c r="O543" s="0" t="n">
        <v>44.28</v>
      </c>
      <c r="P543" s="0" t="n">
        <v>3.04</v>
      </c>
      <c r="Q543" s="0" t="n">
        <v>3.18</v>
      </c>
      <c r="R543" s="0" t="n">
        <v>4850</v>
      </c>
      <c r="S543" s="0" t="n">
        <v>10327</v>
      </c>
      <c r="T543" s="0" t="n">
        <v>55.4</v>
      </c>
      <c r="U543" s="0" t="n">
        <v>1261</v>
      </c>
      <c r="V543" s="0" t="n">
        <v>3</v>
      </c>
      <c r="W543" s="0" t="str">
        <f aca="false">IF(OR(AND(B543&gt;=1,B543&lt;=6),B543=10),"Vaca em lactação",IF(I543="Male","Macho",IF(E543&gt;=1,"Vaca seca",IF(I543="Youngstock","Bezerra/recria","Novilha"))))</f>
        <v>Vaca em lactação</v>
      </c>
      <c r="X543" s="0" t="str">
        <f aca="false">IF(AND(B543&gt;=1,B543&lt;=6),"Tanque",IF(B543=10,"Descarte",""))</f>
        <v>Tanque</v>
      </c>
    </row>
    <row r="544" customFormat="false" ht="15" hidden="false" customHeight="false" outlineLevel="0" collapsed="false">
      <c r="A544" s="22" t="n">
        <v>46309</v>
      </c>
      <c r="B544" s="0" t="n">
        <v>3</v>
      </c>
      <c r="C544" s="0" t="n">
        <v>4682</v>
      </c>
      <c r="D544" s="0" t="n">
        <v>93</v>
      </c>
      <c r="E544" s="0" t="n">
        <v>2</v>
      </c>
      <c r="F544" s="23" t="s">
        <v>485</v>
      </c>
      <c r="G544" s="0" t="n">
        <v>75.8</v>
      </c>
      <c r="H544" s="0" t="n">
        <v>78</v>
      </c>
      <c r="I544" s="23" t="s">
        <v>97</v>
      </c>
      <c r="J544" s="0" t="n">
        <v>93</v>
      </c>
      <c r="K544" s="0" t="n">
        <v>65</v>
      </c>
      <c r="M544" s="0" t="n">
        <v>1964.63</v>
      </c>
      <c r="N544" s="0" t="n">
        <v>17.61</v>
      </c>
      <c r="O544" s="0" t="n">
        <v>46.27</v>
      </c>
      <c r="P544" s="0" t="n">
        <v>3.29</v>
      </c>
      <c r="Q544" s="0" t="n">
        <v>2.99</v>
      </c>
      <c r="R544" s="0" t="n">
        <v>7162</v>
      </c>
      <c r="S544" s="0" t="n">
        <v>14397</v>
      </c>
      <c r="T544" s="0" t="n">
        <v>81.75</v>
      </c>
      <c r="U544" s="0" t="n">
        <v>1265</v>
      </c>
      <c r="V544" s="0" t="n">
        <v>1</v>
      </c>
      <c r="W544" s="0" t="str">
        <f aca="false">IF(OR(AND(B544&gt;=1,B544&lt;=6),B544=10),"Vaca em lactação",IF(I544="Male","Macho",IF(E544&gt;=1,"Vaca seca",IF(I544="Youngstock","Bezerra/recria","Novilha"))))</f>
        <v>Vaca em lactação</v>
      </c>
      <c r="X544" s="0" t="str">
        <f aca="false">IF(AND(B544&gt;=1,B544&lt;=6),"Tanque",IF(B544=10,"Descarte",""))</f>
        <v>Tanque</v>
      </c>
    </row>
    <row r="545" customFormat="false" ht="15" hidden="false" customHeight="false" outlineLevel="0" collapsed="false">
      <c r="A545" s="22" t="n">
        <v>46309</v>
      </c>
      <c r="B545" s="0" t="n">
        <v>3</v>
      </c>
      <c r="C545" s="0" t="n">
        <v>4639</v>
      </c>
      <c r="D545" s="0" t="n">
        <v>198</v>
      </c>
      <c r="E545" s="0" t="n">
        <v>2</v>
      </c>
      <c r="F545" s="23" t="s">
        <v>317</v>
      </c>
      <c r="G545" s="0" t="n">
        <v>39.5</v>
      </c>
      <c r="H545" s="0" t="n">
        <v>44</v>
      </c>
      <c r="I545" s="23" t="s">
        <v>97</v>
      </c>
      <c r="J545" s="0" t="n">
        <v>198</v>
      </c>
      <c r="K545" s="0" t="n">
        <v>65</v>
      </c>
      <c r="M545" s="0" t="n">
        <v>824.99</v>
      </c>
      <c r="N545" s="0" t="n">
        <v>46.32</v>
      </c>
      <c r="O545" s="0" t="n">
        <v>32.81</v>
      </c>
      <c r="P545" s="0" t="n">
        <v>3.29</v>
      </c>
      <c r="Q545" s="0" t="n">
        <v>3.46</v>
      </c>
      <c r="R545" s="0" t="n">
        <v>5521</v>
      </c>
      <c r="S545" s="0" t="n">
        <v>10970</v>
      </c>
      <c r="T545" s="0" t="n">
        <v>63.4</v>
      </c>
      <c r="U545" s="0" t="n">
        <v>1289</v>
      </c>
      <c r="V545" s="0" t="n">
        <v>4</v>
      </c>
      <c r="W545" s="0" t="str">
        <f aca="false">IF(OR(AND(B545&gt;=1,B545&lt;=6),B545=10),"Vaca em lactação",IF(I545="Male","Macho",IF(E545&gt;=1,"Vaca seca",IF(I545="Youngstock","Bezerra/recria","Novilha"))))</f>
        <v>Vaca em lactação</v>
      </c>
      <c r="X545" s="0" t="str">
        <f aca="false">IF(AND(B545&gt;=1,B545&lt;=6),"Tanque",IF(B545=10,"Descarte",""))</f>
        <v>Tanque</v>
      </c>
    </row>
    <row r="546" customFormat="false" ht="15" hidden="false" customHeight="false" outlineLevel="0" collapsed="false">
      <c r="A546" s="22" t="n">
        <v>46309</v>
      </c>
      <c r="B546" s="0" t="n">
        <v>3</v>
      </c>
      <c r="C546" s="0" t="n">
        <v>4744</v>
      </c>
      <c r="D546" s="0" t="n">
        <v>454</v>
      </c>
      <c r="E546" s="0" t="n">
        <v>1</v>
      </c>
      <c r="F546" s="23" t="s">
        <v>326</v>
      </c>
      <c r="G546" s="0" t="n">
        <v>53.2</v>
      </c>
      <c r="H546" s="0" t="n">
        <v>50</v>
      </c>
      <c r="I546" s="23" t="s">
        <v>92</v>
      </c>
      <c r="J546" s="0" t="n">
        <v>342</v>
      </c>
      <c r="K546" s="0" t="n">
        <v>62</v>
      </c>
      <c r="L546" s="0" t="n">
        <v>112</v>
      </c>
      <c r="M546" s="0" t="n">
        <v>1698.43</v>
      </c>
      <c r="N546" s="0" t="n">
        <v>44.68</v>
      </c>
      <c r="O546" s="0" t="n">
        <v>37.51</v>
      </c>
      <c r="P546" s="0" t="n">
        <v>2.84</v>
      </c>
      <c r="Q546" s="0" t="n">
        <v>3.47</v>
      </c>
      <c r="R546" s="0" t="n">
        <v>5414</v>
      </c>
      <c r="S546" s="0" t="n">
        <v>11417</v>
      </c>
      <c r="T546" s="0" t="n">
        <v>56.5</v>
      </c>
      <c r="U546" s="0" t="n">
        <v>1231</v>
      </c>
      <c r="V546" s="0" t="n">
        <v>10</v>
      </c>
      <c r="W546" s="0" t="str">
        <f aca="false">IF(OR(AND(B546&gt;=1,B546&lt;=6),B546=10),"Vaca em lactação",IF(I546="Male","Macho",IF(E546&gt;=1,"Vaca seca",IF(I546="Youngstock","Bezerra/recria","Novilha"))))</f>
        <v>Vaca em lactação</v>
      </c>
      <c r="X546" s="0" t="str">
        <f aca="false">IF(AND(B546&gt;=1,B546&lt;=6),"Tanque",IF(B546=10,"Descarte",""))</f>
        <v>Tanque</v>
      </c>
    </row>
    <row r="547" customFormat="false" ht="15" hidden="false" customHeight="false" outlineLevel="0" collapsed="false">
      <c r="A547" s="22" t="n">
        <v>46309</v>
      </c>
      <c r="B547" s="0" t="n">
        <v>3</v>
      </c>
      <c r="C547" s="0" t="n">
        <v>4749</v>
      </c>
      <c r="D547" s="0" t="n">
        <v>224</v>
      </c>
      <c r="E547" s="0" t="n">
        <v>2</v>
      </c>
      <c r="F547" s="23" t="s">
        <v>486</v>
      </c>
      <c r="G547" s="0" t="n">
        <v>51.7</v>
      </c>
      <c r="H547" s="0" t="n">
        <v>51</v>
      </c>
      <c r="I547" s="23" t="s">
        <v>97</v>
      </c>
      <c r="J547" s="0" t="n">
        <v>224</v>
      </c>
      <c r="K547" s="0" t="n">
        <v>63</v>
      </c>
      <c r="M547" s="0" t="n">
        <v>775.97</v>
      </c>
      <c r="N547" s="0" t="n">
        <v>73.75</v>
      </c>
      <c r="O547" s="0" t="n">
        <v>55.24</v>
      </c>
      <c r="P547" s="0" t="n">
        <v>3.57</v>
      </c>
      <c r="Q547" s="0" t="n">
        <v>4.06</v>
      </c>
      <c r="R547" s="0" t="n">
        <v>5405</v>
      </c>
      <c r="S547" s="0" t="n">
        <v>10863</v>
      </c>
      <c r="T547" s="0" t="n">
        <v>59.95</v>
      </c>
      <c r="U547" s="0" t="n">
        <v>1229</v>
      </c>
      <c r="V547" s="0" t="n">
        <v>5</v>
      </c>
      <c r="W547" s="0" t="str">
        <f aca="false">IF(OR(AND(B547&gt;=1,B547&lt;=6),B547=10),"Vaca em lactação",IF(I547="Male","Macho",IF(E547&gt;=1,"Vaca seca",IF(I547="Youngstock","Bezerra/recria","Novilha"))))</f>
        <v>Vaca em lactação</v>
      </c>
      <c r="X547" s="0" t="str">
        <f aca="false">IF(AND(B547&gt;=1,B547&lt;=6),"Tanque",IF(B547=10,"Descarte",""))</f>
        <v>Tanque</v>
      </c>
    </row>
    <row r="548" customFormat="false" ht="15" hidden="false" customHeight="false" outlineLevel="0" collapsed="false">
      <c r="A548" s="22" t="n">
        <v>46309</v>
      </c>
      <c r="B548" s="0" t="n">
        <v>3</v>
      </c>
      <c r="C548" s="0" t="n">
        <v>4702</v>
      </c>
      <c r="D548" s="0" t="n">
        <v>281</v>
      </c>
      <c r="E548" s="0" t="n">
        <v>2</v>
      </c>
      <c r="F548" s="23" t="s">
        <v>327</v>
      </c>
      <c r="G548" s="0" t="n">
        <v>47.3</v>
      </c>
      <c r="H548" s="0" t="n">
        <v>50</v>
      </c>
      <c r="I548" s="23" t="s">
        <v>92</v>
      </c>
      <c r="J548" s="0" t="n">
        <v>169</v>
      </c>
      <c r="K548" s="0" t="n">
        <v>64</v>
      </c>
      <c r="L548" s="0" t="n">
        <v>112</v>
      </c>
      <c r="M548" s="0" t="n">
        <v>444.79</v>
      </c>
      <c r="N548" s="0" t="n">
        <v>18.95</v>
      </c>
      <c r="O548" s="0" t="n">
        <v>16.73</v>
      </c>
      <c r="P548" s="0" t="n">
        <v>2.95</v>
      </c>
      <c r="Q548" s="0" t="n">
        <v>3.53</v>
      </c>
      <c r="R548" s="0" t="n">
        <v>4921</v>
      </c>
      <c r="S548" s="0" t="n">
        <v>9154</v>
      </c>
      <c r="T548" s="0" t="n">
        <v>50.6</v>
      </c>
      <c r="U548" s="0" t="n">
        <v>1253</v>
      </c>
      <c r="V548" s="0" t="n">
        <v>3</v>
      </c>
      <c r="W548" s="0" t="str">
        <f aca="false">IF(OR(AND(B548&gt;=1,B548&lt;=6),B548=10),"Vaca em lactação",IF(I548="Male","Macho",IF(E548&gt;=1,"Vaca seca",IF(I548="Youngstock","Bezerra/recria","Novilha"))))</f>
        <v>Vaca em lactação</v>
      </c>
      <c r="X548" s="0" t="str">
        <f aca="false">IF(AND(B548&gt;=1,B548&lt;=6),"Tanque",IF(B548=10,"Descarte",""))</f>
        <v>Tanque</v>
      </c>
    </row>
    <row r="549" customFormat="false" ht="15" hidden="false" customHeight="false" outlineLevel="0" collapsed="false">
      <c r="A549" s="22" t="n">
        <v>46309</v>
      </c>
      <c r="B549" s="0" t="n">
        <v>3</v>
      </c>
      <c r="C549" s="0" t="n">
        <v>4698</v>
      </c>
      <c r="D549" s="0" t="n">
        <v>266</v>
      </c>
      <c r="E549" s="0" t="n">
        <v>2</v>
      </c>
      <c r="F549" s="23" t="s">
        <v>487</v>
      </c>
      <c r="G549" s="0" t="n">
        <v>50.9</v>
      </c>
      <c r="H549" s="0" t="n">
        <v>49</v>
      </c>
      <c r="I549" s="23" t="s">
        <v>92</v>
      </c>
      <c r="J549" s="0" t="n">
        <v>126</v>
      </c>
      <c r="K549" s="0" t="n">
        <v>70</v>
      </c>
      <c r="L549" s="0" t="n">
        <v>140</v>
      </c>
      <c r="M549" s="0" t="n">
        <v>1044.37</v>
      </c>
      <c r="N549" s="0" t="n">
        <v>49.01</v>
      </c>
      <c r="O549" s="0" t="n">
        <v>26.4</v>
      </c>
      <c r="P549" s="0" t="n">
        <v>4.25</v>
      </c>
      <c r="Q549" s="0" t="n">
        <v>3.17</v>
      </c>
      <c r="R549" s="0" t="n">
        <v>5431</v>
      </c>
      <c r="S549" s="0" t="n">
        <v>12110</v>
      </c>
      <c r="T549" s="0" t="n">
        <v>57.2</v>
      </c>
      <c r="U549" s="0" t="n">
        <v>1256</v>
      </c>
      <c r="V549" s="0" t="n">
        <v>3</v>
      </c>
      <c r="W549" s="0" t="str">
        <f aca="false">IF(OR(AND(B549&gt;=1,B549&lt;=6),B549=10),"Vaca em lactação",IF(I549="Male","Macho",IF(E549&gt;=1,"Vaca seca",IF(I549="Youngstock","Bezerra/recria","Novilha"))))</f>
        <v>Vaca em lactação</v>
      </c>
      <c r="X549" s="0" t="str">
        <f aca="false">IF(AND(B549&gt;=1,B549&lt;=6),"Tanque",IF(B549=10,"Descarte",""))</f>
        <v>Tanque</v>
      </c>
    </row>
    <row r="550" customFormat="false" ht="15" hidden="false" customHeight="false" outlineLevel="0" collapsed="false">
      <c r="A550" s="22" t="n">
        <v>46309</v>
      </c>
      <c r="B550" s="0" t="n">
        <v>3</v>
      </c>
      <c r="C550" s="0" t="n">
        <v>4715</v>
      </c>
      <c r="D550" s="0" t="n">
        <v>121</v>
      </c>
      <c r="E550" s="0" t="n">
        <v>2</v>
      </c>
      <c r="F550" s="23" t="s">
        <v>488</v>
      </c>
      <c r="G550" s="0" t="n">
        <v>53.2</v>
      </c>
      <c r="H550" s="0" t="n">
        <v>54</v>
      </c>
      <c r="I550" s="23" t="s">
        <v>97</v>
      </c>
      <c r="J550" s="0" t="n">
        <v>121</v>
      </c>
      <c r="K550" s="0" t="n">
        <v>93</v>
      </c>
      <c r="M550" s="0" t="n">
        <v>666.62</v>
      </c>
      <c r="N550" s="0" t="n">
        <v>30.73</v>
      </c>
      <c r="O550" s="0" t="n">
        <v>28.9</v>
      </c>
      <c r="P550" s="0" t="n">
        <v>3.54</v>
      </c>
      <c r="Q550" s="0" t="n">
        <v>3.18</v>
      </c>
      <c r="R550" s="0" t="n">
        <v>5256</v>
      </c>
      <c r="S550" s="0" t="n">
        <v>10716</v>
      </c>
      <c r="T550" s="0" t="n">
        <v>57</v>
      </c>
      <c r="U550" s="0" t="n">
        <v>1245</v>
      </c>
      <c r="V550" s="0" t="n">
        <v>1</v>
      </c>
      <c r="W550" s="0" t="str">
        <f aca="false">IF(OR(AND(B550&gt;=1,B550&lt;=6),B550=10),"Vaca em lactação",IF(I550="Male","Macho",IF(E550&gt;=1,"Vaca seca",IF(I550="Youngstock","Bezerra/recria","Novilha"))))</f>
        <v>Vaca em lactação</v>
      </c>
      <c r="X550" s="0" t="str">
        <f aca="false">IF(AND(B550&gt;=1,B550&lt;=6),"Tanque",IF(B550=10,"Descarte",""))</f>
        <v>Tanque</v>
      </c>
    </row>
    <row r="551" customFormat="false" ht="15" hidden="false" customHeight="false" outlineLevel="0" collapsed="false">
      <c r="A551" s="22" t="n">
        <v>46309</v>
      </c>
      <c r="B551" s="0" t="n">
        <v>3</v>
      </c>
      <c r="C551" s="0" t="n">
        <v>4942</v>
      </c>
      <c r="D551" s="0" t="n">
        <v>53</v>
      </c>
      <c r="E551" s="0" t="n">
        <v>2</v>
      </c>
      <c r="F551" s="23" t="s">
        <v>332</v>
      </c>
      <c r="G551" s="0" t="n">
        <v>67.7</v>
      </c>
      <c r="H551" s="0" t="n">
        <v>66</v>
      </c>
      <c r="I551" s="23" t="s">
        <v>94</v>
      </c>
      <c r="J551" s="0" t="n">
        <v>53</v>
      </c>
      <c r="M551" s="0" t="n">
        <v>957.24</v>
      </c>
      <c r="N551" s="0" t="n">
        <v>89.3</v>
      </c>
      <c r="O551" s="0" t="n">
        <v>39.26</v>
      </c>
      <c r="P551" s="0" t="n">
        <v>3.76</v>
      </c>
      <c r="Q551" s="0" t="n">
        <v>3.27</v>
      </c>
      <c r="R551" s="0" t="n">
        <v>5421</v>
      </c>
      <c r="S551" s="0" t="n">
        <v>10897</v>
      </c>
      <c r="U551" s="0" t="n">
        <v>1150</v>
      </c>
      <c r="V551" s="0" t="n">
        <v>0</v>
      </c>
      <c r="W551" s="0" t="str">
        <f aca="false">IF(OR(AND(B551&gt;=1,B551&lt;=6),B551=10),"Vaca em lactação",IF(I551="Male","Macho",IF(E551&gt;=1,"Vaca seca",IF(I551="Youngstock","Bezerra/recria","Novilha"))))</f>
        <v>Vaca em lactação</v>
      </c>
      <c r="X551" s="0" t="str">
        <f aca="false">IF(AND(B551&gt;=1,B551&lt;=6),"Tanque",IF(B551=10,"Descarte",""))</f>
        <v>Tanque</v>
      </c>
    </row>
    <row r="552" customFormat="false" ht="15" hidden="false" customHeight="false" outlineLevel="0" collapsed="false">
      <c r="A552" s="22" t="n">
        <v>46309</v>
      </c>
      <c r="B552" s="0" t="n">
        <v>3</v>
      </c>
      <c r="C552" s="0" t="n">
        <v>4920</v>
      </c>
      <c r="D552" s="0" t="n">
        <v>5</v>
      </c>
      <c r="E552" s="0" t="n">
        <v>2</v>
      </c>
      <c r="F552" s="23" t="s">
        <v>333</v>
      </c>
      <c r="G552" s="0" t="n">
        <v>41.5</v>
      </c>
      <c r="H552" s="0" t="n">
        <v>31</v>
      </c>
      <c r="I552" s="23" t="s">
        <v>94</v>
      </c>
      <c r="J552" s="0" t="n">
        <v>5</v>
      </c>
      <c r="M552" s="0" t="n">
        <v>1006.91</v>
      </c>
      <c r="N552" s="0" t="n">
        <v>48.48</v>
      </c>
      <c r="O552" s="0" t="n">
        <v>37.09</v>
      </c>
      <c r="R552" s="0" t="n">
        <v>2640</v>
      </c>
      <c r="S552" s="0" t="n">
        <v>5307</v>
      </c>
      <c r="U552" s="0" t="n">
        <v>1158</v>
      </c>
      <c r="V552" s="0" t="n">
        <v>0</v>
      </c>
      <c r="W552" s="0" t="str">
        <f aca="false">IF(OR(AND(B552&gt;=1,B552&lt;=6),B552=10),"Vaca em lactação",IF(I552="Male","Macho",IF(E552&gt;=1,"Vaca seca",IF(I552="Youngstock","Bezerra/recria","Novilha"))))</f>
        <v>Vaca em lactação</v>
      </c>
      <c r="X552" s="0" t="str">
        <f aca="false">IF(AND(B552&gt;=1,B552&lt;=6),"Tanque",IF(B552=10,"Descarte",""))</f>
        <v>Tanque</v>
      </c>
    </row>
    <row r="553" customFormat="false" ht="15" hidden="false" customHeight="false" outlineLevel="0" collapsed="false">
      <c r="A553" s="22" t="n">
        <v>46309</v>
      </c>
      <c r="B553" s="0" t="n">
        <v>3</v>
      </c>
      <c r="C553" s="0" t="n">
        <v>4970</v>
      </c>
      <c r="D553" s="0" t="n">
        <v>90</v>
      </c>
      <c r="E553" s="0" t="n">
        <v>2</v>
      </c>
      <c r="F553" s="23" t="s">
        <v>489</v>
      </c>
      <c r="G553" s="0" t="n">
        <v>54.1</v>
      </c>
      <c r="H553" s="0" t="n">
        <v>54</v>
      </c>
      <c r="I553" s="23" t="s">
        <v>97</v>
      </c>
      <c r="J553" s="0" t="n">
        <v>90</v>
      </c>
      <c r="K553" s="0" t="n">
        <v>62</v>
      </c>
      <c r="M553" s="0" t="n">
        <v>982.38</v>
      </c>
      <c r="N553" s="0" t="n">
        <v>42.16</v>
      </c>
      <c r="O553" s="0" t="n">
        <v>37.38</v>
      </c>
      <c r="P553" s="0" t="n">
        <v>4.11</v>
      </c>
      <c r="Q553" s="0" t="n">
        <v>3.8</v>
      </c>
      <c r="R553" s="0" t="n">
        <v>4491</v>
      </c>
      <c r="S553" s="0" t="n">
        <v>9028</v>
      </c>
      <c r="U553" s="0" t="n">
        <v>1137</v>
      </c>
      <c r="V553" s="0" t="n">
        <v>1</v>
      </c>
      <c r="W553" s="0" t="str">
        <f aca="false">IF(OR(AND(B553&gt;=1,B553&lt;=6),B553=10),"Vaca em lactação",IF(I553="Male","Macho",IF(E553&gt;=1,"Vaca seca",IF(I553="Youngstock","Bezerra/recria","Novilha"))))</f>
        <v>Vaca em lactação</v>
      </c>
      <c r="X553" s="0" t="str">
        <f aca="false">IF(AND(B553&gt;=1,B553&lt;=6),"Tanque",IF(B553=10,"Descarte",""))</f>
        <v>Tanque</v>
      </c>
    </row>
    <row r="554" customFormat="false" ht="15" hidden="false" customHeight="false" outlineLevel="0" collapsed="false">
      <c r="A554" s="22" t="n">
        <v>46309</v>
      </c>
      <c r="B554" s="0" t="n">
        <v>3</v>
      </c>
      <c r="C554" s="0" t="n">
        <v>4973</v>
      </c>
      <c r="D554" s="0" t="n">
        <v>78</v>
      </c>
      <c r="E554" s="0" t="n">
        <v>2</v>
      </c>
      <c r="F554" s="23" t="s">
        <v>490</v>
      </c>
      <c r="G554" s="0" t="n">
        <v>53.6</v>
      </c>
      <c r="H554" s="0" t="n">
        <v>51</v>
      </c>
      <c r="I554" s="23" t="s">
        <v>97</v>
      </c>
      <c r="J554" s="0" t="n">
        <v>78</v>
      </c>
      <c r="K554" s="0" t="n">
        <v>64</v>
      </c>
      <c r="M554" s="0" t="n">
        <v>801.76</v>
      </c>
      <c r="N554" s="0" t="n">
        <v>54.32</v>
      </c>
      <c r="O554" s="0" t="n">
        <v>26.96</v>
      </c>
      <c r="P554" s="0" t="n">
        <v>3.47</v>
      </c>
      <c r="Q554" s="0" t="n">
        <v>3.3</v>
      </c>
      <c r="R554" s="0" t="n">
        <v>4184</v>
      </c>
      <c r="S554" s="0" t="n">
        <v>8411</v>
      </c>
      <c r="U554" s="0" t="n">
        <v>1136</v>
      </c>
      <c r="V554" s="0" t="n">
        <v>1</v>
      </c>
      <c r="W554" s="0" t="str">
        <f aca="false">IF(OR(AND(B554&gt;=1,B554&lt;=6),B554=10),"Vaca em lactação",IF(I554="Male","Macho",IF(E554&gt;=1,"Vaca seca",IF(I554="Youngstock","Bezerra/recria","Novilha"))))</f>
        <v>Vaca em lactação</v>
      </c>
      <c r="X554" s="0" t="str">
        <f aca="false">IF(AND(B554&gt;=1,B554&lt;=6),"Tanque",IF(B554=10,"Descarte",""))</f>
        <v>Tanque</v>
      </c>
    </row>
    <row r="555" customFormat="false" ht="15" hidden="false" customHeight="false" outlineLevel="0" collapsed="false">
      <c r="A555" s="22" t="n">
        <v>46309</v>
      </c>
      <c r="B555" s="0" t="n">
        <v>3</v>
      </c>
      <c r="C555" s="0" t="n">
        <v>4972</v>
      </c>
      <c r="D555" s="0" t="n">
        <v>110</v>
      </c>
      <c r="E555" s="0" t="n">
        <v>2</v>
      </c>
      <c r="F555" s="23" t="s">
        <v>490</v>
      </c>
      <c r="G555" s="0" t="n">
        <v>65.3</v>
      </c>
      <c r="H555" s="0" t="n">
        <v>63</v>
      </c>
      <c r="I555" s="23" t="s">
        <v>92</v>
      </c>
      <c r="J555" s="0" t="n">
        <v>68</v>
      </c>
      <c r="K555" s="0" t="n">
        <v>68</v>
      </c>
      <c r="L555" s="0" t="n">
        <v>42</v>
      </c>
      <c r="M555" s="0" t="n">
        <v>1266</v>
      </c>
      <c r="N555" s="0" t="n">
        <v>49.42</v>
      </c>
      <c r="O555" s="0" t="n">
        <v>40.87</v>
      </c>
      <c r="P555" s="0" t="n">
        <v>2.55</v>
      </c>
      <c r="Q555" s="0" t="n">
        <v>3.25</v>
      </c>
      <c r="R555" s="0" t="n">
        <v>5626</v>
      </c>
      <c r="S555" s="0" t="n">
        <v>11418</v>
      </c>
      <c r="T555" s="0" t="n">
        <v>59.55</v>
      </c>
      <c r="U555" s="0" t="n">
        <v>1136</v>
      </c>
      <c r="V555" s="0" t="n">
        <v>1</v>
      </c>
      <c r="W555" s="0" t="str">
        <f aca="false">IF(OR(AND(B555&gt;=1,B555&lt;=6),B555=10),"Vaca em lactação",IF(I555="Male","Macho",IF(E555&gt;=1,"Vaca seca",IF(I555="Youngstock","Bezerra/recria","Novilha"))))</f>
        <v>Vaca em lactação</v>
      </c>
      <c r="X555" s="0" t="str">
        <f aca="false">IF(AND(B555&gt;=1,B555&lt;=6),"Tanque",IF(B555=10,"Descarte",""))</f>
        <v>Tanque</v>
      </c>
    </row>
    <row r="556" customFormat="false" ht="15" hidden="false" customHeight="false" outlineLevel="0" collapsed="false">
      <c r="A556" s="22" t="n">
        <v>46309</v>
      </c>
      <c r="B556" s="0" t="n">
        <v>3</v>
      </c>
      <c r="C556" s="0" t="n">
        <v>4971</v>
      </c>
      <c r="D556" s="0" t="n">
        <v>104</v>
      </c>
      <c r="E556" s="0" t="n">
        <v>2</v>
      </c>
      <c r="F556" s="23" t="s">
        <v>489</v>
      </c>
      <c r="G556" s="0" t="n">
        <v>51.2</v>
      </c>
      <c r="H556" s="0" t="n">
        <v>50</v>
      </c>
      <c r="I556" s="23" t="s">
        <v>92</v>
      </c>
      <c r="J556" s="0" t="n">
        <v>69</v>
      </c>
      <c r="K556" s="0" t="n">
        <v>69</v>
      </c>
      <c r="L556" s="0" t="n">
        <v>35</v>
      </c>
      <c r="M556" s="0" t="n">
        <v>1169.18</v>
      </c>
      <c r="N556" s="0" t="n">
        <v>54.66</v>
      </c>
      <c r="O556" s="0" t="n">
        <v>34.8</v>
      </c>
      <c r="P556" s="0" t="n">
        <v>4.27</v>
      </c>
      <c r="Q556" s="0" t="n">
        <v>3.26</v>
      </c>
      <c r="R556" s="0" t="n">
        <v>4359</v>
      </c>
      <c r="S556" s="0" t="n">
        <v>8819</v>
      </c>
      <c r="T556" s="0" t="n">
        <v>50.55</v>
      </c>
      <c r="U556" s="0" t="n">
        <v>1137</v>
      </c>
      <c r="V556" s="0" t="n">
        <v>1</v>
      </c>
      <c r="W556" s="0" t="str">
        <f aca="false">IF(OR(AND(B556&gt;=1,B556&lt;=6),B556=10),"Vaca em lactação",IF(I556="Male","Macho",IF(E556&gt;=1,"Vaca seca",IF(I556="Youngstock","Bezerra/recria","Novilha"))))</f>
        <v>Vaca em lactação</v>
      </c>
      <c r="X556" s="0" t="str">
        <f aca="false">IF(AND(B556&gt;=1,B556&lt;=6),"Tanque",IF(B556=10,"Descarte",""))</f>
        <v>Tanque</v>
      </c>
    </row>
    <row r="557" customFormat="false" ht="15" hidden="false" customHeight="false" outlineLevel="0" collapsed="false">
      <c r="A557" s="22" t="n">
        <v>46309</v>
      </c>
      <c r="B557" s="0" t="n">
        <v>3</v>
      </c>
      <c r="C557" s="0" t="n">
        <v>4975</v>
      </c>
      <c r="D557" s="0" t="n">
        <v>113</v>
      </c>
      <c r="E557" s="0" t="n">
        <v>2</v>
      </c>
      <c r="F557" s="23" t="s">
        <v>491</v>
      </c>
      <c r="G557" s="0" t="n">
        <v>53.9</v>
      </c>
      <c r="H557" s="0" t="n">
        <v>53</v>
      </c>
      <c r="I557" s="23" t="s">
        <v>92</v>
      </c>
      <c r="J557" s="0" t="n">
        <v>64</v>
      </c>
      <c r="K557" s="0" t="n">
        <v>71</v>
      </c>
      <c r="L557" s="0" t="n">
        <v>49</v>
      </c>
      <c r="M557" s="0" t="n">
        <v>862.1</v>
      </c>
      <c r="N557" s="0" t="n">
        <v>15.91</v>
      </c>
      <c r="O557" s="0" t="n">
        <v>27.38</v>
      </c>
      <c r="P557" s="0" t="n">
        <v>3.58</v>
      </c>
      <c r="Q557" s="0" t="n">
        <v>3.57</v>
      </c>
      <c r="R557" s="0" t="n">
        <v>5786</v>
      </c>
      <c r="S557" s="0" t="n">
        <v>11609</v>
      </c>
      <c r="T557" s="0" t="n">
        <v>64.25</v>
      </c>
      <c r="U557" s="0" t="n">
        <v>1132</v>
      </c>
      <c r="V557" s="0" t="n">
        <v>1</v>
      </c>
      <c r="W557" s="0" t="str">
        <f aca="false">IF(OR(AND(B557&gt;=1,B557&lt;=6),B557=10),"Vaca em lactação",IF(I557="Male","Macho",IF(E557&gt;=1,"Vaca seca",IF(I557="Youngstock","Bezerra/recria","Novilha"))))</f>
        <v>Vaca em lactação</v>
      </c>
      <c r="X557" s="0" t="str">
        <f aca="false">IF(AND(B557&gt;=1,B557&lt;=6),"Tanque",IF(B557=10,"Descarte",""))</f>
        <v>Tanque</v>
      </c>
    </row>
    <row r="558" customFormat="false" ht="15" hidden="false" customHeight="false" outlineLevel="0" collapsed="false">
      <c r="A558" s="22" t="n">
        <v>46309</v>
      </c>
      <c r="B558" s="0" t="n">
        <v>3</v>
      </c>
      <c r="C558" s="0" t="n">
        <v>4957</v>
      </c>
      <c r="D558" s="0" t="n">
        <v>50</v>
      </c>
      <c r="E558" s="0" t="n">
        <v>2</v>
      </c>
      <c r="F558" s="23" t="s">
        <v>492</v>
      </c>
      <c r="G558" s="0" t="n">
        <v>46.6</v>
      </c>
      <c r="H558" s="0" t="n">
        <v>48</v>
      </c>
      <c r="I558" s="23" t="s">
        <v>94</v>
      </c>
      <c r="J558" s="0" t="n">
        <v>50</v>
      </c>
      <c r="M558" s="0" t="n">
        <v>517.44</v>
      </c>
      <c r="N558" s="0" t="n">
        <v>51.42</v>
      </c>
      <c r="O558" s="0" t="n">
        <v>21.07</v>
      </c>
      <c r="P558" s="0" t="n">
        <v>3.77</v>
      </c>
      <c r="Q558" s="0" t="n">
        <v>3.28</v>
      </c>
      <c r="R558" s="0" t="n">
        <v>4232</v>
      </c>
      <c r="S558" s="0" t="n">
        <v>8507</v>
      </c>
      <c r="U558" s="0" t="n">
        <v>1144</v>
      </c>
      <c r="V558" s="0" t="n">
        <v>0</v>
      </c>
      <c r="W558" s="0" t="str">
        <f aca="false">IF(OR(AND(B558&gt;=1,B558&lt;=6),B558=10),"Vaca em lactação",IF(I558="Male","Macho",IF(E558&gt;=1,"Vaca seca",IF(I558="Youngstock","Bezerra/recria","Novilha"))))</f>
        <v>Vaca em lactação</v>
      </c>
      <c r="X558" s="0" t="str">
        <f aca="false">IF(AND(B558&gt;=1,B558&lt;=6),"Tanque",IF(B558=10,"Descarte",""))</f>
        <v>Tanque</v>
      </c>
    </row>
    <row r="559" customFormat="false" ht="15" hidden="false" customHeight="false" outlineLevel="0" collapsed="false">
      <c r="A559" s="22" t="n">
        <v>46309</v>
      </c>
      <c r="B559" s="0" t="n">
        <v>3</v>
      </c>
      <c r="C559" s="0" t="n">
        <v>4962</v>
      </c>
      <c r="D559" s="0" t="n">
        <v>15</v>
      </c>
      <c r="E559" s="0" t="n">
        <v>2</v>
      </c>
      <c r="F559" s="23" t="s">
        <v>339</v>
      </c>
      <c r="G559" s="0" t="n">
        <v>43.3</v>
      </c>
      <c r="H559" s="0" t="n">
        <v>38</v>
      </c>
      <c r="I559" s="23" t="s">
        <v>94</v>
      </c>
      <c r="J559" s="0" t="n">
        <v>15</v>
      </c>
      <c r="M559" s="0" t="n">
        <v>742.92</v>
      </c>
      <c r="N559" s="0" t="n">
        <v>27.12</v>
      </c>
      <c r="O559" s="0" t="n">
        <v>35.43</v>
      </c>
      <c r="R559" s="0" t="n">
        <v>2756</v>
      </c>
      <c r="S559" s="0" t="n">
        <v>5540</v>
      </c>
      <c r="U559" s="0" t="n">
        <v>1142</v>
      </c>
      <c r="V559" s="0" t="n">
        <v>0</v>
      </c>
      <c r="W559" s="0" t="str">
        <f aca="false">IF(OR(AND(B559&gt;=1,B559&lt;=6),B559=10),"Vaca em lactação",IF(I559="Male","Macho",IF(E559&gt;=1,"Vaca seca",IF(I559="Youngstock","Bezerra/recria","Novilha"))))</f>
        <v>Vaca em lactação</v>
      </c>
      <c r="X559" s="0" t="str">
        <f aca="false">IF(AND(B559&gt;=1,B559&lt;=6),"Tanque",IF(B559=10,"Descarte",""))</f>
        <v>Tanque</v>
      </c>
    </row>
    <row r="560" customFormat="false" ht="15" hidden="false" customHeight="false" outlineLevel="0" collapsed="false">
      <c r="A560" s="22" t="n">
        <v>46309</v>
      </c>
      <c r="B560" s="0" t="n">
        <v>3</v>
      </c>
      <c r="C560" s="0" t="n">
        <v>4960</v>
      </c>
      <c r="D560" s="0" t="n">
        <v>118</v>
      </c>
      <c r="E560" s="0" t="n">
        <v>2</v>
      </c>
      <c r="F560" s="23" t="s">
        <v>339</v>
      </c>
      <c r="G560" s="0" t="n">
        <v>65.2</v>
      </c>
      <c r="H560" s="0" t="n">
        <v>67</v>
      </c>
      <c r="I560" s="23" t="s">
        <v>97</v>
      </c>
      <c r="J560" s="0" t="n">
        <v>118</v>
      </c>
      <c r="K560" s="0" t="n">
        <v>63</v>
      </c>
      <c r="M560" s="0" t="n">
        <v>918.83</v>
      </c>
      <c r="N560" s="0" t="n">
        <v>74.84</v>
      </c>
      <c r="O560" s="0" t="n">
        <v>32.3</v>
      </c>
      <c r="P560" s="0" t="n">
        <v>3.88</v>
      </c>
      <c r="Q560" s="0" t="n">
        <v>3.13</v>
      </c>
      <c r="R560" s="0" t="n">
        <v>6287</v>
      </c>
      <c r="S560" s="0" t="n">
        <v>12770</v>
      </c>
      <c r="T560" s="0" t="n">
        <v>66.05</v>
      </c>
      <c r="U560" s="0" t="n">
        <v>1142</v>
      </c>
      <c r="V560" s="0" t="n">
        <v>2</v>
      </c>
      <c r="W560" s="0" t="str">
        <f aca="false">IF(OR(AND(B560&gt;=1,B560&lt;=6),B560=10),"Vaca em lactação",IF(I560="Male","Macho",IF(E560&gt;=1,"Vaca seca",IF(I560="Youngstock","Bezerra/recria","Novilha"))))</f>
        <v>Vaca em lactação</v>
      </c>
      <c r="X560" s="0" t="str">
        <f aca="false">IF(AND(B560&gt;=1,B560&lt;=6),"Tanque",IF(B560=10,"Descarte",""))</f>
        <v>Tanque</v>
      </c>
    </row>
    <row r="561" customFormat="false" ht="15" hidden="false" customHeight="false" outlineLevel="0" collapsed="false">
      <c r="A561" s="22" t="n">
        <v>46309</v>
      </c>
      <c r="B561" s="0" t="n">
        <v>3</v>
      </c>
      <c r="C561" s="0" t="n">
        <v>4876</v>
      </c>
      <c r="D561" s="0" t="n">
        <v>74</v>
      </c>
      <c r="E561" s="0" t="n">
        <v>2</v>
      </c>
      <c r="F561" s="23" t="s">
        <v>493</v>
      </c>
      <c r="G561" s="0" t="n">
        <v>53.4</v>
      </c>
      <c r="H561" s="0" t="n">
        <v>53</v>
      </c>
      <c r="I561" s="23" t="s">
        <v>97</v>
      </c>
      <c r="J561" s="0" t="n">
        <v>74</v>
      </c>
      <c r="K561" s="0" t="n">
        <v>67</v>
      </c>
      <c r="M561" s="0" t="n">
        <v>676.91</v>
      </c>
      <c r="N561" s="0" t="n">
        <v>37.74</v>
      </c>
      <c r="O561" s="0" t="n">
        <v>25.61</v>
      </c>
      <c r="P561" s="0" t="n">
        <v>3.49</v>
      </c>
      <c r="Q561" s="0" t="n">
        <v>3.04</v>
      </c>
      <c r="R561" s="0" t="n">
        <v>5361</v>
      </c>
      <c r="S561" s="0" t="n">
        <v>10776</v>
      </c>
      <c r="U561" s="0" t="n">
        <v>1180</v>
      </c>
      <c r="V561" s="0" t="n">
        <v>1</v>
      </c>
      <c r="W561" s="0" t="str">
        <f aca="false">IF(OR(AND(B561&gt;=1,B561&lt;=6),B561=10),"Vaca em lactação",IF(I561="Male","Macho",IF(E561&gt;=1,"Vaca seca",IF(I561="Youngstock","Bezerra/recria","Novilha"))))</f>
        <v>Vaca em lactação</v>
      </c>
      <c r="X561" s="0" t="str">
        <f aca="false">IF(AND(B561&gt;=1,B561&lt;=6),"Tanque",IF(B561=10,"Descarte",""))</f>
        <v>Tanque</v>
      </c>
    </row>
    <row r="562" customFormat="false" ht="15" hidden="false" customHeight="false" outlineLevel="0" collapsed="false">
      <c r="A562" s="22" t="n">
        <v>46309</v>
      </c>
      <c r="B562" s="0" t="n">
        <v>3</v>
      </c>
      <c r="C562" s="0" t="n">
        <v>4836</v>
      </c>
      <c r="D562" s="0" t="n">
        <v>3</v>
      </c>
      <c r="E562" s="0" t="n">
        <v>3</v>
      </c>
      <c r="F562" s="23" t="s">
        <v>494</v>
      </c>
      <c r="G562" s="0" t="n">
        <v>26.2</v>
      </c>
      <c r="H562" s="0" t="n">
        <v>21</v>
      </c>
      <c r="I562" s="23" t="s">
        <v>94</v>
      </c>
      <c r="J562" s="0" t="n">
        <v>3</v>
      </c>
      <c r="M562" s="0" t="n">
        <v>1830.22</v>
      </c>
      <c r="N562" s="0" t="n">
        <v>52.13</v>
      </c>
      <c r="O562" s="0" t="n">
        <v>55.27</v>
      </c>
      <c r="R562" s="0" t="n">
        <v>1958</v>
      </c>
      <c r="S562" s="0" t="n">
        <v>3936</v>
      </c>
      <c r="U562" s="0" t="n">
        <v>1195</v>
      </c>
      <c r="V562" s="0" t="n">
        <v>0</v>
      </c>
      <c r="W562" s="0" t="str">
        <f aca="false">IF(OR(AND(B562&gt;=1,B562&lt;=6),B562=10),"Vaca em lactação",IF(I562="Male","Macho",IF(E562&gt;=1,"Vaca seca",IF(I562="Youngstock","Bezerra/recria","Novilha"))))</f>
        <v>Vaca em lactação</v>
      </c>
      <c r="X562" s="0" t="str">
        <f aca="false">IF(AND(B562&gt;=1,B562&lt;=6),"Tanque",IF(B562=10,"Descarte",""))</f>
        <v>Tanque</v>
      </c>
    </row>
    <row r="563" customFormat="false" ht="15" hidden="false" customHeight="false" outlineLevel="0" collapsed="false">
      <c r="A563" s="22" t="n">
        <v>46309</v>
      </c>
      <c r="B563" s="0" t="n">
        <v>3</v>
      </c>
      <c r="C563" s="0" t="n">
        <v>4852</v>
      </c>
      <c r="D563" s="0" t="n">
        <v>195</v>
      </c>
      <c r="E563" s="0" t="n">
        <v>2</v>
      </c>
      <c r="F563" s="23" t="s">
        <v>344</v>
      </c>
      <c r="G563" s="0" t="n">
        <v>51</v>
      </c>
      <c r="H563" s="0" t="n">
        <v>49</v>
      </c>
      <c r="I563" s="23" t="s">
        <v>92</v>
      </c>
      <c r="J563" s="0" t="n">
        <v>132</v>
      </c>
      <c r="K563" s="0" t="n">
        <v>62</v>
      </c>
      <c r="L563" s="0" t="n">
        <v>63</v>
      </c>
      <c r="M563" s="0" t="n">
        <v>25.13</v>
      </c>
      <c r="N563" s="0" t="n">
        <v>55.39</v>
      </c>
      <c r="O563" s="0" t="n">
        <v>29.67</v>
      </c>
      <c r="P563" s="0" t="n">
        <v>4.55</v>
      </c>
      <c r="Q563" s="0" t="n">
        <v>3.68</v>
      </c>
      <c r="R563" s="0" t="n">
        <v>4384</v>
      </c>
      <c r="S563" s="0" t="n">
        <v>9349</v>
      </c>
      <c r="T563" s="0" t="n">
        <v>48.2</v>
      </c>
      <c r="U563" s="0" t="n">
        <v>1190</v>
      </c>
      <c r="V563" s="0" t="n">
        <v>2</v>
      </c>
      <c r="W563" s="0" t="str">
        <f aca="false">IF(OR(AND(B563&gt;=1,B563&lt;=6),B563=10),"Vaca em lactação",IF(I563="Male","Macho",IF(E563&gt;=1,"Vaca seca",IF(I563="Youngstock","Bezerra/recria","Novilha"))))</f>
        <v>Vaca em lactação</v>
      </c>
      <c r="X563" s="0" t="str">
        <f aca="false">IF(AND(B563&gt;=1,B563&lt;=6),"Tanque",IF(B563=10,"Descarte",""))</f>
        <v>Tanque</v>
      </c>
    </row>
    <row r="564" customFormat="false" ht="15" hidden="false" customHeight="false" outlineLevel="0" collapsed="false">
      <c r="A564" s="22" t="n">
        <v>46309</v>
      </c>
      <c r="B564" s="0" t="n">
        <v>3</v>
      </c>
      <c r="C564" s="0" t="n">
        <v>4855</v>
      </c>
      <c r="D564" s="0" t="n">
        <v>165</v>
      </c>
      <c r="E564" s="0" t="n">
        <v>2</v>
      </c>
      <c r="F564" s="23" t="s">
        <v>495</v>
      </c>
      <c r="G564" s="0" t="n">
        <v>55.7</v>
      </c>
      <c r="H564" s="0" t="n">
        <v>58</v>
      </c>
      <c r="I564" s="23" t="s">
        <v>92</v>
      </c>
      <c r="J564" s="0" t="n">
        <v>109</v>
      </c>
      <c r="K564" s="0" t="n">
        <v>67</v>
      </c>
      <c r="L564" s="0" t="n">
        <v>56</v>
      </c>
      <c r="M564" s="0" t="n">
        <v>563.29</v>
      </c>
      <c r="N564" s="0" t="n">
        <v>60.67</v>
      </c>
      <c r="O564" s="0" t="n">
        <v>30.52</v>
      </c>
      <c r="P564" s="0" t="n">
        <v>3.57</v>
      </c>
      <c r="Q564" s="0" t="n">
        <v>3.3</v>
      </c>
      <c r="R564" s="0" t="n">
        <v>5066</v>
      </c>
      <c r="S564" s="0" t="n">
        <v>10606</v>
      </c>
      <c r="T564" s="0" t="n">
        <v>58.5</v>
      </c>
      <c r="U564" s="0" t="n">
        <v>1189</v>
      </c>
      <c r="V564" s="0" t="n">
        <v>2</v>
      </c>
      <c r="W564" s="0" t="str">
        <f aca="false">IF(OR(AND(B564&gt;=1,B564&lt;=6),B564=10),"Vaca em lactação",IF(I564="Male","Macho",IF(E564&gt;=1,"Vaca seca",IF(I564="Youngstock","Bezerra/recria","Novilha"))))</f>
        <v>Vaca em lactação</v>
      </c>
      <c r="X564" s="0" t="str">
        <f aca="false">IF(AND(B564&gt;=1,B564&lt;=6),"Tanque",IF(B564=10,"Descarte",""))</f>
        <v>Tanque</v>
      </c>
    </row>
    <row r="565" customFormat="false" ht="15" hidden="false" customHeight="false" outlineLevel="0" collapsed="false">
      <c r="A565" s="22" t="n">
        <v>46309</v>
      </c>
      <c r="B565" s="0" t="n">
        <v>3</v>
      </c>
      <c r="C565" s="0" t="n">
        <v>4901</v>
      </c>
      <c r="D565" s="0" t="n">
        <v>94</v>
      </c>
      <c r="E565" s="0" t="n">
        <v>2</v>
      </c>
      <c r="F565" s="23" t="s">
        <v>496</v>
      </c>
      <c r="G565" s="0" t="n">
        <v>52</v>
      </c>
      <c r="H565" s="0" t="n">
        <v>51</v>
      </c>
      <c r="I565" s="23" t="s">
        <v>97</v>
      </c>
      <c r="J565" s="0" t="n">
        <v>94</v>
      </c>
      <c r="K565" s="0" t="n">
        <v>66</v>
      </c>
      <c r="M565" s="0" t="n">
        <v>478.17</v>
      </c>
      <c r="N565" s="0" t="n">
        <v>51.6</v>
      </c>
      <c r="O565" s="0" t="n">
        <v>36.29</v>
      </c>
      <c r="P565" s="0" t="n">
        <v>2.41</v>
      </c>
      <c r="Q565" s="0" t="n">
        <v>3.39</v>
      </c>
      <c r="R565" s="0" t="n">
        <v>4850</v>
      </c>
      <c r="S565" s="0" t="n">
        <v>9749</v>
      </c>
      <c r="T565" s="0" t="n">
        <v>57.1</v>
      </c>
      <c r="U565" s="0" t="n">
        <v>1166</v>
      </c>
      <c r="V565" s="0" t="n">
        <v>2</v>
      </c>
      <c r="W565" s="0" t="str">
        <f aca="false">IF(OR(AND(B565&gt;=1,B565&lt;=6),B565=10),"Vaca em lactação",IF(I565="Male","Macho",IF(E565&gt;=1,"Vaca seca",IF(I565="Youngstock","Bezerra/recria","Novilha"))))</f>
        <v>Vaca em lactação</v>
      </c>
      <c r="X565" s="0" t="str">
        <f aca="false">IF(AND(B565&gt;=1,B565&lt;=6),"Tanque",IF(B565=10,"Descarte",""))</f>
        <v>Tanque</v>
      </c>
    </row>
    <row r="566" customFormat="false" ht="15" hidden="false" customHeight="false" outlineLevel="0" collapsed="false">
      <c r="A566" s="22" t="n">
        <v>46309</v>
      </c>
      <c r="B566" s="0" t="n">
        <v>3</v>
      </c>
      <c r="C566" s="0" t="n">
        <v>4906</v>
      </c>
      <c r="D566" s="0" t="n">
        <v>57</v>
      </c>
      <c r="E566" s="0" t="n">
        <v>2</v>
      </c>
      <c r="F566" s="23" t="s">
        <v>497</v>
      </c>
      <c r="G566" s="0" t="n">
        <v>48</v>
      </c>
      <c r="H566" s="0" t="n">
        <v>48</v>
      </c>
      <c r="I566" s="23" t="s">
        <v>94</v>
      </c>
      <c r="J566" s="0" t="n">
        <v>57</v>
      </c>
      <c r="M566" s="0" t="n">
        <v>383.12</v>
      </c>
      <c r="N566" s="0" t="n">
        <v>58.65</v>
      </c>
      <c r="O566" s="0" t="n">
        <v>32.95</v>
      </c>
      <c r="P566" s="0" t="n">
        <v>3.51</v>
      </c>
      <c r="Q566" s="0" t="n">
        <v>3.63</v>
      </c>
      <c r="R566" s="0" t="n">
        <v>4150</v>
      </c>
      <c r="S566" s="0" t="n">
        <v>8342</v>
      </c>
      <c r="U566" s="0" t="n">
        <v>1163</v>
      </c>
      <c r="V566" s="0" t="n">
        <v>0</v>
      </c>
      <c r="W566" s="0" t="str">
        <f aca="false">IF(OR(AND(B566&gt;=1,B566&lt;=6),B566=10),"Vaca em lactação",IF(I566="Male","Macho",IF(E566&gt;=1,"Vaca seca",IF(I566="Youngstock","Bezerra/recria","Novilha"))))</f>
        <v>Vaca em lactação</v>
      </c>
      <c r="X566" s="0" t="str">
        <f aca="false">IF(AND(B566&gt;=1,B566&lt;=6),"Tanque",IF(B566=10,"Descarte",""))</f>
        <v>Tanque</v>
      </c>
    </row>
    <row r="567" customFormat="false" ht="15" hidden="false" customHeight="false" outlineLevel="0" collapsed="false">
      <c r="A567" s="22" t="n">
        <v>46309</v>
      </c>
      <c r="B567" s="0" t="n">
        <v>3</v>
      </c>
      <c r="C567" s="0" t="n">
        <v>4903</v>
      </c>
      <c r="D567" s="0" t="n">
        <v>100</v>
      </c>
      <c r="E567" s="0" t="n">
        <v>2</v>
      </c>
      <c r="F567" s="23" t="s">
        <v>498</v>
      </c>
      <c r="G567" s="0" t="n">
        <v>53.9</v>
      </c>
      <c r="H567" s="0" t="n">
        <v>55</v>
      </c>
      <c r="I567" s="23" t="s">
        <v>92</v>
      </c>
      <c r="J567" s="0" t="n">
        <v>65</v>
      </c>
      <c r="K567" s="0" t="n">
        <v>65</v>
      </c>
      <c r="L567" s="0" t="n">
        <v>35</v>
      </c>
      <c r="M567" s="0" t="n">
        <v>1038.43</v>
      </c>
      <c r="N567" s="0" t="n">
        <v>41.05</v>
      </c>
      <c r="O567" s="0" t="n">
        <v>28.47</v>
      </c>
      <c r="P567" s="0" t="n">
        <v>3.58</v>
      </c>
      <c r="Q567" s="0" t="n">
        <v>3.2</v>
      </c>
      <c r="R567" s="0" t="n">
        <v>4734</v>
      </c>
      <c r="S567" s="0" t="n">
        <v>9517</v>
      </c>
      <c r="T567" s="0" t="n">
        <v>51.55</v>
      </c>
      <c r="U567" s="0" t="n">
        <v>1165</v>
      </c>
      <c r="V567" s="0" t="n">
        <v>1</v>
      </c>
      <c r="W567" s="0" t="str">
        <f aca="false">IF(OR(AND(B567&gt;=1,B567&lt;=6),B567=10),"Vaca em lactação",IF(I567="Male","Macho",IF(E567&gt;=1,"Vaca seca",IF(I567="Youngstock","Bezerra/recria","Novilha"))))</f>
        <v>Vaca em lactação</v>
      </c>
      <c r="X567" s="0" t="str">
        <f aca="false">IF(AND(B567&gt;=1,B567&lt;=6),"Tanque",IF(B567=10,"Descarte",""))</f>
        <v>Tanque</v>
      </c>
    </row>
    <row r="568" customFormat="false" ht="15" hidden="false" customHeight="false" outlineLevel="0" collapsed="false">
      <c r="A568" s="22" t="n">
        <v>46309</v>
      </c>
      <c r="B568" s="0" t="n">
        <v>3</v>
      </c>
      <c r="C568" s="0" t="n">
        <v>4886</v>
      </c>
      <c r="D568" s="0" t="n">
        <v>60</v>
      </c>
      <c r="E568" s="0" t="n">
        <v>2</v>
      </c>
      <c r="F568" s="23" t="s">
        <v>499</v>
      </c>
      <c r="G568" s="0" t="n">
        <v>60.7</v>
      </c>
      <c r="H568" s="0" t="n">
        <v>60</v>
      </c>
      <c r="I568" s="23" t="s">
        <v>94</v>
      </c>
      <c r="J568" s="0" t="n">
        <v>60</v>
      </c>
      <c r="M568" s="0" t="n">
        <v>1406.3</v>
      </c>
      <c r="N568" s="0" t="n">
        <v>24.5</v>
      </c>
      <c r="O568" s="0" t="n">
        <v>32.15</v>
      </c>
      <c r="P568" s="0" t="n">
        <v>3.17</v>
      </c>
      <c r="Q568" s="0" t="n">
        <v>2.96</v>
      </c>
      <c r="R568" s="0" t="n">
        <v>5088</v>
      </c>
      <c r="S568" s="0" t="n">
        <v>10229</v>
      </c>
      <c r="U568" s="0" t="n">
        <v>1175</v>
      </c>
      <c r="V568" s="0" t="n">
        <v>0</v>
      </c>
      <c r="W568" s="0" t="str">
        <f aca="false">IF(OR(AND(B568&gt;=1,B568&lt;=6),B568=10),"Vaca em lactação",IF(I568="Male","Macho",IF(E568&gt;=1,"Vaca seca",IF(I568="Youngstock","Bezerra/recria","Novilha"))))</f>
        <v>Vaca em lactação</v>
      </c>
      <c r="X568" s="0" t="str">
        <f aca="false">IF(AND(B568&gt;=1,B568&lt;=6),"Tanque",IF(B568=10,"Descarte",""))</f>
        <v>Tanque</v>
      </c>
    </row>
    <row r="569" customFormat="false" ht="15" hidden="false" customHeight="false" outlineLevel="0" collapsed="false">
      <c r="A569" s="22" t="n">
        <v>46309</v>
      </c>
      <c r="B569" s="0" t="n">
        <v>3</v>
      </c>
      <c r="C569" s="0" t="n">
        <v>4892</v>
      </c>
      <c r="D569" s="0" t="n">
        <v>135</v>
      </c>
      <c r="E569" s="0" t="n">
        <v>2</v>
      </c>
      <c r="F569" s="23" t="s">
        <v>500</v>
      </c>
      <c r="G569" s="0" t="n">
        <v>59.4</v>
      </c>
      <c r="H569" s="0" t="n">
        <v>58</v>
      </c>
      <c r="I569" s="23" t="s">
        <v>97</v>
      </c>
      <c r="J569" s="0" t="n">
        <v>135</v>
      </c>
      <c r="K569" s="0" t="n">
        <v>65</v>
      </c>
      <c r="M569" s="0" t="n">
        <v>471.23</v>
      </c>
      <c r="N569" s="0" t="n">
        <v>40.1</v>
      </c>
      <c r="O569" s="0" t="n">
        <v>35.77</v>
      </c>
      <c r="P569" s="0" t="n">
        <v>0</v>
      </c>
      <c r="Q569" s="0" t="n">
        <v>0</v>
      </c>
      <c r="R569" s="0" t="n">
        <v>5796</v>
      </c>
      <c r="S569" s="0" t="n">
        <v>11753</v>
      </c>
      <c r="T569" s="0" t="n">
        <v>62.2</v>
      </c>
      <c r="U569" s="0" t="n">
        <v>1172</v>
      </c>
      <c r="V569" s="0" t="n">
        <v>3</v>
      </c>
      <c r="W569" s="0" t="str">
        <f aca="false">IF(OR(AND(B569&gt;=1,B569&lt;=6),B569=10),"Vaca em lactação",IF(I569="Male","Macho",IF(E569&gt;=1,"Vaca seca",IF(I569="Youngstock","Bezerra/recria","Novilha"))))</f>
        <v>Vaca em lactação</v>
      </c>
      <c r="X569" s="0" t="str">
        <f aca="false">IF(AND(B569&gt;=1,B569&lt;=6),"Tanque",IF(B569=10,"Descarte",""))</f>
        <v>Tanque</v>
      </c>
    </row>
    <row r="570" customFormat="false" ht="15" hidden="false" customHeight="false" outlineLevel="0" collapsed="false">
      <c r="A570" s="22" t="n">
        <v>46309</v>
      </c>
      <c r="B570" s="0" t="n">
        <v>3</v>
      </c>
      <c r="C570" s="0" t="n">
        <v>4891</v>
      </c>
      <c r="D570" s="0" t="n">
        <v>175</v>
      </c>
      <c r="E570" s="0" t="n">
        <v>2</v>
      </c>
      <c r="F570" s="23" t="s">
        <v>500</v>
      </c>
      <c r="G570" s="0" t="n">
        <v>67.2</v>
      </c>
      <c r="H570" s="0" t="n">
        <v>69</v>
      </c>
      <c r="I570" s="23" t="s">
        <v>97</v>
      </c>
      <c r="J570" s="0" t="n">
        <v>175</v>
      </c>
      <c r="K570" s="0" t="n">
        <v>71</v>
      </c>
      <c r="M570" s="0" t="n">
        <v>902.78</v>
      </c>
      <c r="N570" s="0" t="n">
        <v>60.5</v>
      </c>
      <c r="O570" s="0" t="n">
        <v>38</v>
      </c>
      <c r="P570" s="0" t="n">
        <v>4.27</v>
      </c>
      <c r="Q570" s="0" t="n">
        <v>3.12</v>
      </c>
      <c r="R570" s="0" t="n">
        <v>6816</v>
      </c>
      <c r="S570" s="0" t="n">
        <v>13485</v>
      </c>
      <c r="T570" s="0" t="n">
        <v>73.6</v>
      </c>
      <c r="U570" s="0" t="n">
        <v>1172</v>
      </c>
      <c r="V570" s="0" t="n">
        <v>4</v>
      </c>
      <c r="W570" s="0" t="str">
        <f aca="false">IF(OR(AND(B570&gt;=1,B570&lt;=6),B570=10),"Vaca em lactação",IF(I570="Male","Macho",IF(E570&gt;=1,"Vaca seca",IF(I570="Youngstock","Bezerra/recria","Novilha"))))</f>
        <v>Vaca em lactação</v>
      </c>
      <c r="X570" s="0" t="str">
        <f aca="false">IF(AND(B570&gt;=1,B570&lt;=6),"Tanque",IF(B570=10,"Descarte",""))</f>
        <v>Tanque</v>
      </c>
    </row>
    <row r="571" customFormat="false" ht="15" hidden="false" customHeight="false" outlineLevel="0" collapsed="false">
      <c r="A571" s="22" t="n">
        <v>46309</v>
      </c>
      <c r="B571" s="0" t="n">
        <v>3</v>
      </c>
      <c r="C571" s="0" t="n">
        <v>4888</v>
      </c>
      <c r="D571" s="0" t="n">
        <v>207</v>
      </c>
      <c r="E571" s="0" t="n">
        <v>2</v>
      </c>
      <c r="F571" s="23" t="s">
        <v>352</v>
      </c>
      <c r="G571" s="0" t="n">
        <v>50.8</v>
      </c>
      <c r="H571" s="0" t="n">
        <v>53</v>
      </c>
      <c r="I571" s="23" t="s">
        <v>109</v>
      </c>
      <c r="J571" s="0" t="n">
        <v>207</v>
      </c>
      <c r="K571" s="0" t="n">
        <v>67</v>
      </c>
      <c r="M571" s="0" t="n">
        <v>1218.2</v>
      </c>
      <c r="N571" s="0" t="n">
        <v>35.06</v>
      </c>
      <c r="O571" s="0" t="n">
        <v>33.8</v>
      </c>
      <c r="P571" s="0" t="n">
        <v>2.54</v>
      </c>
      <c r="Q571" s="0" t="n">
        <v>3.55</v>
      </c>
      <c r="R571" s="0" t="n">
        <v>4563</v>
      </c>
      <c r="S571" s="0" t="n">
        <v>10490</v>
      </c>
      <c r="T571" s="0" t="n">
        <v>56.1</v>
      </c>
      <c r="U571" s="0" t="n">
        <v>1174</v>
      </c>
      <c r="V571" s="0" t="n">
        <v>2</v>
      </c>
      <c r="W571" s="0" t="str">
        <f aca="false">IF(OR(AND(B571&gt;=1,B571&lt;=6),B571=10),"Vaca em lactação",IF(I571="Male","Macho",IF(E571&gt;=1,"Vaca seca",IF(I571="Youngstock","Bezerra/recria","Novilha"))))</f>
        <v>Vaca em lactação</v>
      </c>
      <c r="X571" s="0" t="str">
        <f aca="false">IF(AND(B571&gt;=1,B571&lt;=6),"Tanque",IF(B571=10,"Descarte",""))</f>
        <v>Tanque</v>
      </c>
    </row>
    <row r="572" customFormat="false" ht="15" hidden="false" customHeight="false" outlineLevel="0" collapsed="false">
      <c r="A572" s="22" t="n">
        <v>46309</v>
      </c>
      <c r="B572" s="0" t="n">
        <v>3</v>
      </c>
      <c r="C572" s="0" t="n">
        <v>4894</v>
      </c>
      <c r="D572" s="0" t="n">
        <v>159</v>
      </c>
      <c r="E572" s="0" t="n">
        <v>2</v>
      </c>
      <c r="F572" s="23" t="s">
        <v>501</v>
      </c>
      <c r="G572" s="0" t="n">
        <v>56</v>
      </c>
      <c r="H572" s="0" t="n">
        <v>52</v>
      </c>
      <c r="I572" s="23" t="s">
        <v>92</v>
      </c>
      <c r="J572" s="0" t="n">
        <v>68</v>
      </c>
      <c r="K572" s="0" t="n">
        <v>68</v>
      </c>
      <c r="L572" s="0" t="n">
        <v>91</v>
      </c>
      <c r="M572" s="0" t="n">
        <v>731.97</v>
      </c>
      <c r="N572" s="0" t="n">
        <v>46.34</v>
      </c>
      <c r="O572" s="0" t="n">
        <v>17.68</v>
      </c>
      <c r="P572" s="0" t="n">
        <v>3.48</v>
      </c>
      <c r="Q572" s="0" t="n">
        <v>2.82</v>
      </c>
      <c r="R572" s="0" t="n">
        <v>4552</v>
      </c>
      <c r="S572" s="0" t="n">
        <v>9829</v>
      </c>
      <c r="T572" s="0" t="n">
        <v>46.7</v>
      </c>
      <c r="U572" s="0" t="n">
        <v>1170</v>
      </c>
      <c r="V572" s="0" t="n">
        <v>1</v>
      </c>
      <c r="W572" s="0" t="str">
        <f aca="false">IF(OR(AND(B572&gt;=1,B572&lt;=6),B572=10),"Vaca em lactação",IF(I572="Male","Macho",IF(E572&gt;=1,"Vaca seca",IF(I572="Youngstock","Bezerra/recria","Novilha"))))</f>
        <v>Vaca em lactação</v>
      </c>
      <c r="X572" s="0" t="str">
        <f aca="false">IF(AND(B572&gt;=1,B572&lt;=6),"Tanque",IF(B572=10,"Descarte",""))</f>
        <v>Tanque</v>
      </c>
    </row>
    <row r="573" customFormat="false" ht="15" hidden="false" customHeight="false" outlineLevel="0" collapsed="false">
      <c r="A573" s="22" t="n">
        <v>46309</v>
      </c>
      <c r="B573" s="0" t="n">
        <v>3</v>
      </c>
      <c r="C573" s="0" t="n">
        <v>4265</v>
      </c>
      <c r="D573" s="0" t="n">
        <v>240</v>
      </c>
      <c r="E573" s="0" t="n">
        <v>2</v>
      </c>
      <c r="F573" s="23" t="s">
        <v>502</v>
      </c>
      <c r="G573" s="0" t="n">
        <v>46.1</v>
      </c>
      <c r="H573" s="0" t="n">
        <v>40</v>
      </c>
      <c r="I573" s="23" t="s">
        <v>92</v>
      </c>
      <c r="J573" s="0" t="n">
        <v>65</v>
      </c>
      <c r="K573" s="0" t="n">
        <v>72</v>
      </c>
      <c r="L573" s="0" t="n">
        <v>175</v>
      </c>
      <c r="M573" s="0" t="n">
        <v>220.11</v>
      </c>
      <c r="N573" s="0" t="n">
        <v>53.55</v>
      </c>
      <c r="O573" s="0" t="n">
        <v>18.93</v>
      </c>
      <c r="P573" s="0" t="n">
        <v>4.59</v>
      </c>
      <c r="Q573" s="0" t="n">
        <v>3.7</v>
      </c>
      <c r="R573" s="0" t="n">
        <v>5551</v>
      </c>
      <c r="S573" s="0" t="n">
        <v>11340</v>
      </c>
      <c r="T573" s="0" t="n">
        <v>63.55</v>
      </c>
      <c r="U573" s="0" t="n">
        <v>1467</v>
      </c>
      <c r="V573" s="0" t="n">
        <v>1</v>
      </c>
      <c r="W573" s="0" t="str">
        <f aca="false">IF(OR(AND(B573&gt;=1,B573&lt;=6),B573=10),"Vaca em lactação",IF(I573="Male","Macho",IF(E573&gt;=1,"Vaca seca",IF(I573="Youngstock","Bezerra/recria","Novilha"))))</f>
        <v>Vaca em lactação</v>
      </c>
      <c r="X573" s="0" t="str">
        <f aca="false">IF(AND(B573&gt;=1,B573&lt;=6),"Tanque",IF(B573=10,"Descarte",""))</f>
        <v>Tanque</v>
      </c>
    </row>
    <row r="574" customFormat="false" ht="15" hidden="false" customHeight="false" outlineLevel="0" collapsed="false">
      <c r="A574" s="22" t="n">
        <v>46309</v>
      </c>
      <c r="B574" s="0" t="n">
        <v>3</v>
      </c>
      <c r="C574" s="0" t="n">
        <v>4275</v>
      </c>
      <c r="D574" s="0" t="n">
        <v>4</v>
      </c>
      <c r="E574" s="0" t="n">
        <v>3</v>
      </c>
      <c r="F574" s="23" t="s">
        <v>503</v>
      </c>
      <c r="G574" s="0" t="n">
        <v>33.1</v>
      </c>
      <c r="H574" s="0" t="n">
        <v>28</v>
      </c>
      <c r="I574" s="23" t="s">
        <v>94</v>
      </c>
      <c r="J574" s="0" t="n">
        <v>4</v>
      </c>
      <c r="M574" s="0" t="n">
        <v>856.73</v>
      </c>
      <c r="N574" s="0" t="n">
        <v>76.08</v>
      </c>
      <c r="O574" s="0" t="n">
        <v>46.52</v>
      </c>
      <c r="R574" s="0" t="n">
        <v>3078</v>
      </c>
      <c r="S574" s="0" t="n">
        <v>6188</v>
      </c>
      <c r="U574" s="0" t="n">
        <v>1464</v>
      </c>
      <c r="V574" s="0" t="n">
        <v>0</v>
      </c>
      <c r="W574" s="0" t="str">
        <f aca="false">IF(OR(AND(B574&gt;=1,B574&lt;=6),B574=10),"Vaca em lactação",IF(I574="Male","Macho",IF(E574&gt;=1,"Vaca seca",IF(I574="Youngstock","Bezerra/recria","Novilha"))))</f>
        <v>Vaca em lactação</v>
      </c>
      <c r="X574" s="0" t="str">
        <f aca="false">IF(AND(B574&gt;=1,B574&lt;=6),"Tanque",IF(B574=10,"Descarte",""))</f>
        <v>Tanque</v>
      </c>
    </row>
    <row r="575" customFormat="false" ht="15" hidden="false" customHeight="false" outlineLevel="0" collapsed="false">
      <c r="A575" s="22" t="n">
        <v>46309</v>
      </c>
      <c r="B575" s="0" t="n">
        <v>3</v>
      </c>
      <c r="C575" s="0" t="n">
        <v>4271</v>
      </c>
      <c r="D575" s="0" t="n">
        <v>31</v>
      </c>
      <c r="E575" s="0" t="n">
        <v>3</v>
      </c>
      <c r="F575" s="23" t="s">
        <v>504</v>
      </c>
      <c r="G575" s="0" t="n">
        <v>58.3</v>
      </c>
      <c r="H575" s="0" t="n">
        <v>54</v>
      </c>
      <c r="I575" s="23" t="s">
        <v>94</v>
      </c>
      <c r="J575" s="0" t="n">
        <v>31</v>
      </c>
      <c r="M575" s="0" t="n">
        <v>535.01</v>
      </c>
      <c r="N575" s="0" t="n">
        <v>44.46</v>
      </c>
      <c r="O575" s="0" t="n">
        <v>22.17</v>
      </c>
      <c r="P575" s="0" t="n">
        <v>4.47</v>
      </c>
      <c r="Q575" s="0" t="n">
        <v>4.57</v>
      </c>
      <c r="R575" s="0" t="n">
        <v>4226</v>
      </c>
      <c r="S575" s="0" t="n">
        <v>8494</v>
      </c>
      <c r="U575" s="0" t="n">
        <v>1466</v>
      </c>
      <c r="V575" s="0" t="n">
        <v>0</v>
      </c>
      <c r="W575" s="0" t="str">
        <f aca="false">IF(OR(AND(B575&gt;=1,B575&lt;=6),B575=10),"Vaca em lactação",IF(I575="Male","Macho",IF(E575&gt;=1,"Vaca seca",IF(I575="Youngstock","Bezerra/recria","Novilha"))))</f>
        <v>Vaca em lactação</v>
      </c>
      <c r="X575" s="0" t="str">
        <f aca="false">IF(AND(B575&gt;=1,B575&lt;=6),"Tanque",IF(B575=10,"Descarte",""))</f>
        <v>Tanque</v>
      </c>
    </row>
    <row r="576" customFormat="false" ht="15" hidden="false" customHeight="false" outlineLevel="0" collapsed="false">
      <c r="A576" s="22" t="n">
        <v>46309</v>
      </c>
      <c r="B576" s="0" t="n">
        <v>3</v>
      </c>
      <c r="C576" s="0" t="n">
        <v>4282</v>
      </c>
      <c r="D576" s="0" t="n">
        <v>63</v>
      </c>
      <c r="E576" s="0" t="n">
        <v>3</v>
      </c>
      <c r="F576" s="23" t="s">
        <v>354</v>
      </c>
      <c r="G576" s="0" t="n">
        <v>76.7</v>
      </c>
      <c r="H576" s="0" t="n">
        <v>77</v>
      </c>
      <c r="I576" s="23" t="s">
        <v>97</v>
      </c>
      <c r="J576" s="0" t="n">
        <v>63</v>
      </c>
      <c r="K576" s="0" t="n">
        <v>41</v>
      </c>
      <c r="M576" s="0" t="n">
        <v>397.65</v>
      </c>
      <c r="N576" s="0" t="n">
        <v>75.55</v>
      </c>
      <c r="O576" s="0" t="n">
        <v>26.88</v>
      </c>
      <c r="P576" s="0" t="n">
        <v>3.01</v>
      </c>
      <c r="Q576" s="0" t="n">
        <v>2.85</v>
      </c>
      <c r="R576" s="0" t="n">
        <v>7023</v>
      </c>
      <c r="S576" s="0" t="n">
        <v>14117</v>
      </c>
      <c r="U576" s="0" t="n">
        <v>1460</v>
      </c>
      <c r="V576" s="0" t="n">
        <v>1</v>
      </c>
      <c r="W576" s="0" t="str">
        <f aca="false">IF(OR(AND(B576&gt;=1,B576&lt;=6),B576=10),"Vaca em lactação",IF(I576="Male","Macho",IF(E576&gt;=1,"Vaca seca",IF(I576="Youngstock","Bezerra/recria","Novilha"))))</f>
        <v>Vaca em lactação</v>
      </c>
      <c r="X576" s="0" t="str">
        <f aca="false">IF(AND(B576&gt;=1,B576&lt;=6),"Tanque",IF(B576=10,"Descarte",""))</f>
        <v>Tanque</v>
      </c>
    </row>
    <row r="577" customFormat="false" ht="15" hidden="false" customHeight="false" outlineLevel="0" collapsed="false">
      <c r="A577" s="22" t="n">
        <v>46309</v>
      </c>
      <c r="B577" s="0" t="n">
        <v>3</v>
      </c>
      <c r="C577" s="0" t="n">
        <v>4280</v>
      </c>
      <c r="D577" s="0" t="n">
        <v>92</v>
      </c>
      <c r="E577" s="0" t="n">
        <v>3</v>
      </c>
      <c r="F577" s="23" t="s">
        <v>354</v>
      </c>
      <c r="G577" s="0" t="n">
        <v>69.2</v>
      </c>
      <c r="H577" s="0" t="n">
        <v>64</v>
      </c>
      <c r="I577" s="23" t="s">
        <v>97</v>
      </c>
      <c r="J577" s="0" t="n">
        <v>92</v>
      </c>
      <c r="K577" s="0" t="n">
        <v>64</v>
      </c>
      <c r="M577" s="0" t="n">
        <v>826.48</v>
      </c>
      <c r="N577" s="0" t="n">
        <v>60.06</v>
      </c>
      <c r="O577" s="0" t="n">
        <v>32.01</v>
      </c>
      <c r="P577" s="0" t="n">
        <v>4.74</v>
      </c>
      <c r="Q577" s="0" t="n">
        <v>2.97</v>
      </c>
      <c r="R577" s="0" t="n">
        <v>6197</v>
      </c>
      <c r="S577" s="0" t="n">
        <v>12456</v>
      </c>
      <c r="T577" s="0" t="n">
        <v>65.45</v>
      </c>
      <c r="U577" s="0" t="n">
        <v>1460</v>
      </c>
      <c r="V577" s="0" t="n">
        <v>1</v>
      </c>
      <c r="W577" s="0" t="str">
        <f aca="false">IF(OR(AND(B577&gt;=1,B577&lt;=6),B577=10),"Vaca em lactação",IF(I577="Male","Macho",IF(E577&gt;=1,"Vaca seca",IF(I577="Youngstock","Bezerra/recria","Novilha"))))</f>
        <v>Vaca em lactação</v>
      </c>
      <c r="X577" s="0" t="str">
        <f aca="false">IF(AND(B577&gt;=1,B577&lt;=6),"Tanque",IF(B577=10,"Descarte",""))</f>
        <v>Tanque</v>
      </c>
    </row>
    <row r="578" customFormat="false" ht="15" hidden="false" customHeight="false" outlineLevel="0" collapsed="false">
      <c r="A578" s="22" t="n">
        <v>46309</v>
      </c>
      <c r="B578" s="0" t="n">
        <v>3</v>
      </c>
      <c r="C578" s="0" t="n">
        <v>4294</v>
      </c>
      <c r="D578" s="0" t="n">
        <v>256</v>
      </c>
      <c r="E578" s="0" t="n">
        <v>2</v>
      </c>
      <c r="F578" s="23" t="s">
        <v>367</v>
      </c>
      <c r="G578" s="0" t="n">
        <v>33</v>
      </c>
      <c r="H578" s="0" t="n">
        <v>42</v>
      </c>
      <c r="I578" s="23" t="s">
        <v>92</v>
      </c>
      <c r="J578" s="0" t="n">
        <v>68</v>
      </c>
      <c r="K578" s="0" t="n">
        <v>68</v>
      </c>
      <c r="L578" s="0" t="n">
        <v>188</v>
      </c>
      <c r="M578" s="0" t="n">
        <v>1035.96</v>
      </c>
      <c r="N578" s="0" t="n">
        <v>51.87</v>
      </c>
      <c r="O578" s="0" t="n">
        <v>40.76</v>
      </c>
      <c r="P578" s="0" t="n">
        <v>3.33</v>
      </c>
      <c r="Q578" s="0" t="n">
        <v>3.72</v>
      </c>
      <c r="R578" s="0" t="n">
        <v>6820</v>
      </c>
      <c r="S578" s="0" t="n">
        <v>13727</v>
      </c>
      <c r="T578" s="0" t="n">
        <v>60</v>
      </c>
      <c r="U578" s="0" t="n">
        <v>1449</v>
      </c>
      <c r="V578" s="0" t="n">
        <v>1</v>
      </c>
      <c r="W578" s="0" t="str">
        <f aca="false">IF(OR(AND(B578&gt;=1,B578&lt;=6),B578=10),"Vaca em lactação",IF(I578="Male","Macho",IF(E578&gt;=1,"Vaca seca",IF(I578="Youngstock","Bezerra/recria","Novilha"))))</f>
        <v>Vaca em lactação</v>
      </c>
      <c r="X578" s="0" t="str">
        <f aca="false">IF(AND(B578&gt;=1,B578&lt;=6),"Tanque",IF(B578=10,"Descarte",""))</f>
        <v>Tanque</v>
      </c>
    </row>
    <row r="579" customFormat="false" ht="15" hidden="false" customHeight="false" outlineLevel="0" collapsed="false">
      <c r="A579" s="22" t="n">
        <v>46309</v>
      </c>
      <c r="B579" s="0" t="n">
        <v>3</v>
      </c>
      <c r="C579" s="0" t="n">
        <v>4286</v>
      </c>
      <c r="D579" s="0" t="n">
        <v>106</v>
      </c>
      <c r="E579" s="0" t="n">
        <v>3</v>
      </c>
      <c r="F579" s="23" t="s">
        <v>505</v>
      </c>
      <c r="G579" s="0" t="n">
        <v>54.5</v>
      </c>
      <c r="H579" s="0" t="n">
        <v>54</v>
      </c>
      <c r="I579" s="23" t="s">
        <v>109</v>
      </c>
      <c r="J579" s="0" t="n">
        <v>106</v>
      </c>
      <c r="K579" s="0" t="n">
        <v>64</v>
      </c>
      <c r="M579" s="0" t="n">
        <v>331.99</v>
      </c>
      <c r="N579" s="0" t="n">
        <v>-4.94</v>
      </c>
      <c r="O579" s="0" t="n">
        <v>8.59</v>
      </c>
      <c r="P579" s="0" t="n">
        <v>6.8</v>
      </c>
      <c r="Q579" s="0" t="n">
        <v>3.07</v>
      </c>
      <c r="R579" s="0" t="n">
        <v>5530</v>
      </c>
      <c r="S579" s="0" t="n">
        <v>11120</v>
      </c>
      <c r="T579" s="0" t="n">
        <v>59.25</v>
      </c>
      <c r="U579" s="0" t="n">
        <v>1458</v>
      </c>
      <c r="V579" s="0" t="n">
        <v>2</v>
      </c>
      <c r="W579" s="0" t="str">
        <f aca="false">IF(OR(AND(B579&gt;=1,B579&lt;=6),B579=10),"Vaca em lactação",IF(I579="Male","Macho",IF(E579&gt;=1,"Vaca seca",IF(I579="Youngstock","Bezerra/recria","Novilha"))))</f>
        <v>Vaca em lactação</v>
      </c>
      <c r="X579" s="0" t="str">
        <f aca="false">IF(AND(B579&gt;=1,B579&lt;=6),"Tanque",IF(B579=10,"Descarte",""))</f>
        <v>Tanque</v>
      </c>
    </row>
    <row r="580" customFormat="false" ht="15" hidden="false" customHeight="false" outlineLevel="0" collapsed="false">
      <c r="A580" s="22" t="n">
        <v>46309</v>
      </c>
      <c r="B580" s="0" t="n">
        <v>3</v>
      </c>
      <c r="C580" s="0" t="n">
        <v>4226</v>
      </c>
      <c r="D580" s="0" t="n">
        <v>95</v>
      </c>
      <c r="E580" s="0" t="n">
        <v>3</v>
      </c>
      <c r="F580" s="23" t="s">
        <v>358</v>
      </c>
      <c r="G580" s="0" t="n">
        <v>63.6</v>
      </c>
      <c r="H580" s="0" t="n">
        <v>66</v>
      </c>
      <c r="I580" s="23" t="s">
        <v>506</v>
      </c>
      <c r="J580" s="0" t="n">
        <v>95</v>
      </c>
      <c r="M580" s="0" t="n">
        <v>809.8</v>
      </c>
      <c r="N580" s="0" t="n">
        <v>66.78</v>
      </c>
      <c r="O580" s="0" t="n">
        <v>34.78</v>
      </c>
      <c r="P580" s="0" t="n">
        <v>3.84</v>
      </c>
      <c r="Q580" s="0" t="n">
        <v>3.44</v>
      </c>
      <c r="R580" s="0" t="n">
        <v>5745</v>
      </c>
      <c r="S580" s="0" t="n">
        <v>11548</v>
      </c>
      <c r="T580" s="0" t="n">
        <v>65.85</v>
      </c>
      <c r="U580" s="0" t="n">
        <v>1491</v>
      </c>
      <c r="V580" s="0" t="n">
        <v>0</v>
      </c>
      <c r="W580" s="0" t="str">
        <f aca="false">IF(OR(AND(B580&gt;=1,B580&lt;=6),B580=10),"Vaca em lactação",IF(I580="Male","Macho",IF(E580&gt;=1,"Vaca seca",IF(I580="Youngstock","Bezerra/recria","Novilha"))))</f>
        <v>Vaca em lactação</v>
      </c>
      <c r="X580" s="0" t="str">
        <f aca="false">IF(AND(B580&gt;=1,B580&lt;=6),"Tanque",IF(B580=10,"Descarte",""))</f>
        <v>Tanque</v>
      </c>
    </row>
    <row r="581" customFormat="false" ht="15" hidden="false" customHeight="false" outlineLevel="0" collapsed="false">
      <c r="A581" s="22" t="n">
        <v>46309</v>
      </c>
      <c r="B581" s="0" t="n">
        <v>3</v>
      </c>
      <c r="C581" s="0" t="n">
        <v>4231</v>
      </c>
      <c r="D581" s="0" t="n">
        <v>101</v>
      </c>
      <c r="E581" s="0" t="n">
        <v>3</v>
      </c>
      <c r="F581" s="23" t="s">
        <v>360</v>
      </c>
      <c r="G581" s="0" t="n">
        <v>61</v>
      </c>
      <c r="H581" s="0" t="n">
        <v>70</v>
      </c>
      <c r="I581" s="23" t="s">
        <v>92</v>
      </c>
      <c r="J581" s="0" t="n">
        <v>69</v>
      </c>
      <c r="K581" s="0" t="n">
        <v>69</v>
      </c>
      <c r="L581" s="0" t="n">
        <v>32</v>
      </c>
      <c r="M581" s="0" t="n">
        <v>467.36</v>
      </c>
      <c r="N581" s="0" t="n">
        <v>32.01</v>
      </c>
      <c r="O581" s="0" t="n">
        <v>24.39</v>
      </c>
      <c r="P581" s="0" t="n">
        <v>3.1</v>
      </c>
      <c r="Q581" s="0" t="n">
        <v>3.08</v>
      </c>
      <c r="R581" s="0" t="n">
        <v>7117</v>
      </c>
      <c r="S581" s="0" t="n">
        <v>14301</v>
      </c>
      <c r="T581" s="0" t="n">
        <v>82.05</v>
      </c>
      <c r="U581" s="0" t="n">
        <v>1489</v>
      </c>
      <c r="V581" s="0" t="n">
        <v>1</v>
      </c>
      <c r="W581" s="0" t="str">
        <f aca="false">IF(OR(AND(B581&gt;=1,B581&lt;=6),B581=10),"Vaca em lactação",IF(I581="Male","Macho",IF(E581&gt;=1,"Vaca seca",IF(I581="Youngstock","Bezerra/recria","Novilha"))))</f>
        <v>Vaca em lactação</v>
      </c>
      <c r="X581" s="0" t="str">
        <f aca="false">IF(AND(B581&gt;=1,B581&lt;=6),"Tanque",IF(B581=10,"Descarte",""))</f>
        <v>Tanque</v>
      </c>
    </row>
    <row r="582" customFormat="false" ht="15" hidden="false" customHeight="false" outlineLevel="0" collapsed="false">
      <c r="A582" s="22" t="n">
        <v>46309</v>
      </c>
      <c r="B582" s="0" t="n">
        <v>3</v>
      </c>
      <c r="C582" s="0" t="n">
        <v>4230</v>
      </c>
      <c r="D582" s="0" t="n">
        <v>42</v>
      </c>
      <c r="E582" s="0" t="n">
        <v>3</v>
      </c>
      <c r="F582" s="23" t="s">
        <v>356</v>
      </c>
      <c r="G582" s="0" t="n">
        <v>66.7</v>
      </c>
      <c r="H582" s="0" t="n">
        <v>65</v>
      </c>
      <c r="I582" s="23" t="s">
        <v>94</v>
      </c>
      <c r="J582" s="0" t="n">
        <v>42</v>
      </c>
      <c r="M582" s="0" t="n">
        <v>573.68</v>
      </c>
      <c r="N582" s="0" t="n">
        <v>32.28</v>
      </c>
      <c r="O582" s="0" t="n">
        <v>23.33</v>
      </c>
      <c r="P582" s="0" t="n">
        <v>3.2</v>
      </c>
      <c r="Q582" s="0" t="n">
        <v>3.34</v>
      </c>
      <c r="R582" s="0" t="n">
        <v>5087</v>
      </c>
      <c r="S582" s="0" t="n">
        <v>10226</v>
      </c>
      <c r="U582" s="0" t="n">
        <v>1490</v>
      </c>
      <c r="V582" s="0" t="n">
        <v>0</v>
      </c>
      <c r="W582" s="0" t="str">
        <f aca="false">IF(OR(AND(B582&gt;=1,B582&lt;=6),B582=10),"Vaca em lactação",IF(I582="Male","Macho",IF(E582&gt;=1,"Vaca seca",IF(I582="Youngstock","Bezerra/recria","Novilha"))))</f>
        <v>Vaca em lactação</v>
      </c>
      <c r="X582" s="0" t="str">
        <f aca="false">IF(AND(B582&gt;=1,B582&lt;=6),"Tanque",IF(B582=10,"Descarte",""))</f>
        <v>Tanque</v>
      </c>
    </row>
    <row r="583" customFormat="false" ht="15" hidden="false" customHeight="false" outlineLevel="0" collapsed="false">
      <c r="A583" s="22" t="n">
        <v>46309</v>
      </c>
      <c r="B583" s="0" t="n">
        <v>3</v>
      </c>
      <c r="C583" s="0" t="n">
        <v>4244</v>
      </c>
      <c r="D583" s="0" t="n">
        <v>66</v>
      </c>
      <c r="E583" s="0" t="n">
        <v>3</v>
      </c>
      <c r="F583" s="23" t="s">
        <v>507</v>
      </c>
      <c r="G583" s="0" t="n">
        <v>67.5</v>
      </c>
      <c r="H583" s="0" t="n">
        <v>61</v>
      </c>
      <c r="I583" s="23" t="s">
        <v>97</v>
      </c>
      <c r="J583" s="0" t="n">
        <v>66</v>
      </c>
      <c r="K583" s="0" t="n">
        <v>66</v>
      </c>
      <c r="M583" s="0" t="n">
        <v>773.03</v>
      </c>
      <c r="N583" s="0" t="n">
        <v>26.89</v>
      </c>
      <c r="O583" s="0" t="n">
        <v>18.89</v>
      </c>
      <c r="P583" s="0" t="n">
        <v>3.56</v>
      </c>
      <c r="Q583" s="0" t="n">
        <v>3.1</v>
      </c>
      <c r="R583" s="0" t="n">
        <v>4754</v>
      </c>
      <c r="S583" s="0" t="n">
        <v>9557</v>
      </c>
      <c r="U583" s="0" t="n">
        <v>1482</v>
      </c>
      <c r="V583" s="0" t="n">
        <v>1</v>
      </c>
      <c r="W583" s="0" t="str">
        <f aca="false">IF(OR(AND(B583&gt;=1,B583&lt;=6),B583=10),"Vaca em lactação",IF(I583="Male","Macho",IF(E583&gt;=1,"Vaca seca",IF(I583="Youngstock","Bezerra/recria","Novilha"))))</f>
        <v>Vaca em lactação</v>
      </c>
      <c r="X583" s="0" t="str">
        <f aca="false">IF(AND(B583&gt;=1,B583&lt;=6),"Tanque",IF(B583=10,"Descarte",""))</f>
        <v>Tanque</v>
      </c>
    </row>
    <row r="584" customFormat="false" ht="15" hidden="false" customHeight="false" outlineLevel="0" collapsed="false">
      <c r="A584" s="22" t="n">
        <v>46309</v>
      </c>
      <c r="B584" s="0" t="n">
        <v>3</v>
      </c>
      <c r="C584" s="0" t="n">
        <v>4240</v>
      </c>
      <c r="D584" s="0" t="n">
        <v>118</v>
      </c>
      <c r="E584" s="0" t="n">
        <v>3</v>
      </c>
      <c r="F584" s="23" t="s">
        <v>508</v>
      </c>
      <c r="G584" s="0" t="n">
        <v>64.3</v>
      </c>
      <c r="H584" s="0" t="n">
        <v>59</v>
      </c>
      <c r="I584" s="23" t="s">
        <v>97</v>
      </c>
      <c r="J584" s="0" t="n">
        <v>118</v>
      </c>
      <c r="K584" s="0" t="n">
        <v>70</v>
      </c>
      <c r="M584" s="0" t="n">
        <v>500.41</v>
      </c>
      <c r="N584" s="0" t="n">
        <v>50.43</v>
      </c>
      <c r="O584" s="0" t="n">
        <v>37.07</v>
      </c>
      <c r="P584" s="0" t="n">
        <v>4.59</v>
      </c>
      <c r="Q584" s="0" t="n">
        <v>3.42</v>
      </c>
      <c r="R584" s="0" t="n">
        <v>5922</v>
      </c>
      <c r="S584" s="0" t="n">
        <v>11980</v>
      </c>
      <c r="T584" s="0" t="n">
        <v>68.15</v>
      </c>
      <c r="U584" s="0" t="n">
        <v>1486</v>
      </c>
      <c r="V584" s="0" t="n">
        <v>2</v>
      </c>
      <c r="W584" s="0" t="str">
        <f aca="false">IF(OR(AND(B584&gt;=1,B584&lt;=6),B584=10),"Vaca em lactação",IF(I584="Male","Macho",IF(E584&gt;=1,"Vaca seca",IF(I584="Youngstock","Bezerra/recria","Novilha"))))</f>
        <v>Vaca em lactação</v>
      </c>
      <c r="X584" s="0" t="str">
        <f aca="false">IF(AND(B584&gt;=1,B584&lt;=6),"Tanque",IF(B584=10,"Descarte",""))</f>
        <v>Tanque</v>
      </c>
    </row>
    <row r="585" customFormat="false" ht="15" hidden="false" customHeight="false" outlineLevel="0" collapsed="false">
      <c r="A585" s="22" t="n">
        <v>46309</v>
      </c>
      <c r="B585" s="0" t="n">
        <v>3</v>
      </c>
      <c r="C585" s="0" t="n">
        <v>4332</v>
      </c>
      <c r="D585" s="0" t="n">
        <v>2</v>
      </c>
      <c r="E585" s="0" t="n">
        <v>3</v>
      </c>
      <c r="F585" s="23" t="s">
        <v>509</v>
      </c>
      <c r="G585" s="0" t="n">
        <v>35.9</v>
      </c>
      <c r="H585" s="0" t="n">
        <v>26</v>
      </c>
      <c r="I585" s="23" t="s">
        <v>94</v>
      </c>
      <c r="J585" s="0" t="n">
        <v>2</v>
      </c>
      <c r="M585" s="0" t="n">
        <v>259.1</v>
      </c>
      <c r="N585" s="0" t="n">
        <v>30.34</v>
      </c>
      <c r="O585" s="0" t="n">
        <v>15.59</v>
      </c>
      <c r="R585" s="0" t="n">
        <v>2923</v>
      </c>
      <c r="S585" s="0" t="n">
        <v>5877</v>
      </c>
      <c r="U585" s="0" t="n">
        <v>1431</v>
      </c>
      <c r="V585" s="0" t="n">
        <v>0</v>
      </c>
      <c r="W585" s="0" t="str">
        <f aca="false">IF(OR(AND(B585&gt;=1,B585&lt;=6),B585=10),"Vaca em lactação",IF(I585="Male","Macho",IF(E585&gt;=1,"Vaca seca",IF(I585="Youngstock","Bezerra/recria","Novilha"))))</f>
        <v>Vaca em lactação</v>
      </c>
      <c r="X585" s="0" t="str">
        <f aca="false">IF(AND(B585&gt;=1,B585&lt;=6),"Tanque",IF(B585=10,"Descarte",""))</f>
        <v>Tanque</v>
      </c>
    </row>
    <row r="586" customFormat="false" ht="15" hidden="false" customHeight="false" outlineLevel="0" collapsed="false">
      <c r="A586" s="22" t="n">
        <v>46309</v>
      </c>
      <c r="B586" s="0" t="n">
        <v>3</v>
      </c>
      <c r="C586" s="0" t="n">
        <v>4330</v>
      </c>
      <c r="D586" s="0" t="n">
        <v>9</v>
      </c>
      <c r="E586" s="0" t="n">
        <v>3</v>
      </c>
      <c r="F586" s="23" t="s">
        <v>510</v>
      </c>
      <c r="G586" s="0" t="n">
        <v>41.5</v>
      </c>
      <c r="H586" s="0" t="n">
        <v>31</v>
      </c>
      <c r="I586" s="23" t="s">
        <v>94</v>
      </c>
      <c r="J586" s="0" t="n">
        <v>9</v>
      </c>
      <c r="M586" s="0" t="n">
        <v>348.48</v>
      </c>
      <c r="N586" s="0" t="n">
        <v>27.09</v>
      </c>
      <c r="O586" s="0" t="n">
        <v>20.47</v>
      </c>
      <c r="R586" s="0" t="n">
        <v>2339</v>
      </c>
      <c r="S586" s="0" t="n">
        <v>4703</v>
      </c>
      <c r="U586" s="0" t="n">
        <v>1432</v>
      </c>
      <c r="V586" s="0" t="n">
        <v>0</v>
      </c>
      <c r="W586" s="0" t="str">
        <f aca="false">IF(OR(AND(B586&gt;=1,B586&lt;=6),B586=10),"Vaca em lactação",IF(I586="Male","Macho",IF(E586&gt;=1,"Vaca seca",IF(I586="Youngstock","Bezerra/recria","Novilha"))))</f>
        <v>Vaca em lactação</v>
      </c>
      <c r="X586" s="0" t="str">
        <f aca="false">IF(AND(B586&gt;=1,B586&lt;=6),"Tanque",IF(B586=10,"Descarte",""))</f>
        <v>Tanque</v>
      </c>
    </row>
    <row r="587" customFormat="false" ht="15" hidden="false" customHeight="false" outlineLevel="0" collapsed="false">
      <c r="A587" s="22" t="n">
        <v>46309</v>
      </c>
      <c r="B587" s="0" t="n">
        <v>3</v>
      </c>
      <c r="C587" s="0" t="n">
        <v>4297</v>
      </c>
      <c r="D587" s="0" t="n">
        <v>38</v>
      </c>
      <c r="E587" s="0" t="n">
        <v>3</v>
      </c>
      <c r="F587" s="23" t="s">
        <v>367</v>
      </c>
      <c r="G587" s="0" t="n">
        <v>65.4</v>
      </c>
      <c r="H587" s="0" t="n">
        <v>58</v>
      </c>
      <c r="I587" s="23" t="s">
        <v>94</v>
      </c>
      <c r="J587" s="0" t="n">
        <v>38</v>
      </c>
      <c r="M587" s="0" t="n">
        <v>273.42</v>
      </c>
      <c r="N587" s="0" t="n">
        <v>46.84</v>
      </c>
      <c r="O587" s="0" t="n">
        <v>27.73</v>
      </c>
      <c r="P587" s="0" t="n">
        <v>5.34</v>
      </c>
      <c r="Q587" s="0" t="n">
        <v>4.06</v>
      </c>
      <c r="R587" s="0" t="n">
        <v>5036</v>
      </c>
      <c r="S587" s="0" t="n">
        <v>10123</v>
      </c>
      <c r="U587" s="0" t="n">
        <v>1449</v>
      </c>
      <c r="V587" s="0" t="n">
        <v>0</v>
      </c>
      <c r="W587" s="0" t="str">
        <f aca="false">IF(OR(AND(B587&gt;=1,B587&lt;=6),B587=10),"Vaca em lactação",IF(I587="Male","Macho",IF(E587&gt;=1,"Vaca seca",IF(I587="Youngstock","Bezerra/recria","Novilha"))))</f>
        <v>Vaca em lactação</v>
      </c>
      <c r="X587" s="0" t="str">
        <f aca="false">IF(AND(B587&gt;=1,B587&lt;=6),"Tanque",IF(B587=10,"Descarte",""))</f>
        <v>Tanque</v>
      </c>
    </row>
    <row r="588" customFormat="false" ht="15" hidden="false" customHeight="false" outlineLevel="0" collapsed="false">
      <c r="A588" s="22" t="n">
        <v>46309</v>
      </c>
      <c r="B588" s="0" t="n">
        <v>3</v>
      </c>
      <c r="C588" s="0" t="n">
        <v>4310</v>
      </c>
      <c r="D588" s="0" t="n">
        <v>115</v>
      </c>
      <c r="E588" s="0" t="n">
        <v>3</v>
      </c>
      <c r="F588" s="23" t="s">
        <v>511</v>
      </c>
      <c r="G588" s="0" t="n">
        <v>58.8</v>
      </c>
      <c r="H588" s="0" t="n">
        <v>58</v>
      </c>
      <c r="I588" s="23" t="s">
        <v>97</v>
      </c>
      <c r="J588" s="0" t="n">
        <v>115</v>
      </c>
      <c r="K588" s="0" t="n">
        <v>66</v>
      </c>
      <c r="M588" s="0" t="n">
        <v>471.44</v>
      </c>
      <c r="N588" s="0" t="n">
        <v>72.43</v>
      </c>
      <c r="O588" s="0" t="n">
        <v>34.35</v>
      </c>
      <c r="P588" s="0" t="n">
        <v>3.69</v>
      </c>
      <c r="Q588" s="0" t="n">
        <v>2.94</v>
      </c>
      <c r="R588" s="0" t="n">
        <v>6378</v>
      </c>
      <c r="S588" s="0" t="n">
        <v>12705</v>
      </c>
      <c r="T588" s="0" t="n">
        <v>68.8</v>
      </c>
      <c r="U588" s="0" t="n">
        <v>1443</v>
      </c>
      <c r="V588" s="0" t="n">
        <v>2</v>
      </c>
      <c r="W588" s="0" t="str">
        <f aca="false">IF(OR(AND(B588&gt;=1,B588&lt;=6),B588=10),"Vaca em lactação",IF(I588="Male","Macho",IF(E588&gt;=1,"Vaca seca",IF(I588="Youngstock","Bezerra/recria","Novilha"))))</f>
        <v>Vaca em lactação</v>
      </c>
      <c r="X588" s="0" t="str">
        <f aca="false">IF(AND(B588&gt;=1,B588&lt;=6),"Tanque",IF(B588=10,"Descarte",""))</f>
        <v>Tanque</v>
      </c>
    </row>
    <row r="589" customFormat="false" ht="15" hidden="false" customHeight="false" outlineLevel="0" collapsed="false">
      <c r="A589" s="22" t="n">
        <v>46309</v>
      </c>
      <c r="B589" s="0" t="n">
        <v>3</v>
      </c>
      <c r="C589" s="0" t="n">
        <v>4321</v>
      </c>
      <c r="D589" s="0" t="n">
        <v>112</v>
      </c>
      <c r="E589" s="0" t="n">
        <v>3</v>
      </c>
      <c r="F589" s="23" t="s">
        <v>512</v>
      </c>
      <c r="G589" s="0" t="n">
        <v>57.3</v>
      </c>
      <c r="H589" s="0" t="n">
        <v>56</v>
      </c>
      <c r="I589" s="23" t="s">
        <v>92</v>
      </c>
      <c r="J589" s="0" t="n">
        <v>63</v>
      </c>
      <c r="K589" s="0" t="n">
        <v>63</v>
      </c>
      <c r="L589" s="0" t="n">
        <v>49</v>
      </c>
      <c r="M589" s="0" t="n">
        <v>255.19</v>
      </c>
      <c r="N589" s="0" t="n">
        <v>31.81</v>
      </c>
      <c r="O589" s="0" t="n">
        <v>25.49</v>
      </c>
      <c r="P589" s="0" t="n">
        <v>4.04</v>
      </c>
      <c r="Q589" s="0" t="n">
        <v>3.02</v>
      </c>
      <c r="R589" s="0" t="n">
        <v>4907</v>
      </c>
      <c r="S589" s="0" t="n">
        <v>10108</v>
      </c>
      <c r="U589" s="0" t="n">
        <v>1435</v>
      </c>
      <c r="V589" s="0" t="n">
        <v>1</v>
      </c>
      <c r="W589" s="0" t="str">
        <f aca="false">IF(OR(AND(B589&gt;=1,B589&lt;=6),B589=10),"Vaca em lactação",IF(I589="Male","Macho",IF(E589&gt;=1,"Vaca seca",IF(I589="Youngstock","Bezerra/recria","Novilha"))))</f>
        <v>Vaca em lactação</v>
      </c>
      <c r="X589" s="0" t="str">
        <f aca="false">IF(AND(B589&gt;=1,B589&lt;=6),"Tanque",IF(B589=10,"Descarte",""))</f>
        <v>Tanque</v>
      </c>
    </row>
    <row r="590" customFormat="false" ht="15" hidden="false" customHeight="false" outlineLevel="0" collapsed="false">
      <c r="A590" s="22" t="n">
        <v>46309</v>
      </c>
      <c r="B590" s="0" t="n">
        <v>3</v>
      </c>
      <c r="C590" s="0" t="n">
        <v>4125</v>
      </c>
      <c r="D590" s="0" t="n">
        <v>346</v>
      </c>
      <c r="E590" s="0" t="n">
        <v>2</v>
      </c>
      <c r="F590" s="23" t="s">
        <v>513</v>
      </c>
      <c r="G590" s="0" t="n">
        <v>45.5</v>
      </c>
      <c r="H590" s="0" t="n">
        <v>45</v>
      </c>
      <c r="I590" s="23" t="s">
        <v>109</v>
      </c>
      <c r="J590" s="0" t="n">
        <v>346</v>
      </c>
      <c r="K590" s="0" t="n">
        <v>73</v>
      </c>
      <c r="M590" s="0" t="n">
        <v>678.22</v>
      </c>
      <c r="N590" s="0" t="n">
        <v>38.23</v>
      </c>
      <c r="O590" s="0" t="n">
        <v>27.18</v>
      </c>
      <c r="P590" s="0" t="n">
        <v>2.56</v>
      </c>
      <c r="Q590" s="0" t="n">
        <v>3.47</v>
      </c>
      <c r="R590" s="0" t="n">
        <v>5693</v>
      </c>
      <c r="S590" s="0" t="n">
        <v>11137</v>
      </c>
      <c r="T590" s="0" t="n">
        <v>59.25</v>
      </c>
      <c r="U590" s="0" t="n">
        <v>1533</v>
      </c>
      <c r="V590" s="0" t="n">
        <v>6</v>
      </c>
      <c r="W590" s="0" t="str">
        <f aca="false">IF(OR(AND(B590&gt;=1,B590&lt;=6),B590=10),"Vaca em lactação",IF(I590="Male","Macho",IF(E590&gt;=1,"Vaca seca",IF(I590="Youngstock","Bezerra/recria","Novilha"))))</f>
        <v>Vaca em lactação</v>
      </c>
      <c r="X590" s="0" t="str">
        <f aca="false">IF(AND(B590&gt;=1,B590&lt;=6),"Tanque",IF(B590=10,"Descarte",""))</f>
        <v>Tanque</v>
      </c>
    </row>
    <row r="591" customFormat="false" ht="15" hidden="false" customHeight="false" outlineLevel="0" collapsed="false">
      <c r="A591" s="22" t="n">
        <v>46309</v>
      </c>
      <c r="B591" s="0" t="n">
        <v>3</v>
      </c>
      <c r="C591" s="0" t="n">
        <v>4141</v>
      </c>
      <c r="D591" s="0" t="n">
        <v>12</v>
      </c>
      <c r="E591" s="0" t="n">
        <v>3</v>
      </c>
      <c r="F591" s="23" t="s">
        <v>373</v>
      </c>
      <c r="G591" s="0" t="n">
        <v>62.7</v>
      </c>
      <c r="H591" s="0" t="n">
        <v>55</v>
      </c>
      <c r="I591" s="23" t="s">
        <v>94</v>
      </c>
      <c r="J591" s="0" t="n">
        <v>12</v>
      </c>
      <c r="M591" s="0" t="n">
        <v>454.67</v>
      </c>
      <c r="N591" s="0" t="n">
        <v>54.08</v>
      </c>
      <c r="O591" s="0" t="n">
        <v>26.05</v>
      </c>
      <c r="R591" s="0" t="n">
        <v>4233</v>
      </c>
      <c r="S591" s="0" t="n">
        <v>8509</v>
      </c>
      <c r="U591" s="0" t="n">
        <v>1526</v>
      </c>
      <c r="V591" s="0" t="n">
        <v>0</v>
      </c>
      <c r="W591" s="0" t="str">
        <f aca="false">IF(OR(AND(B591&gt;=1,B591&lt;=6),B591=10),"Vaca em lactação",IF(I591="Male","Macho",IF(E591&gt;=1,"Vaca seca",IF(I591="Youngstock","Bezerra/recria","Novilha"))))</f>
        <v>Vaca em lactação</v>
      </c>
      <c r="X591" s="0" t="str">
        <f aca="false">IF(AND(B591&gt;=1,B591&lt;=6),"Tanque",IF(B591=10,"Descarte",""))</f>
        <v>Tanque</v>
      </c>
    </row>
    <row r="592" customFormat="false" ht="15" hidden="false" customHeight="false" outlineLevel="0" collapsed="false">
      <c r="A592" s="22" t="n">
        <v>46309</v>
      </c>
      <c r="B592" s="0" t="n">
        <v>3</v>
      </c>
      <c r="C592" s="0" t="n">
        <v>4156</v>
      </c>
      <c r="D592" s="0" t="n">
        <v>164</v>
      </c>
      <c r="E592" s="0" t="n">
        <v>3</v>
      </c>
      <c r="F592" s="23" t="s">
        <v>374</v>
      </c>
      <c r="G592" s="0" t="n">
        <v>58.1</v>
      </c>
      <c r="H592" s="0" t="n">
        <v>58</v>
      </c>
      <c r="I592" s="23" t="s">
        <v>92</v>
      </c>
      <c r="J592" s="0" t="n">
        <v>66</v>
      </c>
      <c r="K592" s="0" t="n">
        <v>66</v>
      </c>
      <c r="L592" s="0" t="n">
        <v>98</v>
      </c>
      <c r="M592" s="0" t="n">
        <v>595.29</v>
      </c>
      <c r="N592" s="0" t="n">
        <v>62.02</v>
      </c>
      <c r="O592" s="0" t="n">
        <v>26.07</v>
      </c>
      <c r="P592" s="0" t="n">
        <v>3.3</v>
      </c>
      <c r="Q592" s="0" t="n">
        <v>3.59</v>
      </c>
      <c r="R592" s="0" t="n">
        <v>6048</v>
      </c>
      <c r="S592" s="0" t="n">
        <v>12101</v>
      </c>
      <c r="T592" s="0" t="n">
        <v>64.15</v>
      </c>
      <c r="U592" s="0" t="n">
        <v>1523</v>
      </c>
      <c r="V592" s="0" t="n">
        <v>1</v>
      </c>
      <c r="W592" s="0" t="str">
        <f aca="false">IF(OR(AND(B592&gt;=1,B592&lt;=6),B592=10),"Vaca em lactação",IF(I592="Male","Macho",IF(E592&gt;=1,"Vaca seca",IF(I592="Youngstock","Bezerra/recria","Novilha"))))</f>
        <v>Vaca em lactação</v>
      </c>
      <c r="X592" s="0" t="str">
        <f aca="false">IF(AND(B592&gt;=1,B592&lt;=6),"Tanque",IF(B592=10,"Descarte",""))</f>
        <v>Tanque</v>
      </c>
    </row>
    <row r="593" customFormat="false" ht="15" hidden="false" customHeight="false" outlineLevel="0" collapsed="false">
      <c r="A593" s="22" t="n">
        <v>46309</v>
      </c>
      <c r="B593" s="0" t="n">
        <v>3</v>
      </c>
      <c r="C593" s="0" t="n">
        <v>4098</v>
      </c>
      <c r="D593" s="0" t="n">
        <v>134</v>
      </c>
      <c r="E593" s="0" t="n">
        <v>3</v>
      </c>
      <c r="F593" s="23" t="s">
        <v>514</v>
      </c>
      <c r="G593" s="0" t="n">
        <v>59.9</v>
      </c>
      <c r="H593" s="0" t="n">
        <v>64</v>
      </c>
      <c r="I593" s="23" t="s">
        <v>97</v>
      </c>
      <c r="J593" s="0" t="n">
        <v>134</v>
      </c>
      <c r="K593" s="0" t="n">
        <v>64</v>
      </c>
      <c r="M593" s="0" t="n">
        <v>498.96</v>
      </c>
      <c r="N593" s="0" t="n">
        <v>34.23</v>
      </c>
      <c r="O593" s="0" t="n">
        <v>20.72</v>
      </c>
      <c r="P593" s="0" t="n">
        <v>3.28</v>
      </c>
      <c r="Q593" s="0" t="n">
        <v>3.14</v>
      </c>
      <c r="R593" s="0" t="n">
        <v>5538</v>
      </c>
      <c r="S593" s="0" t="n">
        <v>11647</v>
      </c>
      <c r="T593" s="0" t="n">
        <v>61.5</v>
      </c>
      <c r="U593" s="0" t="n">
        <v>1549</v>
      </c>
      <c r="V593" s="0" t="n">
        <v>3</v>
      </c>
      <c r="W593" s="0" t="str">
        <f aca="false">IF(OR(AND(B593&gt;=1,B593&lt;=6),B593=10),"Vaca em lactação",IF(I593="Male","Macho",IF(E593&gt;=1,"Vaca seca",IF(I593="Youngstock","Bezerra/recria","Novilha"))))</f>
        <v>Vaca em lactação</v>
      </c>
      <c r="X593" s="0" t="str">
        <f aca="false">IF(AND(B593&gt;=1,B593&lt;=6),"Tanque",IF(B593=10,"Descarte",""))</f>
        <v>Tanque</v>
      </c>
    </row>
    <row r="594" customFormat="false" ht="15" hidden="false" customHeight="false" outlineLevel="0" collapsed="false">
      <c r="A594" s="22" t="n">
        <v>46309</v>
      </c>
      <c r="B594" s="0" t="n">
        <v>3</v>
      </c>
      <c r="C594" s="0" t="n">
        <v>4105</v>
      </c>
      <c r="D594" s="0" t="n">
        <v>8</v>
      </c>
      <c r="E594" s="0" t="n">
        <v>3</v>
      </c>
      <c r="F594" s="23" t="s">
        <v>515</v>
      </c>
      <c r="G594" s="0" t="n">
        <v>49</v>
      </c>
      <c r="H594" s="0" t="n">
        <v>42</v>
      </c>
      <c r="I594" s="23" t="s">
        <v>94</v>
      </c>
      <c r="J594" s="0" t="n">
        <v>8</v>
      </c>
      <c r="M594" s="0" t="n">
        <v>590.04</v>
      </c>
      <c r="N594" s="0" t="n">
        <v>70.31</v>
      </c>
      <c r="O594" s="0" t="n">
        <v>29.71</v>
      </c>
      <c r="R594" s="0" t="n">
        <v>3647</v>
      </c>
      <c r="S594" s="0" t="n">
        <v>7332</v>
      </c>
      <c r="U594" s="0" t="n">
        <v>1546</v>
      </c>
      <c r="V594" s="0" t="n">
        <v>0</v>
      </c>
      <c r="W594" s="0" t="str">
        <f aca="false">IF(OR(AND(B594&gt;=1,B594&lt;=6),B594=10),"Vaca em lactação",IF(I594="Male","Macho",IF(E594&gt;=1,"Vaca seca",IF(I594="Youngstock","Bezerra/recria","Novilha"))))</f>
        <v>Vaca em lactação</v>
      </c>
      <c r="X594" s="0" t="str">
        <f aca="false">IF(AND(B594&gt;=1,B594&lt;=6),"Tanque",IF(B594=10,"Descarte",""))</f>
        <v>Tanque</v>
      </c>
    </row>
    <row r="595" customFormat="false" ht="15" hidden="false" customHeight="false" outlineLevel="0" collapsed="false">
      <c r="A595" s="22" t="n">
        <v>46309</v>
      </c>
      <c r="B595" s="0" t="n">
        <v>3</v>
      </c>
      <c r="C595" s="0" t="n">
        <v>4117</v>
      </c>
      <c r="D595" s="0" t="n">
        <v>148</v>
      </c>
      <c r="E595" s="0" t="n">
        <v>3</v>
      </c>
      <c r="F595" s="23" t="s">
        <v>379</v>
      </c>
      <c r="G595" s="0" t="n">
        <v>50</v>
      </c>
      <c r="H595" s="0" t="n">
        <v>49</v>
      </c>
      <c r="I595" s="23" t="s">
        <v>109</v>
      </c>
      <c r="J595" s="0" t="n">
        <v>148</v>
      </c>
      <c r="K595" s="0" t="n">
        <v>78</v>
      </c>
      <c r="M595" s="0" t="n">
        <v>1125.92</v>
      </c>
      <c r="N595" s="0" t="n">
        <v>30.98</v>
      </c>
      <c r="O595" s="0" t="n">
        <v>36.97</v>
      </c>
      <c r="P595" s="0" t="n">
        <v>3.57</v>
      </c>
      <c r="Q595" s="0" t="n">
        <v>2.98</v>
      </c>
      <c r="R595" s="0" t="n">
        <v>5007</v>
      </c>
      <c r="S595" s="0" t="n">
        <v>10384</v>
      </c>
      <c r="T595" s="0" t="n">
        <v>57.35</v>
      </c>
      <c r="U595" s="0" t="n">
        <v>1537</v>
      </c>
      <c r="V595" s="0" t="n">
        <v>2</v>
      </c>
      <c r="W595" s="0" t="str">
        <f aca="false">IF(OR(AND(B595&gt;=1,B595&lt;=6),B595=10),"Vaca em lactação",IF(I595="Male","Macho",IF(E595&gt;=1,"Vaca seca",IF(I595="Youngstock","Bezerra/recria","Novilha"))))</f>
        <v>Vaca em lactação</v>
      </c>
      <c r="X595" s="0" t="str">
        <f aca="false">IF(AND(B595&gt;=1,B595&lt;=6),"Tanque",IF(B595=10,"Descarte",""))</f>
        <v>Tanque</v>
      </c>
    </row>
    <row r="596" customFormat="false" ht="15" hidden="false" customHeight="false" outlineLevel="0" collapsed="false">
      <c r="A596" s="22" t="n">
        <v>46309</v>
      </c>
      <c r="B596" s="0" t="n">
        <v>3</v>
      </c>
      <c r="C596" s="0" t="n">
        <v>4116</v>
      </c>
      <c r="D596" s="0" t="n">
        <v>68</v>
      </c>
      <c r="E596" s="0" t="n">
        <v>3</v>
      </c>
      <c r="F596" s="23" t="s">
        <v>379</v>
      </c>
      <c r="G596" s="0" t="n">
        <v>48.9</v>
      </c>
      <c r="H596" s="0" t="n">
        <v>60</v>
      </c>
      <c r="I596" s="23" t="s">
        <v>109</v>
      </c>
      <c r="J596" s="0" t="n">
        <v>68</v>
      </c>
      <c r="M596" s="0" t="n">
        <v>-232.54</v>
      </c>
      <c r="N596" s="0" t="n">
        <v>40.18</v>
      </c>
      <c r="O596" s="0" t="n">
        <v>3.16</v>
      </c>
      <c r="P596" s="0" t="n">
        <v>3.71</v>
      </c>
      <c r="Q596" s="0" t="n">
        <v>3.18</v>
      </c>
      <c r="R596" s="0" t="n">
        <v>5942</v>
      </c>
      <c r="S596" s="0" t="n">
        <v>11945</v>
      </c>
      <c r="U596" s="0" t="n">
        <v>1537</v>
      </c>
      <c r="V596" s="0" t="n">
        <v>0</v>
      </c>
      <c r="W596" s="0" t="str">
        <f aca="false">IF(OR(AND(B596&gt;=1,B596&lt;=6),B596=10),"Vaca em lactação",IF(I596="Male","Macho",IF(E596&gt;=1,"Vaca seca",IF(I596="Youngstock","Bezerra/recria","Novilha"))))</f>
        <v>Vaca em lactação</v>
      </c>
      <c r="X596" s="0" t="str">
        <f aca="false">IF(AND(B596&gt;=1,B596&lt;=6),"Tanque",IF(B596=10,"Descarte",""))</f>
        <v>Tanque</v>
      </c>
    </row>
    <row r="597" customFormat="false" ht="15" hidden="false" customHeight="false" outlineLevel="0" collapsed="false">
      <c r="A597" s="22" t="n">
        <v>46309</v>
      </c>
      <c r="B597" s="0" t="n">
        <v>3</v>
      </c>
      <c r="C597" s="0" t="n">
        <v>4192</v>
      </c>
      <c r="D597" s="0" t="n">
        <v>261</v>
      </c>
      <c r="E597" s="0" t="n">
        <v>2</v>
      </c>
      <c r="F597" s="23" t="s">
        <v>516</v>
      </c>
      <c r="G597" s="0" t="n">
        <v>53.9</v>
      </c>
      <c r="H597" s="0" t="n">
        <v>55</v>
      </c>
      <c r="I597" s="23" t="s">
        <v>92</v>
      </c>
      <c r="J597" s="0" t="n">
        <v>65</v>
      </c>
      <c r="K597" s="0" t="n">
        <v>65</v>
      </c>
      <c r="L597" s="0" t="n">
        <v>196</v>
      </c>
      <c r="M597" s="0" t="n">
        <v>832.37</v>
      </c>
      <c r="N597" s="0" t="n">
        <v>46.77</v>
      </c>
      <c r="O597" s="0" t="n">
        <v>27.98</v>
      </c>
      <c r="P597" s="0" t="n">
        <v>3.13</v>
      </c>
      <c r="Q597" s="0" t="n">
        <v>3.09</v>
      </c>
      <c r="R597" s="0" t="n">
        <v>5917</v>
      </c>
      <c r="S597" s="0" t="n">
        <v>13037</v>
      </c>
      <c r="T597" s="0" t="n">
        <v>60.65</v>
      </c>
      <c r="U597" s="0" t="n">
        <v>1506</v>
      </c>
      <c r="V597" s="0" t="n">
        <v>1</v>
      </c>
      <c r="W597" s="0" t="str">
        <f aca="false">IF(OR(AND(B597&gt;=1,B597&lt;=6),B597=10),"Vaca em lactação",IF(I597="Male","Macho",IF(E597&gt;=1,"Vaca seca",IF(I597="Youngstock","Bezerra/recria","Novilha"))))</f>
        <v>Vaca em lactação</v>
      </c>
      <c r="X597" s="0" t="str">
        <f aca="false">IF(AND(B597&gt;=1,B597&lt;=6),"Tanque",IF(B597=10,"Descarte",""))</f>
        <v>Tanque</v>
      </c>
    </row>
    <row r="598" customFormat="false" ht="15" hidden="false" customHeight="false" outlineLevel="0" collapsed="false">
      <c r="A598" s="22" t="n">
        <v>46309</v>
      </c>
      <c r="B598" s="0" t="n">
        <v>3</v>
      </c>
      <c r="C598" s="0" t="n">
        <v>4215</v>
      </c>
      <c r="D598" s="0" t="n">
        <v>158</v>
      </c>
      <c r="E598" s="0" t="n">
        <v>3</v>
      </c>
      <c r="F598" s="23" t="s">
        <v>517</v>
      </c>
      <c r="G598" s="0" t="n">
        <v>64.7</v>
      </c>
      <c r="H598" s="0" t="n">
        <v>62</v>
      </c>
      <c r="I598" s="23" t="s">
        <v>97</v>
      </c>
      <c r="J598" s="0" t="n">
        <v>158</v>
      </c>
      <c r="K598" s="0" t="n">
        <v>67</v>
      </c>
      <c r="M598" s="0" t="n">
        <v>388.22</v>
      </c>
      <c r="N598" s="0" t="n">
        <v>44.26</v>
      </c>
      <c r="O598" s="0" t="n">
        <v>25.43</v>
      </c>
      <c r="P598" s="0" t="n">
        <v>3.76</v>
      </c>
      <c r="Q598" s="0" t="n">
        <v>3.27</v>
      </c>
      <c r="R598" s="0" t="n">
        <v>5692</v>
      </c>
      <c r="S598" s="0" t="n">
        <v>12139</v>
      </c>
      <c r="T598" s="0" t="n">
        <v>60.7</v>
      </c>
      <c r="U598" s="0" t="n">
        <v>1494</v>
      </c>
      <c r="V598" s="0" t="n">
        <v>2</v>
      </c>
      <c r="W598" s="0" t="str">
        <f aca="false">IF(OR(AND(B598&gt;=1,B598&lt;=6),B598=10),"Vaca em lactação",IF(I598="Male","Macho",IF(E598&gt;=1,"Vaca seca",IF(I598="Youngstock","Bezerra/recria","Novilha"))))</f>
        <v>Vaca em lactação</v>
      </c>
      <c r="X598" s="0" t="str">
        <f aca="false">IF(AND(B598&gt;=1,B598&lt;=6),"Tanque",IF(B598=10,"Descarte",""))</f>
        <v>Tanque</v>
      </c>
    </row>
    <row r="599" customFormat="false" ht="15" hidden="false" customHeight="false" outlineLevel="0" collapsed="false">
      <c r="A599" s="22" t="n">
        <v>46309</v>
      </c>
      <c r="B599" s="0" t="n">
        <v>3</v>
      </c>
      <c r="C599" s="0" t="n">
        <v>4180</v>
      </c>
      <c r="D599" s="0" t="n">
        <v>6</v>
      </c>
      <c r="E599" s="0" t="n">
        <v>3</v>
      </c>
      <c r="F599" s="23" t="s">
        <v>518</v>
      </c>
      <c r="G599" s="0" t="n">
        <v>30.5</v>
      </c>
      <c r="H599" s="0" t="n">
        <v>24</v>
      </c>
      <c r="I599" s="23" t="s">
        <v>94</v>
      </c>
      <c r="J599" s="0" t="n">
        <v>6</v>
      </c>
      <c r="M599" s="0" t="n">
        <v>238.1</v>
      </c>
      <c r="N599" s="0" t="n">
        <v>22.74</v>
      </c>
      <c r="O599" s="0" t="n">
        <v>18.01</v>
      </c>
      <c r="R599" s="0" t="n">
        <v>1999</v>
      </c>
      <c r="S599" s="0" t="n">
        <v>4019</v>
      </c>
      <c r="U599" s="0" t="n">
        <v>1512</v>
      </c>
      <c r="V599" s="0" t="n">
        <v>0</v>
      </c>
      <c r="W599" s="0" t="str">
        <f aca="false">IF(OR(AND(B599&gt;=1,B599&lt;=6),B599=10),"Vaca em lactação",IF(I599="Male","Macho",IF(E599&gt;=1,"Vaca seca",IF(I599="Youngstock","Bezerra/recria","Novilha"))))</f>
        <v>Vaca em lactação</v>
      </c>
      <c r="X599" s="0" t="str">
        <f aca="false">IF(AND(B599&gt;=1,B599&lt;=6),"Tanque",IF(B599=10,"Descarte",""))</f>
        <v>Tanque</v>
      </c>
    </row>
    <row r="600" customFormat="false" ht="15" hidden="false" customHeight="false" outlineLevel="0" collapsed="false">
      <c r="A600" s="22" t="n">
        <v>46309</v>
      </c>
      <c r="B600" s="0" t="n">
        <v>3</v>
      </c>
      <c r="C600" s="0" t="n">
        <v>4179</v>
      </c>
      <c r="D600" s="0" t="n">
        <v>152</v>
      </c>
      <c r="E600" s="0" t="n">
        <v>3</v>
      </c>
      <c r="F600" s="23" t="s">
        <v>518</v>
      </c>
      <c r="G600" s="0" t="n">
        <v>48</v>
      </c>
      <c r="H600" s="0" t="n">
        <v>49</v>
      </c>
      <c r="I600" s="23" t="s">
        <v>109</v>
      </c>
      <c r="J600" s="0" t="n">
        <v>152</v>
      </c>
      <c r="K600" s="0" t="n">
        <v>82</v>
      </c>
      <c r="M600" s="0" t="n">
        <v>479.96</v>
      </c>
      <c r="N600" s="0" t="n">
        <v>46.19</v>
      </c>
      <c r="O600" s="0" t="n">
        <v>26.81</v>
      </c>
      <c r="P600" s="0" t="n">
        <v>2.68</v>
      </c>
      <c r="Q600" s="0" t="n">
        <v>3.6</v>
      </c>
      <c r="R600" s="0" t="n">
        <v>5509</v>
      </c>
      <c r="S600" s="0" t="n">
        <v>11073</v>
      </c>
      <c r="T600" s="0" t="n">
        <v>59.55</v>
      </c>
      <c r="U600" s="0" t="n">
        <v>1512</v>
      </c>
      <c r="V600" s="0" t="n">
        <v>2</v>
      </c>
      <c r="W600" s="0" t="str">
        <f aca="false">IF(OR(AND(B600&gt;=1,B600&lt;=6),B600=10),"Vaca em lactação",IF(I600="Male","Macho",IF(E600&gt;=1,"Vaca seca",IF(I600="Youngstock","Bezerra/recria","Novilha"))))</f>
        <v>Vaca em lactação</v>
      </c>
      <c r="X600" s="0" t="str">
        <f aca="false">IF(AND(B600&gt;=1,B600&lt;=6),"Tanque",IF(B600=10,"Descarte",""))</f>
        <v>Tanque</v>
      </c>
    </row>
    <row r="601" customFormat="false" ht="15" hidden="false" customHeight="false" outlineLevel="0" collapsed="false">
      <c r="A601" s="22" t="n">
        <v>46309</v>
      </c>
      <c r="B601" s="0" t="n">
        <v>3</v>
      </c>
      <c r="C601" s="0" t="n">
        <v>4187</v>
      </c>
      <c r="D601" s="0" t="n">
        <v>29</v>
      </c>
      <c r="E601" s="0" t="n">
        <v>3</v>
      </c>
      <c r="F601" s="23" t="s">
        <v>383</v>
      </c>
      <c r="G601" s="0" t="n">
        <v>67.4</v>
      </c>
      <c r="H601" s="0" t="n">
        <v>63</v>
      </c>
      <c r="I601" s="23" t="s">
        <v>94</v>
      </c>
      <c r="J601" s="0" t="n">
        <v>29</v>
      </c>
      <c r="M601" s="0" t="n">
        <v>648.97</v>
      </c>
      <c r="N601" s="0" t="n">
        <v>25.42</v>
      </c>
      <c r="O601" s="0" t="n">
        <v>26.13</v>
      </c>
      <c r="P601" s="0" t="n">
        <v>5.73</v>
      </c>
      <c r="Q601" s="0" t="n">
        <v>4.97</v>
      </c>
      <c r="R601" s="0" t="n">
        <v>4987</v>
      </c>
      <c r="S601" s="0" t="n">
        <v>10024</v>
      </c>
      <c r="U601" s="0" t="n">
        <v>1508</v>
      </c>
      <c r="V601" s="0" t="n">
        <v>0</v>
      </c>
      <c r="W601" s="0" t="str">
        <f aca="false">IF(OR(AND(B601&gt;=1,B601&lt;=6),B601=10),"Vaca em lactação",IF(I601="Male","Macho",IF(E601&gt;=1,"Vaca seca",IF(I601="Youngstock","Bezerra/recria","Novilha"))))</f>
        <v>Vaca em lactação</v>
      </c>
      <c r="X601" s="0" t="str">
        <f aca="false">IF(AND(B601&gt;=1,B601&lt;=6),"Tanque",IF(B601=10,"Descarte",""))</f>
        <v>Tanque</v>
      </c>
    </row>
    <row r="602" customFormat="false" ht="15" hidden="false" customHeight="false" outlineLevel="0" collapsed="false">
      <c r="A602" s="22" t="n">
        <v>46309</v>
      </c>
      <c r="B602" s="0" t="n">
        <v>3</v>
      </c>
      <c r="C602" s="0" t="n">
        <v>4185</v>
      </c>
      <c r="D602" s="0" t="n">
        <v>155</v>
      </c>
      <c r="E602" s="0" t="n">
        <v>3</v>
      </c>
      <c r="F602" s="23" t="s">
        <v>519</v>
      </c>
      <c r="G602" s="0" t="n">
        <v>74.1</v>
      </c>
      <c r="H602" s="0" t="n">
        <v>72</v>
      </c>
      <c r="I602" s="23" t="s">
        <v>92</v>
      </c>
      <c r="J602" s="0" t="n">
        <v>64</v>
      </c>
      <c r="K602" s="0" t="n">
        <v>64</v>
      </c>
      <c r="L602" s="0" t="n">
        <v>91</v>
      </c>
      <c r="M602" s="0" t="n">
        <v>1077.82</v>
      </c>
      <c r="N602" s="0" t="n">
        <v>41.48</v>
      </c>
      <c r="O602" s="0" t="n">
        <v>30.44</v>
      </c>
      <c r="P602" s="0" t="n">
        <v>2.61</v>
      </c>
      <c r="Q602" s="0" t="n">
        <v>2.97</v>
      </c>
      <c r="R602" s="0" t="n">
        <v>6121</v>
      </c>
      <c r="S602" s="0" t="n">
        <v>13227</v>
      </c>
      <c r="T602" s="0" t="n">
        <v>73.3</v>
      </c>
      <c r="U602" s="0" t="n">
        <v>1509</v>
      </c>
      <c r="V602" s="0" t="n">
        <v>1</v>
      </c>
      <c r="W602" s="0" t="str">
        <f aca="false">IF(OR(AND(B602&gt;=1,B602&lt;=6),B602=10),"Vaca em lactação",IF(I602="Male","Macho",IF(E602&gt;=1,"Vaca seca",IF(I602="Youngstock","Bezerra/recria","Novilha"))))</f>
        <v>Vaca em lactação</v>
      </c>
      <c r="X602" s="0" t="str">
        <f aca="false">IF(AND(B602&gt;=1,B602&lt;=6),"Tanque",IF(B602=10,"Descarte",""))</f>
        <v>Tanque</v>
      </c>
    </row>
    <row r="603" customFormat="false" ht="15" hidden="false" customHeight="false" outlineLevel="0" collapsed="false">
      <c r="A603" s="22" t="n">
        <v>46309</v>
      </c>
      <c r="B603" s="0" t="n">
        <v>3</v>
      </c>
      <c r="C603" s="0" t="n">
        <v>4536</v>
      </c>
      <c r="D603" s="0" t="n">
        <v>192</v>
      </c>
      <c r="E603" s="0" t="n">
        <v>2</v>
      </c>
      <c r="F603" s="23" t="s">
        <v>384</v>
      </c>
      <c r="G603" s="0" t="n">
        <v>56.1</v>
      </c>
      <c r="H603" s="0" t="n">
        <v>56</v>
      </c>
      <c r="I603" s="23" t="s">
        <v>92</v>
      </c>
      <c r="J603" s="0" t="n">
        <v>66</v>
      </c>
      <c r="K603" s="0" t="n">
        <v>66</v>
      </c>
      <c r="L603" s="0" t="n">
        <v>126</v>
      </c>
      <c r="M603" s="0" t="n">
        <v>561.19</v>
      </c>
      <c r="N603" s="0" t="n">
        <v>75.5</v>
      </c>
      <c r="O603" s="0" t="n">
        <v>36.4</v>
      </c>
      <c r="P603" s="0" t="n">
        <v>4.37</v>
      </c>
      <c r="Q603" s="0" t="n">
        <v>3.19</v>
      </c>
      <c r="R603" s="0" t="n">
        <v>5382</v>
      </c>
      <c r="S603" s="0" t="n">
        <v>11662</v>
      </c>
      <c r="T603" s="0" t="n">
        <v>58.65</v>
      </c>
      <c r="U603" s="0" t="n">
        <v>1336</v>
      </c>
      <c r="V603" s="0" t="n">
        <v>1</v>
      </c>
      <c r="W603" s="0" t="str">
        <f aca="false">IF(OR(AND(B603&gt;=1,B603&lt;=6),B603=10),"Vaca em lactação",IF(I603="Male","Macho",IF(E603&gt;=1,"Vaca seca",IF(I603="Youngstock","Bezerra/recria","Novilha"))))</f>
        <v>Vaca em lactação</v>
      </c>
      <c r="X603" s="0" t="str">
        <f aca="false">IF(AND(B603&gt;=1,B603&lt;=6),"Tanque",IF(B603=10,"Descarte",""))</f>
        <v>Tanque</v>
      </c>
    </row>
    <row r="604" customFormat="false" ht="15" hidden="false" customHeight="false" outlineLevel="0" collapsed="false">
      <c r="A604" s="22" t="n">
        <v>46309</v>
      </c>
      <c r="B604" s="0" t="n">
        <v>3</v>
      </c>
      <c r="C604" s="0" t="n">
        <v>4544</v>
      </c>
      <c r="D604" s="0" t="n">
        <v>254</v>
      </c>
      <c r="E604" s="0" t="n">
        <v>2</v>
      </c>
      <c r="F604" s="23" t="s">
        <v>520</v>
      </c>
      <c r="G604" s="0" t="n">
        <v>65.1</v>
      </c>
      <c r="H604" s="0" t="n">
        <v>64</v>
      </c>
      <c r="I604" s="23" t="s">
        <v>92</v>
      </c>
      <c r="J604" s="0" t="n">
        <v>65</v>
      </c>
      <c r="K604" s="0" t="n">
        <v>65</v>
      </c>
      <c r="L604" s="0" t="n">
        <v>189</v>
      </c>
      <c r="M604" s="0" t="n">
        <v>512.44</v>
      </c>
      <c r="N604" s="0" t="n">
        <v>57.59</v>
      </c>
      <c r="O604" s="0" t="n">
        <v>29.27</v>
      </c>
      <c r="P604" s="0" t="n">
        <v>3.28</v>
      </c>
      <c r="Q604" s="0" t="n">
        <v>3.48</v>
      </c>
      <c r="R604" s="0" t="n">
        <v>6849</v>
      </c>
      <c r="S604" s="0" t="n">
        <v>14682</v>
      </c>
      <c r="T604" s="0" t="n">
        <v>75.35</v>
      </c>
      <c r="U604" s="0" t="n">
        <v>1332</v>
      </c>
      <c r="V604" s="0" t="n">
        <v>1</v>
      </c>
      <c r="W604" s="0" t="str">
        <f aca="false">IF(OR(AND(B604&gt;=1,B604&lt;=6),B604=10),"Vaca em lactação",IF(I604="Male","Macho",IF(E604&gt;=1,"Vaca seca",IF(I604="Youngstock","Bezerra/recria","Novilha"))))</f>
        <v>Vaca em lactação</v>
      </c>
      <c r="X604" s="0" t="str">
        <f aca="false">IF(AND(B604&gt;=1,B604&lt;=6),"Tanque",IF(B604=10,"Descarte",""))</f>
        <v>Tanque</v>
      </c>
    </row>
    <row r="605" customFormat="false" ht="15" hidden="false" customHeight="false" outlineLevel="0" collapsed="false">
      <c r="A605" s="22" t="n">
        <v>46309</v>
      </c>
      <c r="B605" s="0" t="n">
        <v>3</v>
      </c>
      <c r="C605" s="0" t="n">
        <v>4552</v>
      </c>
      <c r="D605" s="0" t="n">
        <v>270</v>
      </c>
      <c r="E605" s="0" t="n">
        <v>2</v>
      </c>
      <c r="F605" s="23" t="s">
        <v>385</v>
      </c>
      <c r="G605" s="0" t="n">
        <v>51.2</v>
      </c>
      <c r="H605" s="0" t="n">
        <v>51</v>
      </c>
      <c r="I605" s="23" t="s">
        <v>92</v>
      </c>
      <c r="J605" s="0" t="n">
        <v>193</v>
      </c>
      <c r="K605" s="0" t="n">
        <v>74</v>
      </c>
      <c r="L605" s="0" t="n">
        <v>77</v>
      </c>
      <c r="M605" s="0" t="n">
        <v>1038.38</v>
      </c>
      <c r="N605" s="0" t="n">
        <v>28.59</v>
      </c>
      <c r="O605" s="0" t="n">
        <v>32.85</v>
      </c>
      <c r="P605" s="0" t="n">
        <v>4.32</v>
      </c>
      <c r="Q605" s="0" t="n">
        <v>3.57</v>
      </c>
      <c r="R605" s="0" t="n">
        <v>5269</v>
      </c>
      <c r="S605" s="0" t="n">
        <v>11312</v>
      </c>
      <c r="T605" s="0" t="n">
        <v>58.15</v>
      </c>
      <c r="U605" s="0" t="n">
        <v>1330</v>
      </c>
      <c r="V605" s="0" t="n">
        <v>4</v>
      </c>
      <c r="W605" s="0" t="str">
        <f aca="false">IF(OR(AND(B605&gt;=1,B605&lt;=6),B605=10),"Vaca em lactação",IF(I605="Male","Macho",IF(E605&gt;=1,"Vaca seca",IF(I605="Youngstock","Bezerra/recria","Novilha"))))</f>
        <v>Vaca em lactação</v>
      </c>
      <c r="X605" s="0" t="str">
        <f aca="false">IF(AND(B605&gt;=1,B605&lt;=6),"Tanque",IF(B605=10,"Descarte",""))</f>
        <v>Tanque</v>
      </c>
    </row>
    <row r="606" customFormat="false" ht="15" hidden="false" customHeight="false" outlineLevel="0" collapsed="false">
      <c r="A606" s="22" t="n">
        <v>46309</v>
      </c>
      <c r="B606" s="0" t="n">
        <v>3</v>
      </c>
      <c r="C606" s="0" t="n">
        <v>4550</v>
      </c>
      <c r="D606" s="0" t="n">
        <v>231</v>
      </c>
      <c r="E606" s="0" t="n">
        <v>2</v>
      </c>
      <c r="F606" s="23" t="s">
        <v>385</v>
      </c>
      <c r="G606" s="0" t="n">
        <v>57.3</v>
      </c>
      <c r="H606" s="0" t="n">
        <v>55</v>
      </c>
      <c r="I606" s="23" t="s">
        <v>92</v>
      </c>
      <c r="J606" s="0" t="n">
        <v>168</v>
      </c>
      <c r="K606" s="0" t="n">
        <v>63</v>
      </c>
      <c r="L606" s="0" t="n">
        <v>63</v>
      </c>
      <c r="M606" s="0" t="n">
        <v>718.07</v>
      </c>
      <c r="N606" s="0" t="n">
        <v>62.83</v>
      </c>
      <c r="O606" s="0" t="n">
        <v>32.94</v>
      </c>
      <c r="P606" s="0" t="n">
        <v>4.71</v>
      </c>
      <c r="Q606" s="0" t="n">
        <v>3.35</v>
      </c>
      <c r="R606" s="0" t="n">
        <v>4965</v>
      </c>
      <c r="S606" s="0" t="n">
        <v>10182</v>
      </c>
      <c r="T606" s="0" t="n">
        <v>55.5</v>
      </c>
      <c r="U606" s="0" t="n">
        <v>1330</v>
      </c>
      <c r="V606" s="0" t="n">
        <v>4</v>
      </c>
      <c r="W606" s="0" t="str">
        <f aca="false">IF(OR(AND(B606&gt;=1,B606&lt;=6),B606=10),"Vaca em lactação",IF(I606="Male","Macho",IF(E606&gt;=1,"Vaca seca",IF(I606="Youngstock","Bezerra/recria","Novilha"))))</f>
        <v>Vaca em lactação</v>
      </c>
      <c r="X606" s="0" t="str">
        <f aca="false">IF(AND(B606&gt;=1,B606&lt;=6),"Tanque",IF(B606=10,"Descarte",""))</f>
        <v>Tanque</v>
      </c>
    </row>
    <row r="607" customFormat="false" ht="15" hidden="false" customHeight="false" outlineLevel="0" collapsed="false">
      <c r="A607" s="22" t="n">
        <v>46309</v>
      </c>
      <c r="B607" s="0" t="n">
        <v>3</v>
      </c>
      <c r="C607" s="0" t="n">
        <v>4554</v>
      </c>
      <c r="D607" s="0" t="n">
        <v>50</v>
      </c>
      <c r="E607" s="0" t="n">
        <v>2</v>
      </c>
      <c r="F607" s="23" t="s">
        <v>521</v>
      </c>
      <c r="G607" s="0" t="n">
        <v>57.4</v>
      </c>
      <c r="H607" s="0" t="n">
        <v>62</v>
      </c>
      <c r="I607" s="23" t="s">
        <v>94</v>
      </c>
      <c r="J607" s="0" t="n">
        <v>50</v>
      </c>
      <c r="M607" s="0" t="n">
        <v>86.66</v>
      </c>
      <c r="N607" s="0" t="n">
        <v>68.69</v>
      </c>
      <c r="O607" s="0" t="n">
        <v>30.38</v>
      </c>
      <c r="P607" s="0" t="n">
        <v>3.9</v>
      </c>
      <c r="Q607" s="0" t="n">
        <v>3.42</v>
      </c>
      <c r="R607" s="0" t="n">
        <v>5353</v>
      </c>
      <c r="S607" s="0" t="n">
        <v>10761</v>
      </c>
      <c r="U607" s="0" t="n">
        <v>1329</v>
      </c>
      <c r="V607" s="0" t="n">
        <v>0</v>
      </c>
      <c r="W607" s="0" t="str">
        <f aca="false">IF(OR(AND(B607&gt;=1,B607&lt;=6),B607=10),"Vaca em lactação",IF(I607="Male","Macho",IF(E607&gt;=1,"Vaca seca",IF(I607="Youngstock","Bezerra/recria","Novilha"))))</f>
        <v>Vaca em lactação</v>
      </c>
      <c r="X607" s="0" t="str">
        <f aca="false">IF(AND(B607&gt;=1,B607&lt;=6),"Tanque",IF(B607=10,"Descarte",""))</f>
        <v>Tanque</v>
      </c>
    </row>
    <row r="608" customFormat="false" ht="15" hidden="false" customHeight="false" outlineLevel="0" collapsed="false">
      <c r="A608" s="22" t="n">
        <v>46309</v>
      </c>
      <c r="B608" s="0" t="n">
        <v>3</v>
      </c>
      <c r="C608" s="0" t="n">
        <v>4510</v>
      </c>
      <c r="D608" s="0" t="n">
        <v>306</v>
      </c>
      <c r="E608" s="0" t="n">
        <v>2</v>
      </c>
      <c r="F608" s="23" t="s">
        <v>522</v>
      </c>
      <c r="G608" s="0" t="n">
        <v>59.9</v>
      </c>
      <c r="H608" s="0" t="n">
        <v>55</v>
      </c>
      <c r="I608" s="23" t="s">
        <v>92</v>
      </c>
      <c r="J608" s="0" t="n">
        <v>187</v>
      </c>
      <c r="K608" s="0" t="n">
        <v>61</v>
      </c>
      <c r="L608" s="0" t="n">
        <v>119</v>
      </c>
      <c r="M608" s="0" t="n">
        <v>462.14</v>
      </c>
      <c r="N608" s="0" t="n">
        <v>25.57</v>
      </c>
      <c r="O608" s="0" t="n">
        <v>20.08</v>
      </c>
      <c r="P608" s="0" t="n">
        <v>4.26</v>
      </c>
      <c r="Q608" s="0" t="n">
        <v>3.26</v>
      </c>
      <c r="R608" s="0" t="n">
        <v>5698</v>
      </c>
      <c r="S608" s="0" t="n">
        <v>12135</v>
      </c>
      <c r="T608" s="0" t="n">
        <v>62.7</v>
      </c>
      <c r="U608" s="0" t="n">
        <v>1346</v>
      </c>
      <c r="V608" s="0" t="n">
        <v>3</v>
      </c>
      <c r="W608" s="0" t="str">
        <f aca="false">IF(OR(AND(B608&gt;=1,B608&lt;=6),B608=10),"Vaca em lactação",IF(I608="Male","Macho",IF(E608&gt;=1,"Vaca seca",IF(I608="Youngstock","Bezerra/recria","Novilha"))))</f>
        <v>Vaca em lactação</v>
      </c>
      <c r="X608" s="0" t="str">
        <f aca="false">IF(AND(B608&gt;=1,B608&lt;=6),"Tanque",IF(B608=10,"Descarte",""))</f>
        <v>Tanque</v>
      </c>
    </row>
    <row r="609" customFormat="false" ht="15" hidden="false" customHeight="false" outlineLevel="0" collapsed="false">
      <c r="A609" s="22" t="n">
        <v>46309</v>
      </c>
      <c r="B609" s="0" t="n">
        <v>3</v>
      </c>
      <c r="C609" s="0" t="n">
        <v>4519</v>
      </c>
      <c r="D609" s="0" t="n">
        <v>127</v>
      </c>
      <c r="E609" s="0" t="n">
        <v>2</v>
      </c>
      <c r="F609" s="23" t="s">
        <v>523</v>
      </c>
      <c r="G609" s="0" t="n">
        <v>54</v>
      </c>
      <c r="H609" s="0" t="n">
        <v>57</v>
      </c>
      <c r="I609" s="23" t="s">
        <v>92</v>
      </c>
      <c r="J609" s="0" t="n">
        <v>64</v>
      </c>
      <c r="K609" s="0" t="n">
        <v>64</v>
      </c>
      <c r="L609" s="0" t="n">
        <v>63</v>
      </c>
      <c r="M609" s="0" t="n">
        <v>262.8</v>
      </c>
      <c r="N609" s="0" t="n">
        <v>16.25</v>
      </c>
      <c r="O609" s="0" t="n">
        <v>15.94</v>
      </c>
      <c r="P609" s="0" t="n">
        <v>3.49</v>
      </c>
      <c r="Q609" s="0" t="n">
        <v>3.43</v>
      </c>
      <c r="R609" s="0" t="n">
        <v>5980</v>
      </c>
      <c r="S609" s="0" t="n">
        <v>12143</v>
      </c>
      <c r="T609" s="0" t="n">
        <v>62.9</v>
      </c>
      <c r="U609" s="0" t="n">
        <v>1343</v>
      </c>
      <c r="V609" s="0" t="n">
        <v>1</v>
      </c>
      <c r="W609" s="0" t="str">
        <f aca="false">IF(OR(AND(B609&gt;=1,B609&lt;=6),B609=10),"Vaca em lactação",IF(I609="Male","Macho",IF(E609&gt;=1,"Vaca seca",IF(I609="Youngstock","Bezerra/recria","Novilha"))))</f>
        <v>Vaca em lactação</v>
      </c>
      <c r="X609" s="0" t="str">
        <f aca="false">IF(AND(B609&gt;=1,B609&lt;=6),"Tanque",IF(B609=10,"Descarte",""))</f>
        <v>Tanque</v>
      </c>
    </row>
    <row r="610" customFormat="false" ht="15" hidden="false" customHeight="false" outlineLevel="0" collapsed="false">
      <c r="A610" s="22" t="n">
        <v>46309</v>
      </c>
      <c r="B610" s="0" t="n">
        <v>3</v>
      </c>
      <c r="C610" s="0" t="n">
        <v>4517</v>
      </c>
      <c r="D610" s="0" t="n">
        <v>183</v>
      </c>
      <c r="E610" s="0" t="n">
        <v>2</v>
      </c>
      <c r="F610" s="23" t="s">
        <v>523</v>
      </c>
      <c r="G610" s="0" t="n">
        <v>60.6</v>
      </c>
      <c r="H610" s="0" t="n">
        <v>61</v>
      </c>
      <c r="I610" s="23" t="s">
        <v>92</v>
      </c>
      <c r="J610" s="0" t="n">
        <v>110</v>
      </c>
      <c r="K610" s="0" t="n">
        <v>64</v>
      </c>
      <c r="L610" s="0" t="n">
        <v>73</v>
      </c>
      <c r="M610" s="0" t="n">
        <v>698.35</v>
      </c>
      <c r="N610" s="0" t="n">
        <v>38.23</v>
      </c>
      <c r="O610" s="0" t="n">
        <v>27.16</v>
      </c>
      <c r="P610" s="0" t="n">
        <v>3.55</v>
      </c>
      <c r="Q610" s="0" t="n">
        <v>3.23</v>
      </c>
      <c r="R610" s="0" t="n">
        <v>5095</v>
      </c>
      <c r="S610" s="0" t="n">
        <v>11232</v>
      </c>
      <c r="T610" s="0" t="n">
        <v>53.8</v>
      </c>
      <c r="U610" s="0" t="n">
        <v>1343</v>
      </c>
      <c r="V610" s="0" t="n">
        <v>3</v>
      </c>
      <c r="W610" s="0" t="str">
        <f aca="false">IF(OR(AND(B610&gt;=1,B610&lt;=6),B610=10),"Vaca em lactação",IF(I610="Male","Macho",IF(E610&gt;=1,"Vaca seca",IF(I610="Youngstock","Bezerra/recria","Novilha"))))</f>
        <v>Vaca em lactação</v>
      </c>
      <c r="X610" s="0" t="str">
        <f aca="false">IF(AND(B610&gt;=1,B610&lt;=6),"Tanque",IF(B610=10,"Descarte",""))</f>
        <v>Tanque</v>
      </c>
    </row>
    <row r="611" customFormat="false" ht="15" hidden="false" customHeight="false" outlineLevel="0" collapsed="false">
      <c r="A611" s="22" t="n">
        <v>46309</v>
      </c>
      <c r="B611" s="0" t="n">
        <v>3</v>
      </c>
      <c r="C611" s="0" t="n">
        <v>4597</v>
      </c>
      <c r="D611" s="0" t="n">
        <v>145</v>
      </c>
      <c r="E611" s="0" t="n">
        <v>2</v>
      </c>
      <c r="F611" s="23" t="s">
        <v>524</v>
      </c>
      <c r="G611" s="0" t="n">
        <v>50.2</v>
      </c>
      <c r="H611" s="0" t="n">
        <v>59</v>
      </c>
      <c r="I611" s="23" t="s">
        <v>109</v>
      </c>
      <c r="J611" s="0" t="n">
        <v>145</v>
      </c>
      <c r="K611" s="0" t="n">
        <v>68</v>
      </c>
      <c r="M611" s="0" t="n">
        <v>629.15</v>
      </c>
      <c r="N611" s="0" t="n">
        <v>57.18</v>
      </c>
      <c r="O611" s="0" t="n">
        <v>27.75</v>
      </c>
      <c r="P611" s="0" t="n">
        <v>3.94</v>
      </c>
      <c r="Q611" s="0" t="n">
        <v>2.95</v>
      </c>
      <c r="R611" s="0" t="n">
        <v>6473</v>
      </c>
      <c r="S611" s="0" t="n">
        <v>12921</v>
      </c>
      <c r="T611" s="0" t="n">
        <v>68.1</v>
      </c>
      <c r="U611" s="0" t="n">
        <v>1313</v>
      </c>
      <c r="V611" s="0" t="n">
        <v>2</v>
      </c>
      <c r="W611" s="0" t="str">
        <f aca="false">IF(OR(AND(B611&gt;=1,B611&lt;=6),B611=10),"Vaca em lactação",IF(I611="Male","Macho",IF(E611&gt;=1,"Vaca seca",IF(I611="Youngstock","Bezerra/recria","Novilha"))))</f>
        <v>Vaca em lactação</v>
      </c>
      <c r="X611" s="0" t="str">
        <f aca="false">IF(AND(B611&gt;=1,B611&lt;=6),"Tanque",IF(B611=10,"Descarte",""))</f>
        <v>Tanque</v>
      </c>
    </row>
    <row r="612" customFormat="false" ht="15" hidden="false" customHeight="false" outlineLevel="0" collapsed="false">
      <c r="A612" s="22" t="n">
        <v>46309</v>
      </c>
      <c r="B612" s="0" t="n">
        <v>3</v>
      </c>
      <c r="C612" s="0" t="n">
        <v>4607</v>
      </c>
      <c r="D612" s="0" t="n">
        <v>178</v>
      </c>
      <c r="E612" s="0" t="n">
        <v>2</v>
      </c>
      <c r="F612" s="23" t="s">
        <v>525</v>
      </c>
      <c r="G612" s="0" t="n">
        <v>46</v>
      </c>
      <c r="H612" s="0" t="n">
        <v>48</v>
      </c>
      <c r="I612" s="23" t="s">
        <v>92</v>
      </c>
      <c r="J612" s="0" t="n">
        <v>66</v>
      </c>
      <c r="K612" s="0" t="n">
        <v>66</v>
      </c>
      <c r="L612" s="0" t="n">
        <v>112</v>
      </c>
      <c r="M612" s="0" t="n">
        <v>844.69</v>
      </c>
      <c r="N612" s="0" t="n">
        <v>42.09</v>
      </c>
      <c r="O612" s="0" t="n">
        <v>37.41</v>
      </c>
      <c r="P612" s="0" t="n">
        <v>3.47</v>
      </c>
      <c r="Q612" s="0" t="n">
        <v>3.55</v>
      </c>
      <c r="R612" s="0" t="n">
        <v>4634</v>
      </c>
      <c r="S612" s="0" t="n">
        <v>10115</v>
      </c>
      <c r="T612" s="0" t="n">
        <v>52.4</v>
      </c>
      <c r="U612" s="0" t="n">
        <v>1310</v>
      </c>
      <c r="V612" s="0" t="n">
        <v>1</v>
      </c>
      <c r="W612" s="0" t="str">
        <f aca="false">IF(OR(AND(B612&gt;=1,B612&lt;=6),B612=10),"Vaca em lactação",IF(I612="Male","Macho",IF(E612&gt;=1,"Vaca seca",IF(I612="Youngstock","Bezerra/recria","Novilha"))))</f>
        <v>Vaca em lactação</v>
      </c>
      <c r="X612" s="0" t="str">
        <f aca="false">IF(AND(B612&gt;=1,B612&lt;=6),"Tanque",IF(B612=10,"Descarte",""))</f>
        <v>Tanque</v>
      </c>
    </row>
    <row r="613" customFormat="false" ht="15" hidden="false" customHeight="false" outlineLevel="0" collapsed="false">
      <c r="A613" s="22" t="n">
        <v>46309</v>
      </c>
      <c r="B613" s="0" t="n">
        <v>3</v>
      </c>
      <c r="C613" s="0" t="n">
        <v>4610</v>
      </c>
      <c r="D613" s="0" t="n">
        <v>10</v>
      </c>
      <c r="E613" s="0" t="n">
        <v>3</v>
      </c>
      <c r="F613" s="23" t="s">
        <v>526</v>
      </c>
      <c r="G613" s="0" t="n">
        <v>41</v>
      </c>
      <c r="H613" s="0" t="n">
        <v>34</v>
      </c>
      <c r="I613" s="23" t="s">
        <v>94</v>
      </c>
      <c r="J613" s="0" t="n">
        <v>10</v>
      </c>
      <c r="M613" s="0" t="n">
        <v>1136.34</v>
      </c>
      <c r="N613" s="0" t="n">
        <v>41.04</v>
      </c>
      <c r="O613" s="0" t="n">
        <v>33.85</v>
      </c>
      <c r="R613" s="0" t="n">
        <v>2286</v>
      </c>
      <c r="S613" s="0" t="n">
        <v>4596</v>
      </c>
      <c r="U613" s="0" t="n">
        <v>1309</v>
      </c>
      <c r="V613" s="0" t="n">
        <v>0</v>
      </c>
      <c r="W613" s="0" t="str">
        <f aca="false">IF(OR(AND(B613&gt;=1,B613&lt;=6),B613=10),"Vaca em lactação",IF(I613="Male","Macho",IF(E613&gt;=1,"Vaca seca",IF(I613="Youngstock","Bezerra/recria","Novilha"))))</f>
        <v>Vaca em lactação</v>
      </c>
      <c r="X613" s="0" t="str">
        <f aca="false">IF(AND(B613&gt;=1,B613&lt;=6),"Tanque",IF(B613=10,"Descarte",""))</f>
        <v>Tanque</v>
      </c>
    </row>
    <row r="614" customFormat="false" ht="15" hidden="false" customHeight="false" outlineLevel="0" collapsed="false">
      <c r="A614" s="22" t="n">
        <v>46309</v>
      </c>
      <c r="B614" s="0" t="n">
        <v>3</v>
      </c>
      <c r="C614" s="0" t="n">
        <v>4623</v>
      </c>
      <c r="D614" s="0" t="n">
        <v>118</v>
      </c>
      <c r="E614" s="0" t="n">
        <v>2</v>
      </c>
      <c r="F614" s="23" t="s">
        <v>527</v>
      </c>
      <c r="G614" s="0" t="n">
        <v>62.8</v>
      </c>
      <c r="H614" s="0" t="n">
        <v>63</v>
      </c>
      <c r="I614" s="23" t="s">
        <v>92</v>
      </c>
      <c r="J614" s="0" t="n">
        <v>69</v>
      </c>
      <c r="K614" s="0" t="n">
        <v>69</v>
      </c>
      <c r="L614" s="0" t="n">
        <v>49</v>
      </c>
      <c r="M614" s="0" t="n">
        <v>481.92</v>
      </c>
      <c r="N614" s="0" t="n">
        <v>14.69</v>
      </c>
      <c r="O614" s="0" t="n">
        <v>32.67</v>
      </c>
      <c r="P614" s="0" t="n">
        <v>3.18</v>
      </c>
      <c r="Q614" s="0" t="n">
        <v>3.35</v>
      </c>
      <c r="R614" s="0" t="n">
        <v>5528</v>
      </c>
      <c r="S614" s="0" t="n">
        <v>11397</v>
      </c>
      <c r="T614" s="0" t="n">
        <v>62.85</v>
      </c>
      <c r="U614" s="0" t="n">
        <v>1304</v>
      </c>
      <c r="V614" s="0" t="n">
        <v>1</v>
      </c>
      <c r="W614" s="0" t="str">
        <f aca="false">IF(OR(AND(B614&gt;=1,B614&lt;=6),B614=10),"Vaca em lactação",IF(I614="Male","Macho",IF(E614&gt;=1,"Vaca seca",IF(I614="Youngstock","Bezerra/recria","Novilha"))))</f>
        <v>Vaca em lactação</v>
      </c>
      <c r="X614" s="0" t="str">
        <f aca="false">IF(AND(B614&gt;=1,B614&lt;=6),"Tanque",IF(B614=10,"Descarte",""))</f>
        <v>Tanque</v>
      </c>
    </row>
    <row r="615" customFormat="false" ht="15" hidden="false" customHeight="false" outlineLevel="0" collapsed="false">
      <c r="A615" s="22" t="n">
        <v>46309</v>
      </c>
      <c r="B615" s="0" t="n">
        <v>3</v>
      </c>
      <c r="C615" s="0" t="n">
        <v>4622</v>
      </c>
      <c r="D615" s="0" t="n">
        <v>267</v>
      </c>
      <c r="E615" s="0" t="n">
        <v>2</v>
      </c>
      <c r="F615" s="23" t="s">
        <v>528</v>
      </c>
      <c r="G615" s="0" t="n">
        <v>50.1</v>
      </c>
      <c r="H615" s="0" t="n">
        <v>49</v>
      </c>
      <c r="I615" s="23" t="s">
        <v>92</v>
      </c>
      <c r="J615" s="0" t="n">
        <v>183</v>
      </c>
      <c r="K615" s="0" t="n">
        <v>71</v>
      </c>
      <c r="L615" s="0" t="n">
        <v>84</v>
      </c>
      <c r="M615" s="0" t="n">
        <v>354.87</v>
      </c>
      <c r="N615" s="0" t="n">
        <v>19.23</v>
      </c>
      <c r="O615" s="0" t="n">
        <v>21.12</v>
      </c>
      <c r="P615" s="0" t="n">
        <v>2.94</v>
      </c>
      <c r="Q615" s="0" t="n">
        <v>3.77</v>
      </c>
      <c r="R615" s="0" t="n">
        <v>5566</v>
      </c>
      <c r="S615" s="0" t="n">
        <v>11488</v>
      </c>
      <c r="T615" s="0" t="n">
        <v>61.95</v>
      </c>
      <c r="U615" s="0" t="n">
        <v>1305</v>
      </c>
      <c r="V615" s="0" t="n">
        <v>5</v>
      </c>
      <c r="W615" s="0" t="str">
        <f aca="false">IF(OR(AND(B615&gt;=1,B615&lt;=6),B615=10),"Vaca em lactação",IF(I615="Male","Macho",IF(E615&gt;=1,"Vaca seca",IF(I615="Youngstock","Bezerra/recria","Novilha"))))</f>
        <v>Vaca em lactação</v>
      </c>
      <c r="X615" s="0" t="str">
        <f aca="false">IF(AND(B615&gt;=1,B615&lt;=6),"Tanque",IF(B615=10,"Descarte",""))</f>
        <v>Tanque</v>
      </c>
    </row>
    <row r="616" customFormat="false" ht="15" hidden="false" customHeight="false" outlineLevel="0" collapsed="false">
      <c r="A616" s="22" t="n">
        <v>46309</v>
      </c>
      <c r="B616" s="0" t="n">
        <v>3</v>
      </c>
      <c r="C616" s="0" t="n">
        <v>4575</v>
      </c>
      <c r="D616" s="0" t="n">
        <v>210</v>
      </c>
      <c r="E616" s="0" t="n">
        <v>2</v>
      </c>
      <c r="F616" s="23" t="s">
        <v>392</v>
      </c>
      <c r="G616" s="0" t="n">
        <v>60.1</v>
      </c>
      <c r="H616" s="0" t="n">
        <v>58</v>
      </c>
      <c r="I616" s="23" t="s">
        <v>92</v>
      </c>
      <c r="J616" s="0" t="n">
        <v>63</v>
      </c>
      <c r="K616" s="0" t="n">
        <v>63</v>
      </c>
      <c r="L616" s="0" t="n">
        <v>147</v>
      </c>
      <c r="M616" s="0" t="n">
        <v>901.48</v>
      </c>
      <c r="N616" s="0" t="n">
        <v>55.55</v>
      </c>
      <c r="O616" s="0" t="n">
        <v>29.05</v>
      </c>
      <c r="P616" s="0" t="n">
        <v>4.3</v>
      </c>
      <c r="Q616" s="0" t="n">
        <v>3.45</v>
      </c>
      <c r="R616" s="0" t="n">
        <v>5674</v>
      </c>
      <c r="S616" s="0" t="n">
        <v>11974</v>
      </c>
      <c r="T616" s="0" t="n">
        <v>64.6</v>
      </c>
      <c r="U616" s="0" t="n">
        <v>1320</v>
      </c>
      <c r="V616" s="0" t="n">
        <v>1</v>
      </c>
      <c r="W616" s="0" t="str">
        <f aca="false">IF(OR(AND(B616&gt;=1,B616&lt;=6),B616=10),"Vaca em lactação",IF(I616="Male","Macho",IF(E616&gt;=1,"Vaca seca",IF(I616="Youngstock","Bezerra/recria","Novilha"))))</f>
        <v>Vaca em lactação</v>
      </c>
      <c r="X616" s="0" t="str">
        <f aca="false">IF(AND(B616&gt;=1,B616&lt;=6),"Tanque",IF(B616=10,"Descarte",""))</f>
        <v>Tanque</v>
      </c>
    </row>
    <row r="617" customFormat="false" ht="15" hidden="false" customHeight="false" outlineLevel="0" collapsed="false">
      <c r="A617" s="22" t="n">
        <v>46309</v>
      </c>
      <c r="B617" s="0" t="n">
        <v>3</v>
      </c>
      <c r="C617" s="0" t="n">
        <v>4573</v>
      </c>
      <c r="D617" s="0" t="n">
        <v>106</v>
      </c>
      <c r="E617" s="0" t="n">
        <v>2</v>
      </c>
      <c r="F617" s="23" t="s">
        <v>529</v>
      </c>
      <c r="G617" s="0" t="n">
        <v>57.8</v>
      </c>
      <c r="H617" s="0" t="n">
        <v>59</v>
      </c>
      <c r="I617" s="23" t="s">
        <v>97</v>
      </c>
      <c r="J617" s="0" t="n">
        <v>106</v>
      </c>
      <c r="K617" s="0" t="n">
        <v>64</v>
      </c>
      <c r="M617" s="0" t="n">
        <v>155.85</v>
      </c>
      <c r="N617" s="0" t="n">
        <v>53.31</v>
      </c>
      <c r="O617" s="0" t="n">
        <v>29.47</v>
      </c>
      <c r="P617" s="0" t="n">
        <v>4.52</v>
      </c>
      <c r="Q617" s="0" t="n">
        <v>3.29</v>
      </c>
      <c r="R617" s="0" t="n">
        <v>5585</v>
      </c>
      <c r="S617" s="0" t="n">
        <v>11279</v>
      </c>
      <c r="T617" s="0" t="n">
        <v>59.8</v>
      </c>
      <c r="U617" s="0" t="n">
        <v>1321</v>
      </c>
      <c r="V617" s="0" t="n">
        <v>2</v>
      </c>
      <c r="W617" s="0" t="str">
        <f aca="false">IF(OR(AND(B617&gt;=1,B617&lt;=6),B617=10),"Vaca em lactação",IF(I617="Male","Macho",IF(E617&gt;=1,"Vaca seca",IF(I617="Youngstock","Bezerra/recria","Novilha"))))</f>
        <v>Vaca em lactação</v>
      </c>
      <c r="X617" s="0" t="str">
        <f aca="false">IF(AND(B617&gt;=1,B617&lt;=6),"Tanque",IF(B617=10,"Descarte",""))</f>
        <v>Tanque</v>
      </c>
    </row>
    <row r="618" customFormat="false" ht="15" hidden="false" customHeight="false" outlineLevel="0" collapsed="false">
      <c r="A618" s="22" t="n">
        <v>46309</v>
      </c>
      <c r="B618" s="0" t="n">
        <v>3</v>
      </c>
      <c r="C618" s="0" t="n">
        <v>4572</v>
      </c>
      <c r="D618" s="0" t="n">
        <v>186</v>
      </c>
      <c r="E618" s="0" t="n">
        <v>2</v>
      </c>
      <c r="F618" s="23" t="s">
        <v>529</v>
      </c>
      <c r="G618" s="0" t="n">
        <v>54.2</v>
      </c>
      <c r="H618" s="0" t="n">
        <v>56</v>
      </c>
      <c r="I618" s="23" t="s">
        <v>92</v>
      </c>
      <c r="J618" s="0" t="n">
        <v>137</v>
      </c>
      <c r="K618" s="0" t="n">
        <v>67</v>
      </c>
      <c r="L618" s="0" t="n">
        <v>49</v>
      </c>
      <c r="M618" s="0" t="n">
        <v>428.43</v>
      </c>
      <c r="N618" s="0" t="n">
        <v>47.94</v>
      </c>
      <c r="O618" s="0" t="n">
        <v>18.43</v>
      </c>
      <c r="P618" s="0" t="n">
        <v>3.73</v>
      </c>
      <c r="Q618" s="0" t="n">
        <v>3.06</v>
      </c>
      <c r="R618" s="0" t="n">
        <v>5060</v>
      </c>
      <c r="S618" s="0" t="n">
        <v>11056</v>
      </c>
      <c r="T618" s="0" t="n">
        <v>56.3</v>
      </c>
      <c r="U618" s="0" t="n">
        <v>1321</v>
      </c>
      <c r="V618" s="0" t="n">
        <v>3</v>
      </c>
      <c r="W618" s="0" t="str">
        <f aca="false">IF(OR(AND(B618&gt;=1,B618&lt;=6),B618=10),"Vaca em lactação",IF(I618="Male","Macho",IF(E618&gt;=1,"Vaca seca",IF(I618="Youngstock","Bezerra/recria","Novilha"))))</f>
        <v>Vaca em lactação</v>
      </c>
      <c r="X618" s="0" t="str">
        <f aca="false">IF(AND(B618&gt;=1,B618&lt;=6),"Tanque",IF(B618=10,"Descarte",""))</f>
        <v>Tanque</v>
      </c>
    </row>
    <row r="619" customFormat="false" ht="15" hidden="false" customHeight="false" outlineLevel="0" collapsed="false">
      <c r="A619" s="22" t="n">
        <v>46309</v>
      </c>
      <c r="B619" s="0" t="n">
        <v>3</v>
      </c>
      <c r="C619" s="0" t="n">
        <v>4581</v>
      </c>
      <c r="D619" s="0" t="n">
        <v>228</v>
      </c>
      <c r="E619" s="0" t="n">
        <v>2</v>
      </c>
      <c r="F619" s="23" t="s">
        <v>393</v>
      </c>
      <c r="G619" s="0" t="n">
        <v>45.6</v>
      </c>
      <c r="H619" s="0" t="n">
        <v>48</v>
      </c>
      <c r="I619" s="23" t="s">
        <v>92</v>
      </c>
      <c r="J619" s="0" t="n">
        <v>67</v>
      </c>
      <c r="K619" s="0" t="n">
        <v>67</v>
      </c>
      <c r="L619" s="0" t="n">
        <v>161</v>
      </c>
      <c r="M619" s="0" t="n">
        <v>778.9</v>
      </c>
      <c r="N619" s="0" t="n">
        <v>44.31</v>
      </c>
      <c r="O619" s="0" t="n">
        <v>35.67</v>
      </c>
      <c r="P619" s="0" t="n">
        <v>2.43</v>
      </c>
      <c r="Q619" s="0" t="n">
        <v>3.57</v>
      </c>
      <c r="R619" s="0" t="n">
        <v>4183</v>
      </c>
      <c r="S619" s="0" t="n">
        <v>9430</v>
      </c>
      <c r="T619" s="0" t="n">
        <v>40.95</v>
      </c>
      <c r="U619" s="0" t="n">
        <v>1319</v>
      </c>
      <c r="V619" s="0" t="n">
        <v>1</v>
      </c>
      <c r="W619" s="0" t="str">
        <f aca="false">IF(OR(AND(B619&gt;=1,B619&lt;=6),B619=10),"Vaca em lactação",IF(I619="Male","Macho",IF(E619&gt;=1,"Vaca seca",IF(I619="Youngstock","Bezerra/recria","Novilha"))))</f>
        <v>Vaca em lactação</v>
      </c>
      <c r="X619" s="0" t="str">
        <f aca="false">IF(AND(B619&gt;=1,B619&lt;=6),"Tanque",IF(B619=10,"Descarte",""))</f>
        <v>Tanque</v>
      </c>
    </row>
    <row r="620" customFormat="false" ht="15" hidden="false" customHeight="false" outlineLevel="0" collapsed="false">
      <c r="A620" s="22" t="n">
        <v>46309</v>
      </c>
      <c r="B620" s="0" t="n">
        <v>3</v>
      </c>
      <c r="C620" s="0" t="n">
        <v>4586</v>
      </c>
      <c r="D620" s="0" t="n">
        <v>134</v>
      </c>
      <c r="E620" s="0" t="n">
        <v>2</v>
      </c>
      <c r="F620" s="23" t="s">
        <v>530</v>
      </c>
      <c r="G620" s="0" t="n">
        <v>47.7</v>
      </c>
      <c r="H620" s="0" t="n">
        <v>54</v>
      </c>
      <c r="I620" s="23" t="s">
        <v>92</v>
      </c>
      <c r="J620" s="0" t="n">
        <v>64</v>
      </c>
      <c r="K620" s="0" t="n">
        <v>64</v>
      </c>
      <c r="L620" s="0" t="n">
        <v>70</v>
      </c>
      <c r="M620" s="0" t="n">
        <v>825.76</v>
      </c>
      <c r="N620" s="0" t="n">
        <v>13.22</v>
      </c>
      <c r="O620" s="0" t="n">
        <v>34.54</v>
      </c>
      <c r="P620" s="0" t="n">
        <v>2.77</v>
      </c>
      <c r="Q620" s="0" t="n">
        <v>3.58</v>
      </c>
      <c r="R620" s="0" t="n">
        <v>5633</v>
      </c>
      <c r="S620" s="0" t="n">
        <v>11600</v>
      </c>
      <c r="T620" s="0" t="n">
        <v>60</v>
      </c>
      <c r="U620" s="0" t="n">
        <v>1318</v>
      </c>
      <c r="V620" s="0" t="n">
        <v>1</v>
      </c>
      <c r="W620" s="0" t="str">
        <f aca="false">IF(OR(AND(B620&gt;=1,B620&lt;=6),B620=10),"Vaca em lactação",IF(I620="Male","Macho",IF(E620&gt;=1,"Vaca seca",IF(I620="Youngstock","Bezerra/recria","Novilha"))))</f>
        <v>Vaca em lactação</v>
      </c>
      <c r="X620" s="0" t="str">
        <f aca="false">IF(AND(B620&gt;=1,B620&lt;=6),"Tanque",IF(B620=10,"Descarte",""))</f>
        <v>Tanque</v>
      </c>
    </row>
    <row r="621" customFormat="false" ht="15" hidden="false" customHeight="false" outlineLevel="0" collapsed="false">
      <c r="A621" s="22" t="n">
        <v>46309</v>
      </c>
      <c r="B621" s="0" t="n">
        <v>3</v>
      </c>
      <c r="C621" s="0" t="n">
        <v>4394</v>
      </c>
      <c r="D621" s="0" t="n">
        <v>297</v>
      </c>
      <c r="E621" s="0" t="n">
        <v>2</v>
      </c>
      <c r="F621" s="23" t="s">
        <v>531</v>
      </c>
      <c r="G621" s="0" t="n">
        <v>44.3</v>
      </c>
      <c r="H621" s="0" t="n">
        <v>46</v>
      </c>
      <c r="I621" s="23" t="s">
        <v>92</v>
      </c>
      <c r="J621" s="0" t="n">
        <v>101</v>
      </c>
      <c r="K621" s="0" t="n">
        <v>73</v>
      </c>
      <c r="L621" s="0" t="n">
        <v>196</v>
      </c>
      <c r="M621" s="0" t="n">
        <v>844.18</v>
      </c>
      <c r="N621" s="0" t="n">
        <v>27.79</v>
      </c>
      <c r="O621" s="0" t="n">
        <v>28.02</v>
      </c>
      <c r="P621" s="0" t="n">
        <v>3.78</v>
      </c>
      <c r="Q621" s="0" t="n">
        <v>3.78</v>
      </c>
      <c r="R621" s="0" t="n">
        <v>5647</v>
      </c>
      <c r="S621" s="0" t="n">
        <v>11511</v>
      </c>
      <c r="T621" s="0" t="n">
        <v>61.55</v>
      </c>
      <c r="U621" s="0" t="n">
        <v>1396</v>
      </c>
      <c r="V621" s="0" t="n">
        <v>2</v>
      </c>
      <c r="W621" s="0" t="str">
        <f aca="false">IF(OR(AND(B621&gt;=1,B621&lt;=6),B621=10),"Vaca em lactação",IF(I621="Male","Macho",IF(E621&gt;=1,"Vaca seca",IF(I621="Youngstock","Bezerra/recria","Novilha"))))</f>
        <v>Vaca em lactação</v>
      </c>
      <c r="X621" s="0" t="str">
        <f aca="false">IF(AND(B621&gt;=1,B621&lt;=6),"Tanque",IF(B621=10,"Descarte",""))</f>
        <v>Tanque</v>
      </c>
    </row>
    <row r="622" customFormat="false" ht="15" hidden="false" customHeight="false" outlineLevel="0" collapsed="false">
      <c r="A622" s="22" t="n">
        <v>46309</v>
      </c>
      <c r="B622" s="0" t="n">
        <v>3</v>
      </c>
      <c r="C622" s="0" t="n">
        <v>4393</v>
      </c>
      <c r="D622" s="0" t="n">
        <v>11</v>
      </c>
      <c r="E622" s="0" t="n">
        <v>3</v>
      </c>
      <c r="F622" s="23" t="s">
        <v>531</v>
      </c>
      <c r="G622" s="0" t="n">
        <v>47.7</v>
      </c>
      <c r="H622" s="0" t="n">
        <v>42</v>
      </c>
      <c r="I622" s="23" t="s">
        <v>94</v>
      </c>
      <c r="J622" s="0" t="n">
        <v>11</v>
      </c>
      <c r="M622" s="0" t="n">
        <v>516.35</v>
      </c>
      <c r="N622" s="0" t="n">
        <v>8.24</v>
      </c>
      <c r="O622" s="0" t="n">
        <v>10.99</v>
      </c>
      <c r="R622" s="0" t="n">
        <v>3125</v>
      </c>
      <c r="S622" s="0" t="n">
        <v>6282</v>
      </c>
      <c r="U622" s="0" t="n">
        <v>1396</v>
      </c>
      <c r="V622" s="0" t="n">
        <v>0</v>
      </c>
      <c r="W622" s="0" t="str">
        <f aca="false">IF(OR(AND(B622&gt;=1,B622&lt;=6),B622=10),"Vaca em lactação",IF(I622="Male","Macho",IF(E622&gt;=1,"Vaca seca",IF(I622="Youngstock","Bezerra/recria","Novilha"))))</f>
        <v>Vaca em lactação</v>
      </c>
      <c r="X622" s="0" t="str">
        <f aca="false">IF(AND(B622&gt;=1,B622&lt;=6),"Tanque",IF(B622=10,"Descarte",""))</f>
        <v>Tanque</v>
      </c>
    </row>
    <row r="623" customFormat="false" ht="15" hidden="false" customHeight="false" outlineLevel="0" collapsed="false">
      <c r="A623" s="22" t="n">
        <v>46309</v>
      </c>
      <c r="B623" s="0" t="n">
        <v>3</v>
      </c>
      <c r="C623" s="0" t="n">
        <v>4403</v>
      </c>
      <c r="D623" s="0" t="n">
        <v>310</v>
      </c>
      <c r="E623" s="0" t="n">
        <v>2</v>
      </c>
      <c r="F623" s="23" t="s">
        <v>532</v>
      </c>
      <c r="G623" s="0" t="n">
        <v>56.9</v>
      </c>
      <c r="H623" s="0" t="n">
        <v>56</v>
      </c>
      <c r="I623" s="23" t="s">
        <v>92</v>
      </c>
      <c r="J623" s="0" t="n">
        <v>142</v>
      </c>
      <c r="K623" s="0" t="n">
        <v>65</v>
      </c>
      <c r="L623" s="0" t="n">
        <v>168</v>
      </c>
      <c r="M623" s="0" t="n">
        <v>617.63</v>
      </c>
      <c r="N623" s="0" t="n">
        <v>54.72</v>
      </c>
      <c r="O623" s="0" t="n">
        <v>30.53</v>
      </c>
      <c r="P623" s="0" t="n">
        <v>3.49</v>
      </c>
      <c r="Q623" s="0" t="n">
        <v>3.5</v>
      </c>
      <c r="R623" s="0" t="n">
        <v>6902</v>
      </c>
      <c r="S623" s="0" t="n">
        <v>13655</v>
      </c>
      <c r="T623" s="0" t="n">
        <v>75.55</v>
      </c>
      <c r="U623" s="0" t="n">
        <v>1393</v>
      </c>
      <c r="V623" s="0" t="n">
        <v>2</v>
      </c>
      <c r="W623" s="0" t="str">
        <f aca="false">IF(OR(AND(B623&gt;=1,B623&lt;=6),B623=10),"Vaca em lactação",IF(I623="Male","Macho",IF(E623&gt;=1,"Vaca seca",IF(I623="Youngstock","Bezerra/recria","Novilha"))))</f>
        <v>Vaca em lactação</v>
      </c>
      <c r="X623" s="0" t="str">
        <f aca="false">IF(AND(B623&gt;=1,B623&lt;=6),"Tanque",IF(B623=10,"Descarte",""))</f>
        <v>Tanque</v>
      </c>
    </row>
    <row r="624" customFormat="false" ht="15" hidden="false" customHeight="false" outlineLevel="0" collapsed="false">
      <c r="A624" s="22" t="n">
        <v>46309</v>
      </c>
      <c r="B624" s="0" t="n">
        <v>3</v>
      </c>
      <c r="C624" s="0" t="n">
        <v>4401</v>
      </c>
      <c r="D624" s="0" t="n">
        <v>14</v>
      </c>
      <c r="E624" s="0" t="n">
        <v>3</v>
      </c>
      <c r="F624" s="23" t="s">
        <v>533</v>
      </c>
      <c r="G624" s="0" t="n">
        <v>51.4</v>
      </c>
      <c r="H624" s="0" t="n">
        <v>47</v>
      </c>
      <c r="I624" s="23" t="s">
        <v>94</v>
      </c>
      <c r="J624" s="0" t="n">
        <v>14</v>
      </c>
      <c r="M624" s="0" t="n">
        <v>386.74</v>
      </c>
      <c r="N624" s="0" t="n">
        <v>35.46</v>
      </c>
      <c r="O624" s="0" t="n">
        <v>21.59</v>
      </c>
      <c r="R624" s="0" t="n">
        <v>3655</v>
      </c>
      <c r="S624" s="0" t="n">
        <v>7348</v>
      </c>
      <c r="U624" s="0" t="n">
        <v>1394</v>
      </c>
      <c r="V624" s="0" t="n">
        <v>0</v>
      </c>
      <c r="W624" s="0" t="str">
        <f aca="false">IF(OR(AND(B624&gt;=1,B624&lt;=6),B624=10),"Vaca em lactação",IF(I624="Male","Macho",IF(E624&gt;=1,"Vaca seca",IF(I624="Youngstock","Bezerra/recria","Novilha"))))</f>
        <v>Vaca em lactação</v>
      </c>
      <c r="X624" s="0" t="str">
        <f aca="false">IF(AND(B624&gt;=1,B624&lt;=6),"Tanque",IF(B624=10,"Descarte",""))</f>
        <v>Tanque</v>
      </c>
    </row>
    <row r="625" customFormat="false" ht="15" hidden="false" customHeight="false" outlineLevel="0" collapsed="false">
      <c r="A625" s="22" t="n">
        <v>46309</v>
      </c>
      <c r="B625" s="0" t="n">
        <v>3</v>
      </c>
      <c r="C625" s="0" t="n">
        <v>4415</v>
      </c>
      <c r="D625" s="0" t="n">
        <v>62</v>
      </c>
      <c r="E625" s="0" t="n">
        <v>2</v>
      </c>
      <c r="F625" s="23" t="s">
        <v>534</v>
      </c>
      <c r="G625" s="0" t="n">
        <v>68.4</v>
      </c>
      <c r="H625" s="0" t="n">
        <v>69</v>
      </c>
      <c r="I625" s="23" t="s">
        <v>97</v>
      </c>
      <c r="J625" s="0" t="n">
        <v>62</v>
      </c>
      <c r="K625" s="0" t="n">
        <v>62</v>
      </c>
      <c r="M625" s="0" t="n">
        <v>907.13</v>
      </c>
      <c r="N625" s="0" t="n">
        <v>57.8</v>
      </c>
      <c r="O625" s="0" t="n">
        <v>37.26</v>
      </c>
      <c r="P625" s="0" t="n">
        <v>2.88</v>
      </c>
      <c r="Q625" s="0" t="n">
        <v>3.09</v>
      </c>
      <c r="R625" s="0" t="n">
        <v>5928</v>
      </c>
      <c r="S625" s="0" t="n">
        <v>11917</v>
      </c>
      <c r="U625" s="0" t="n">
        <v>1386</v>
      </c>
      <c r="V625" s="0" t="n">
        <v>1</v>
      </c>
      <c r="W625" s="0" t="str">
        <f aca="false">IF(OR(AND(B625&gt;=1,B625&lt;=6),B625=10),"Vaca em lactação",IF(I625="Male","Macho",IF(E625&gt;=1,"Vaca seca",IF(I625="Youngstock","Bezerra/recria","Novilha"))))</f>
        <v>Vaca em lactação</v>
      </c>
      <c r="X625" s="0" t="str">
        <f aca="false">IF(AND(B625&gt;=1,B625&lt;=6),"Tanque",IF(B625=10,"Descarte",""))</f>
        <v>Tanque</v>
      </c>
    </row>
    <row r="626" customFormat="false" ht="15" hidden="false" customHeight="false" outlineLevel="0" collapsed="false">
      <c r="A626" s="22" t="n">
        <v>46309</v>
      </c>
      <c r="B626" s="0" t="n">
        <v>3</v>
      </c>
      <c r="C626" s="0" t="n">
        <v>4422</v>
      </c>
      <c r="D626" s="0" t="n">
        <v>17</v>
      </c>
      <c r="E626" s="0" t="n">
        <v>3</v>
      </c>
      <c r="F626" s="23" t="s">
        <v>535</v>
      </c>
      <c r="G626" s="0" t="n">
        <v>58.6</v>
      </c>
      <c r="H626" s="0" t="n">
        <v>55</v>
      </c>
      <c r="I626" s="23" t="s">
        <v>94</v>
      </c>
      <c r="J626" s="0" t="n">
        <v>17</v>
      </c>
      <c r="M626" s="0" t="n">
        <v>236.97</v>
      </c>
      <c r="N626" s="0" t="n">
        <v>15.39</v>
      </c>
      <c r="O626" s="0" t="n">
        <v>21.9</v>
      </c>
      <c r="R626" s="0" t="n">
        <v>4103</v>
      </c>
      <c r="S626" s="0" t="n">
        <v>8248</v>
      </c>
      <c r="U626" s="0" t="n">
        <v>1381</v>
      </c>
      <c r="V626" s="0" t="n">
        <v>0</v>
      </c>
      <c r="W626" s="0" t="str">
        <f aca="false">IF(OR(AND(B626&gt;=1,B626&lt;=6),B626=10),"Vaca em lactação",IF(I626="Male","Macho",IF(E626&gt;=1,"Vaca seca",IF(I626="Youngstock","Bezerra/recria","Novilha"))))</f>
        <v>Vaca em lactação</v>
      </c>
      <c r="X626" s="0" t="str">
        <f aca="false">IF(AND(B626&gt;=1,B626&lt;=6),"Tanque",IF(B626=10,"Descarte",""))</f>
        <v>Tanque</v>
      </c>
    </row>
    <row r="627" customFormat="false" ht="15" hidden="false" customHeight="false" outlineLevel="0" collapsed="false">
      <c r="A627" s="22" t="n">
        <v>46309</v>
      </c>
      <c r="B627" s="0" t="n">
        <v>3</v>
      </c>
      <c r="C627" s="0" t="n">
        <v>4367</v>
      </c>
      <c r="D627" s="0" t="n">
        <v>84</v>
      </c>
      <c r="E627" s="0" t="n">
        <v>3</v>
      </c>
      <c r="F627" s="23" t="s">
        <v>536</v>
      </c>
      <c r="G627" s="0" t="n">
        <v>63.3</v>
      </c>
      <c r="H627" s="0" t="n">
        <v>64</v>
      </c>
      <c r="I627" s="23" t="s">
        <v>97</v>
      </c>
      <c r="J627" s="0" t="n">
        <v>84</v>
      </c>
      <c r="K627" s="0" t="n">
        <v>63</v>
      </c>
      <c r="M627" s="0" t="n">
        <v>467.73</v>
      </c>
      <c r="N627" s="0" t="n">
        <v>51.99</v>
      </c>
      <c r="O627" s="0" t="n">
        <v>15.54</v>
      </c>
      <c r="P627" s="0" t="n">
        <v>3.12</v>
      </c>
      <c r="Q627" s="0" t="n">
        <v>2.73</v>
      </c>
      <c r="R627" s="0" t="n">
        <v>5515</v>
      </c>
      <c r="S627" s="0" t="n">
        <v>11086</v>
      </c>
      <c r="U627" s="0" t="n">
        <v>1413</v>
      </c>
      <c r="V627" s="0" t="n">
        <v>1</v>
      </c>
      <c r="W627" s="0" t="str">
        <f aca="false">IF(OR(AND(B627&gt;=1,B627&lt;=6),B627=10),"Vaca em lactação",IF(I627="Male","Macho",IF(E627&gt;=1,"Vaca seca",IF(I627="Youngstock","Bezerra/recria","Novilha"))))</f>
        <v>Vaca em lactação</v>
      </c>
      <c r="X627" s="0" t="str">
        <f aca="false">IF(AND(B627&gt;=1,B627&lt;=6),"Tanque",IF(B627=10,"Descarte",""))</f>
        <v>Tanque</v>
      </c>
    </row>
    <row r="628" customFormat="false" ht="15" hidden="false" customHeight="false" outlineLevel="0" collapsed="false">
      <c r="A628" s="22" t="n">
        <v>46309</v>
      </c>
      <c r="B628" s="0" t="n">
        <v>3</v>
      </c>
      <c r="C628" s="0" t="n">
        <v>4360</v>
      </c>
      <c r="D628" s="0" t="n">
        <v>97</v>
      </c>
      <c r="E628" s="0" t="n">
        <v>3</v>
      </c>
      <c r="F628" s="23" t="s">
        <v>364</v>
      </c>
      <c r="G628" s="0" t="n">
        <v>54.4</v>
      </c>
      <c r="H628" s="0" t="n">
        <v>55</v>
      </c>
      <c r="I628" s="23" t="s">
        <v>97</v>
      </c>
      <c r="J628" s="0" t="n">
        <v>97</v>
      </c>
      <c r="K628" s="0" t="n">
        <v>76</v>
      </c>
      <c r="M628" s="0" t="n">
        <v>916.18</v>
      </c>
      <c r="N628" s="0" t="n">
        <v>59.28</v>
      </c>
      <c r="O628" s="0" t="n">
        <v>30.14</v>
      </c>
      <c r="P628" s="0" t="n">
        <v>9.09</v>
      </c>
      <c r="Q628" s="0" t="n">
        <v>4.34</v>
      </c>
      <c r="R628" s="0" t="n">
        <v>5800</v>
      </c>
      <c r="S628" s="0" t="n">
        <v>11659</v>
      </c>
      <c r="T628" s="0" t="n">
        <v>56.45</v>
      </c>
      <c r="U628" s="0" t="n">
        <v>1417</v>
      </c>
      <c r="V628" s="0" t="n">
        <v>1</v>
      </c>
      <c r="W628" s="0" t="str">
        <f aca="false">IF(OR(AND(B628&gt;=1,B628&lt;=6),B628=10),"Vaca em lactação",IF(I628="Male","Macho",IF(E628&gt;=1,"Vaca seca",IF(I628="Youngstock","Bezerra/recria","Novilha"))))</f>
        <v>Vaca em lactação</v>
      </c>
      <c r="X628" s="0" t="str">
        <f aca="false">IF(AND(B628&gt;=1,B628&lt;=6),"Tanque",IF(B628=10,"Descarte",""))</f>
        <v>Tanque</v>
      </c>
    </row>
    <row r="629" customFormat="false" ht="15" hidden="false" customHeight="false" outlineLevel="0" collapsed="false">
      <c r="A629" s="22" t="n">
        <v>46309</v>
      </c>
      <c r="B629" s="0" t="n">
        <v>3</v>
      </c>
      <c r="C629" s="0" t="n">
        <v>4370</v>
      </c>
      <c r="D629" s="0" t="n">
        <v>287</v>
      </c>
      <c r="E629" s="0" t="n">
        <v>2</v>
      </c>
      <c r="F629" s="23" t="s">
        <v>537</v>
      </c>
      <c r="G629" s="0" t="n">
        <v>57.2</v>
      </c>
      <c r="H629" s="0" t="n">
        <v>58</v>
      </c>
      <c r="I629" s="23" t="s">
        <v>92</v>
      </c>
      <c r="J629" s="0" t="n">
        <v>245</v>
      </c>
      <c r="K629" s="0" t="n">
        <v>63</v>
      </c>
      <c r="L629" s="0" t="n">
        <v>42</v>
      </c>
      <c r="M629" s="0" t="n">
        <v>1130.56</v>
      </c>
      <c r="N629" s="0" t="n">
        <v>36.86</v>
      </c>
      <c r="O629" s="0" t="n">
        <v>40.23</v>
      </c>
      <c r="P629" s="0" t="n">
        <v>3.33</v>
      </c>
      <c r="Q629" s="0" t="n">
        <v>3.6</v>
      </c>
      <c r="R629" s="0" t="n">
        <v>7127</v>
      </c>
      <c r="S629" s="0" t="n">
        <v>12861</v>
      </c>
      <c r="T629" s="0" t="n">
        <v>71.25</v>
      </c>
      <c r="U629" s="0" t="n">
        <v>1412</v>
      </c>
      <c r="V629" s="0" t="n">
        <v>7</v>
      </c>
      <c r="W629" s="0" t="str">
        <f aca="false">IF(OR(AND(B629&gt;=1,B629&lt;=6),B629=10),"Vaca em lactação",IF(I629="Male","Macho",IF(E629&gt;=1,"Vaca seca",IF(I629="Youngstock","Bezerra/recria","Novilha"))))</f>
        <v>Vaca em lactação</v>
      </c>
      <c r="X629" s="0" t="str">
        <f aca="false">IF(AND(B629&gt;=1,B629&lt;=6),"Tanque",IF(B629=10,"Descarte",""))</f>
        <v>Tanque</v>
      </c>
    </row>
    <row r="630" customFormat="false" ht="15" hidden="false" customHeight="false" outlineLevel="0" collapsed="false">
      <c r="A630" s="22" t="n">
        <v>46309</v>
      </c>
      <c r="B630" s="0" t="n">
        <v>3</v>
      </c>
      <c r="C630" s="0" t="n">
        <v>4378</v>
      </c>
      <c r="D630" s="0" t="n">
        <v>5</v>
      </c>
      <c r="E630" s="0" t="n">
        <v>3</v>
      </c>
      <c r="F630" s="23" t="s">
        <v>538</v>
      </c>
      <c r="G630" s="0" t="n">
        <v>35.3</v>
      </c>
      <c r="H630" s="0" t="n">
        <v>22</v>
      </c>
      <c r="I630" s="23" t="s">
        <v>94</v>
      </c>
      <c r="J630" s="0" t="n">
        <v>5</v>
      </c>
      <c r="M630" s="0" t="n">
        <v>606.89</v>
      </c>
      <c r="N630" s="0" t="n">
        <v>46.44</v>
      </c>
      <c r="O630" s="0" t="n">
        <v>30.14</v>
      </c>
      <c r="R630" s="0" t="n">
        <v>2041</v>
      </c>
      <c r="S630" s="0" t="n">
        <v>4104</v>
      </c>
      <c r="U630" s="0" t="n">
        <v>1404</v>
      </c>
      <c r="V630" s="0" t="n">
        <v>0</v>
      </c>
      <c r="W630" s="0" t="str">
        <f aca="false">IF(OR(AND(B630&gt;=1,B630&lt;=6),B630=10),"Vaca em lactação",IF(I630="Male","Macho",IF(E630&gt;=1,"Vaca seca",IF(I630="Youngstock","Bezerra/recria","Novilha"))))</f>
        <v>Vaca em lactação</v>
      </c>
      <c r="X630" s="0" t="str">
        <f aca="false">IF(AND(B630&gt;=1,B630&lt;=6),"Tanque",IF(B630=10,"Descarte",""))</f>
        <v>Tanque</v>
      </c>
    </row>
    <row r="631" customFormat="false" ht="15" hidden="false" customHeight="false" outlineLevel="0" collapsed="false">
      <c r="A631" s="22" t="n">
        <v>46309</v>
      </c>
      <c r="B631" s="0" t="n">
        <v>3</v>
      </c>
      <c r="C631" s="0" t="n">
        <v>4390</v>
      </c>
      <c r="D631" s="0" t="n">
        <v>57</v>
      </c>
      <c r="E631" s="0" t="n">
        <v>3</v>
      </c>
      <c r="F631" s="23" t="s">
        <v>398</v>
      </c>
      <c r="G631" s="0" t="n">
        <v>56.2</v>
      </c>
      <c r="H631" s="0" t="n">
        <v>58</v>
      </c>
      <c r="I631" s="23" t="s">
        <v>94</v>
      </c>
      <c r="J631" s="0" t="n">
        <v>57</v>
      </c>
      <c r="M631" s="0" t="n">
        <v>650.13</v>
      </c>
      <c r="N631" s="0" t="n">
        <v>42.73</v>
      </c>
      <c r="O631" s="0" t="n">
        <v>43.9</v>
      </c>
      <c r="P631" s="0" t="n">
        <v>3.13</v>
      </c>
      <c r="Q631" s="0" t="n">
        <v>3.48</v>
      </c>
      <c r="R631" s="0" t="n">
        <v>5499</v>
      </c>
      <c r="S631" s="0" t="n">
        <v>11055</v>
      </c>
      <c r="U631" s="0" t="n">
        <v>1399</v>
      </c>
      <c r="V631" s="0" t="n">
        <v>0</v>
      </c>
      <c r="W631" s="0" t="str">
        <f aca="false">IF(OR(AND(B631&gt;=1,B631&lt;=6),B631=10),"Vaca em lactação",IF(I631="Male","Macho",IF(E631&gt;=1,"Vaca seca",IF(I631="Youngstock","Bezerra/recria","Novilha"))))</f>
        <v>Vaca em lactação</v>
      </c>
      <c r="X631" s="0" t="str">
        <f aca="false">IF(AND(B631&gt;=1,B631&lt;=6),"Tanque",IF(B631=10,"Descarte",""))</f>
        <v>Tanque</v>
      </c>
    </row>
    <row r="632" customFormat="false" ht="15" hidden="false" customHeight="false" outlineLevel="0" collapsed="false">
      <c r="A632" s="22" t="n">
        <v>46309</v>
      </c>
      <c r="B632" s="0" t="n">
        <v>3</v>
      </c>
      <c r="C632" s="0" t="n">
        <v>4389</v>
      </c>
      <c r="D632" s="0" t="n">
        <v>354</v>
      </c>
      <c r="E632" s="0" t="n">
        <v>2</v>
      </c>
      <c r="F632" s="23" t="s">
        <v>539</v>
      </c>
      <c r="G632" s="0" t="n">
        <v>40.4</v>
      </c>
      <c r="H632" s="0" t="n">
        <v>45</v>
      </c>
      <c r="I632" s="23" t="s">
        <v>92</v>
      </c>
      <c r="J632" s="0" t="n">
        <v>158</v>
      </c>
      <c r="K632" s="0" t="n">
        <v>68</v>
      </c>
      <c r="L632" s="0" t="n">
        <v>196</v>
      </c>
      <c r="M632" s="0" t="n">
        <v>726.35</v>
      </c>
      <c r="N632" s="0" t="n">
        <v>38.99</v>
      </c>
      <c r="O632" s="0" t="n">
        <v>34.48</v>
      </c>
      <c r="P632" s="0" t="n">
        <v>4.1</v>
      </c>
      <c r="Q632" s="0" t="n">
        <v>3.73</v>
      </c>
      <c r="R632" s="0" t="n">
        <v>6403</v>
      </c>
      <c r="S632" s="0" t="n">
        <v>13387</v>
      </c>
      <c r="T632" s="0" t="n">
        <v>68.35</v>
      </c>
      <c r="U632" s="0" t="n">
        <v>1400</v>
      </c>
      <c r="V632" s="0" t="n">
        <v>4</v>
      </c>
      <c r="W632" s="0" t="str">
        <f aca="false">IF(OR(AND(B632&gt;=1,B632&lt;=6),B632=10),"Vaca em lactação",IF(I632="Male","Macho",IF(E632&gt;=1,"Vaca seca",IF(I632="Youngstock","Bezerra/recria","Novilha"))))</f>
        <v>Vaca em lactação</v>
      </c>
      <c r="X632" s="0" t="str">
        <f aca="false">IF(AND(B632&gt;=1,B632&lt;=6),"Tanque",IF(B632=10,"Descarte",""))</f>
        <v>Tanque</v>
      </c>
    </row>
    <row r="633" customFormat="false" ht="15" hidden="false" customHeight="false" outlineLevel="0" collapsed="false">
      <c r="A633" s="22" t="n">
        <v>46309</v>
      </c>
      <c r="B633" s="0" t="n">
        <v>3</v>
      </c>
      <c r="C633" s="0" t="n">
        <v>4385</v>
      </c>
      <c r="D633" s="0" t="n">
        <v>90</v>
      </c>
      <c r="E633" s="0" t="n">
        <v>3</v>
      </c>
      <c r="F633" s="23" t="s">
        <v>399</v>
      </c>
      <c r="G633" s="0" t="n">
        <v>61.6</v>
      </c>
      <c r="H633" s="0" t="n">
        <v>58</v>
      </c>
      <c r="I633" s="23" t="s">
        <v>97</v>
      </c>
      <c r="J633" s="0" t="n">
        <v>90</v>
      </c>
      <c r="K633" s="0" t="n">
        <v>83</v>
      </c>
      <c r="M633" s="0" t="n">
        <v>1064.71</v>
      </c>
      <c r="N633" s="0" t="n">
        <v>47.58</v>
      </c>
      <c r="O633" s="0" t="n">
        <v>42.95</v>
      </c>
      <c r="P633" s="0" t="n">
        <v>3.51</v>
      </c>
      <c r="Q633" s="0" t="n">
        <v>3.2</v>
      </c>
      <c r="R633" s="0" t="n">
        <v>4983</v>
      </c>
      <c r="S633" s="0" t="n">
        <v>10017</v>
      </c>
      <c r="U633" s="0" t="n">
        <v>1401</v>
      </c>
      <c r="V633" s="0" t="n">
        <v>1</v>
      </c>
      <c r="W633" s="0" t="str">
        <f aca="false">IF(OR(AND(B633&gt;=1,B633&lt;=6),B633=10),"Vaca em lactação",IF(I633="Male","Macho",IF(E633&gt;=1,"Vaca seca",IF(I633="Youngstock","Bezerra/recria","Novilha"))))</f>
        <v>Vaca em lactação</v>
      </c>
      <c r="X633" s="0" t="str">
        <f aca="false">IF(AND(B633&gt;=1,B633&lt;=6),"Tanque",IF(B633=10,"Descarte",""))</f>
        <v>Tanque</v>
      </c>
    </row>
    <row r="634" customFormat="false" ht="15" hidden="false" customHeight="false" outlineLevel="0" collapsed="false">
      <c r="A634" s="22" t="n">
        <v>46309</v>
      </c>
      <c r="B634" s="0" t="n">
        <v>3</v>
      </c>
      <c r="C634" s="0" t="n">
        <v>4465</v>
      </c>
      <c r="D634" s="0" t="n">
        <v>6</v>
      </c>
      <c r="E634" s="0" t="n">
        <v>3</v>
      </c>
      <c r="F634" s="23" t="s">
        <v>540</v>
      </c>
      <c r="G634" s="0" t="n">
        <v>32.8</v>
      </c>
      <c r="H634" s="0" t="n">
        <v>23</v>
      </c>
      <c r="I634" s="23" t="s">
        <v>94</v>
      </c>
      <c r="J634" s="0" t="n">
        <v>6</v>
      </c>
      <c r="M634" s="0" t="n">
        <v>884.58</v>
      </c>
      <c r="N634" s="0" t="n">
        <v>87.75</v>
      </c>
      <c r="O634" s="0" t="n">
        <v>40.03</v>
      </c>
      <c r="R634" s="0" t="n">
        <v>2249</v>
      </c>
      <c r="S634" s="0" t="n">
        <v>4522</v>
      </c>
      <c r="U634" s="0" t="n">
        <v>1366</v>
      </c>
      <c r="V634" s="0" t="n">
        <v>0</v>
      </c>
      <c r="W634" s="0" t="str">
        <f aca="false">IF(OR(AND(B634&gt;=1,B634&lt;=6),B634=10),"Vaca em lactação",IF(I634="Male","Macho",IF(E634&gt;=1,"Vaca seca",IF(I634="Youngstock","Bezerra/recria","Novilha"))))</f>
        <v>Vaca em lactação</v>
      </c>
      <c r="X634" s="0" t="str">
        <f aca="false">IF(AND(B634&gt;=1,B634&lt;=6),"Tanque",IF(B634=10,"Descarte",""))</f>
        <v>Tanque</v>
      </c>
    </row>
    <row r="635" customFormat="false" ht="15" hidden="false" customHeight="false" outlineLevel="0" collapsed="false">
      <c r="A635" s="22" t="n">
        <v>46309</v>
      </c>
      <c r="B635" s="0" t="n">
        <v>3</v>
      </c>
      <c r="C635" s="0" t="n">
        <v>4464</v>
      </c>
      <c r="D635" s="0" t="n">
        <v>39</v>
      </c>
      <c r="E635" s="0" t="n">
        <v>3</v>
      </c>
      <c r="F635" s="23" t="s">
        <v>540</v>
      </c>
      <c r="G635" s="0" t="n">
        <v>39</v>
      </c>
      <c r="H635" s="0" t="n">
        <v>47</v>
      </c>
      <c r="I635" s="23" t="s">
        <v>94</v>
      </c>
      <c r="J635" s="0" t="n">
        <v>39</v>
      </c>
      <c r="M635" s="0" t="n">
        <v>1393.82</v>
      </c>
      <c r="N635" s="0" t="n">
        <v>41.16</v>
      </c>
      <c r="O635" s="0" t="n">
        <v>34.53</v>
      </c>
      <c r="P635" s="0" t="n">
        <v>4.52</v>
      </c>
      <c r="Q635" s="0" t="n">
        <v>3.38</v>
      </c>
      <c r="R635" s="0" t="n">
        <v>3638</v>
      </c>
      <c r="S635" s="0" t="n">
        <v>7313</v>
      </c>
      <c r="U635" s="0" t="n">
        <v>1366</v>
      </c>
      <c r="V635" s="0" t="n">
        <v>0</v>
      </c>
      <c r="W635" s="0" t="str">
        <f aca="false">IF(OR(AND(B635&gt;=1,B635&lt;=6),B635=10),"Vaca em lactação",IF(I635="Male","Macho",IF(E635&gt;=1,"Vaca seca",IF(I635="Youngstock","Bezerra/recria","Novilha"))))</f>
        <v>Vaca em lactação</v>
      </c>
      <c r="X635" s="0" t="str">
        <f aca="false">IF(AND(B635&gt;=1,B635&lt;=6),"Tanque",IF(B635=10,"Descarte",""))</f>
        <v>Tanque</v>
      </c>
    </row>
    <row r="636" customFormat="false" ht="15" hidden="false" customHeight="false" outlineLevel="0" collapsed="false">
      <c r="A636" s="22" t="n">
        <v>46309</v>
      </c>
      <c r="B636" s="0" t="n">
        <v>3</v>
      </c>
      <c r="C636" s="0" t="n">
        <v>4467</v>
      </c>
      <c r="D636" s="0" t="n">
        <v>272</v>
      </c>
      <c r="E636" s="0" t="n">
        <v>2</v>
      </c>
      <c r="F636" s="23" t="s">
        <v>540</v>
      </c>
      <c r="G636" s="0" t="n">
        <v>57.2</v>
      </c>
      <c r="H636" s="0" t="n">
        <v>53</v>
      </c>
      <c r="I636" s="23" t="s">
        <v>92</v>
      </c>
      <c r="J636" s="0" t="n">
        <v>153</v>
      </c>
      <c r="K636" s="0" t="n">
        <v>76</v>
      </c>
      <c r="L636" s="0" t="n">
        <v>119</v>
      </c>
      <c r="M636" s="0" t="n">
        <v>470.98</v>
      </c>
      <c r="N636" s="0" t="n">
        <v>12.13</v>
      </c>
      <c r="O636" s="0" t="n">
        <v>18.62</v>
      </c>
      <c r="P636" s="0" t="n">
        <v>3.09</v>
      </c>
      <c r="Q636" s="0" t="n">
        <v>3.43</v>
      </c>
      <c r="R636" s="0" t="n">
        <v>6555</v>
      </c>
      <c r="S636" s="0" t="n">
        <v>12883</v>
      </c>
      <c r="T636" s="0" t="n">
        <v>73.5</v>
      </c>
      <c r="U636" s="0" t="n">
        <v>1366</v>
      </c>
      <c r="V636" s="0" t="n">
        <v>4</v>
      </c>
      <c r="W636" s="0" t="str">
        <f aca="false">IF(OR(AND(B636&gt;=1,B636&lt;=6),B636=10),"Vaca em lactação",IF(I636="Male","Macho",IF(E636&gt;=1,"Vaca seca",IF(I636="Youngstock","Bezerra/recria","Novilha"))))</f>
        <v>Vaca em lactação</v>
      </c>
      <c r="X636" s="0" t="str">
        <f aca="false">IF(AND(B636&gt;=1,B636&lt;=6),"Tanque",IF(B636=10,"Descarte",""))</f>
        <v>Tanque</v>
      </c>
    </row>
    <row r="637" customFormat="false" ht="15" hidden="false" customHeight="false" outlineLevel="0" collapsed="false">
      <c r="A637" s="22" t="n">
        <v>46309</v>
      </c>
      <c r="B637" s="0" t="n">
        <v>3</v>
      </c>
      <c r="C637" s="0" t="n">
        <v>4431</v>
      </c>
      <c r="D637" s="0" t="n">
        <v>127</v>
      </c>
      <c r="E637" s="0" t="n">
        <v>3</v>
      </c>
      <c r="F637" s="23" t="s">
        <v>541</v>
      </c>
      <c r="G637" s="0" t="n">
        <v>63.8</v>
      </c>
      <c r="H637" s="0" t="n">
        <v>61</v>
      </c>
      <c r="I637" s="23" t="s">
        <v>92</v>
      </c>
      <c r="J637" s="0" t="n">
        <v>64</v>
      </c>
      <c r="K637" s="0" t="n">
        <v>64</v>
      </c>
      <c r="L637" s="0" t="n">
        <v>63</v>
      </c>
      <c r="M637" s="0" t="n">
        <v>863.27</v>
      </c>
      <c r="N637" s="0" t="n">
        <v>40.65</v>
      </c>
      <c r="O637" s="0" t="n">
        <v>32.97</v>
      </c>
      <c r="P637" s="0" t="n">
        <v>3</v>
      </c>
      <c r="Q637" s="0" t="n">
        <v>3.51</v>
      </c>
      <c r="R637" s="0" t="n">
        <v>6155</v>
      </c>
      <c r="S637" s="0" t="n">
        <v>12154</v>
      </c>
      <c r="T637" s="0" t="n">
        <v>68.85</v>
      </c>
      <c r="U637" s="0" t="n">
        <v>1377</v>
      </c>
      <c r="V637" s="0" t="n">
        <v>1</v>
      </c>
      <c r="W637" s="0" t="str">
        <f aca="false">IF(OR(AND(B637&gt;=1,B637&lt;=6),B637=10),"Vaca em lactação",IF(I637="Male","Macho",IF(E637&gt;=1,"Vaca seca",IF(I637="Youngstock","Bezerra/recria","Novilha"))))</f>
        <v>Vaca em lactação</v>
      </c>
      <c r="X637" s="0" t="str">
        <f aca="false">IF(AND(B637&gt;=1,B637&lt;=6),"Tanque",IF(B637=10,"Descarte",""))</f>
        <v>Tanque</v>
      </c>
    </row>
    <row r="638" customFormat="false" ht="15" hidden="false" customHeight="false" outlineLevel="0" collapsed="false">
      <c r="A638" s="22" t="n">
        <v>46309</v>
      </c>
      <c r="B638" s="0" t="n">
        <v>3</v>
      </c>
      <c r="C638" s="0" t="n">
        <v>4426</v>
      </c>
      <c r="D638" s="0" t="n">
        <v>79</v>
      </c>
      <c r="E638" s="0" t="n">
        <v>3</v>
      </c>
      <c r="F638" s="23" t="s">
        <v>542</v>
      </c>
      <c r="G638" s="0" t="n">
        <v>62.3</v>
      </c>
      <c r="H638" s="0" t="n">
        <v>59</v>
      </c>
      <c r="I638" s="23" t="s">
        <v>97</v>
      </c>
      <c r="J638" s="0" t="n">
        <v>79</v>
      </c>
      <c r="K638" s="0" t="n">
        <v>65</v>
      </c>
      <c r="M638" s="0" t="n">
        <v>634.64</v>
      </c>
      <c r="N638" s="0" t="n">
        <v>48.94</v>
      </c>
      <c r="O638" s="0" t="n">
        <v>29.34</v>
      </c>
      <c r="P638" s="0" t="n">
        <v>3.49</v>
      </c>
      <c r="Q638" s="0" t="n">
        <v>3.23</v>
      </c>
      <c r="R638" s="0" t="n">
        <v>5209</v>
      </c>
      <c r="S638" s="0" t="n">
        <v>10471</v>
      </c>
      <c r="U638" s="0" t="n">
        <v>1380</v>
      </c>
      <c r="V638" s="0" t="n">
        <v>1</v>
      </c>
      <c r="W638" s="0" t="str">
        <f aca="false">IF(OR(AND(B638&gt;=1,B638&lt;=6),B638=10),"Vaca em lactação",IF(I638="Male","Macho",IF(E638&gt;=1,"Vaca seca",IF(I638="Youngstock","Bezerra/recria","Novilha"))))</f>
        <v>Vaca em lactação</v>
      </c>
      <c r="X638" s="0" t="str">
        <f aca="false">IF(AND(B638&gt;=1,B638&lt;=6),"Tanque",IF(B638=10,"Descarte",""))</f>
        <v>Tanque</v>
      </c>
    </row>
    <row r="639" customFormat="false" ht="15" hidden="false" customHeight="false" outlineLevel="0" collapsed="false">
      <c r="A639" s="22" t="n">
        <v>46309</v>
      </c>
      <c r="B639" s="0" t="n">
        <v>3</v>
      </c>
      <c r="C639" s="0" t="n">
        <v>4447</v>
      </c>
      <c r="D639" s="0" t="n">
        <v>281</v>
      </c>
      <c r="E639" s="0" t="n">
        <v>2</v>
      </c>
      <c r="F639" s="23" t="s">
        <v>405</v>
      </c>
      <c r="G639" s="0" t="n">
        <v>54.9</v>
      </c>
      <c r="H639" s="0" t="n">
        <v>54</v>
      </c>
      <c r="I639" s="23" t="s">
        <v>92</v>
      </c>
      <c r="J639" s="0" t="n">
        <v>99</v>
      </c>
      <c r="K639" s="0" t="n">
        <v>71</v>
      </c>
      <c r="L639" s="0" t="n">
        <v>182</v>
      </c>
      <c r="M639" s="0" t="n">
        <v>859.7</v>
      </c>
      <c r="N639" s="0" t="n">
        <v>42.88</v>
      </c>
      <c r="O639" s="0" t="n">
        <v>30.07</v>
      </c>
      <c r="P639" s="0" t="n">
        <v>4.39</v>
      </c>
      <c r="Q639" s="0" t="n">
        <v>3.41</v>
      </c>
      <c r="R639" s="0" t="n">
        <v>5323</v>
      </c>
      <c r="S639" s="0" t="n">
        <v>11274</v>
      </c>
      <c r="T639" s="0" t="n">
        <v>54.85</v>
      </c>
      <c r="U639" s="0" t="n">
        <v>1371</v>
      </c>
      <c r="V639" s="0" t="n">
        <v>2</v>
      </c>
      <c r="W639" s="0" t="str">
        <f aca="false">IF(OR(AND(B639&gt;=1,B639&lt;=6),B639=10),"Vaca em lactação",IF(I639="Male","Macho",IF(E639&gt;=1,"Vaca seca",IF(I639="Youngstock","Bezerra/recria","Novilha"))))</f>
        <v>Vaca em lactação</v>
      </c>
      <c r="X639" s="0" t="str">
        <f aca="false">IF(AND(B639&gt;=1,B639&lt;=6),"Tanque",IF(B639=10,"Descarte",""))</f>
        <v>Tanque</v>
      </c>
    </row>
    <row r="640" customFormat="false" ht="15" hidden="false" customHeight="false" outlineLevel="0" collapsed="false">
      <c r="A640" s="22" t="n">
        <v>46309</v>
      </c>
      <c r="B640" s="0" t="n">
        <v>4</v>
      </c>
      <c r="C640" s="0" t="n">
        <v>5474</v>
      </c>
      <c r="D640" s="0" t="n">
        <v>242</v>
      </c>
      <c r="E640" s="0" t="n">
        <v>1</v>
      </c>
      <c r="F640" s="23" t="s">
        <v>543</v>
      </c>
      <c r="G640" s="0" t="n">
        <v>42.2</v>
      </c>
      <c r="H640" s="0" t="n">
        <v>44</v>
      </c>
      <c r="I640" s="23" t="s">
        <v>92</v>
      </c>
      <c r="J640" s="0" t="n">
        <v>158</v>
      </c>
      <c r="K640" s="0" t="n">
        <v>91</v>
      </c>
      <c r="L640" s="0" t="n">
        <v>84</v>
      </c>
      <c r="P640" s="0" t="n">
        <v>3.88</v>
      </c>
      <c r="Q640" s="0" t="n">
        <v>3.52</v>
      </c>
      <c r="R640" s="0" t="n">
        <v>3285</v>
      </c>
      <c r="S640" s="0" t="n">
        <v>7186</v>
      </c>
      <c r="T640" s="0" t="n">
        <v>34.85</v>
      </c>
      <c r="U640" s="0" t="n">
        <v>910</v>
      </c>
      <c r="V640" s="0" t="n">
        <v>3</v>
      </c>
      <c r="W640" s="0" t="str">
        <f aca="false">IF(OR(AND(B640&gt;=1,B640&lt;=6),B640=10),"Vaca em lactação",IF(I640="Male","Macho",IF(E640&gt;=1,"Vaca seca",IF(I640="Youngstock","Bezerra/recria","Novilha"))))</f>
        <v>Vaca em lactação</v>
      </c>
      <c r="X640" s="0" t="str">
        <f aca="false">IF(AND(B640&gt;=1,B640&lt;=6),"Tanque",IF(B640=10,"Descarte",""))</f>
        <v>Tanque</v>
      </c>
    </row>
    <row r="641" customFormat="false" ht="15" hidden="false" customHeight="false" outlineLevel="0" collapsed="false">
      <c r="A641" s="22" t="n">
        <v>46309</v>
      </c>
      <c r="B641" s="0" t="n">
        <v>4</v>
      </c>
      <c r="C641" s="0" t="n">
        <v>5475</v>
      </c>
      <c r="D641" s="0" t="n">
        <v>223</v>
      </c>
      <c r="E641" s="0" t="n">
        <v>1</v>
      </c>
      <c r="F641" s="23" t="s">
        <v>543</v>
      </c>
      <c r="G641" s="0" t="n">
        <v>42.2</v>
      </c>
      <c r="H641" s="0" t="n">
        <v>43</v>
      </c>
      <c r="I641" s="23" t="s">
        <v>92</v>
      </c>
      <c r="J641" s="0" t="n">
        <v>69</v>
      </c>
      <c r="K641" s="0" t="n">
        <v>69</v>
      </c>
      <c r="L641" s="0" t="n">
        <v>154</v>
      </c>
      <c r="M641" s="0" t="n">
        <v>-150.32</v>
      </c>
      <c r="N641" s="0" t="n">
        <v>55.77</v>
      </c>
      <c r="O641" s="0" t="n">
        <v>12.35</v>
      </c>
      <c r="P641" s="0" t="n">
        <v>4.65</v>
      </c>
      <c r="Q641" s="0" t="n">
        <v>3.75</v>
      </c>
      <c r="R641" s="0" t="n">
        <v>3739</v>
      </c>
      <c r="S641" s="0" t="n">
        <v>8259</v>
      </c>
      <c r="T641" s="0" t="n">
        <v>38.5</v>
      </c>
      <c r="U641" s="0" t="n">
        <v>910</v>
      </c>
      <c r="V641" s="0" t="n">
        <v>1</v>
      </c>
      <c r="W641" s="0" t="str">
        <f aca="false">IF(OR(AND(B641&gt;=1,B641&lt;=6),B641=10),"Vaca em lactação",IF(I641="Male","Macho",IF(E641&gt;=1,"Vaca seca",IF(I641="Youngstock","Bezerra/recria","Novilha"))))</f>
        <v>Vaca em lactação</v>
      </c>
      <c r="X641" s="0" t="str">
        <f aca="false">IF(AND(B641&gt;=1,B641&lt;=6),"Tanque",IF(B641=10,"Descarte",""))</f>
        <v>Tanque</v>
      </c>
    </row>
    <row r="642" customFormat="false" ht="15" hidden="false" customHeight="false" outlineLevel="0" collapsed="false">
      <c r="A642" s="22" t="n">
        <v>46309</v>
      </c>
      <c r="B642" s="0" t="n">
        <v>4</v>
      </c>
      <c r="C642" s="0" t="n">
        <v>5477</v>
      </c>
      <c r="D642" s="0" t="n">
        <v>195</v>
      </c>
      <c r="E642" s="0" t="n">
        <v>1</v>
      </c>
      <c r="F642" s="23" t="s">
        <v>544</v>
      </c>
      <c r="G642" s="0" t="n">
        <v>54.7</v>
      </c>
      <c r="H642" s="0" t="n">
        <v>53</v>
      </c>
      <c r="I642" s="23" t="s">
        <v>92</v>
      </c>
      <c r="J642" s="0" t="n">
        <v>62</v>
      </c>
      <c r="K642" s="0" t="n">
        <v>62</v>
      </c>
      <c r="L642" s="0" t="n">
        <v>133</v>
      </c>
      <c r="M642" s="0" t="n">
        <v>767.37</v>
      </c>
      <c r="N642" s="0" t="n">
        <v>79.76</v>
      </c>
      <c r="O642" s="0" t="n">
        <v>37.41</v>
      </c>
      <c r="P642" s="0" t="n">
        <v>4.15</v>
      </c>
      <c r="Q642" s="0" t="n">
        <v>3.44</v>
      </c>
      <c r="R642" s="0" t="n">
        <v>4644</v>
      </c>
      <c r="S642" s="0" t="n">
        <v>9848</v>
      </c>
      <c r="T642" s="0" t="n">
        <v>50.45</v>
      </c>
      <c r="U642" s="0" t="n">
        <v>909</v>
      </c>
      <c r="V642" s="0" t="n">
        <v>1</v>
      </c>
      <c r="W642" s="0" t="str">
        <f aca="false">IF(OR(AND(B642&gt;=1,B642&lt;=6),B642=10),"Vaca em lactação",IF(I642="Male","Macho",IF(E642&gt;=1,"Vaca seca",IF(I642="Youngstock","Bezerra/recria","Novilha"))))</f>
        <v>Vaca em lactação</v>
      </c>
      <c r="X642" s="0" t="str">
        <f aca="false">IF(AND(B642&gt;=1,B642&lt;=6),"Tanque",IF(B642=10,"Descarte",""))</f>
        <v>Tanque</v>
      </c>
    </row>
    <row r="643" customFormat="false" ht="15" hidden="false" customHeight="false" outlineLevel="0" collapsed="false">
      <c r="A643" s="22" t="n">
        <v>46309</v>
      </c>
      <c r="B643" s="0" t="n">
        <v>4</v>
      </c>
      <c r="C643" s="0" t="n">
        <v>5481</v>
      </c>
      <c r="D643" s="0" t="n">
        <v>198</v>
      </c>
      <c r="E643" s="0" t="n">
        <v>1</v>
      </c>
      <c r="F643" s="23" t="s">
        <v>545</v>
      </c>
      <c r="G643" s="0" t="n">
        <v>50.6</v>
      </c>
      <c r="H643" s="0" t="n">
        <v>52</v>
      </c>
      <c r="I643" s="23" t="s">
        <v>92</v>
      </c>
      <c r="J643" s="0" t="n">
        <v>88</v>
      </c>
      <c r="K643" s="0" t="n">
        <v>65</v>
      </c>
      <c r="L643" s="0" t="n">
        <v>110</v>
      </c>
      <c r="M643" s="0" t="n">
        <v>978.61</v>
      </c>
      <c r="N643" s="0" t="n">
        <v>59.01</v>
      </c>
      <c r="O643" s="0" t="n">
        <v>40.49</v>
      </c>
      <c r="P643" s="0" t="n">
        <v>3.19</v>
      </c>
      <c r="Q643" s="0" t="n">
        <v>3.46</v>
      </c>
      <c r="R643" s="0" t="n">
        <v>4405</v>
      </c>
      <c r="S643" s="0" t="n">
        <v>9841</v>
      </c>
      <c r="T643" s="0" t="n">
        <v>49.5</v>
      </c>
      <c r="U643" s="0" t="n">
        <v>908</v>
      </c>
      <c r="V643" s="0" t="n">
        <v>2</v>
      </c>
      <c r="W643" s="0" t="str">
        <f aca="false">IF(OR(AND(B643&gt;=1,B643&lt;=6),B643=10),"Vaca em lactação",IF(I643="Male","Macho",IF(E643&gt;=1,"Vaca seca",IF(I643="Youngstock","Bezerra/recria","Novilha"))))</f>
        <v>Vaca em lactação</v>
      </c>
      <c r="X643" s="0" t="str">
        <f aca="false">IF(AND(B643&gt;=1,B643&lt;=6),"Tanque",IF(B643=10,"Descarte",""))</f>
        <v>Tanque</v>
      </c>
    </row>
    <row r="644" customFormat="false" ht="15" hidden="false" customHeight="false" outlineLevel="0" collapsed="false">
      <c r="A644" s="22" t="n">
        <v>46309</v>
      </c>
      <c r="B644" s="0" t="n">
        <v>4</v>
      </c>
      <c r="C644" s="0" t="n">
        <v>5478</v>
      </c>
      <c r="D644" s="0" t="n">
        <v>200</v>
      </c>
      <c r="E644" s="0" t="n">
        <v>1</v>
      </c>
      <c r="F644" s="23" t="s">
        <v>545</v>
      </c>
      <c r="G644" s="0" t="n">
        <v>48.8</v>
      </c>
      <c r="H644" s="0" t="n">
        <v>47</v>
      </c>
      <c r="I644" s="23" t="s">
        <v>97</v>
      </c>
      <c r="J644" s="0" t="n">
        <v>200</v>
      </c>
      <c r="K644" s="0" t="n">
        <v>67</v>
      </c>
      <c r="M644" s="0" t="n">
        <v>650.78</v>
      </c>
      <c r="N644" s="0" t="n">
        <v>56.36</v>
      </c>
      <c r="O644" s="0" t="n">
        <v>36.05</v>
      </c>
      <c r="P644" s="0" t="n">
        <v>4</v>
      </c>
      <c r="Q644" s="0" t="n">
        <v>3.77</v>
      </c>
      <c r="R644" s="0" t="n">
        <v>4797</v>
      </c>
      <c r="S644" s="0" t="n">
        <v>10109</v>
      </c>
      <c r="T644" s="0" t="n">
        <v>54.9</v>
      </c>
      <c r="U644" s="0" t="n">
        <v>908</v>
      </c>
      <c r="V644" s="0" t="n">
        <v>5</v>
      </c>
      <c r="W644" s="0" t="str">
        <f aca="false">IF(OR(AND(B644&gt;=1,B644&lt;=6),B644=10),"Vaca em lactação",IF(I644="Male","Macho",IF(E644&gt;=1,"Vaca seca",IF(I644="Youngstock","Bezerra/recria","Novilha"))))</f>
        <v>Vaca em lactação</v>
      </c>
      <c r="X644" s="0" t="str">
        <f aca="false">IF(AND(B644&gt;=1,B644&lt;=6),"Tanque",IF(B644=10,"Descarte",""))</f>
        <v>Tanque</v>
      </c>
    </row>
    <row r="645" customFormat="false" ht="15" hidden="false" customHeight="false" outlineLevel="0" collapsed="false">
      <c r="A645" s="22" t="n">
        <v>46309</v>
      </c>
      <c r="B645" s="0" t="n">
        <v>4</v>
      </c>
      <c r="C645" s="0" t="n">
        <v>5473</v>
      </c>
      <c r="D645" s="0" t="n">
        <v>196</v>
      </c>
      <c r="E645" s="0" t="n">
        <v>1</v>
      </c>
      <c r="F645" s="23" t="s">
        <v>546</v>
      </c>
      <c r="G645" s="0" t="n">
        <v>53.7</v>
      </c>
      <c r="H645" s="0" t="n">
        <v>55</v>
      </c>
      <c r="I645" s="23" t="s">
        <v>92</v>
      </c>
      <c r="J645" s="0" t="n">
        <v>63</v>
      </c>
      <c r="K645" s="0" t="n">
        <v>63</v>
      </c>
      <c r="L645" s="0" t="n">
        <v>133</v>
      </c>
      <c r="M645" s="0" t="n">
        <v>160.29</v>
      </c>
      <c r="N645" s="0" t="n">
        <v>61.83</v>
      </c>
      <c r="O645" s="0" t="n">
        <v>26.91</v>
      </c>
      <c r="P645" s="0" t="n">
        <v>3.38</v>
      </c>
      <c r="Q645" s="0" t="n">
        <v>3.63</v>
      </c>
      <c r="R645" s="0" t="n">
        <v>4580</v>
      </c>
      <c r="S645" s="0" t="n">
        <v>10234</v>
      </c>
      <c r="T645" s="0" t="n">
        <v>47.25</v>
      </c>
      <c r="U645" s="0" t="n">
        <v>911</v>
      </c>
      <c r="V645" s="0" t="n">
        <v>1</v>
      </c>
      <c r="W645" s="0" t="str">
        <f aca="false">IF(OR(AND(B645&gt;=1,B645&lt;=6),B645=10),"Vaca em lactação",IF(I645="Male","Macho",IF(E645&gt;=1,"Vaca seca",IF(I645="Youngstock","Bezerra/recria","Novilha"))))</f>
        <v>Vaca em lactação</v>
      </c>
      <c r="X645" s="0" t="str">
        <f aca="false">IF(AND(B645&gt;=1,B645&lt;=6),"Tanque",IF(B645=10,"Descarte",""))</f>
        <v>Tanque</v>
      </c>
    </row>
    <row r="646" customFormat="false" ht="15" hidden="false" customHeight="false" outlineLevel="0" collapsed="false">
      <c r="A646" s="22" t="n">
        <v>46309</v>
      </c>
      <c r="B646" s="0" t="n">
        <v>4</v>
      </c>
      <c r="C646" s="0" t="n">
        <v>5471</v>
      </c>
      <c r="D646" s="0" t="n">
        <v>259</v>
      </c>
      <c r="E646" s="0" t="n">
        <v>1</v>
      </c>
      <c r="F646" s="23" t="s">
        <v>547</v>
      </c>
      <c r="G646" s="0" t="n">
        <v>43.8</v>
      </c>
      <c r="H646" s="0" t="n">
        <v>42</v>
      </c>
      <c r="I646" s="23" t="s">
        <v>92</v>
      </c>
      <c r="J646" s="0" t="n">
        <v>98</v>
      </c>
      <c r="K646" s="0" t="n">
        <v>63</v>
      </c>
      <c r="L646" s="0" t="n">
        <v>161</v>
      </c>
      <c r="M646" s="0" t="n">
        <v>823.28</v>
      </c>
      <c r="N646" s="0" t="n">
        <v>56.89</v>
      </c>
      <c r="O646" s="0" t="n">
        <v>26.65</v>
      </c>
      <c r="P646" s="0" t="n">
        <v>3.55</v>
      </c>
      <c r="Q646" s="0" t="n">
        <v>3.43</v>
      </c>
      <c r="R646" s="0" t="n">
        <v>4159</v>
      </c>
      <c r="S646" s="0" t="n">
        <v>8751</v>
      </c>
      <c r="T646" s="0" t="n">
        <v>54.3</v>
      </c>
      <c r="U646" s="0" t="n">
        <v>913</v>
      </c>
      <c r="V646" s="0" t="n">
        <v>2</v>
      </c>
      <c r="W646" s="0" t="str">
        <f aca="false">IF(OR(AND(B646&gt;=1,B646&lt;=6),B646=10),"Vaca em lactação",IF(I646="Male","Macho",IF(E646&gt;=1,"Vaca seca",IF(I646="Youngstock","Bezerra/recria","Novilha"))))</f>
        <v>Vaca em lactação</v>
      </c>
      <c r="X646" s="0" t="str">
        <f aca="false">IF(AND(B646&gt;=1,B646&lt;=6),"Tanque",IF(B646=10,"Descarte",""))</f>
        <v>Tanque</v>
      </c>
    </row>
    <row r="647" customFormat="false" ht="15" hidden="false" customHeight="false" outlineLevel="0" collapsed="false">
      <c r="A647" s="22" t="n">
        <v>46309</v>
      </c>
      <c r="B647" s="0" t="n">
        <v>4</v>
      </c>
      <c r="C647" s="0" t="n">
        <v>5472</v>
      </c>
      <c r="D647" s="0" t="n">
        <v>245</v>
      </c>
      <c r="E647" s="0" t="n">
        <v>1</v>
      </c>
      <c r="F647" s="23" t="s">
        <v>548</v>
      </c>
      <c r="G647" s="0" t="n">
        <v>44.4</v>
      </c>
      <c r="H647" s="0" t="n">
        <v>45</v>
      </c>
      <c r="I647" s="23" t="s">
        <v>92</v>
      </c>
      <c r="J647" s="0" t="n">
        <v>105</v>
      </c>
      <c r="K647" s="0" t="n">
        <v>70</v>
      </c>
      <c r="L647" s="0" t="n">
        <v>140</v>
      </c>
      <c r="M647" s="0" t="n">
        <v>642.17</v>
      </c>
      <c r="N647" s="0" t="n">
        <v>61.22</v>
      </c>
      <c r="O647" s="0" t="n">
        <v>29.48</v>
      </c>
      <c r="P647" s="0" t="n">
        <v>3.27</v>
      </c>
      <c r="Q647" s="0" t="n">
        <v>3.56</v>
      </c>
      <c r="R647" s="0" t="n">
        <v>3743</v>
      </c>
      <c r="S647" s="0" t="n">
        <v>8247</v>
      </c>
      <c r="T647" s="0" t="n">
        <v>39.25</v>
      </c>
      <c r="U647" s="0" t="n">
        <v>912</v>
      </c>
      <c r="V647" s="0" t="n">
        <v>2</v>
      </c>
      <c r="W647" s="0" t="str">
        <f aca="false">IF(OR(AND(B647&gt;=1,B647&lt;=6),B647=10),"Vaca em lactação",IF(I647="Male","Macho",IF(E647&gt;=1,"Vaca seca",IF(I647="Youngstock","Bezerra/recria","Novilha"))))</f>
        <v>Vaca em lactação</v>
      </c>
      <c r="X647" s="0" t="str">
        <f aca="false">IF(AND(B647&gt;=1,B647&lt;=6),"Tanque",IF(B647=10,"Descarte",""))</f>
        <v>Tanque</v>
      </c>
    </row>
    <row r="648" customFormat="false" ht="15" hidden="false" customHeight="false" outlineLevel="0" collapsed="false">
      <c r="A648" s="22" t="n">
        <v>46309</v>
      </c>
      <c r="B648" s="0" t="n">
        <v>4</v>
      </c>
      <c r="C648" s="0" t="n">
        <v>5389</v>
      </c>
      <c r="D648" s="0" t="n">
        <v>253</v>
      </c>
      <c r="E648" s="0" t="n">
        <v>1</v>
      </c>
      <c r="F648" s="23" t="s">
        <v>549</v>
      </c>
      <c r="G648" s="0" t="n">
        <v>33.2</v>
      </c>
      <c r="H648" s="0" t="n">
        <v>32</v>
      </c>
      <c r="I648" s="23" t="s">
        <v>97</v>
      </c>
      <c r="J648" s="0" t="n">
        <v>253</v>
      </c>
      <c r="K648" s="0" t="n">
        <v>36</v>
      </c>
      <c r="M648" s="0" t="n">
        <v>949.13</v>
      </c>
      <c r="N648" s="0" t="n">
        <v>83.57</v>
      </c>
      <c r="O648" s="0" t="n">
        <v>33.54</v>
      </c>
      <c r="P648" s="0" t="n">
        <v>4.38</v>
      </c>
      <c r="Q648" s="0" t="n">
        <v>3.66</v>
      </c>
      <c r="R648" s="0" t="n">
        <v>3898</v>
      </c>
      <c r="S648" s="0" t="n">
        <v>8202</v>
      </c>
      <c r="T648" s="0" t="n">
        <v>43.1</v>
      </c>
      <c r="U648" s="0" t="n">
        <v>947</v>
      </c>
      <c r="V648" s="0" t="n">
        <v>8</v>
      </c>
      <c r="W648" s="0" t="str">
        <f aca="false">IF(OR(AND(B648&gt;=1,B648&lt;=6),B648=10),"Vaca em lactação",IF(I648="Male","Macho",IF(E648&gt;=1,"Vaca seca",IF(I648="Youngstock","Bezerra/recria","Novilha"))))</f>
        <v>Vaca em lactação</v>
      </c>
      <c r="X648" s="0" t="str">
        <f aca="false">IF(AND(B648&gt;=1,B648&lt;=6),"Tanque",IF(B648=10,"Descarte",""))</f>
        <v>Tanque</v>
      </c>
    </row>
    <row r="649" customFormat="false" ht="15" hidden="false" customHeight="false" outlineLevel="0" collapsed="false">
      <c r="A649" s="22" t="n">
        <v>46309</v>
      </c>
      <c r="B649" s="0" t="n">
        <v>4</v>
      </c>
      <c r="C649" s="0" t="n">
        <v>5388</v>
      </c>
      <c r="D649" s="0" t="n">
        <v>240</v>
      </c>
      <c r="E649" s="0" t="n">
        <v>1</v>
      </c>
      <c r="F649" s="23" t="s">
        <v>550</v>
      </c>
      <c r="G649" s="0" t="n">
        <v>44.9</v>
      </c>
      <c r="H649" s="0" t="n">
        <v>40</v>
      </c>
      <c r="I649" s="23" t="s">
        <v>92</v>
      </c>
      <c r="J649" s="0" t="n">
        <v>65</v>
      </c>
      <c r="K649" s="0" t="n">
        <v>65</v>
      </c>
      <c r="L649" s="0" t="n">
        <v>175</v>
      </c>
      <c r="M649" s="0" t="n">
        <v>249.82</v>
      </c>
      <c r="N649" s="0" t="n">
        <v>60.36</v>
      </c>
      <c r="O649" s="0" t="n">
        <v>24.57</v>
      </c>
      <c r="P649" s="0" t="n">
        <v>3.64</v>
      </c>
      <c r="Q649" s="0" t="n">
        <v>3.61</v>
      </c>
      <c r="R649" s="0" t="n">
        <v>3754</v>
      </c>
      <c r="S649" s="0" t="n">
        <v>8513</v>
      </c>
      <c r="T649" s="0" t="n">
        <v>44.45</v>
      </c>
      <c r="U649" s="0" t="n">
        <v>948</v>
      </c>
      <c r="V649" s="0" t="n">
        <v>1</v>
      </c>
      <c r="W649" s="0" t="str">
        <f aca="false">IF(OR(AND(B649&gt;=1,B649&lt;=6),B649=10),"Vaca em lactação",IF(I649="Male","Macho",IF(E649&gt;=1,"Vaca seca",IF(I649="Youngstock","Bezerra/recria","Novilha"))))</f>
        <v>Vaca em lactação</v>
      </c>
      <c r="X649" s="0" t="str">
        <f aca="false">IF(AND(B649&gt;=1,B649&lt;=6),"Tanque",IF(B649=10,"Descarte",""))</f>
        <v>Tanque</v>
      </c>
    </row>
    <row r="650" customFormat="false" ht="15" hidden="false" customHeight="false" outlineLevel="0" collapsed="false">
      <c r="A650" s="22" t="n">
        <v>46309</v>
      </c>
      <c r="B650" s="0" t="n">
        <v>4</v>
      </c>
      <c r="C650" s="0" t="n">
        <v>5387</v>
      </c>
      <c r="D650" s="0" t="n">
        <v>234</v>
      </c>
      <c r="E650" s="0" t="n">
        <v>1</v>
      </c>
      <c r="F650" s="23" t="s">
        <v>550</v>
      </c>
      <c r="G650" s="0" t="n">
        <v>47.8</v>
      </c>
      <c r="H650" s="0" t="n">
        <v>46</v>
      </c>
      <c r="I650" s="23" t="s">
        <v>92</v>
      </c>
      <c r="J650" s="0" t="n">
        <v>91</v>
      </c>
      <c r="K650" s="0" t="n">
        <v>66</v>
      </c>
      <c r="L650" s="0" t="n">
        <v>143</v>
      </c>
      <c r="M650" s="0" t="n">
        <v>829.27</v>
      </c>
      <c r="N650" s="0" t="n">
        <v>32.26</v>
      </c>
      <c r="O650" s="0" t="n">
        <v>33.31</v>
      </c>
      <c r="P650" s="0" t="n">
        <v>3.6</v>
      </c>
      <c r="Q650" s="0" t="n">
        <v>3.46</v>
      </c>
      <c r="R650" s="0" t="n">
        <v>3723</v>
      </c>
      <c r="S650" s="0" t="n">
        <v>9339</v>
      </c>
      <c r="T650" s="0" t="n">
        <v>41.85</v>
      </c>
      <c r="U650" s="0" t="n">
        <v>948</v>
      </c>
      <c r="V650" s="0" t="n">
        <v>2</v>
      </c>
      <c r="W650" s="0" t="str">
        <f aca="false">IF(OR(AND(B650&gt;=1,B650&lt;=6),B650=10),"Vaca em lactação",IF(I650="Male","Macho",IF(E650&gt;=1,"Vaca seca",IF(I650="Youngstock","Bezerra/recria","Novilha"))))</f>
        <v>Vaca em lactação</v>
      </c>
      <c r="X650" s="0" t="str">
        <f aca="false">IF(AND(B650&gt;=1,B650&lt;=6),"Tanque",IF(B650=10,"Descarte",""))</f>
        <v>Tanque</v>
      </c>
    </row>
    <row r="651" customFormat="false" ht="15" hidden="false" customHeight="false" outlineLevel="0" collapsed="false">
      <c r="A651" s="22" t="n">
        <v>46309</v>
      </c>
      <c r="B651" s="0" t="n">
        <v>4</v>
      </c>
      <c r="C651" s="0" t="n">
        <v>5386</v>
      </c>
      <c r="D651" s="0" t="n">
        <v>305</v>
      </c>
      <c r="E651" s="0" t="n">
        <v>1</v>
      </c>
      <c r="F651" s="23" t="s">
        <v>550</v>
      </c>
      <c r="G651" s="0" t="n">
        <v>38.7</v>
      </c>
      <c r="H651" s="0" t="n">
        <v>38</v>
      </c>
      <c r="I651" s="23" t="s">
        <v>92</v>
      </c>
      <c r="J651" s="0" t="n">
        <v>172</v>
      </c>
      <c r="K651" s="0" t="n">
        <v>67</v>
      </c>
      <c r="L651" s="0" t="n">
        <v>133</v>
      </c>
      <c r="M651" s="0" t="n">
        <v>1448.19</v>
      </c>
      <c r="N651" s="0" t="n">
        <v>28.03</v>
      </c>
      <c r="O651" s="0" t="n">
        <v>38.58</v>
      </c>
      <c r="P651" s="0" t="n">
        <v>2.99</v>
      </c>
      <c r="Q651" s="0" t="n">
        <v>3.69</v>
      </c>
      <c r="R651" s="0" t="n">
        <v>5172</v>
      </c>
      <c r="S651" s="0" t="n">
        <v>10640</v>
      </c>
      <c r="T651" s="0" t="n">
        <v>56.95</v>
      </c>
      <c r="U651" s="0" t="n">
        <v>948</v>
      </c>
      <c r="V651" s="0" t="n">
        <v>4</v>
      </c>
      <c r="W651" s="0" t="str">
        <f aca="false">IF(OR(AND(B651&gt;=1,B651&lt;=6),B651=10),"Vaca em lactação",IF(I651="Male","Macho",IF(E651&gt;=1,"Vaca seca",IF(I651="Youngstock","Bezerra/recria","Novilha"))))</f>
        <v>Vaca em lactação</v>
      </c>
      <c r="X651" s="0" t="str">
        <f aca="false">IF(AND(B651&gt;=1,B651&lt;=6),"Tanque",IF(B651=10,"Descarte",""))</f>
        <v>Tanque</v>
      </c>
    </row>
    <row r="652" customFormat="false" ht="15" hidden="false" customHeight="false" outlineLevel="0" collapsed="false">
      <c r="A652" s="22" t="n">
        <v>46309</v>
      </c>
      <c r="B652" s="0" t="n">
        <v>4</v>
      </c>
      <c r="C652" s="0" t="n">
        <v>5384</v>
      </c>
      <c r="D652" s="0" t="n">
        <v>315</v>
      </c>
      <c r="E652" s="0" t="n">
        <v>1</v>
      </c>
      <c r="F652" s="23" t="s">
        <v>550</v>
      </c>
      <c r="G652" s="0" t="n">
        <v>34</v>
      </c>
      <c r="H652" s="0" t="n">
        <v>36</v>
      </c>
      <c r="I652" s="23" t="s">
        <v>97</v>
      </c>
      <c r="J652" s="0" t="n">
        <v>315</v>
      </c>
      <c r="K652" s="0" t="n">
        <v>70</v>
      </c>
      <c r="M652" s="0" t="n">
        <v>-153.15</v>
      </c>
      <c r="N652" s="0" t="n">
        <v>81.13</v>
      </c>
      <c r="O652" s="0" t="n">
        <v>24.11</v>
      </c>
      <c r="P652" s="0" t="n">
        <v>5.36</v>
      </c>
      <c r="Q652" s="0" t="n">
        <v>4.02</v>
      </c>
      <c r="R652" s="0" t="n">
        <v>3634</v>
      </c>
      <c r="S652" s="0" t="n">
        <v>7587</v>
      </c>
      <c r="T652" s="0" t="n">
        <v>42.35</v>
      </c>
      <c r="U652" s="0" t="n">
        <v>948</v>
      </c>
      <c r="V652" s="0" t="n">
        <v>7</v>
      </c>
      <c r="W652" s="0" t="str">
        <f aca="false">IF(OR(AND(B652&gt;=1,B652&lt;=6),B652=10),"Vaca em lactação",IF(I652="Male","Macho",IF(E652&gt;=1,"Vaca seca",IF(I652="Youngstock","Bezerra/recria","Novilha"))))</f>
        <v>Vaca em lactação</v>
      </c>
      <c r="X652" s="0" t="str">
        <f aca="false">IF(AND(B652&gt;=1,B652&lt;=6),"Tanque",IF(B652=10,"Descarte",""))</f>
        <v>Tanque</v>
      </c>
    </row>
    <row r="653" customFormat="false" ht="15" hidden="false" customHeight="false" outlineLevel="0" collapsed="false">
      <c r="A653" s="22" t="n">
        <v>46309</v>
      </c>
      <c r="B653" s="0" t="n">
        <v>4</v>
      </c>
      <c r="C653" s="0" t="n">
        <v>5382</v>
      </c>
      <c r="D653" s="0" t="n">
        <v>218</v>
      </c>
      <c r="E653" s="0" t="n">
        <v>1</v>
      </c>
      <c r="F653" s="23" t="s">
        <v>550</v>
      </c>
      <c r="G653" s="0" t="n">
        <v>43.1</v>
      </c>
      <c r="H653" s="0" t="n">
        <v>48</v>
      </c>
      <c r="I653" s="23" t="s">
        <v>92</v>
      </c>
      <c r="J653" s="0" t="n">
        <v>64</v>
      </c>
      <c r="K653" s="0" t="n">
        <v>64</v>
      </c>
      <c r="L653" s="0" t="n">
        <v>154</v>
      </c>
      <c r="M653" s="0" t="n">
        <v>704.9</v>
      </c>
      <c r="N653" s="0" t="n">
        <v>49.23</v>
      </c>
      <c r="O653" s="0" t="n">
        <v>33.41</v>
      </c>
      <c r="P653" s="0" t="n">
        <v>3.28</v>
      </c>
      <c r="Q653" s="0" t="n">
        <v>3.44</v>
      </c>
      <c r="R653" s="0" t="n">
        <v>4687</v>
      </c>
      <c r="S653" s="0" t="n">
        <v>11016</v>
      </c>
      <c r="T653" s="0" t="n">
        <v>55.65</v>
      </c>
      <c r="U653" s="0" t="n">
        <v>948</v>
      </c>
      <c r="V653" s="0" t="n">
        <v>1</v>
      </c>
      <c r="W653" s="0" t="str">
        <f aca="false">IF(OR(AND(B653&gt;=1,B653&lt;=6),B653=10),"Vaca em lactação",IF(I653="Male","Macho",IF(E653&gt;=1,"Vaca seca",IF(I653="Youngstock","Bezerra/recria","Novilha"))))</f>
        <v>Vaca em lactação</v>
      </c>
      <c r="X653" s="0" t="str">
        <f aca="false">IF(AND(B653&gt;=1,B653&lt;=6),"Tanque",IF(B653=10,"Descarte",""))</f>
        <v>Tanque</v>
      </c>
    </row>
    <row r="654" customFormat="false" ht="15" hidden="false" customHeight="false" outlineLevel="0" collapsed="false">
      <c r="A654" s="22" t="n">
        <v>46309</v>
      </c>
      <c r="B654" s="0" t="n">
        <v>4</v>
      </c>
      <c r="C654" s="0" t="n">
        <v>5397</v>
      </c>
      <c r="D654" s="0" t="n">
        <v>292</v>
      </c>
      <c r="E654" s="0" t="n">
        <v>1</v>
      </c>
      <c r="F654" s="23" t="s">
        <v>551</v>
      </c>
      <c r="G654" s="0" t="n">
        <v>43.8</v>
      </c>
      <c r="H654" s="0" t="n">
        <v>44</v>
      </c>
      <c r="I654" s="23" t="s">
        <v>92</v>
      </c>
      <c r="J654" s="0" t="n">
        <v>75</v>
      </c>
      <c r="K654" s="0" t="n">
        <v>75</v>
      </c>
      <c r="L654" s="0" t="n">
        <v>217</v>
      </c>
      <c r="M654" s="0" t="n">
        <v>1273.61</v>
      </c>
      <c r="N654" s="0" t="n">
        <v>56.15</v>
      </c>
      <c r="O654" s="0" t="n">
        <v>45.4</v>
      </c>
      <c r="P654" s="0" t="n">
        <v>0</v>
      </c>
      <c r="Q654" s="0" t="n">
        <v>0</v>
      </c>
      <c r="R654" s="0" t="n">
        <v>4628</v>
      </c>
      <c r="S654" s="0" t="n">
        <v>10472</v>
      </c>
      <c r="T654" s="0" t="n">
        <v>50.1</v>
      </c>
      <c r="U654" s="0" t="n">
        <v>945</v>
      </c>
      <c r="V654" s="0" t="n">
        <v>1</v>
      </c>
      <c r="W654" s="0" t="str">
        <f aca="false">IF(OR(AND(B654&gt;=1,B654&lt;=6),B654=10),"Vaca em lactação",IF(I654="Male","Macho",IF(E654&gt;=1,"Vaca seca",IF(I654="Youngstock","Bezerra/recria","Novilha"))))</f>
        <v>Vaca em lactação</v>
      </c>
      <c r="X654" s="0" t="str">
        <f aca="false">IF(AND(B654&gt;=1,B654&lt;=6),"Tanque",IF(B654=10,"Descarte",""))</f>
        <v>Tanque</v>
      </c>
    </row>
    <row r="655" customFormat="false" ht="15" hidden="false" customHeight="false" outlineLevel="0" collapsed="false">
      <c r="A655" s="22" t="n">
        <v>46309</v>
      </c>
      <c r="B655" s="0" t="n">
        <v>4</v>
      </c>
      <c r="C655" s="0" t="n">
        <v>5396</v>
      </c>
      <c r="D655" s="0" t="n">
        <v>256</v>
      </c>
      <c r="E655" s="0" t="n">
        <v>1</v>
      </c>
      <c r="F655" s="23" t="s">
        <v>551</v>
      </c>
      <c r="G655" s="0" t="n">
        <v>48.3</v>
      </c>
      <c r="H655" s="0" t="n">
        <v>48</v>
      </c>
      <c r="I655" s="23" t="s">
        <v>92</v>
      </c>
      <c r="J655" s="0" t="n">
        <v>158</v>
      </c>
      <c r="K655" s="0" t="n">
        <v>67</v>
      </c>
      <c r="L655" s="0" t="n">
        <v>98</v>
      </c>
      <c r="M655" s="0" t="n">
        <v>359.99</v>
      </c>
      <c r="N655" s="0" t="n">
        <v>61.04</v>
      </c>
      <c r="O655" s="0" t="n">
        <v>27.58</v>
      </c>
      <c r="P655" s="0" t="n">
        <v>3.39</v>
      </c>
      <c r="Q655" s="0" t="n">
        <v>3.68</v>
      </c>
      <c r="R655" s="0" t="n">
        <v>3918</v>
      </c>
      <c r="S655" s="0" t="n">
        <v>8964</v>
      </c>
      <c r="T655" s="0" t="n">
        <v>39.85</v>
      </c>
      <c r="U655" s="0" t="n">
        <v>945</v>
      </c>
      <c r="V655" s="0" t="n">
        <v>4</v>
      </c>
      <c r="W655" s="0" t="str">
        <f aca="false">IF(OR(AND(B655&gt;=1,B655&lt;=6),B655=10),"Vaca em lactação",IF(I655="Male","Macho",IF(E655&gt;=1,"Vaca seca",IF(I655="Youngstock","Bezerra/recria","Novilha"))))</f>
        <v>Vaca em lactação</v>
      </c>
      <c r="X655" s="0" t="str">
        <f aca="false">IF(AND(B655&gt;=1,B655&lt;=6),"Tanque",IF(B655=10,"Descarte",""))</f>
        <v>Tanque</v>
      </c>
    </row>
    <row r="656" customFormat="false" ht="15" hidden="false" customHeight="false" outlineLevel="0" collapsed="false">
      <c r="A656" s="22" t="n">
        <v>46309</v>
      </c>
      <c r="B656" s="0" t="n">
        <v>4</v>
      </c>
      <c r="C656" s="0" t="n">
        <v>5394</v>
      </c>
      <c r="D656" s="0" t="n">
        <v>254</v>
      </c>
      <c r="E656" s="0" t="n">
        <v>1</v>
      </c>
      <c r="F656" s="23" t="s">
        <v>551</v>
      </c>
      <c r="G656" s="0" t="n">
        <v>41.6</v>
      </c>
      <c r="H656" s="0" t="n">
        <v>44</v>
      </c>
      <c r="I656" s="23" t="s">
        <v>92</v>
      </c>
      <c r="J656" s="0" t="n">
        <v>121</v>
      </c>
      <c r="K656" s="0" t="n">
        <v>86</v>
      </c>
      <c r="L656" s="0" t="n">
        <v>133</v>
      </c>
      <c r="M656" s="0" t="n">
        <v>554.24</v>
      </c>
      <c r="N656" s="0" t="n">
        <v>14.35</v>
      </c>
      <c r="O656" s="0" t="n">
        <v>23.52</v>
      </c>
      <c r="P656" s="0" t="n">
        <v>3.06</v>
      </c>
      <c r="Q656" s="0" t="n">
        <v>3.66</v>
      </c>
      <c r="R656" s="0" t="n">
        <v>3528</v>
      </c>
      <c r="S656" s="0" t="n">
        <v>7935</v>
      </c>
      <c r="T656" s="0" t="n">
        <v>39.95</v>
      </c>
      <c r="U656" s="0" t="n">
        <v>945</v>
      </c>
      <c r="V656" s="0" t="n">
        <v>2</v>
      </c>
      <c r="W656" s="0" t="str">
        <f aca="false">IF(OR(AND(B656&gt;=1,B656&lt;=6),B656=10),"Vaca em lactação",IF(I656="Male","Macho",IF(E656&gt;=1,"Vaca seca",IF(I656="Youngstock","Bezerra/recria","Novilha"))))</f>
        <v>Vaca em lactação</v>
      </c>
      <c r="X656" s="0" t="str">
        <f aca="false">IF(AND(B656&gt;=1,B656&lt;=6),"Tanque",IF(B656=10,"Descarte",""))</f>
        <v>Tanque</v>
      </c>
    </row>
    <row r="657" customFormat="false" ht="15" hidden="false" customHeight="false" outlineLevel="0" collapsed="false">
      <c r="A657" s="22" t="n">
        <v>46309</v>
      </c>
      <c r="B657" s="0" t="n">
        <v>4</v>
      </c>
      <c r="C657" s="0" t="n">
        <v>5392</v>
      </c>
      <c r="D657" s="0" t="n">
        <v>258</v>
      </c>
      <c r="E657" s="0" t="n">
        <v>1</v>
      </c>
      <c r="F657" s="23" t="s">
        <v>551</v>
      </c>
      <c r="G657" s="0" t="n">
        <v>54.7</v>
      </c>
      <c r="H657" s="0" t="n">
        <v>53</v>
      </c>
      <c r="I657" s="23" t="s">
        <v>92</v>
      </c>
      <c r="J657" s="0" t="n">
        <v>188</v>
      </c>
      <c r="K657" s="0" t="n">
        <v>69</v>
      </c>
      <c r="L657" s="0" t="n">
        <v>70</v>
      </c>
      <c r="M657" s="0" t="n">
        <v>1169.37</v>
      </c>
      <c r="N657" s="0" t="n">
        <v>73.96</v>
      </c>
      <c r="O657" s="0" t="n">
        <v>36.78</v>
      </c>
      <c r="P657" s="0" t="n">
        <v>3.89</v>
      </c>
      <c r="Q657" s="0" t="n">
        <v>3.42</v>
      </c>
      <c r="R657" s="0" t="n">
        <v>4303</v>
      </c>
      <c r="S657" s="0" t="n">
        <v>10157</v>
      </c>
      <c r="T657" s="0" t="n">
        <v>38.85</v>
      </c>
      <c r="U657" s="0" t="n">
        <v>945</v>
      </c>
      <c r="V657" s="0" t="n">
        <v>4</v>
      </c>
      <c r="W657" s="0" t="str">
        <f aca="false">IF(OR(AND(B657&gt;=1,B657&lt;=6),B657=10),"Vaca em lactação",IF(I657="Male","Macho",IF(E657&gt;=1,"Vaca seca",IF(I657="Youngstock","Bezerra/recria","Novilha"))))</f>
        <v>Vaca em lactação</v>
      </c>
      <c r="X657" s="0" t="str">
        <f aca="false">IF(AND(B657&gt;=1,B657&lt;=6),"Tanque",IF(B657=10,"Descarte",""))</f>
        <v>Tanque</v>
      </c>
    </row>
    <row r="658" customFormat="false" ht="15" hidden="false" customHeight="false" outlineLevel="0" collapsed="false">
      <c r="A658" s="22" t="n">
        <v>46309</v>
      </c>
      <c r="B658" s="0" t="n">
        <v>4</v>
      </c>
      <c r="C658" s="0" t="n">
        <v>5400</v>
      </c>
      <c r="D658" s="0" t="n">
        <v>286</v>
      </c>
      <c r="E658" s="0" t="n">
        <v>1</v>
      </c>
      <c r="F658" s="23" t="s">
        <v>552</v>
      </c>
      <c r="G658" s="0" t="n">
        <v>50.1</v>
      </c>
      <c r="H658" s="0" t="n">
        <v>49</v>
      </c>
      <c r="I658" s="23" t="s">
        <v>109</v>
      </c>
      <c r="J658" s="0" t="n">
        <v>286</v>
      </c>
      <c r="K658" s="0" t="n">
        <v>62</v>
      </c>
      <c r="M658" s="0" t="n">
        <v>770.74</v>
      </c>
      <c r="N658" s="0" t="n">
        <v>58.44</v>
      </c>
      <c r="O658" s="0" t="n">
        <v>32.52</v>
      </c>
      <c r="P658" s="0" t="n">
        <v>4.05</v>
      </c>
      <c r="Q658" s="0" t="n">
        <v>3.75</v>
      </c>
      <c r="R658" s="0" t="n">
        <v>4798</v>
      </c>
      <c r="S658" s="0" t="n">
        <v>10364</v>
      </c>
      <c r="T658" s="0" t="n">
        <v>51.8</v>
      </c>
      <c r="U658" s="0" t="n">
        <v>944</v>
      </c>
      <c r="V658" s="0" t="n">
        <v>6</v>
      </c>
      <c r="W658" s="0" t="str">
        <f aca="false">IF(OR(AND(B658&gt;=1,B658&lt;=6),B658=10),"Vaca em lactação",IF(I658="Male","Macho",IF(E658&gt;=1,"Vaca seca",IF(I658="Youngstock","Bezerra/recria","Novilha"))))</f>
        <v>Vaca em lactação</v>
      </c>
      <c r="X658" s="0" t="str">
        <f aca="false">IF(AND(B658&gt;=1,B658&lt;=6),"Tanque",IF(B658=10,"Descarte",""))</f>
        <v>Tanque</v>
      </c>
    </row>
    <row r="659" customFormat="false" ht="15" hidden="false" customHeight="false" outlineLevel="0" collapsed="false">
      <c r="A659" s="22" t="n">
        <v>46309</v>
      </c>
      <c r="B659" s="0" t="n">
        <v>4</v>
      </c>
      <c r="C659" s="0" t="n">
        <v>5398</v>
      </c>
      <c r="D659" s="0" t="n">
        <v>298</v>
      </c>
      <c r="E659" s="0" t="n">
        <v>1</v>
      </c>
      <c r="F659" s="23" t="s">
        <v>552</v>
      </c>
      <c r="G659" s="0" t="n">
        <v>44.7</v>
      </c>
      <c r="H659" s="0" t="n">
        <v>42</v>
      </c>
      <c r="I659" s="23" t="s">
        <v>92</v>
      </c>
      <c r="J659" s="0" t="n">
        <v>95</v>
      </c>
      <c r="K659" s="0" t="n">
        <v>60</v>
      </c>
      <c r="L659" s="0" t="n">
        <v>203</v>
      </c>
      <c r="M659" s="0" t="n">
        <v>540.06</v>
      </c>
      <c r="N659" s="0" t="n">
        <v>78.01</v>
      </c>
      <c r="O659" s="0" t="n">
        <v>33.53</v>
      </c>
      <c r="P659" s="0" t="n">
        <v>4.22</v>
      </c>
      <c r="Q659" s="0" t="n">
        <v>3.77</v>
      </c>
      <c r="R659" s="0" t="n">
        <v>4634</v>
      </c>
      <c r="S659" s="0" t="n">
        <v>10110</v>
      </c>
      <c r="T659" s="0" t="n">
        <v>49.05</v>
      </c>
      <c r="U659" s="0" t="n">
        <v>944</v>
      </c>
      <c r="V659" s="0" t="n">
        <v>2</v>
      </c>
      <c r="W659" s="0" t="str">
        <f aca="false">IF(OR(AND(B659&gt;=1,B659&lt;=6),B659=10),"Vaca em lactação",IF(I659="Male","Macho",IF(E659&gt;=1,"Vaca seca",IF(I659="Youngstock","Bezerra/recria","Novilha"))))</f>
        <v>Vaca em lactação</v>
      </c>
      <c r="X659" s="0" t="str">
        <f aca="false">IF(AND(B659&gt;=1,B659&lt;=6),"Tanque",IF(B659=10,"Descarte",""))</f>
        <v>Tanque</v>
      </c>
    </row>
    <row r="660" customFormat="false" ht="15" hidden="false" customHeight="false" outlineLevel="0" collapsed="false">
      <c r="A660" s="22" t="n">
        <v>46309</v>
      </c>
      <c r="B660" s="0" t="n">
        <v>4</v>
      </c>
      <c r="C660" s="0" t="n">
        <v>5393</v>
      </c>
      <c r="D660" s="0" t="n">
        <v>270</v>
      </c>
      <c r="E660" s="0" t="n">
        <v>1</v>
      </c>
      <c r="F660" s="23" t="s">
        <v>552</v>
      </c>
      <c r="G660" s="0" t="n">
        <v>42</v>
      </c>
      <c r="H660" s="0" t="n">
        <v>42</v>
      </c>
      <c r="I660" s="23" t="s">
        <v>92</v>
      </c>
      <c r="J660" s="0" t="n">
        <v>186</v>
      </c>
      <c r="K660" s="0" t="n">
        <v>67</v>
      </c>
      <c r="L660" s="0" t="n">
        <v>84</v>
      </c>
      <c r="M660" s="0" t="n">
        <v>821.52</v>
      </c>
      <c r="N660" s="0" t="n">
        <v>73.66</v>
      </c>
      <c r="O660" s="0" t="n">
        <v>34.48</v>
      </c>
      <c r="P660" s="0" t="n">
        <v>3.85</v>
      </c>
      <c r="Q660" s="0" t="n">
        <v>3.1</v>
      </c>
      <c r="R660" s="0" t="n">
        <v>4283</v>
      </c>
      <c r="S660" s="0" t="n">
        <v>9310</v>
      </c>
      <c r="T660" s="0" t="n">
        <v>46.45</v>
      </c>
      <c r="U660" s="0" t="n">
        <v>944</v>
      </c>
      <c r="V660" s="0" t="n">
        <v>3</v>
      </c>
      <c r="W660" s="0" t="str">
        <f aca="false">IF(OR(AND(B660&gt;=1,B660&lt;=6),B660=10),"Vaca em lactação",IF(I660="Male","Macho",IF(E660&gt;=1,"Vaca seca",IF(I660="Youngstock","Bezerra/recria","Novilha"))))</f>
        <v>Vaca em lactação</v>
      </c>
      <c r="X660" s="0" t="str">
        <f aca="false">IF(AND(B660&gt;=1,B660&lt;=6),"Tanque",IF(B660=10,"Descarte",""))</f>
        <v>Tanque</v>
      </c>
    </row>
    <row r="661" customFormat="false" ht="15" hidden="false" customHeight="false" outlineLevel="0" collapsed="false">
      <c r="A661" s="22" t="n">
        <v>46309</v>
      </c>
      <c r="B661" s="0" t="n">
        <v>4</v>
      </c>
      <c r="C661" s="0" t="n">
        <v>5403</v>
      </c>
      <c r="D661" s="0" t="n">
        <v>309</v>
      </c>
      <c r="E661" s="0" t="n">
        <v>1</v>
      </c>
      <c r="F661" s="23" t="s">
        <v>553</v>
      </c>
      <c r="G661" s="0" t="n">
        <v>36.1</v>
      </c>
      <c r="H661" s="0" t="n">
        <v>36</v>
      </c>
      <c r="I661" s="23" t="s">
        <v>92</v>
      </c>
      <c r="J661" s="0" t="n">
        <v>176</v>
      </c>
      <c r="K661" s="0" t="n">
        <v>71</v>
      </c>
      <c r="L661" s="0" t="n">
        <v>133</v>
      </c>
      <c r="M661" s="0" t="n">
        <v>317.31</v>
      </c>
      <c r="N661" s="0" t="n">
        <v>30.04</v>
      </c>
      <c r="O661" s="0" t="n">
        <v>19.27</v>
      </c>
      <c r="P661" s="0" t="n">
        <v>3.85</v>
      </c>
      <c r="Q661" s="0" t="n">
        <v>3.8</v>
      </c>
      <c r="R661" s="0" t="n">
        <v>2341</v>
      </c>
      <c r="S661" s="0" t="n">
        <v>5711</v>
      </c>
      <c r="T661" s="0" t="n">
        <v>26.75</v>
      </c>
      <c r="U661" s="0" t="n">
        <v>942</v>
      </c>
      <c r="V661" s="0" t="n">
        <v>5</v>
      </c>
      <c r="W661" s="0" t="str">
        <f aca="false">IF(OR(AND(B661&gt;=1,B661&lt;=6),B661=10),"Vaca em lactação",IF(I661="Male","Macho",IF(E661&gt;=1,"Vaca seca",IF(I661="Youngstock","Bezerra/recria","Novilha"))))</f>
        <v>Vaca em lactação</v>
      </c>
      <c r="X661" s="0" t="str">
        <f aca="false">IF(AND(B661&gt;=1,B661&lt;=6),"Tanque",IF(B661=10,"Descarte",""))</f>
        <v>Tanque</v>
      </c>
    </row>
    <row r="662" customFormat="false" ht="15" hidden="false" customHeight="false" outlineLevel="0" collapsed="false">
      <c r="A662" s="22" t="n">
        <v>46309</v>
      </c>
      <c r="B662" s="0" t="n">
        <v>4</v>
      </c>
      <c r="C662" s="0" t="n">
        <v>5401</v>
      </c>
      <c r="D662" s="0" t="n">
        <v>297</v>
      </c>
      <c r="E662" s="0" t="n">
        <v>1</v>
      </c>
      <c r="F662" s="23" t="s">
        <v>553</v>
      </c>
      <c r="G662" s="0" t="n">
        <v>53.3</v>
      </c>
      <c r="H662" s="0" t="n">
        <v>49</v>
      </c>
      <c r="I662" s="23" t="s">
        <v>92</v>
      </c>
      <c r="J662" s="0" t="n">
        <v>122</v>
      </c>
      <c r="K662" s="0" t="n">
        <v>66</v>
      </c>
      <c r="L662" s="0" t="n">
        <v>175</v>
      </c>
      <c r="M662" s="0" t="n">
        <v>1694.28</v>
      </c>
      <c r="N662" s="0" t="n">
        <v>65.41</v>
      </c>
      <c r="O662" s="0" t="n">
        <v>55.36</v>
      </c>
      <c r="P662" s="0" t="n">
        <v>3.37</v>
      </c>
      <c r="Q662" s="0" t="n">
        <v>4.05</v>
      </c>
      <c r="R662" s="0" t="n">
        <v>4896</v>
      </c>
      <c r="S662" s="0" t="n">
        <v>10799</v>
      </c>
      <c r="T662" s="0" t="n">
        <v>52.4</v>
      </c>
      <c r="U662" s="0" t="n">
        <v>942</v>
      </c>
      <c r="V662" s="0" t="n">
        <v>3</v>
      </c>
      <c r="W662" s="0" t="str">
        <f aca="false">IF(OR(AND(B662&gt;=1,B662&lt;=6),B662=10),"Vaca em lactação",IF(I662="Male","Macho",IF(E662&gt;=1,"Vaca seca",IF(I662="Youngstock","Bezerra/recria","Novilha"))))</f>
        <v>Vaca em lactação</v>
      </c>
      <c r="X662" s="0" t="str">
        <f aca="false">IF(AND(B662&gt;=1,B662&lt;=6),"Tanque",IF(B662=10,"Descarte",""))</f>
        <v>Tanque</v>
      </c>
    </row>
    <row r="663" customFormat="false" ht="15" hidden="false" customHeight="false" outlineLevel="0" collapsed="false">
      <c r="A663" s="22" t="n">
        <v>46309</v>
      </c>
      <c r="B663" s="0" t="n">
        <v>4</v>
      </c>
      <c r="C663" s="0" t="n">
        <v>5367</v>
      </c>
      <c r="D663" s="0" t="n">
        <v>303</v>
      </c>
      <c r="E663" s="0" t="n">
        <v>1</v>
      </c>
      <c r="F663" s="23" t="s">
        <v>554</v>
      </c>
      <c r="G663" s="0" t="n">
        <v>50.1</v>
      </c>
      <c r="H663" s="0" t="n">
        <v>48</v>
      </c>
      <c r="I663" s="23" t="s">
        <v>97</v>
      </c>
      <c r="J663" s="0" t="n">
        <v>303</v>
      </c>
      <c r="K663" s="0" t="n">
        <v>65</v>
      </c>
      <c r="M663" s="0" t="n">
        <v>1250.69</v>
      </c>
      <c r="N663" s="0" t="n">
        <v>58.85</v>
      </c>
      <c r="O663" s="0" t="n">
        <v>53.74</v>
      </c>
      <c r="P663" s="0" t="n">
        <v>3.37</v>
      </c>
      <c r="Q663" s="0" t="n">
        <v>3.81</v>
      </c>
      <c r="R663" s="0" t="n">
        <v>4322</v>
      </c>
      <c r="S663" s="0" t="n">
        <v>9740</v>
      </c>
      <c r="T663" s="0" t="n">
        <v>46.45</v>
      </c>
      <c r="U663" s="0" t="n">
        <v>957</v>
      </c>
      <c r="V663" s="0" t="n">
        <v>10</v>
      </c>
      <c r="W663" s="0" t="str">
        <f aca="false">IF(OR(AND(B663&gt;=1,B663&lt;=6),B663=10),"Vaca em lactação",IF(I663="Male","Macho",IF(E663&gt;=1,"Vaca seca",IF(I663="Youngstock","Bezerra/recria","Novilha"))))</f>
        <v>Vaca em lactação</v>
      </c>
      <c r="X663" s="0" t="str">
        <f aca="false">IF(AND(B663&gt;=1,B663&lt;=6),"Tanque",IF(B663=10,"Descarte",""))</f>
        <v>Tanque</v>
      </c>
    </row>
    <row r="664" customFormat="false" ht="15" hidden="false" customHeight="false" outlineLevel="0" collapsed="false">
      <c r="A664" s="22" t="n">
        <v>46309</v>
      </c>
      <c r="B664" s="0" t="n">
        <v>4</v>
      </c>
      <c r="C664" s="0" t="n">
        <v>5372</v>
      </c>
      <c r="D664" s="0" t="n">
        <v>329</v>
      </c>
      <c r="E664" s="0" t="n">
        <v>1</v>
      </c>
      <c r="F664" s="23" t="s">
        <v>555</v>
      </c>
      <c r="G664" s="0" t="n">
        <v>46.2</v>
      </c>
      <c r="H664" s="0" t="n">
        <v>48</v>
      </c>
      <c r="I664" s="23" t="s">
        <v>92</v>
      </c>
      <c r="J664" s="0" t="n">
        <v>154</v>
      </c>
      <c r="K664" s="0" t="n">
        <v>70</v>
      </c>
      <c r="L664" s="0" t="n">
        <v>175</v>
      </c>
      <c r="M664" s="0" t="n">
        <v>819.71</v>
      </c>
      <c r="N664" s="0" t="n">
        <v>51.07</v>
      </c>
      <c r="O664" s="0" t="n">
        <v>30.74</v>
      </c>
      <c r="P664" s="0" t="n">
        <v>3.22</v>
      </c>
      <c r="Q664" s="0" t="n">
        <v>3.55</v>
      </c>
      <c r="R664" s="0" t="n">
        <v>3711</v>
      </c>
      <c r="S664" s="0" t="n">
        <v>8625</v>
      </c>
      <c r="T664" s="0" t="n">
        <v>41.8</v>
      </c>
      <c r="U664" s="0" t="n">
        <v>953</v>
      </c>
      <c r="V664" s="0" t="n">
        <v>3</v>
      </c>
      <c r="W664" s="0" t="str">
        <f aca="false">IF(OR(AND(B664&gt;=1,B664&lt;=6),B664=10),"Vaca em lactação",IF(I664="Male","Macho",IF(E664&gt;=1,"Vaca seca",IF(I664="Youngstock","Bezerra/recria","Novilha"))))</f>
        <v>Vaca em lactação</v>
      </c>
      <c r="X664" s="0" t="str">
        <f aca="false">IF(AND(B664&gt;=1,B664&lt;=6),"Tanque",IF(B664=10,"Descarte",""))</f>
        <v>Tanque</v>
      </c>
    </row>
    <row r="665" customFormat="false" ht="15" hidden="false" customHeight="false" outlineLevel="0" collapsed="false">
      <c r="A665" s="22" t="n">
        <v>46309</v>
      </c>
      <c r="B665" s="0" t="n">
        <v>4</v>
      </c>
      <c r="C665" s="0" t="n">
        <v>5370</v>
      </c>
      <c r="D665" s="0" t="n">
        <v>259</v>
      </c>
      <c r="E665" s="0" t="n">
        <v>1</v>
      </c>
      <c r="F665" s="23" t="s">
        <v>556</v>
      </c>
      <c r="G665" s="0" t="n">
        <v>42</v>
      </c>
      <c r="H665" s="0" t="n">
        <v>42</v>
      </c>
      <c r="I665" s="23" t="s">
        <v>92</v>
      </c>
      <c r="J665" s="0" t="n">
        <v>109</v>
      </c>
      <c r="K665" s="0" t="n">
        <v>63</v>
      </c>
      <c r="L665" s="0" t="n">
        <v>150</v>
      </c>
      <c r="M665" s="0" t="n">
        <v>557.34</v>
      </c>
      <c r="N665" s="0" t="n">
        <v>38.41</v>
      </c>
      <c r="O665" s="0" t="n">
        <v>23.91</v>
      </c>
      <c r="P665" s="0" t="n">
        <v>4</v>
      </c>
      <c r="Q665" s="0" t="n">
        <v>3.43</v>
      </c>
      <c r="R665" s="0" t="n">
        <v>4281</v>
      </c>
      <c r="S665" s="0" t="n">
        <v>8964</v>
      </c>
      <c r="T665" s="0" t="n">
        <v>42.5</v>
      </c>
      <c r="U665" s="0" t="n">
        <v>954</v>
      </c>
      <c r="V665" s="0" t="n">
        <v>3</v>
      </c>
      <c r="W665" s="0" t="str">
        <f aca="false">IF(OR(AND(B665&gt;=1,B665&lt;=6),B665=10),"Vaca em lactação",IF(I665="Male","Macho",IF(E665&gt;=1,"Vaca seca",IF(I665="Youngstock","Bezerra/recria","Novilha"))))</f>
        <v>Vaca em lactação</v>
      </c>
      <c r="X665" s="0" t="str">
        <f aca="false">IF(AND(B665&gt;=1,B665&lt;=6),"Tanque",IF(B665=10,"Descarte",""))</f>
        <v>Tanque</v>
      </c>
    </row>
    <row r="666" customFormat="false" ht="15" hidden="false" customHeight="false" outlineLevel="0" collapsed="false">
      <c r="A666" s="22" t="n">
        <v>46309</v>
      </c>
      <c r="B666" s="0" t="n">
        <v>4</v>
      </c>
      <c r="C666" s="0" t="n">
        <v>5369</v>
      </c>
      <c r="D666" s="0" t="n">
        <v>329</v>
      </c>
      <c r="E666" s="0" t="n">
        <v>1</v>
      </c>
      <c r="F666" s="23" t="s">
        <v>556</v>
      </c>
      <c r="G666" s="0" t="n">
        <v>3.5</v>
      </c>
      <c r="H666" s="0" t="n">
        <v>28</v>
      </c>
      <c r="I666" s="23" t="s">
        <v>92</v>
      </c>
      <c r="J666" s="0" t="n">
        <v>161</v>
      </c>
      <c r="K666" s="0" t="n">
        <v>63</v>
      </c>
      <c r="L666" s="0" t="n">
        <v>168</v>
      </c>
      <c r="M666" s="0" t="n">
        <v>1136.93</v>
      </c>
      <c r="N666" s="0" t="n">
        <v>54.96</v>
      </c>
      <c r="O666" s="0" t="n">
        <v>43.91</v>
      </c>
      <c r="P666" s="0" t="n">
        <v>3.15</v>
      </c>
      <c r="Q666" s="0" t="n">
        <v>3.58</v>
      </c>
      <c r="R666" s="0" t="n">
        <v>5261</v>
      </c>
      <c r="S666" s="0" t="n">
        <v>11457</v>
      </c>
      <c r="T666" s="0" t="n">
        <v>60.4</v>
      </c>
      <c r="U666" s="0" t="n">
        <v>954</v>
      </c>
      <c r="V666" s="0" t="n">
        <v>5</v>
      </c>
      <c r="W666" s="0" t="str">
        <f aca="false">IF(OR(AND(B666&gt;=1,B666&lt;=6),B666=10),"Vaca em lactação",IF(I666="Male","Macho",IF(E666&gt;=1,"Vaca seca",IF(I666="Youngstock","Bezerra/recria","Novilha"))))</f>
        <v>Vaca em lactação</v>
      </c>
      <c r="X666" s="0" t="str">
        <f aca="false">IF(AND(B666&gt;=1,B666&lt;=6),"Tanque",IF(B666=10,"Descarte",""))</f>
        <v>Tanque</v>
      </c>
    </row>
    <row r="667" customFormat="false" ht="15" hidden="false" customHeight="false" outlineLevel="0" collapsed="false">
      <c r="A667" s="22" t="n">
        <v>46309</v>
      </c>
      <c r="B667" s="0" t="n">
        <v>4</v>
      </c>
      <c r="C667" s="0" t="n">
        <v>5368</v>
      </c>
      <c r="D667" s="0" t="n">
        <v>336</v>
      </c>
      <c r="E667" s="0" t="n">
        <v>1</v>
      </c>
      <c r="F667" s="23" t="s">
        <v>557</v>
      </c>
      <c r="G667" s="0" t="n">
        <v>44.9</v>
      </c>
      <c r="H667" s="0" t="n">
        <v>47</v>
      </c>
      <c r="I667" s="23" t="s">
        <v>92</v>
      </c>
      <c r="J667" s="0" t="n">
        <v>210</v>
      </c>
      <c r="K667" s="0" t="n">
        <v>77</v>
      </c>
      <c r="L667" s="0" t="n">
        <v>126</v>
      </c>
      <c r="M667" s="0" t="n">
        <v>829.7</v>
      </c>
      <c r="N667" s="0" t="n">
        <v>22.72</v>
      </c>
      <c r="O667" s="0" t="n">
        <v>23.91</v>
      </c>
      <c r="P667" s="0" t="n">
        <v>2.64</v>
      </c>
      <c r="Q667" s="0" t="n">
        <v>3.8</v>
      </c>
      <c r="R667" s="0" t="n">
        <v>4660</v>
      </c>
      <c r="S667" s="0" t="n">
        <v>10446</v>
      </c>
      <c r="T667" s="0" t="n">
        <v>50.65</v>
      </c>
      <c r="U667" s="0" t="n">
        <v>955</v>
      </c>
      <c r="V667" s="0" t="n">
        <v>6</v>
      </c>
      <c r="W667" s="0" t="str">
        <f aca="false">IF(OR(AND(B667&gt;=1,B667&lt;=6),B667=10),"Vaca em lactação",IF(I667="Male","Macho",IF(E667&gt;=1,"Vaca seca",IF(I667="Youngstock","Bezerra/recria","Novilha"))))</f>
        <v>Vaca em lactação</v>
      </c>
      <c r="X667" s="0" t="str">
        <f aca="false">IF(AND(B667&gt;=1,B667&lt;=6),"Tanque",IF(B667=10,"Descarte",""))</f>
        <v>Tanque</v>
      </c>
    </row>
    <row r="668" customFormat="false" ht="15" hidden="false" customHeight="false" outlineLevel="0" collapsed="false">
      <c r="A668" s="22" t="n">
        <v>46309</v>
      </c>
      <c r="B668" s="0" t="n">
        <v>4</v>
      </c>
      <c r="C668" s="0" t="n">
        <v>5378</v>
      </c>
      <c r="D668" s="0" t="n">
        <v>329</v>
      </c>
      <c r="E668" s="0" t="n">
        <v>1</v>
      </c>
      <c r="F668" s="23" t="s">
        <v>558</v>
      </c>
      <c r="G668" s="0" t="n">
        <v>44.4</v>
      </c>
      <c r="H668" s="0" t="n">
        <v>43</v>
      </c>
      <c r="I668" s="23" t="s">
        <v>92</v>
      </c>
      <c r="J668" s="0" t="n">
        <v>196</v>
      </c>
      <c r="K668" s="0" t="n">
        <v>63</v>
      </c>
      <c r="L668" s="0" t="n">
        <v>133</v>
      </c>
      <c r="M668" s="0" t="n">
        <v>67.17</v>
      </c>
      <c r="N668" s="0" t="n">
        <v>34.64</v>
      </c>
      <c r="O668" s="0" t="n">
        <v>9.67</v>
      </c>
      <c r="P668" s="0" t="n">
        <v>2.75</v>
      </c>
      <c r="Q668" s="0" t="n">
        <v>3.28</v>
      </c>
      <c r="R668" s="0" t="n">
        <v>4366</v>
      </c>
      <c r="S668" s="0" t="n">
        <v>8795</v>
      </c>
      <c r="T668" s="0" t="n">
        <v>53.1</v>
      </c>
      <c r="U668" s="0" t="n">
        <v>951</v>
      </c>
      <c r="V668" s="0" t="n">
        <v>5</v>
      </c>
      <c r="W668" s="0" t="str">
        <f aca="false">IF(OR(AND(B668&gt;=1,B668&lt;=6),B668=10),"Vaca em lactação",IF(I668="Male","Macho",IF(E668&gt;=1,"Vaca seca",IF(I668="Youngstock","Bezerra/recria","Novilha"))))</f>
        <v>Vaca em lactação</v>
      </c>
      <c r="X668" s="0" t="str">
        <f aca="false">IF(AND(B668&gt;=1,B668&lt;=6),"Tanque",IF(B668=10,"Descarte",""))</f>
        <v>Tanque</v>
      </c>
    </row>
    <row r="669" customFormat="false" ht="15" hidden="false" customHeight="false" outlineLevel="0" collapsed="false">
      <c r="A669" s="22" t="n">
        <v>46309</v>
      </c>
      <c r="B669" s="0" t="n">
        <v>4</v>
      </c>
      <c r="C669" s="0" t="n">
        <v>5377</v>
      </c>
      <c r="D669" s="0" t="n">
        <v>189</v>
      </c>
      <c r="E669" s="0" t="n">
        <v>1</v>
      </c>
      <c r="F669" s="23" t="s">
        <v>558</v>
      </c>
      <c r="G669" s="0" t="n">
        <v>49.3</v>
      </c>
      <c r="H669" s="0" t="n">
        <v>50</v>
      </c>
      <c r="I669" s="23" t="s">
        <v>92</v>
      </c>
      <c r="J669" s="0" t="n">
        <v>63</v>
      </c>
      <c r="K669" s="0" t="n">
        <v>63</v>
      </c>
      <c r="L669" s="0" t="n">
        <v>126</v>
      </c>
      <c r="M669" s="0" t="n">
        <v>836.58</v>
      </c>
      <c r="N669" s="0" t="n">
        <v>18.49</v>
      </c>
      <c r="O669" s="0" t="n">
        <v>37.43</v>
      </c>
      <c r="P669" s="0" t="n">
        <v>2.75</v>
      </c>
      <c r="Q669" s="0" t="n">
        <v>3.34</v>
      </c>
      <c r="R669" s="0" t="n">
        <v>4466</v>
      </c>
      <c r="S669" s="0" t="n">
        <v>9748</v>
      </c>
      <c r="T669" s="0" t="n">
        <v>47.6</v>
      </c>
      <c r="U669" s="0" t="n">
        <v>951</v>
      </c>
      <c r="V669" s="0" t="n">
        <v>1</v>
      </c>
      <c r="W669" s="0" t="str">
        <f aca="false">IF(OR(AND(B669&gt;=1,B669&lt;=6),B669=10),"Vaca em lactação",IF(I669="Male","Macho",IF(E669&gt;=1,"Vaca seca",IF(I669="Youngstock","Bezerra/recria","Novilha"))))</f>
        <v>Vaca em lactação</v>
      </c>
      <c r="X669" s="0" t="str">
        <f aca="false">IF(AND(B669&gt;=1,B669&lt;=6),"Tanque",IF(B669=10,"Descarte",""))</f>
        <v>Tanque</v>
      </c>
    </row>
    <row r="670" customFormat="false" ht="15" hidden="false" customHeight="false" outlineLevel="0" collapsed="false">
      <c r="A670" s="22" t="n">
        <v>46309</v>
      </c>
      <c r="B670" s="0" t="n">
        <v>4</v>
      </c>
      <c r="C670" s="0" t="n">
        <v>5374</v>
      </c>
      <c r="D670" s="0" t="n">
        <v>238</v>
      </c>
      <c r="E670" s="0" t="n">
        <v>1</v>
      </c>
      <c r="F670" s="23" t="s">
        <v>555</v>
      </c>
      <c r="G670" s="0" t="n">
        <v>57.9</v>
      </c>
      <c r="H670" s="0" t="n">
        <v>60</v>
      </c>
      <c r="I670" s="23" t="s">
        <v>92</v>
      </c>
      <c r="J670" s="0" t="n">
        <v>122</v>
      </c>
      <c r="K670" s="0" t="n">
        <v>63</v>
      </c>
      <c r="L670" s="0" t="n">
        <v>116</v>
      </c>
      <c r="M670" s="0" t="n">
        <v>1765.5</v>
      </c>
      <c r="N670" s="0" t="n">
        <v>46.76</v>
      </c>
      <c r="O670" s="0" t="n">
        <v>51.19</v>
      </c>
      <c r="P670" s="0" t="n">
        <v>4.18</v>
      </c>
      <c r="Q670" s="0" t="n">
        <v>3.53</v>
      </c>
      <c r="R670" s="0" t="n">
        <v>4302</v>
      </c>
      <c r="S670" s="0" t="n">
        <v>10842</v>
      </c>
      <c r="T670" s="0" t="n">
        <v>47.3</v>
      </c>
      <c r="U670" s="0" t="n">
        <v>953</v>
      </c>
      <c r="V670" s="0" t="n">
        <v>3</v>
      </c>
      <c r="W670" s="0" t="str">
        <f aca="false">IF(OR(AND(B670&gt;=1,B670&lt;=6),B670=10),"Vaca em lactação",IF(I670="Male","Macho",IF(E670&gt;=1,"Vaca seca",IF(I670="Youngstock","Bezerra/recria","Novilha"))))</f>
        <v>Vaca em lactação</v>
      </c>
      <c r="X670" s="0" t="str">
        <f aca="false">IF(AND(B670&gt;=1,B670&lt;=6),"Tanque",IF(B670=10,"Descarte",""))</f>
        <v>Tanque</v>
      </c>
    </row>
    <row r="671" customFormat="false" ht="15" hidden="false" customHeight="false" outlineLevel="0" collapsed="false">
      <c r="A671" s="22" t="n">
        <v>46309</v>
      </c>
      <c r="B671" s="0" t="n">
        <v>4</v>
      </c>
      <c r="C671" s="0" t="n">
        <v>5383</v>
      </c>
      <c r="D671" s="0" t="n">
        <v>311</v>
      </c>
      <c r="E671" s="0" t="n">
        <v>1</v>
      </c>
      <c r="F671" s="23" t="s">
        <v>559</v>
      </c>
      <c r="G671" s="0" t="n">
        <v>44.2</v>
      </c>
      <c r="H671" s="0" t="n">
        <v>45</v>
      </c>
      <c r="I671" s="23" t="s">
        <v>92</v>
      </c>
      <c r="J671" s="0" t="n">
        <v>101</v>
      </c>
      <c r="K671" s="0" t="n">
        <v>66</v>
      </c>
      <c r="L671" s="0" t="n">
        <v>210</v>
      </c>
      <c r="M671" s="0" t="n">
        <v>324.93</v>
      </c>
      <c r="N671" s="0" t="n">
        <v>29.43</v>
      </c>
      <c r="O671" s="0" t="n">
        <v>17.03</v>
      </c>
      <c r="P671" s="0" t="n">
        <v>3.79</v>
      </c>
      <c r="Q671" s="0" t="n">
        <v>3.51</v>
      </c>
      <c r="R671" s="0" t="n">
        <v>3800</v>
      </c>
      <c r="S671" s="0" t="n">
        <v>8373</v>
      </c>
      <c r="T671" s="0" t="n">
        <v>41.6</v>
      </c>
      <c r="U671" s="0" t="n">
        <v>949</v>
      </c>
      <c r="V671" s="0" t="n">
        <v>2</v>
      </c>
      <c r="W671" s="0" t="str">
        <f aca="false">IF(OR(AND(B671&gt;=1,B671&lt;=6),B671=10),"Vaca em lactação",IF(I671="Male","Macho",IF(E671&gt;=1,"Vaca seca",IF(I671="Youngstock","Bezerra/recria","Novilha"))))</f>
        <v>Vaca em lactação</v>
      </c>
      <c r="X671" s="0" t="str">
        <f aca="false">IF(AND(B671&gt;=1,B671&lt;=6),"Tanque",IF(B671=10,"Descarte",""))</f>
        <v>Tanque</v>
      </c>
    </row>
    <row r="672" customFormat="false" ht="15" hidden="false" customHeight="false" outlineLevel="0" collapsed="false">
      <c r="A672" s="22" t="n">
        <v>46309</v>
      </c>
      <c r="B672" s="0" t="n">
        <v>4</v>
      </c>
      <c r="C672" s="0" t="n">
        <v>5426</v>
      </c>
      <c r="D672" s="0" t="n">
        <v>273</v>
      </c>
      <c r="E672" s="0" t="n">
        <v>1</v>
      </c>
      <c r="F672" s="23" t="s">
        <v>560</v>
      </c>
      <c r="G672" s="0" t="n">
        <v>29.3</v>
      </c>
      <c r="H672" s="0" t="n">
        <v>29</v>
      </c>
      <c r="I672" s="23" t="s">
        <v>92</v>
      </c>
      <c r="J672" s="0" t="n">
        <v>63</v>
      </c>
      <c r="K672" s="0" t="n">
        <v>63</v>
      </c>
      <c r="L672" s="0" t="n">
        <v>210</v>
      </c>
      <c r="M672" s="0" t="n">
        <v>836.45</v>
      </c>
      <c r="N672" s="0" t="n">
        <v>44.36</v>
      </c>
      <c r="O672" s="0" t="n">
        <v>23.32</v>
      </c>
      <c r="P672" s="0" t="n">
        <v>5.28</v>
      </c>
      <c r="Q672" s="0" t="n">
        <v>2.9</v>
      </c>
      <c r="R672" s="0" t="n">
        <v>4123</v>
      </c>
      <c r="S672" s="0" t="n">
        <v>9081</v>
      </c>
      <c r="T672" s="0" t="n">
        <v>43.7</v>
      </c>
      <c r="U672" s="0" t="n">
        <v>931</v>
      </c>
      <c r="V672" s="0" t="n">
        <v>1</v>
      </c>
      <c r="W672" s="0" t="str">
        <f aca="false">IF(OR(AND(B672&gt;=1,B672&lt;=6),B672=10),"Vaca em lactação",IF(I672="Male","Macho",IF(E672&gt;=1,"Vaca seca",IF(I672="Youngstock","Bezerra/recria","Novilha"))))</f>
        <v>Vaca em lactação</v>
      </c>
      <c r="X672" s="0" t="str">
        <f aca="false">IF(AND(B672&gt;=1,B672&lt;=6),"Tanque",IF(B672=10,"Descarte",""))</f>
        <v>Tanque</v>
      </c>
    </row>
    <row r="673" customFormat="false" ht="15" hidden="false" customHeight="false" outlineLevel="0" collapsed="false">
      <c r="A673" s="22" t="n">
        <v>46309</v>
      </c>
      <c r="B673" s="0" t="n">
        <v>4</v>
      </c>
      <c r="C673" s="0" t="n">
        <v>5425</v>
      </c>
      <c r="D673" s="0" t="n">
        <v>144</v>
      </c>
      <c r="E673" s="0" t="n">
        <v>1</v>
      </c>
      <c r="F673" s="23" t="s">
        <v>560</v>
      </c>
      <c r="G673" s="0" t="n">
        <v>29.8</v>
      </c>
      <c r="H673" s="0" t="n">
        <v>32</v>
      </c>
      <c r="I673" s="23" t="s">
        <v>97</v>
      </c>
      <c r="J673" s="0" t="n">
        <v>144</v>
      </c>
      <c r="K673" s="0" t="n">
        <v>67</v>
      </c>
      <c r="M673" s="0" t="n">
        <v>929.8</v>
      </c>
      <c r="N673" s="0" t="n">
        <v>27.36</v>
      </c>
      <c r="O673" s="0" t="n">
        <v>33.04</v>
      </c>
      <c r="P673" s="0" t="n">
        <v>3.04</v>
      </c>
      <c r="Q673" s="0" t="n">
        <v>3.15</v>
      </c>
      <c r="R673" s="0" t="n">
        <v>2867</v>
      </c>
      <c r="S673" s="0" t="n">
        <v>5975</v>
      </c>
      <c r="T673" s="0" t="n">
        <v>32.65</v>
      </c>
      <c r="U673" s="0" t="n">
        <v>931</v>
      </c>
      <c r="V673" s="0" t="n">
        <v>3</v>
      </c>
      <c r="W673" s="0" t="str">
        <f aca="false">IF(OR(AND(B673&gt;=1,B673&lt;=6),B673=10),"Vaca em lactação",IF(I673="Male","Macho",IF(E673&gt;=1,"Vaca seca",IF(I673="Youngstock","Bezerra/recria","Novilha"))))</f>
        <v>Vaca em lactação</v>
      </c>
      <c r="X673" s="0" t="str">
        <f aca="false">IF(AND(B673&gt;=1,B673&lt;=6),"Tanque",IF(B673=10,"Descarte",""))</f>
        <v>Tanque</v>
      </c>
    </row>
    <row r="674" customFormat="false" ht="15" hidden="false" customHeight="false" outlineLevel="0" collapsed="false">
      <c r="A674" s="22" t="n">
        <v>46309</v>
      </c>
      <c r="B674" s="0" t="n">
        <v>4</v>
      </c>
      <c r="C674" s="0" t="n">
        <v>5424</v>
      </c>
      <c r="D674" s="0" t="n">
        <v>250</v>
      </c>
      <c r="E674" s="0" t="n">
        <v>1</v>
      </c>
      <c r="F674" s="23" t="s">
        <v>561</v>
      </c>
      <c r="G674" s="0" t="n">
        <v>34.9</v>
      </c>
      <c r="H674" s="0" t="n">
        <v>37</v>
      </c>
      <c r="I674" s="23" t="s">
        <v>92</v>
      </c>
      <c r="J674" s="0" t="n">
        <v>208</v>
      </c>
      <c r="K674" s="0" t="n">
        <v>68</v>
      </c>
      <c r="L674" s="0" t="n">
        <v>42</v>
      </c>
      <c r="M674" s="0" t="n">
        <v>142.64</v>
      </c>
      <c r="N674" s="0" t="n">
        <v>50.94</v>
      </c>
      <c r="O674" s="0" t="n">
        <v>21.6</v>
      </c>
      <c r="P674" s="0" t="n">
        <v>4.08</v>
      </c>
      <c r="Q674" s="0" t="n">
        <v>3.49</v>
      </c>
      <c r="R674" s="0" t="n">
        <v>3400</v>
      </c>
      <c r="S674" s="0" t="n">
        <v>8307</v>
      </c>
      <c r="T674" s="0" t="n">
        <v>35.5</v>
      </c>
      <c r="U674" s="0" t="n">
        <v>932</v>
      </c>
      <c r="V674" s="0" t="n">
        <v>4</v>
      </c>
      <c r="W674" s="0" t="str">
        <f aca="false">IF(OR(AND(B674&gt;=1,B674&lt;=6),B674=10),"Vaca em lactação",IF(I674="Male","Macho",IF(E674&gt;=1,"Vaca seca",IF(I674="Youngstock","Bezerra/recria","Novilha"))))</f>
        <v>Vaca em lactação</v>
      </c>
      <c r="X674" s="0" t="str">
        <f aca="false">IF(AND(B674&gt;=1,B674&lt;=6),"Tanque",IF(B674=10,"Descarte",""))</f>
        <v>Tanque</v>
      </c>
    </row>
    <row r="675" customFormat="false" ht="15" hidden="false" customHeight="false" outlineLevel="0" collapsed="false">
      <c r="A675" s="22" t="n">
        <v>46309</v>
      </c>
      <c r="B675" s="0" t="n">
        <v>4</v>
      </c>
      <c r="C675" s="0" t="n">
        <v>5429</v>
      </c>
      <c r="D675" s="0" t="n">
        <v>258</v>
      </c>
      <c r="E675" s="0" t="n">
        <v>1</v>
      </c>
      <c r="F675" s="23" t="s">
        <v>562</v>
      </c>
      <c r="G675" s="0" t="n">
        <v>32.1</v>
      </c>
      <c r="H675" s="0" t="n">
        <v>38</v>
      </c>
      <c r="I675" s="23" t="s">
        <v>92</v>
      </c>
      <c r="J675" s="0" t="n">
        <v>146</v>
      </c>
      <c r="K675" s="0" t="n">
        <v>73</v>
      </c>
      <c r="L675" s="0" t="n">
        <v>112</v>
      </c>
      <c r="M675" s="0" t="n">
        <v>155.74</v>
      </c>
      <c r="N675" s="0" t="n">
        <v>18.76</v>
      </c>
      <c r="O675" s="0" t="n">
        <v>22.47</v>
      </c>
      <c r="P675" s="0" t="n">
        <v>3.71</v>
      </c>
      <c r="Q675" s="0" t="n">
        <v>3.87</v>
      </c>
      <c r="R675" s="0" t="n">
        <v>3107</v>
      </c>
      <c r="S675" s="0" t="n">
        <v>7368</v>
      </c>
      <c r="T675" s="0" t="n">
        <v>32.3</v>
      </c>
      <c r="U675" s="0" t="n">
        <v>930</v>
      </c>
      <c r="V675" s="0" t="n">
        <v>3</v>
      </c>
      <c r="W675" s="0" t="str">
        <f aca="false">IF(OR(AND(B675&gt;=1,B675&lt;=6),B675=10),"Vaca em lactação",IF(I675="Male","Macho",IF(E675&gt;=1,"Vaca seca",IF(I675="Youngstock","Bezerra/recria","Novilha"))))</f>
        <v>Vaca em lactação</v>
      </c>
      <c r="X675" s="0" t="str">
        <f aca="false">IF(AND(B675&gt;=1,B675&lt;=6),"Tanque",IF(B675=10,"Descarte",""))</f>
        <v>Tanque</v>
      </c>
    </row>
    <row r="676" customFormat="false" ht="15" hidden="false" customHeight="false" outlineLevel="0" collapsed="false">
      <c r="A676" s="22" t="n">
        <v>46309</v>
      </c>
      <c r="B676" s="0" t="n">
        <v>4</v>
      </c>
      <c r="C676" s="0" t="n">
        <v>5430</v>
      </c>
      <c r="D676" s="0" t="n">
        <v>184</v>
      </c>
      <c r="E676" s="0" t="n">
        <v>1</v>
      </c>
      <c r="F676" s="23" t="s">
        <v>562</v>
      </c>
      <c r="G676" s="0" t="n">
        <v>48.4</v>
      </c>
      <c r="H676" s="0" t="n">
        <v>46</v>
      </c>
      <c r="I676" s="23" t="s">
        <v>92</v>
      </c>
      <c r="J676" s="0" t="n">
        <v>65</v>
      </c>
      <c r="K676" s="0" t="n">
        <v>65</v>
      </c>
      <c r="L676" s="0" t="n">
        <v>119</v>
      </c>
      <c r="M676" s="0" t="n">
        <v>732.78</v>
      </c>
      <c r="N676" s="0" t="n">
        <v>74.15</v>
      </c>
      <c r="O676" s="0" t="n">
        <v>39.61</v>
      </c>
      <c r="P676" s="0" t="n">
        <v>3.67</v>
      </c>
      <c r="Q676" s="0" t="n">
        <v>3.7</v>
      </c>
      <c r="R676" s="0" t="n">
        <v>4119</v>
      </c>
      <c r="S676" s="0" t="n">
        <v>9128</v>
      </c>
      <c r="T676" s="0" t="n">
        <v>42.25</v>
      </c>
      <c r="U676" s="0" t="n">
        <v>930</v>
      </c>
      <c r="V676" s="0" t="n">
        <v>1</v>
      </c>
      <c r="W676" s="0" t="str">
        <f aca="false">IF(OR(AND(B676&gt;=1,B676&lt;=6),B676=10),"Vaca em lactação",IF(I676="Male","Macho",IF(E676&gt;=1,"Vaca seca",IF(I676="Youngstock","Bezerra/recria","Novilha"))))</f>
        <v>Vaca em lactação</v>
      </c>
      <c r="X676" s="0" t="str">
        <f aca="false">IF(AND(B676&gt;=1,B676&lt;=6),"Tanque",IF(B676=10,"Descarte",""))</f>
        <v>Tanque</v>
      </c>
    </row>
    <row r="677" customFormat="false" ht="15" hidden="false" customHeight="false" outlineLevel="0" collapsed="false">
      <c r="A677" s="22" t="n">
        <v>46309</v>
      </c>
      <c r="B677" s="0" t="n">
        <v>4</v>
      </c>
      <c r="C677" s="0" t="n">
        <v>5442</v>
      </c>
      <c r="D677" s="0" t="n">
        <v>266</v>
      </c>
      <c r="E677" s="0" t="n">
        <v>1</v>
      </c>
      <c r="F677" s="23" t="s">
        <v>563</v>
      </c>
      <c r="G677" s="0" t="n">
        <v>45.1</v>
      </c>
      <c r="H677" s="0" t="n">
        <v>46</v>
      </c>
      <c r="I677" s="23" t="s">
        <v>92</v>
      </c>
      <c r="J677" s="0" t="n">
        <v>98</v>
      </c>
      <c r="K677" s="0" t="n">
        <v>63</v>
      </c>
      <c r="L677" s="0" t="n">
        <v>168</v>
      </c>
      <c r="M677" s="0" t="n">
        <v>281.41</v>
      </c>
      <c r="N677" s="0" t="n">
        <v>39.24</v>
      </c>
      <c r="O677" s="0" t="n">
        <v>20.39</v>
      </c>
      <c r="P677" s="0" t="n">
        <v>4.43</v>
      </c>
      <c r="Q677" s="0" t="n">
        <v>3.48</v>
      </c>
      <c r="R677" s="0" t="n">
        <v>4357</v>
      </c>
      <c r="S677" s="0" t="n">
        <v>10148</v>
      </c>
      <c r="T677" s="0" t="n">
        <v>47.4</v>
      </c>
      <c r="U677" s="0" t="n">
        <v>927</v>
      </c>
      <c r="V677" s="0" t="n">
        <v>2</v>
      </c>
      <c r="W677" s="0" t="str">
        <f aca="false">IF(OR(AND(B677&gt;=1,B677&lt;=6),B677=10),"Vaca em lactação",IF(I677="Male","Macho",IF(E677&gt;=1,"Vaca seca",IF(I677="Youngstock","Bezerra/recria","Novilha"))))</f>
        <v>Vaca em lactação</v>
      </c>
      <c r="X677" s="0" t="str">
        <f aca="false">IF(AND(B677&gt;=1,B677&lt;=6),"Tanque",IF(B677=10,"Descarte",""))</f>
        <v>Tanque</v>
      </c>
    </row>
    <row r="678" customFormat="false" ht="15" hidden="false" customHeight="false" outlineLevel="0" collapsed="false">
      <c r="A678" s="22" t="n">
        <v>46309</v>
      </c>
      <c r="B678" s="0" t="n">
        <v>4</v>
      </c>
      <c r="C678" s="0" t="n">
        <v>5437</v>
      </c>
      <c r="D678" s="0" t="n">
        <v>267</v>
      </c>
      <c r="E678" s="0" t="n">
        <v>1</v>
      </c>
      <c r="F678" s="23" t="s">
        <v>564</v>
      </c>
      <c r="G678" s="0" t="n">
        <v>45.1</v>
      </c>
      <c r="H678" s="0" t="n">
        <v>45</v>
      </c>
      <c r="I678" s="23" t="s">
        <v>92</v>
      </c>
      <c r="J678" s="0" t="n">
        <v>134</v>
      </c>
      <c r="K678" s="0" t="n">
        <v>85</v>
      </c>
      <c r="L678" s="0" t="n">
        <v>133</v>
      </c>
      <c r="M678" s="0" t="n">
        <v>688.57</v>
      </c>
      <c r="N678" s="0" t="n">
        <v>78.59</v>
      </c>
      <c r="O678" s="0" t="n">
        <v>40.82</v>
      </c>
      <c r="P678" s="0" t="n">
        <v>3.53</v>
      </c>
      <c r="Q678" s="0" t="n">
        <v>3.77</v>
      </c>
      <c r="R678" s="0" t="n">
        <v>4434</v>
      </c>
      <c r="S678" s="0" t="n">
        <v>8837</v>
      </c>
      <c r="T678" s="0" t="n">
        <v>45.35</v>
      </c>
      <c r="U678" s="0" t="n">
        <v>928</v>
      </c>
      <c r="V678" s="0" t="n">
        <v>2</v>
      </c>
      <c r="W678" s="0" t="str">
        <f aca="false">IF(OR(AND(B678&gt;=1,B678&lt;=6),B678=10),"Vaca em lactação",IF(I678="Male","Macho",IF(E678&gt;=1,"Vaca seca",IF(I678="Youngstock","Bezerra/recria","Novilha"))))</f>
        <v>Vaca em lactação</v>
      </c>
      <c r="X678" s="0" t="str">
        <f aca="false">IF(AND(B678&gt;=1,B678&lt;=6),"Tanque",IF(B678=10,"Descarte",""))</f>
        <v>Tanque</v>
      </c>
    </row>
    <row r="679" customFormat="false" ht="15" hidden="false" customHeight="false" outlineLevel="0" collapsed="false">
      <c r="A679" s="22" t="n">
        <v>46309</v>
      </c>
      <c r="B679" s="0" t="n">
        <v>4</v>
      </c>
      <c r="C679" s="0" t="n">
        <v>5408</v>
      </c>
      <c r="D679" s="0" t="n">
        <v>314</v>
      </c>
      <c r="E679" s="0" t="n">
        <v>1</v>
      </c>
      <c r="F679" s="23" t="s">
        <v>565</v>
      </c>
      <c r="G679" s="0" t="n">
        <v>53.5</v>
      </c>
      <c r="H679" s="0" t="n">
        <v>53</v>
      </c>
      <c r="I679" s="23" t="s">
        <v>92</v>
      </c>
      <c r="J679" s="0" t="n">
        <v>146</v>
      </c>
      <c r="K679" s="0" t="n">
        <v>69</v>
      </c>
      <c r="L679" s="0" t="n">
        <v>168</v>
      </c>
      <c r="M679" s="0" t="n">
        <v>1688.13</v>
      </c>
      <c r="N679" s="0" t="n">
        <v>66.35</v>
      </c>
      <c r="O679" s="0" t="n">
        <v>48.94</v>
      </c>
      <c r="P679" s="0" t="n">
        <v>3.19</v>
      </c>
      <c r="Q679" s="0" t="n">
        <v>3.37</v>
      </c>
      <c r="R679" s="0" t="n">
        <v>4384</v>
      </c>
      <c r="S679" s="0" t="n">
        <v>9588</v>
      </c>
      <c r="T679" s="0" t="n">
        <v>49.35</v>
      </c>
      <c r="U679" s="0" t="n">
        <v>939</v>
      </c>
      <c r="V679" s="0" t="n">
        <v>4</v>
      </c>
      <c r="W679" s="0" t="str">
        <f aca="false">IF(OR(AND(B679&gt;=1,B679&lt;=6),B679=10),"Vaca em lactação",IF(I679="Male","Macho",IF(E679&gt;=1,"Vaca seca",IF(I679="Youngstock","Bezerra/recria","Novilha"))))</f>
        <v>Vaca em lactação</v>
      </c>
      <c r="X679" s="0" t="str">
        <f aca="false">IF(AND(B679&gt;=1,B679&lt;=6),"Tanque",IF(B679=10,"Descarte",""))</f>
        <v>Tanque</v>
      </c>
    </row>
    <row r="680" customFormat="false" ht="15" hidden="false" customHeight="false" outlineLevel="0" collapsed="false">
      <c r="A680" s="22" t="n">
        <v>46309</v>
      </c>
      <c r="B680" s="0" t="n">
        <v>4</v>
      </c>
      <c r="C680" s="0" t="n">
        <v>5407</v>
      </c>
      <c r="D680" s="0" t="n">
        <v>279</v>
      </c>
      <c r="E680" s="0" t="n">
        <v>1</v>
      </c>
      <c r="F680" s="23" t="s">
        <v>566</v>
      </c>
      <c r="G680" s="0" t="n">
        <v>40.5</v>
      </c>
      <c r="H680" s="0" t="n">
        <v>41</v>
      </c>
      <c r="I680" s="23" t="s">
        <v>92</v>
      </c>
      <c r="J680" s="0" t="n">
        <v>69</v>
      </c>
      <c r="K680" s="0" t="n">
        <v>69</v>
      </c>
      <c r="L680" s="0" t="n">
        <v>210</v>
      </c>
      <c r="M680" s="0" t="n">
        <v>823.69</v>
      </c>
      <c r="N680" s="0" t="n">
        <v>69.94</v>
      </c>
      <c r="O680" s="0" t="n">
        <v>40.5</v>
      </c>
      <c r="P680" s="0" t="n">
        <v>4.27</v>
      </c>
      <c r="Q680" s="0" t="n">
        <v>3.73</v>
      </c>
      <c r="R680" s="0" t="n">
        <v>3724</v>
      </c>
      <c r="S680" s="0" t="n">
        <v>8377</v>
      </c>
      <c r="T680" s="0" t="n">
        <v>36.2</v>
      </c>
      <c r="U680" s="0" t="n">
        <v>940</v>
      </c>
      <c r="V680" s="0" t="n">
        <v>1</v>
      </c>
      <c r="W680" s="0" t="str">
        <f aca="false">IF(OR(AND(B680&gt;=1,B680&lt;=6),B680=10),"Vaca em lactação",IF(I680="Male","Macho",IF(E680&gt;=1,"Vaca seca",IF(I680="Youngstock","Bezerra/recria","Novilha"))))</f>
        <v>Vaca em lactação</v>
      </c>
      <c r="X680" s="0" t="str">
        <f aca="false">IF(AND(B680&gt;=1,B680&lt;=6),"Tanque",IF(B680=10,"Descarte",""))</f>
        <v>Tanque</v>
      </c>
    </row>
    <row r="681" customFormat="false" ht="15" hidden="false" customHeight="false" outlineLevel="0" collapsed="false">
      <c r="A681" s="22" t="n">
        <v>46309</v>
      </c>
      <c r="B681" s="0" t="n">
        <v>4</v>
      </c>
      <c r="C681" s="0" t="n">
        <v>5406</v>
      </c>
      <c r="D681" s="0" t="n">
        <v>259</v>
      </c>
      <c r="E681" s="0" t="n">
        <v>1</v>
      </c>
      <c r="F681" s="23" t="s">
        <v>566</v>
      </c>
      <c r="G681" s="0" t="n">
        <v>40.5</v>
      </c>
      <c r="H681" s="0" t="n">
        <v>42</v>
      </c>
      <c r="I681" s="23" t="s">
        <v>92</v>
      </c>
      <c r="J681" s="0" t="n">
        <v>133</v>
      </c>
      <c r="K681" s="0" t="n">
        <v>91</v>
      </c>
      <c r="L681" s="0" t="n">
        <v>126</v>
      </c>
      <c r="M681" s="0" t="n">
        <v>868.58</v>
      </c>
      <c r="N681" s="0" t="n">
        <v>26.75</v>
      </c>
      <c r="O681" s="0" t="n">
        <v>37.91</v>
      </c>
      <c r="P681" s="0" t="n">
        <v>3.53</v>
      </c>
      <c r="Q681" s="0" t="n">
        <v>3.65</v>
      </c>
      <c r="R681" s="0" t="n">
        <v>3714</v>
      </c>
      <c r="S681" s="0" t="n">
        <v>8307</v>
      </c>
      <c r="T681" s="0" t="n">
        <v>38.8</v>
      </c>
      <c r="U681" s="0" t="n">
        <v>940</v>
      </c>
      <c r="V681" s="0" t="n">
        <v>2</v>
      </c>
      <c r="W681" s="0" t="str">
        <f aca="false">IF(OR(AND(B681&gt;=1,B681&lt;=6),B681=10),"Vaca em lactação",IF(I681="Male","Macho",IF(E681&gt;=1,"Vaca seca",IF(I681="Youngstock","Bezerra/recria","Novilha"))))</f>
        <v>Vaca em lactação</v>
      </c>
      <c r="X681" s="0" t="str">
        <f aca="false">IF(AND(B681&gt;=1,B681&lt;=6),"Tanque",IF(B681=10,"Descarte",""))</f>
        <v>Tanque</v>
      </c>
    </row>
    <row r="682" customFormat="false" ht="15" hidden="false" customHeight="false" outlineLevel="0" collapsed="false">
      <c r="A682" s="22" t="n">
        <v>46309</v>
      </c>
      <c r="B682" s="0" t="n">
        <v>4</v>
      </c>
      <c r="C682" s="0" t="n">
        <v>5413</v>
      </c>
      <c r="D682" s="0" t="n">
        <v>313</v>
      </c>
      <c r="E682" s="0" t="n">
        <v>1</v>
      </c>
      <c r="F682" s="23" t="s">
        <v>567</v>
      </c>
      <c r="G682" s="0" t="n">
        <v>39.5</v>
      </c>
      <c r="H682" s="0" t="n">
        <v>39</v>
      </c>
      <c r="I682" s="23" t="s">
        <v>92</v>
      </c>
      <c r="J682" s="0" t="n">
        <v>111</v>
      </c>
      <c r="K682" s="0" t="n">
        <v>68</v>
      </c>
      <c r="L682" s="0" t="n">
        <v>202</v>
      </c>
      <c r="M682" s="0" t="n">
        <v>626.95</v>
      </c>
      <c r="N682" s="0" t="n">
        <v>80.51</v>
      </c>
      <c r="O682" s="0" t="n">
        <v>33.55</v>
      </c>
      <c r="P682" s="0" t="n">
        <v>3.53</v>
      </c>
      <c r="Q682" s="0" t="n">
        <v>3.81</v>
      </c>
      <c r="R682" s="0" t="n">
        <v>4160</v>
      </c>
      <c r="S682" s="0" t="n">
        <v>8583</v>
      </c>
      <c r="T682" s="0" t="n">
        <v>44.9</v>
      </c>
      <c r="U682" s="0" t="n">
        <v>936</v>
      </c>
      <c r="V682" s="0" t="n">
        <v>3</v>
      </c>
      <c r="W682" s="0" t="str">
        <f aca="false">IF(OR(AND(B682&gt;=1,B682&lt;=6),B682=10),"Vaca em lactação",IF(I682="Male","Macho",IF(E682&gt;=1,"Vaca seca",IF(I682="Youngstock","Bezerra/recria","Novilha"))))</f>
        <v>Vaca em lactação</v>
      </c>
      <c r="X682" s="0" t="str">
        <f aca="false">IF(AND(B682&gt;=1,B682&lt;=6),"Tanque",IF(B682=10,"Descarte",""))</f>
        <v>Tanque</v>
      </c>
    </row>
    <row r="683" customFormat="false" ht="15" hidden="false" customHeight="false" outlineLevel="0" collapsed="false">
      <c r="A683" s="22" t="n">
        <v>46309</v>
      </c>
      <c r="B683" s="0" t="n">
        <v>4</v>
      </c>
      <c r="C683" s="0" t="n">
        <v>5412</v>
      </c>
      <c r="D683" s="0" t="n">
        <v>315</v>
      </c>
      <c r="E683" s="0" t="n">
        <v>1</v>
      </c>
      <c r="F683" s="23" t="s">
        <v>568</v>
      </c>
      <c r="G683" s="0" t="n">
        <v>51.4</v>
      </c>
      <c r="H683" s="0" t="n">
        <v>51</v>
      </c>
      <c r="I683" s="23" t="s">
        <v>92</v>
      </c>
      <c r="J683" s="0" t="n">
        <v>252</v>
      </c>
      <c r="K683" s="0" t="n">
        <v>63</v>
      </c>
      <c r="L683" s="0" t="n">
        <v>63</v>
      </c>
      <c r="M683" s="0" t="n">
        <v>1605.31</v>
      </c>
      <c r="N683" s="0" t="n">
        <v>54.72</v>
      </c>
      <c r="O683" s="0" t="n">
        <v>49.8</v>
      </c>
      <c r="P683" s="0" t="n">
        <v>3.04</v>
      </c>
      <c r="Q683" s="0" t="n">
        <v>3.65</v>
      </c>
      <c r="R683" s="0" t="n">
        <v>4322</v>
      </c>
      <c r="S683" s="0" t="n">
        <v>10098</v>
      </c>
      <c r="T683" s="0" t="n">
        <v>41.75</v>
      </c>
      <c r="U683" s="0" t="n">
        <v>937</v>
      </c>
      <c r="V683" s="0" t="n">
        <v>8</v>
      </c>
      <c r="W683" s="0" t="str">
        <f aca="false">IF(OR(AND(B683&gt;=1,B683&lt;=6),B683=10),"Vaca em lactação",IF(I683="Male","Macho",IF(E683&gt;=1,"Vaca seca",IF(I683="Youngstock","Bezerra/recria","Novilha"))))</f>
        <v>Vaca em lactação</v>
      </c>
      <c r="X683" s="0" t="str">
        <f aca="false">IF(AND(B683&gt;=1,B683&lt;=6),"Tanque",IF(B683=10,"Descarte",""))</f>
        <v>Tanque</v>
      </c>
    </row>
    <row r="684" customFormat="false" ht="15" hidden="false" customHeight="false" outlineLevel="0" collapsed="false">
      <c r="A684" s="22" t="n">
        <v>46309</v>
      </c>
      <c r="B684" s="0" t="n">
        <v>4</v>
      </c>
      <c r="C684" s="0" t="n">
        <v>5411</v>
      </c>
      <c r="D684" s="0" t="n">
        <v>288</v>
      </c>
      <c r="E684" s="0" t="n">
        <v>1</v>
      </c>
      <c r="F684" s="23" t="s">
        <v>568</v>
      </c>
      <c r="G684" s="0" t="n">
        <v>34.4</v>
      </c>
      <c r="H684" s="0" t="n">
        <v>36</v>
      </c>
      <c r="I684" s="23" t="s">
        <v>92</v>
      </c>
      <c r="J684" s="0" t="n">
        <v>169</v>
      </c>
      <c r="K684" s="0" t="n">
        <v>64</v>
      </c>
      <c r="L684" s="0" t="n">
        <v>119</v>
      </c>
      <c r="M684" s="0" t="n">
        <v>676.06</v>
      </c>
      <c r="N684" s="0" t="n">
        <v>28.12</v>
      </c>
      <c r="O684" s="0" t="n">
        <v>17.01</v>
      </c>
      <c r="P684" s="0" t="n">
        <v>2.97</v>
      </c>
      <c r="Q684" s="0" t="n">
        <v>3.29</v>
      </c>
      <c r="R684" s="0" t="n">
        <v>4279</v>
      </c>
      <c r="S684" s="0" t="n">
        <v>8758</v>
      </c>
      <c r="T684" s="0" t="n">
        <v>44.6</v>
      </c>
      <c r="U684" s="0" t="n">
        <v>937</v>
      </c>
      <c r="V684" s="0" t="n">
        <v>4</v>
      </c>
      <c r="W684" s="0" t="str">
        <f aca="false">IF(OR(AND(B684&gt;=1,B684&lt;=6),B684=10),"Vaca em lactação",IF(I684="Male","Macho",IF(E684&gt;=1,"Vaca seca",IF(I684="Youngstock","Bezerra/recria","Novilha"))))</f>
        <v>Vaca em lactação</v>
      </c>
      <c r="X684" s="0" t="str">
        <f aca="false">IF(AND(B684&gt;=1,B684&lt;=6),"Tanque",IF(B684=10,"Descarte",""))</f>
        <v>Tanque</v>
      </c>
    </row>
    <row r="685" customFormat="false" ht="15" hidden="false" customHeight="false" outlineLevel="0" collapsed="false">
      <c r="A685" s="22" t="n">
        <v>46309</v>
      </c>
      <c r="B685" s="0" t="n">
        <v>4</v>
      </c>
      <c r="C685" s="0" t="n">
        <v>5419</v>
      </c>
      <c r="D685" s="0" t="n">
        <v>313</v>
      </c>
      <c r="E685" s="0" t="n">
        <v>1</v>
      </c>
      <c r="F685" s="23" t="s">
        <v>569</v>
      </c>
      <c r="G685" s="0" t="n">
        <v>37.5</v>
      </c>
      <c r="H685" s="0" t="n">
        <v>40</v>
      </c>
      <c r="I685" s="23" t="s">
        <v>92</v>
      </c>
      <c r="J685" s="0" t="n">
        <v>103</v>
      </c>
      <c r="K685" s="0" t="n">
        <v>68</v>
      </c>
      <c r="L685" s="0" t="n">
        <v>210</v>
      </c>
      <c r="M685" s="0" t="n">
        <v>34.84</v>
      </c>
      <c r="N685" s="0" t="n">
        <v>82.49</v>
      </c>
      <c r="O685" s="0" t="n">
        <v>25.29</v>
      </c>
      <c r="P685" s="0" t="n">
        <v>4.62</v>
      </c>
      <c r="Q685" s="0" t="n">
        <v>3.88</v>
      </c>
      <c r="R685" s="0" t="n">
        <v>3692</v>
      </c>
      <c r="S685" s="0" t="n">
        <v>7518</v>
      </c>
      <c r="T685" s="0" t="n">
        <v>38.7</v>
      </c>
      <c r="U685" s="0" t="n">
        <v>934</v>
      </c>
      <c r="V685" s="0" t="n">
        <v>2</v>
      </c>
      <c r="W685" s="0" t="str">
        <f aca="false">IF(OR(AND(B685&gt;=1,B685&lt;=6),B685=10),"Vaca em lactação",IF(I685="Male","Macho",IF(E685&gt;=1,"Vaca seca",IF(I685="Youngstock","Bezerra/recria","Novilha"))))</f>
        <v>Vaca em lactação</v>
      </c>
      <c r="X685" s="0" t="str">
        <f aca="false">IF(AND(B685&gt;=1,B685&lt;=6),"Tanque",IF(B685=10,"Descarte",""))</f>
        <v>Tanque</v>
      </c>
    </row>
    <row r="686" customFormat="false" ht="15" hidden="false" customHeight="false" outlineLevel="0" collapsed="false">
      <c r="A686" s="22" t="n">
        <v>46309</v>
      </c>
      <c r="B686" s="0" t="n">
        <v>4</v>
      </c>
      <c r="C686" s="0" t="n">
        <v>5418</v>
      </c>
      <c r="D686" s="0" t="n">
        <v>281</v>
      </c>
      <c r="E686" s="0" t="n">
        <v>1</v>
      </c>
      <c r="F686" s="23" t="s">
        <v>569</v>
      </c>
      <c r="G686" s="0" t="n">
        <v>32.4</v>
      </c>
      <c r="H686" s="0" t="n">
        <v>34</v>
      </c>
      <c r="I686" s="23" t="s">
        <v>92</v>
      </c>
      <c r="J686" s="0" t="n">
        <v>64</v>
      </c>
      <c r="K686" s="0" t="n">
        <v>71</v>
      </c>
      <c r="L686" s="0" t="n">
        <v>217</v>
      </c>
      <c r="M686" s="0" t="n">
        <v>676.64</v>
      </c>
      <c r="N686" s="0" t="n">
        <v>63.72</v>
      </c>
      <c r="O686" s="0" t="n">
        <v>32.04</v>
      </c>
      <c r="P686" s="0" t="n">
        <v>4.52</v>
      </c>
      <c r="Q686" s="0" t="n">
        <v>3.46</v>
      </c>
      <c r="R686" s="0" t="n">
        <v>3052</v>
      </c>
      <c r="S686" s="0" t="n">
        <v>6594</v>
      </c>
      <c r="T686" s="0" t="n">
        <v>30.55</v>
      </c>
      <c r="U686" s="0" t="n">
        <v>934</v>
      </c>
      <c r="V686" s="0" t="n">
        <v>1</v>
      </c>
      <c r="W686" s="0" t="str">
        <f aca="false">IF(OR(AND(B686&gt;=1,B686&lt;=6),B686=10),"Vaca em lactação",IF(I686="Male","Macho",IF(E686&gt;=1,"Vaca seca",IF(I686="Youngstock","Bezerra/recria","Novilha"))))</f>
        <v>Vaca em lactação</v>
      </c>
      <c r="X686" s="0" t="str">
        <f aca="false">IF(AND(B686&gt;=1,B686&lt;=6),"Tanque",IF(B686=10,"Descarte",""))</f>
        <v>Tanque</v>
      </c>
    </row>
    <row r="687" customFormat="false" ht="15" hidden="false" customHeight="false" outlineLevel="0" collapsed="false">
      <c r="A687" s="22" t="n">
        <v>46309</v>
      </c>
      <c r="B687" s="0" t="n">
        <v>4</v>
      </c>
      <c r="C687" s="0" t="n">
        <v>5417</v>
      </c>
      <c r="D687" s="0" t="n">
        <v>235</v>
      </c>
      <c r="E687" s="0" t="n">
        <v>1</v>
      </c>
      <c r="F687" s="23" t="s">
        <v>569</v>
      </c>
      <c r="G687" s="0" t="n">
        <v>60.9</v>
      </c>
      <c r="H687" s="0" t="n">
        <v>59</v>
      </c>
      <c r="I687" s="23" t="s">
        <v>92</v>
      </c>
      <c r="J687" s="0" t="n">
        <v>189</v>
      </c>
      <c r="K687" s="0" t="n">
        <v>67</v>
      </c>
      <c r="L687" s="0" t="n">
        <v>46</v>
      </c>
      <c r="M687" s="0" t="n">
        <v>1112.87</v>
      </c>
      <c r="N687" s="0" t="n">
        <v>58.05</v>
      </c>
      <c r="O687" s="0" t="n">
        <v>39.5</v>
      </c>
      <c r="P687" s="0" t="n">
        <v>3.08</v>
      </c>
      <c r="Q687" s="0" t="n">
        <v>3.45</v>
      </c>
      <c r="R687" s="0" t="n">
        <v>5002</v>
      </c>
      <c r="S687" s="0" t="n">
        <v>11277</v>
      </c>
      <c r="T687" s="0" t="n">
        <v>57.85</v>
      </c>
      <c r="U687" s="0" t="n">
        <v>934</v>
      </c>
      <c r="V687" s="0" t="n">
        <v>3</v>
      </c>
      <c r="W687" s="0" t="str">
        <f aca="false">IF(OR(AND(B687&gt;=1,B687&lt;=6),B687=10),"Vaca em lactação",IF(I687="Male","Macho",IF(E687&gt;=1,"Vaca seca",IF(I687="Youngstock","Bezerra/recria","Novilha"))))</f>
        <v>Vaca em lactação</v>
      </c>
      <c r="X687" s="0" t="str">
        <f aca="false">IF(AND(B687&gt;=1,B687&lt;=6),"Tanque",IF(B687=10,"Descarte",""))</f>
        <v>Tanque</v>
      </c>
    </row>
    <row r="688" customFormat="false" ht="15" hidden="false" customHeight="false" outlineLevel="0" collapsed="false">
      <c r="A688" s="22" t="n">
        <v>46309</v>
      </c>
      <c r="B688" s="0" t="n">
        <v>4</v>
      </c>
      <c r="C688" s="0" t="n">
        <v>5416</v>
      </c>
      <c r="D688" s="0" t="n">
        <v>318</v>
      </c>
      <c r="E688" s="0" t="n">
        <v>1</v>
      </c>
      <c r="F688" s="23" t="s">
        <v>569</v>
      </c>
      <c r="G688" s="0" t="n">
        <v>46.9</v>
      </c>
      <c r="H688" s="0" t="n">
        <v>47</v>
      </c>
      <c r="I688" s="23" t="s">
        <v>92</v>
      </c>
      <c r="J688" s="0" t="n">
        <v>157</v>
      </c>
      <c r="K688" s="0" t="n">
        <v>73</v>
      </c>
      <c r="L688" s="0" t="n">
        <v>161</v>
      </c>
      <c r="M688" s="0" t="n">
        <v>1016.36</v>
      </c>
      <c r="N688" s="0" t="n">
        <v>35.99</v>
      </c>
      <c r="O688" s="0" t="n">
        <v>32.85</v>
      </c>
      <c r="P688" s="0" t="n">
        <v>3.18</v>
      </c>
      <c r="Q688" s="0" t="n">
        <v>3.5</v>
      </c>
      <c r="R688" s="0" t="n">
        <v>4005</v>
      </c>
      <c r="S688" s="0" t="n">
        <v>8826</v>
      </c>
      <c r="T688" s="0" t="n">
        <v>42.95</v>
      </c>
      <c r="U688" s="0" t="n">
        <v>934</v>
      </c>
      <c r="V688" s="0" t="n">
        <v>3</v>
      </c>
      <c r="W688" s="0" t="str">
        <f aca="false">IF(OR(AND(B688&gt;=1,B688&lt;=6),B688=10),"Vaca em lactação",IF(I688="Male","Macho",IF(E688&gt;=1,"Vaca seca",IF(I688="Youngstock","Bezerra/recria","Novilha"))))</f>
        <v>Vaca em lactação</v>
      </c>
      <c r="X688" s="0" t="str">
        <f aca="false">IF(AND(B688&gt;=1,B688&lt;=6),"Tanque",IF(B688=10,"Descarte",""))</f>
        <v>Tanque</v>
      </c>
    </row>
    <row r="689" customFormat="false" ht="15" hidden="false" customHeight="false" outlineLevel="0" collapsed="false">
      <c r="A689" s="22" t="n">
        <v>46309</v>
      </c>
      <c r="B689" s="0" t="n">
        <v>4</v>
      </c>
      <c r="C689" s="0" t="n">
        <v>5414</v>
      </c>
      <c r="D689" s="0" t="n">
        <v>308</v>
      </c>
      <c r="E689" s="0" t="n">
        <v>1</v>
      </c>
      <c r="F689" s="23" t="s">
        <v>570</v>
      </c>
      <c r="G689" s="0" t="n">
        <v>50.6</v>
      </c>
      <c r="H689" s="0" t="n">
        <v>51</v>
      </c>
      <c r="I689" s="23" t="s">
        <v>109</v>
      </c>
      <c r="J689" s="0" t="n">
        <v>308</v>
      </c>
      <c r="K689" s="0" t="n">
        <v>63</v>
      </c>
      <c r="M689" s="0" t="n">
        <v>1270.29</v>
      </c>
      <c r="N689" s="0" t="n">
        <v>56.33</v>
      </c>
      <c r="O689" s="0" t="n">
        <v>40.52</v>
      </c>
      <c r="P689" s="0" t="n">
        <v>4.18</v>
      </c>
      <c r="Q689" s="0" t="n">
        <v>3.36</v>
      </c>
      <c r="R689" s="0" t="n">
        <v>3803</v>
      </c>
      <c r="S689" s="0" t="n">
        <v>9061</v>
      </c>
      <c r="T689" s="0" t="n">
        <v>43.1</v>
      </c>
      <c r="U689" s="0" t="n">
        <v>935</v>
      </c>
      <c r="V689" s="0" t="n">
        <v>7</v>
      </c>
      <c r="W689" s="0" t="str">
        <f aca="false">IF(OR(AND(B689&gt;=1,B689&lt;=6),B689=10),"Vaca em lactação",IF(I689="Male","Macho",IF(E689&gt;=1,"Vaca seca",IF(I689="Youngstock","Bezerra/recria","Novilha"))))</f>
        <v>Vaca em lactação</v>
      </c>
      <c r="X689" s="0" t="str">
        <f aca="false">IF(AND(B689&gt;=1,B689&lt;=6),"Tanque",IF(B689=10,"Descarte",""))</f>
        <v>Tanque</v>
      </c>
    </row>
    <row r="690" customFormat="false" ht="15" hidden="false" customHeight="false" outlineLevel="0" collapsed="false">
      <c r="A690" s="22" t="n">
        <v>46309</v>
      </c>
      <c r="B690" s="0" t="n">
        <v>4</v>
      </c>
      <c r="C690" s="0" t="n">
        <v>5421</v>
      </c>
      <c r="D690" s="0" t="n">
        <v>305</v>
      </c>
      <c r="E690" s="0" t="n">
        <v>1</v>
      </c>
      <c r="F690" s="23" t="s">
        <v>571</v>
      </c>
      <c r="G690" s="0" t="n">
        <v>35.3</v>
      </c>
      <c r="H690" s="0" t="n">
        <v>39</v>
      </c>
      <c r="I690" s="23" t="s">
        <v>92</v>
      </c>
      <c r="J690" s="0" t="n">
        <v>172</v>
      </c>
      <c r="K690" s="0" t="n">
        <v>60</v>
      </c>
      <c r="L690" s="0" t="n">
        <v>133</v>
      </c>
      <c r="M690" s="0" t="n">
        <v>-110.15</v>
      </c>
      <c r="N690" s="0" t="n">
        <v>79.12</v>
      </c>
      <c r="O690" s="0" t="n">
        <v>24.76</v>
      </c>
      <c r="P690" s="0" t="n">
        <v>4.53</v>
      </c>
      <c r="Q690" s="0" t="n">
        <v>3.79</v>
      </c>
      <c r="R690" s="0" t="n">
        <v>4272</v>
      </c>
      <c r="S690" s="0" t="n">
        <v>8930</v>
      </c>
      <c r="T690" s="0" t="n">
        <v>46.65</v>
      </c>
      <c r="U690" s="0" t="n">
        <v>933</v>
      </c>
      <c r="V690" s="0" t="n">
        <v>4</v>
      </c>
      <c r="W690" s="0" t="str">
        <f aca="false">IF(OR(AND(B690&gt;=1,B690&lt;=6),B690=10),"Vaca em lactação",IF(I690="Male","Macho",IF(E690&gt;=1,"Vaca seca",IF(I690="Youngstock","Bezerra/recria","Novilha"))))</f>
        <v>Vaca em lactação</v>
      </c>
      <c r="X690" s="0" t="str">
        <f aca="false">IF(AND(B690&gt;=1,B690&lt;=6),"Tanque",IF(B690=10,"Descarte",""))</f>
        <v>Tanque</v>
      </c>
    </row>
    <row r="691" customFormat="false" ht="15" hidden="false" customHeight="false" outlineLevel="0" collapsed="false">
      <c r="A691" s="22" t="n">
        <v>46309</v>
      </c>
      <c r="B691" s="0" t="n">
        <v>4</v>
      </c>
      <c r="C691" s="0" t="n">
        <v>5420</v>
      </c>
      <c r="D691" s="0" t="n">
        <v>237</v>
      </c>
      <c r="E691" s="0" t="n">
        <v>1</v>
      </c>
      <c r="F691" s="23" t="s">
        <v>571</v>
      </c>
      <c r="G691" s="0" t="n">
        <v>44.4</v>
      </c>
      <c r="H691" s="0" t="n">
        <v>46</v>
      </c>
      <c r="I691" s="23" t="s">
        <v>92</v>
      </c>
      <c r="J691" s="0" t="n">
        <v>112</v>
      </c>
      <c r="K691" s="0" t="n">
        <v>69</v>
      </c>
      <c r="L691" s="0" t="n">
        <v>125</v>
      </c>
      <c r="M691" s="0" t="n">
        <v>731.01</v>
      </c>
      <c r="N691" s="0" t="n">
        <v>49.12</v>
      </c>
      <c r="O691" s="0" t="n">
        <v>43.76</v>
      </c>
      <c r="P691" s="0" t="n">
        <v>3.41</v>
      </c>
      <c r="Q691" s="0" t="n">
        <v>3.88</v>
      </c>
      <c r="R691" s="0" t="n">
        <v>4826</v>
      </c>
      <c r="S691" s="0" t="n">
        <v>10371</v>
      </c>
      <c r="T691" s="0" t="n">
        <v>55.45</v>
      </c>
      <c r="U691" s="0" t="n">
        <v>933</v>
      </c>
      <c r="V691" s="0" t="n">
        <v>3</v>
      </c>
      <c r="W691" s="0" t="str">
        <f aca="false">IF(OR(AND(B691&gt;=1,B691&lt;=6),B691=10),"Vaca em lactação",IF(I691="Male","Macho",IF(E691&gt;=1,"Vaca seca",IF(I691="Youngstock","Bezerra/recria","Novilha"))))</f>
        <v>Vaca em lactação</v>
      </c>
      <c r="X691" s="0" t="str">
        <f aca="false">IF(AND(B691&gt;=1,B691&lt;=6),"Tanque",IF(B691=10,"Descarte",""))</f>
        <v>Tanque</v>
      </c>
    </row>
    <row r="692" customFormat="false" ht="15" hidden="false" customHeight="false" outlineLevel="0" collapsed="false">
      <c r="A692" s="22" t="n">
        <v>46309</v>
      </c>
      <c r="B692" s="0" t="n">
        <v>4</v>
      </c>
      <c r="C692" s="0" t="n">
        <v>5312</v>
      </c>
      <c r="D692" s="0" t="n">
        <v>294</v>
      </c>
      <c r="E692" s="0" t="n">
        <v>1</v>
      </c>
      <c r="F692" s="23" t="s">
        <v>572</v>
      </c>
      <c r="G692" s="0" t="n">
        <v>45.3</v>
      </c>
      <c r="H692" s="0" t="n">
        <v>44</v>
      </c>
      <c r="I692" s="23" t="s">
        <v>92</v>
      </c>
      <c r="J692" s="0" t="n">
        <v>213</v>
      </c>
      <c r="K692" s="0" t="n">
        <v>63</v>
      </c>
      <c r="L692" s="0" t="n">
        <v>81</v>
      </c>
      <c r="M692" s="0" t="n">
        <v>1301.55</v>
      </c>
      <c r="N692" s="0" t="n">
        <v>28.17</v>
      </c>
      <c r="O692" s="0" t="n">
        <v>38.55</v>
      </c>
      <c r="P692" s="0" t="n">
        <v>2.84</v>
      </c>
      <c r="Q692" s="0" t="n">
        <v>3.73</v>
      </c>
      <c r="R692" s="0" t="n">
        <v>4659</v>
      </c>
      <c r="S692" s="0" t="n">
        <v>10144</v>
      </c>
      <c r="T692" s="0" t="n">
        <v>49.8</v>
      </c>
      <c r="U692" s="0" t="n">
        <v>976</v>
      </c>
      <c r="V692" s="0" t="n">
        <v>6</v>
      </c>
      <c r="W692" s="0" t="str">
        <f aca="false">IF(OR(AND(B692&gt;=1,B692&lt;=6),B692=10),"Vaca em lactação",IF(I692="Male","Macho",IF(E692&gt;=1,"Vaca seca",IF(I692="Youngstock","Bezerra/recria","Novilha"))))</f>
        <v>Vaca em lactação</v>
      </c>
      <c r="X692" s="0" t="str">
        <f aca="false">IF(AND(B692&gt;=1,B692&lt;=6),"Tanque",IF(B692=10,"Descarte",""))</f>
        <v>Tanque</v>
      </c>
    </row>
    <row r="693" customFormat="false" ht="15" hidden="false" customHeight="false" outlineLevel="0" collapsed="false">
      <c r="A693" s="22" t="n">
        <v>46309</v>
      </c>
      <c r="B693" s="0" t="n">
        <v>4</v>
      </c>
      <c r="C693" s="0" t="n">
        <v>5310</v>
      </c>
      <c r="D693" s="0" t="n">
        <v>273</v>
      </c>
      <c r="E693" s="0" t="n">
        <v>1</v>
      </c>
      <c r="F693" s="23" t="s">
        <v>275</v>
      </c>
      <c r="G693" s="0" t="n">
        <v>34.4</v>
      </c>
      <c r="H693" s="0" t="n">
        <v>48</v>
      </c>
      <c r="I693" s="23" t="s">
        <v>92</v>
      </c>
      <c r="J693" s="0" t="n">
        <v>129</v>
      </c>
      <c r="K693" s="0" t="n">
        <v>63</v>
      </c>
      <c r="L693" s="0" t="n">
        <v>144</v>
      </c>
      <c r="M693" s="0" t="n">
        <v>1230.69</v>
      </c>
      <c r="N693" s="0" t="n">
        <v>26.06</v>
      </c>
      <c r="O693" s="0" t="n">
        <v>27.59</v>
      </c>
      <c r="P693" s="0" t="n">
        <v>3.71</v>
      </c>
      <c r="Q693" s="0" t="n">
        <v>3.31</v>
      </c>
      <c r="R693" s="0" t="n">
        <v>4333</v>
      </c>
      <c r="S693" s="0" t="n">
        <v>10150</v>
      </c>
      <c r="T693" s="0" t="n">
        <v>47.4</v>
      </c>
      <c r="U693" s="0" t="n">
        <v>977</v>
      </c>
      <c r="V693" s="0" t="n">
        <v>3</v>
      </c>
      <c r="W693" s="0" t="str">
        <f aca="false">IF(OR(AND(B693&gt;=1,B693&lt;=6),B693=10),"Vaca em lactação",IF(I693="Male","Macho",IF(E693&gt;=1,"Vaca seca",IF(I693="Youngstock","Bezerra/recria","Novilha"))))</f>
        <v>Vaca em lactação</v>
      </c>
      <c r="X693" s="0" t="str">
        <f aca="false">IF(AND(B693&gt;=1,B693&lt;=6),"Tanque",IF(B693=10,"Descarte",""))</f>
        <v>Tanque</v>
      </c>
    </row>
    <row r="694" customFormat="false" ht="15" hidden="false" customHeight="false" outlineLevel="0" collapsed="false">
      <c r="A694" s="22" t="n">
        <v>46309</v>
      </c>
      <c r="B694" s="0" t="n">
        <v>4</v>
      </c>
      <c r="C694" s="0" t="n">
        <v>5309</v>
      </c>
      <c r="D694" s="0" t="n">
        <v>322</v>
      </c>
      <c r="E694" s="0" t="n">
        <v>1</v>
      </c>
      <c r="F694" s="23" t="s">
        <v>275</v>
      </c>
      <c r="G694" s="0" t="n">
        <v>45.5</v>
      </c>
      <c r="H694" s="0" t="n">
        <v>45</v>
      </c>
      <c r="I694" s="23" t="s">
        <v>92</v>
      </c>
      <c r="J694" s="0" t="n">
        <v>119</v>
      </c>
      <c r="K694" s="0" t="n">
        <v>63</v>
      </c>
      <c r="L694" s="0" t="n">
        <v>203</v>
      </c>
      <c r="M694" s="0" t="n">
        <v>596.4</v>
      </c>
      <c r="N694" s="0" t="n">
        <v>70.81</v>
      </c>
      <c r="O694" s="0" t="n">
        <v>29.8</v>
      </c>
      <c r="P694" s="0" t="n">
        <v>3.34</v>
      </c>
      <c r="Q694" s="0" t="n">
        <v>3.68</v>
      </c>
      <c r="R694" s="0" t="n">
        <v>4538</v>
      </c>
      <c r="S694" s="0" t="n">
        <v>9594</v>
      </c>
      <c r="T694" s="0" t="n">
        <v>44.5</v>
      </c>
      <c r="U694" s="0" t="n">
        <v>977</v>
      </c>
      <c r="V694" s="0" t="n">
        <v>3</v>
      </c>
      <c r="W694" s="0" t="str">
        <f aca="false">IF(OR(AND(B694&gt;=1,B694&lt;=6),B694=10),"Vaca em lactação",IF(I694="Male","Macho",IF(E694&gt;=1,"Vaca seca",IF(I694="Youngstock","Bezerra/recria","Novilha"))))</f>
        <v>Vaca em lactação</v>
      </c>
      <c r="X694" s="0" t="str">
        <f aca="false">IF(AND(B694&gt;=1,B694&lt;=6),"Tanque",IF(B694=10,"Descarte",""))</f>
        <v>Tanque</v>
      </c>
    </row>
    <row r="695" customFormat="false" ht="15" hidden="false" customHeight="false" outlineLevel="0" collapsed="false">
      <c r="A695" s="22" t="n">
        <v>46309</v>
      </c>
      <c r="B695" s="0" t="n">
        <v>4</v>
      </c>
      <c r="C695" s="0" t="n">
        <v>5315</v>
      </c>
      <c r="D695" s="0" t="n">
        <v>329</v>
      </c>
      <c r="E695" s="0" t="n">
        <v>1</v>
      </c>
      <c r="F695" s="23" t="s">
        <v>573</v>
      </c>
      <c r="G695" s="0" t="n">
        <v>42</v>
      </c>
      <c r="H695" s="0" t="n">
        <v>44</v>
      </c>
      <c r="I695" s="23" t="s">
        <v>92</v>
      </c>
      <c r="J695" s="0" t="n">
        <v>134</v>
      </c>
      <c r="K695" s="0" t="n">
        <v>63</v>
      </c>
      <c r="L695" s="0" t="n">
        <v>195</v>
      </c>
      <c r="M695" s="0" t="n">
        <v>1105.99</v>
      </c>
      <c r="N695" s="0" t="n">
        <v>49.47</v>
      </c>
      <c r="O695" s="0" t="n">
        <v>50.81</v>
      </c>
      <c r="P695" s="0" t="n">
        <v>4.17</v>
      </c>
      <c r="Q695" s="0" t="n">
        <v>3.67</v>
      </c>
      <c r="R695" s="0" t="n">
        <v>4282</v>
      </c>
      <c r="S695" s="0" t="n">
        <v>9522</v>
      </c>
      <c r="T695" s="0" t="n">
        <v>44.55</v>
      </c>
      <c r="U695" s="0" t="n">
        <v>974</v>
      </c>
      <c r="V695" s="0" t="n">
        <v>3</v>
      </c>
      <c r="W695" s="0" t="str">
        <f aca="false">IF(OR(AND(B695&gt;=1,B695&lt;=6),B695=10),"Vaca em lactação",IF(I695="Male","Macho",IF(E695&gt;=1,"Vaca seca",IF(I695="Youngstock","Bezerra/recria","Novilha"))))</f>
        <v>Vaca em lactação</v>
      </c>
      <c r="X695" s="0" t="str">
        <f aca="false">IF(AND(B695&gt;=1,B695&lt;=6),"Tanque",IF(B695=10,"Descarte",""))</f>
        <v>Tanque</v>
      </c>
    </row>
    <row r="696" customFormat="false" ht="15" hidden="false" customHeight="false" outlineLevel="0" collapsed="false">
      <c r="A696" s="22" t="n">
        <v>46309</v>
      </c>
      <c r="B696" s="0" t="n">
        <v>4</v>
      </c>
      <c r="C696" s="0" t="n">
        <v>5314</v>
      </c>
      <c r="D696" s="0" t="n">
        <v>349</v>
      </c>
      <c r="E696" s="0" t="n">
        <v>1</v>
      </c>
      <c r="F696" s="23" t="s">
        <v>573</v>
      </c>
      <c r="G696" s="0" t="n">
        <v>43.2</v>
      </c>
      <c r="H696" s="0" t="n">
        <v>42</v>
      </c>
      <c r="I696" s="23" t="s">
        <v>97</v>
      </c>
      <c r="J696" s="0" t="n">
        <v>349</v>
      </c>
      <c r="K696" s="0" t="n">
        <v>70</v>
      </c>
      <c r="M696" s="0" t="n">
        <v>610.49</v>
      </c>
      <c r="N696" s="0" t="n">
        <v>43.3</v>
      </c>
      <c r="O696" s="0" t="n">
        <v>31.43</v>
      </c>
      <c r="P696" s="0" t="n">
        <v>3.36</v>
      </c>
      <c r="Q696" s="0" t="n">
        <v>3.65</v>
      </c>
      <c r="R696" s="0" t="n">
        <v>4203</v>
      </c>
      <c r="S696" s="0" t="n">
        <v>8910</v>
      </c>
      <c r="T696" s="0" t="n">
        <v>46.35</v>
      </c>
      <c r="U696" s="0" t="n">
        <v>974</v>
      </c>
      <c r="V696" s="0" t="n">
        <v>3</v>
      </c>
      <c r="W696" s="0" t="str">
        <f aca="false">IF(OR(AND(B696&gt;=1,B696&lt;=6),B696=10),"Vaca em lactação",IF(I696="Male","Macho",IF(E696&gt;=1,"Vaca seca",IF(I696="Youngstock","Bezerra/recria","Novilha"))))</f>
        <v>Vaca em lactação</v>
      </c>
      <c r="X696" s="0" t="str">
        <f aca="false">IF(AND(B696&gt;=1,B696&lt;=6),"Tanque",IF(B696=10,"Descarte",""))</f>
        <v>Tanque</v>
      </c>
    </row>
    <row r="697" customFormat="false" ht="15" hidden="false" customHeight="false" outlineLevel="0" collapsed="false">
      <c r="A697" s="22" t="n">
        <v>46309</v>
      </c>
      <c r="B697" s="0" t="n">
        <v>4</v>
      </c>
      <c r="C697" s="0" t="n">
        <v>5321</v>
      </c>
      <c r="D697" s="0" t="n">
        <v>313</v>
      </c>
      <c r="E697" s="0" t="n">
        <v>1</v>
      </c>
      <c r="F697" s="23" t="s">
        <v>574</v>
      </c>
      <c r="G697" s="0" t="n">
        <v>47.2</v>
      </c>
      <c r="H697" s="0" t="n">
        <v>46</v>
      </c>
      <c r="I697" s="23" t="s">
        <v>92</v>
      </c>
      <c r="J697" s="0" t="n">
        <v>131</v>
      </c>
      <c r="K697" s="0" t="n">
        <v>68</v>
      </c>
      <c r="L697" s="0" t="n">
        <v>182</v>
      </c>
      <c r="M697" s="0" t="n">
        <v>1216.91</v>
      </c>
      <c r="N697" s="0" t="n">
        <v>43.15</v>
      </c>
      <c r="O697" s="0" t="n">
        <v>36.23</v>
      </c>
      <c r="P697" s="0" t="n">
        <v>3.53</v>
      </c>
      <c r="Q697" s="0" t="n">
        <v>3.68</v>
      </c>
      <c r="R697" s="0" t="n">
        <v>5352</v>
      </c>
      <c r="S697" s="0" t="n">
        <v>11063</v>
      </c>
      <c r="T697" s="0" t="n">
        <v>61.25</v>
      </c>
      <c r="U697" s="0" t="n">
        <v>973</v>
      </c>
      <c r="V697" s="0" t="n">
        <v>4</v>
      </c>
      <c r="W697" s="0" t="str">
        <f aca="false">IF(OR(AND(B697&gt;=1,B697&lt;=6),B697=10),"Vaca em lactação",IF(I697="Male","Macho",IF(E697&gt;=1,"Vaca seca",IF(I697="Youngstock","Bezerra/recria","Novilha"))))</f>
        <v>Vaca em lactação</v>
      </c>
      <c r="X697" s="0" t="str">
        <f aca="false">IF(AND(B697&gt;=1,B697&lt;=6),"Tanque",IF(B697=10,"Descarte",""))</f>
        <v>Tanque</v>
      </c>
    </row>
    <row r="698" customFormat="false" ht="15" hidden="false" customHeight="false" outlineLevel="0" collapsed="false">
      <c r="A698" s="22" t="n">
        <v>46309</v>
      </c>
      <c r="B698" s="0" t="n">
        <v>4</v>
      </c>
      <c r="C698" s="0" t="n">
        <v>5316</v>
      </c>
      <c r="D698" s="0" t="n">
        <v>321</v>
      </c>
      <c r="E698" s="0" t="n">
        <v>1</v>
      </c>
      <c r="F698" s="23" t="s">
        <v>573</v>
      </c>
      <c r="G698" s="0" t="n">
        <v>23.2</v>
      </c>
      <c r="H698" s="0" t="n">
        <v>23</v>
      </c>
      <c r="I698" s="23" t="s">
        <v>92</v>
      </c>
      <c r="J698" s="0" t="n">
        <v>153</v>
      </c>
      <c r="K698" s="0" t="n">
        <v>76</v>
      </c>
      <c r="L698" s="0" t="n">
        <v>168</v>
      </c>
      <c r="M698" s="0" t="n">
        <v>89.61</v>
      </c>
      <c r="N698" s="0" t="n">
        <v>42.13</v>
      </c>
      <c r="O698" s="0" t="n">
        <v>19.03</v>
      </c>
      <c r="P698" s="0" t="n">
        <v>3.75</v>
      </c>
      <c r="Q698" s="0" t="n">
        <v>3.75</v>
      </c>
      <c r="R698" s="0" t="n">
        <v>2302</v>
      </c>
      <c r="S698" s="0" t="n">
        <v>4974</v>
      </c>
      <c r="T698" s="0" t="n">
        <v>24.4</v>
      </c>
      <c r="U698" s="0" t="n">
        <v>974</v>
      </c>
      <c r="V698" s="0" t="n">
        <v>3</v>
      </c>
      <c r="W698" s="0" t="str">
        <f aca="false">IF(OR(AND(B698&gt;=1,B698&lt;=6),B698=10),"Vaca em lactação",IF(I698="Male","Macho",IF(E698&gt;=1,"Vaca seca",IF(I698="Youngstock","Bezerra/recria","Novilha"))))</f>
        <v>Vaca em lactação</v>
      </c>
      <c r="X698" s="0" t="str">
        <f aca="false">IF(AND(B698&gt;=1,B698&lt;=6),"Tanque",IF(B698=10,"Descarte",""))</f>
        <v>Tanque</v>
      </c>
    </row>
    <row r="699" customFormat="false" ht="15" hidden="false" customHeight="false" outlineLevel="0" collapsed="false">
      <c r="A699" s="22" t="n">
        <v>46309</v>
      </c>
      <c r="B699" s="0" t="n">
        <v>4</v>
      </c>
      <c r="C699" s="0" t="n">
        <v>5323</v>
      </c>
      <c r="D699" s="0" t="n">
        <v>246</v>
      </c>
      <c r="E699" s="0" t="n">
        <v>1</v>
      </c>
      <c r="F699" s="23" t="s">
        <v>574</v>
      </c>
      <c r="G699" s="0" t="n">
        <v>59.2</v>
      </c>
      <c r="H699" s="0" t="n">
        <v>56</v>
      </c>
      <c r="I699" s="23" t="s">
        <v>92</v>
      </c>
      <c r="J699" s="0" t="n">
        <v>64</v>
      </c>
      <c r="K699" s="0" t="n">
        <v>64</v>
      </c>
      <c r="L699" s="0" t="n">
        <v>182</v>
      </c>
      <c r="M699" s="0" t="n">
        <v>936.49</v>
      </c>
      <c r="N699" s="0" t="n">
        <v>51.68</v>
      </c>
      <c r="O699" s="0" t="n">
        <v>35.16</v>
      </c>
      <c r="P699" s="0" t="n">
        <v>3.3</v>
      </c>
      <c r="Q699" s="0" t="n">
        <v>3.38</v>
      </c>
      <c r="R699" s="0" t="n">
        <v>5053</v>
      </c>
      <c r="S699" s="0" t="n">
        <v>11305</v>
      </c>
      <c r="T699" s="0" t="n">
        <v>52.7</v>
      </c>
      <c r="U699" s="0" t="n">
        <v>973</v>
      </c>
      <c r="V699" s="0" t="n">
        <v>1</v>
      </c>
      <c r="W699" s="0" t="str">
        <f aca="false">IF(OR(AND(B699&gt;=1,B699&lt;=6),B699=10),"Vaca em lactação",IF(I699="Male","Macho",IF(E699&gt;=1,"Vaca seca",IF(I699="Youngstock","Bezerra/recria","Novilha"))))</f>
        <v>Vaca em lactação</v>
      </c>
      <c r="X699" s="0" t="str">
        <f aca="false">IF(AND(B699&gt;=1,B699&lt;=6),"Tanque",IF(B699=10,"Descarte",""))</f>
        <v>Tanque</v>
      </c>
    </row>
    <row r="700" customFormat="false" ht="15" hidden="false" customHeight="false" outlineLevel="0" collapsed="false">
      <c r="A700" s="22" t="n">
        <v>46309</v>
      </c>
      <c r="B700" s="0" t="n">
        <v>4</v>
      </c>
      <c r="C700" s="0" t="n">
        <v>5286</v>
      </c>
      <c r="D700" s="0" t="n">
        <v>342</v>
      </c>
      <c r="E700" s="0" t="n">
        <v>1</v>
      </c>
      <c r="F700" s="23" t="s">
        <v>575</v>
      </c>
      <c r="G700" s="0" t="n">
        <v>34.4</v>
      </c>
      <c r="H700" s="0" t="n">
        <v>35</v>
      </c>
      <c r="I700" s="23" t="s">
        <v>92</v>
      </c>
      <c r="J700" s="0" t="n">
        <v>181</v>
      </c>
      <c r="K700" s="0" t="n">
        <v>69</v>
      </c>
      <c r="L700" s="0" t="n">
        <v>161</v>
      </c>
      <c r="M700" s="0" t="n">
        <v>937.99</v>
      </c>
      <c r="N700" s="0" t="n">
        <v>65.59</v>
      </c>
      <c r="O700" s="0" t="n">
        <v>43.03</v>
      </c>
      <c r="P700" s="0" t="n">
        <v>4.09</v>
      </c>
      <c r="Q700" s="0" t="n">
        <v>3.78</v>
      </c>
      <c r="R700" s="0" t="n">
        <v>3397</v>
      </c>
      <c r="S700" s="0" t="n">
        <v>7110</v>
      </c>
      <c r="T700" s="0" t="n">
        <v>35.2</v>
      </c>
      <c r="U700" s="0" t="n">
        <v>983</v>
      </c>
      <c r="V700" s="0" t="n">
        <v>4</v>
      </c>
      <c r="W700" s="0" t="str">
        <f aca="false">IF(OR(AND(B700&gt;=1,B700&lt;=6),B700=10),"Vaca em lactação",IF(I700="Male","Macho",IF(E700&gt;=1,"Vaca seca",IF(I700="Youngstock","Bezerra/recria","Novilha"))))</f>
        <v>Vaca em lactação</v>
      </c>
      <c r="X700" s="0" t="str">
        <f aca="false">IF(AND(B700&gt;=1,B700&lt;=6),"Tanque",IF(B700=10,"Descarte",""))</f>
        <v>Tanque</v>
      </c>
    </row>
    <row r="701" customFormat="false" ht="15" hidden="false" customHeight="false" outlineLevel="0" collapsed="false">
      <c r="A701" s="22" t="n">
        <v>46309</v>
      </c>
      <c r="B701" s="0" t="n">
        <v>4</v>
      </c>
      <c r="C701" s="0" t="n">
        <v>5283</v>
      </c>
      <c r="D701" s="0" t="n">
        <v>221</v>
      </c>
      <c r="E701" s="0" t="n">
        <v>1</v>
      </c>
      <c r="F701" s="23" t="s">
        <v>575</v>
      </c>
      <c r="G701" s="0" t="n">
        <v>47.7</v>
      </c>
      <c r="H701" s="0" t="n">
        <v>49</v>
      </c>
      <c r="I701" s="23" t="s">
        <v>92</v>
      </c>
      <c r="J701" s="0" t="n">
        <v>67</v>
      </c>
      <c r="K701" s="0" t="n">
        <v>67</v>
      </c>
      <c r="L701" s="0" t="n">
        <v>154</v>
      </c>
      <c r="M701" s="0" t="n">
        <v>780.61</v>
      </c>
      <c r="N701" s="0" t="n">
        <v>70.54</v>
      </c>
      <c r="O701" s="0" t="n">
        <v>41.9</v>
      </c>
      <c r="P701" s="0" t="n">
        <v>3.38</v>
      </c>
      <c r="Q701" s="0" t="n">
        <v>3.91</v>
      </c>
      <c r="R701" s="0" t="n">
        <v>5347</v>
      </c>
      <c r="S701" s="0" t="n">
        <v>10658</v>
      </c>
      <c r="T701" s="0" t="n">
        <v>60.95</v>
      </c>
      <c r="U701" s="0" t="n">
        <v>983</v>
      </c>
      <c r="V701" s="0" t="n">
        <v>1</v>
      </c>
      <c r="W701" s="0" t="str">
        <f aca="false">IF(OR(AND(B701&gt;=1,B701&lt;=6),B701=10),"Vaca em lactação",IF(I701="Male","Macho",IF(E701&gt;=1,"Vaca seca",IF(I701="Youngstock","Bezerra/recria","Novilha"))))</f>
        <v>Vaca em lactação</v>
      </c>
      <c r="X701" s="0" t="str">
        <f aca="false">IF(AND(B701&gt;=1,B701&lt;=6),"Tanque",IF(B701=10,"Descarte",""))</f>
        <v>Tanque</v>
      </c>
    </row>
    <row r="702" customFormat="false" ht="15" hidden="false" customHeight="false" outlineLevel="0" collapsed="false">
      <c r="A702" s="22" t="n">
        <v>46309</v>
      </c>
      <c r="B702" s="0" t="n">
        <v>4</v>
      </c>
      <c r="C702" s="0" t="n">
        <v>5282</v>
      </c>
      <c r="D702" s="0" t="n">
        <v>294</v>
      </c>
      <c r="E702" s="0" t="n">
        <v>1</v>
      </c>
      <c r="F702" s="23" t="s">
        <v>576</v>
      </c>
      <c r="G702" s="0" t="n">
        <v>45.2</v>
      </c>
      <c r="H702" s="0" t="n">
        <v>49</v>
      </c>
      <c r="I702" s="23" t="s">
        <v>92</v>
      </c>
      <c r="J702" s="0" t="n">
        <v>245</v>
      </c>
      <c r="K702" s="0" t="n">
        <v>63</v>
      </c>
      <c r="L702" s="0" t="n">
        <v>49</v>
      </c>
      <c r="M702" s="0" t="n">
        <v>1204.37</v>
      </c>
      <c r="N702" s="0" t="n">
        <v>29.29</v>
      </c>
      <c r="O702" s="0" t="n">
        <v>34.97</v>
      </c>
      <c r="P702" s="0" t="n">
        <v>3.01</v>
      </c>
      <c r="Q702" s="0" t="n">
        <v>3.57</v>
      </c>
      <c r="R702" s="0" t="n">
        <v>4256</v>
      </c>
      <c r="S702" s="0" t="n">
        <v>9258</v>
      </c>
      <c r="T702" s="0" t="n">
        <v>46.65</v>
      </c>
      <c r="U702" s="0" t="n">
        <v>984</v>
      </c>
      <c r="V702" s="0" t="n">
        <v>8</v>
      </c>
      <c r="W702" s="0" t="str">
        <f aca="false">IF(OR(AND(B702&gt;=1,B702&lt;=6),B702=10),"Vaca em lactação",IF(I702="Male","Macho",IF(E702&gt;=1,"Vaca seca",IF(I702="Youngstock","Bezerra/recria","Novilha"))))</f>
        <v>Vaca em lactação</v>
      </c>
      <c r="X702" s="0" t="str">
        <f aca="false">IF(AND(B702&gt;=1,B702&lt;=6),"Tanque",IF(B702=10,"Descarte",""))</f>
        <v>Tanque</v>
      </c>
    </row>
    <row r="703" customFormat="false" ht="15" hidden="false" customHeight="false" outlineLevel="0" collapsed="false">
      <c r="A703" s="22" t="n">
        <v>46309</v>
      </c>
      <c r="B703" s="0" t="n">
        <v>4</v>
      </c>
      <c r="C703" s="0" t="n">
        <v>5290</v>
      </c>
      <c r="D703" s="0" t="n">
        <v>345</v>
      </c>
      <c r="E703" s="0" t="n">
        <v>1</v>
      </c>
      <c r="F703" s="23" t="s">
        <v>577</v>
      </c>
      <c r="G703" s="0" t="n">
        <v>37.9</v>
      </c>
      <c r="H703" s="0" t="n">
        <v>36</v>
      </c>
      <c r="I703" s="23" t="s">
        <v>92</v>
      </c>
      <c r="J703" s="0" t="n">
        <v>227</v>
      </c>
      <c r="K703" s="0" t="n">
        <v>72</v>
      </c>
      <c r="L703" s="0" t="n">
        <v>118</v>
      </c>
      <c r="M703" s="0" t="n">
        <v>264.86</v>
      </c>
      <c r="N703" s="0" t="n">
        <v>60.86</v>
      </c>
      <c r="O703" s="0" t="n">
        <v>39.25</v>
      </c>
      <c r="P703" s="0" t="n">
        <v>4</v>
      </c>
      <c r="Q703" s="0" t="n">
        <v>3.7</v>
      </c>
      <c r="R703" s="0" t="n">
        <v>3605</v>
      </c>
      <c r="S703" s="0" t="n">
        <v>8588</v>
      </c>
      <c r="T703" s="0" t="n">
        <v>36.85</v>
      </c>
      <c r="U703" s="0" t="n">
        <v>982</v>
      </c>
      <c r="V703" s="0" t="n">
        <v>4</v>
      </c>
      <c r="W703" s="0" t="str">
        <f aca="false">IF(OR(AND(B703&gt;=1,B703&lt;=6),B703=10),"Vaca em lactação",IF(I703="Male","Macho",IF(E703&gt;=1,"Vaca seca",IF(I703="Youngstock","Bezerra/recria","Novilha"))))</f>
        <v>Vaca em lactação</v>
      </c>
      <c r="X703" s="0" t="str">
        <f aca="false">IF(AND(B703&gt;=1,B703&lt;=6),"Tanque",IF(B703=10,"Descarte",""))</f>
        <v>Tanque</v>
      </c>
    </row>
    <row r="704" customFormat="false" ht="15" hidden="false" customHeight="false" outlineLevel="0" collapsed="false">
      <c r="A704" s="22" t="n">
        <v>46309</v>
      </c>
      <c r="B704" s="0" t="n">
        <v>4</v>
      </c>
      <c r="C704" s="0" t="n">
        <v>5297</v>
      </c>
      <c r="D704" s="0" t="n">
        <v>157</v>
      </c>
      <c r="E704" s="0" t="n">
        <v>1</v>
      </c>
      <c r="F704" s="23" t="s">
        <v>578</v>
      </c>
      <c r="G704" s="0" t="n">
        <v>51.8</v>
      </c>
      <c r="H704" s="0" t="n">
        <v>52</v>
      </c>
      <c r="I704" s="23" t="s">
        <v>97</v>
      </c>
      <c r="J704" s="0" t="n">
        <v>157</v>
      </c>
      <c r="K704" s="0" t="n">
        <v>66</v>
      </c>
      <c r="M704" s="0" t="n">
        <v>2225.83</v>
      </c>
      <c r="N704" s="0" t="n">
        <v>42.69</v>
      </c>
      <c r="O704" s="0" t="n">
        <v>47.57</v>
      </c>
      <c r="P704" s="0" t="n">
        <v>3.18</v>
      </c>
      <c r="Q704" s="0" t="n">
        <v>3.3</v>
      </c>
      <c r="R704" s="0" t="n">
        <v>5429</v>
      </c>
      <c r="S704" s="0" t="n">
        <v>10793</v>
      </c>
      <c r="T704" s="0" t="n">
        <v>56.6</v>
      </c>
      <c r="U704" s="0" t="n">
        <v>980</v>
      </c>
      <c r="V704" s="0" t="n">
        <v>3</v>
      </c>
      <c r="W704" s="0" t="str">
        <f aca="false">IF(OR(AND(B704&gt;=1,B704&lt;=6),B704=10),"Vaca em lactação",IF(I704="Male","Macho",IF(E704&gt;=1,"Vaca seca",IF(I704="Youngstock","Bezerra/recria","Novilha"))))</f>
        <v>Vaca em lactação</v>
      </c>
      <c r="X704" s="0" t="str">
        <f aca="false">IF(AND(B704&gt;=1,B704&lt;=6),"Tanque",IF(B704=10,"Descarte",""))</f>
        <v>Tanque</v>
      </c>
    </row>
    <row r="705" customFormat="false" ht="15" hidden="false" customHeight="false" outlineLevel="0" collapsed="false">
      <c r="A705" s="22" t="n">
        <v>46309</v>
      </c>
      <c r="B705" s="0" t="n">
        <v>4</v>
      </c>
      <c r="C705" s="0" t="n">
        <v>5295</v>
      </c>
      <c r="D705" s="0" t="n">
        <v>248</v>
      </c>
      <c r="E705" s="0" t="n">
        <v>1</v>
      </c>
      <c r="F705" s="23" t="s">
        <v>276</v>
      </c>
      <c r="G705" s="0" t="n">
        <v>54</v>
      </c>
      <c r="H705" s="0" t="n">
        <v>54</v>
      </c>
      <c r="I705" s="23" t="s">
        <v>92</v>
      </c>
      <c r="J705" s="0" t="n">
        <v>101</v>
      </c>
      <c r="K705" s="0" t="n">
        <v>66</v>
      </c>
      <c r="L705" s="0" t="n">
        <v>147</v>
      </c>
      <c r="M705" s="0" t="n">
        <v>1106.62</v>
      </c>
      <c r="N705" s="0" t="n">
        <v>50.62</v>
      </c>
      <c r="O705" s="0" t="n">
        <v>37.07</v>
      </c>
      <c r="P705" s="0" t="n">
        <v>3.43</v>
      </c>
      <c r="Q705" s="0" t="n">
        <v>3.13</v>
      </c>
      <c r="R705" s="0" t="n">
        <v>4873</v>
      </c>
      <c r="S705" s="0" t="n">
        <v>10787</v>
      </c>
      <c r="T705" s="0" t="n">
        <v>52.05</v>
      </c>
      <c r="U705" s="0" t="n">
        <v>981</v>
      </c>
      <c r="V705" s="0" t="n">
        <v>2</v>
      </c>
      <c r="W705" s="0" t="str">
        <f aca="false">IF(OR(AND(B705&gt;=1,B705&lt;=6),B705=10),"Vaca em lactação",IF(I705="Male","Macho",IF(E705&gt;=1,"Vaca seca",IF(I705="Youngstock","Bezerra/recria","Novilha"))))</f>
        <v>Vaca em lactação</v>
      </c>
      <c r="X705" s="0" t="str">
        <f aca="false">IF(AND(B705&gt;=1,B705&lt;=6),"Tanque",IF(B705=10,"Descarte",""))</f>
        <v>Tanque</v>
      </c>
    </row>
    <row r="706" customFormat="false" ht="15" hidden="false" customHeight="false" outlineLevel="0" collapsed="false">
      <c r="A706" s="22" t="n">
        <v>46309</v>
      </c>
      <c r="B706" s="0" t="n">
        <v>4</v>
      </c>
      <c r="C706" s="0" t="n">
        <v>5351</v>
      </c>
      <c r="D706" s="0" t="n">
        <v>185</v>
      </c>
      <c r="E706" s="0" t="n">
        <v>1</v>
      </c>
      <c r="F706" s="23" t="s">
        <v>579</v>
      </c>
      <c r="G706" s="0" t="n">
        <v>57.1</v>
      </c>
      <c r="H706" s="0" t="n">
        <v>55</v>
      </c>
      <c r="I706" s="23" t="s">
        <v>92</v>
      </c>
      <c r="J706" s="0" t="n">
        <v>66</v>
      </c>
      <c r="K706" s="0" t="n">
        <v>66</v>
      </c>
      <c r="L706" s="0" t="n">
        <v>119</v>
      </c>
      <c r="M706" s="0" t="n">
        <v>1327.3</v>
      </c>
      <c r="N706" s="0" t="n">
        <v>31.32</v>
      </c>
      <c r="O706" s="0" t="n">
        <v>32.03</v>
      </c>
      <c r="P706" s="0" t="n">
        <v>2.1</v>
      </c>
      <c r="Q706" s="0" t="n">
        <v>3.4</v>
      </c>
      <c r="R706" s="0" t="n">
        <v>4732</v>
      </c>
      <c r="S706" s="0" t="n">
        <v>10713</v>
      </c>
      <c r="T706" s="0" t="n">
        <v>54.35</v>
      </c>
      <c r="U706" s="0" t="n">
        <v>963</v>
      </c>
      <c r="V706" s="0" t="n">
        <v>1</v>
      </c>
      <c r="W706" s="0" t="str">
        <f aca="false">IF(OR(AND(B706&gt;=1,B706&lt;=6),B706=10),"Vaca em lactação",IF(I706="Male","Macho",IF(E706&gt;=1,"Vaca seca",IF(I706="Youngstock","Bezerra/recria","Novilha"))))</f>
        <v>Vaca em lactação</v>
      </c>
      <c r="X706" s="0" t="str">
        <f aca="false">IF(AND(B706&gt;=1,B706&lt;=6),"Tanque",IF(B706=10,"Descarte",""))</f>
        <v>Tanque</v>
      </c>
    </row>
    <row r="707" customFormat="false" ht="15" hidden="false" customHeight="false" outlineLevel="0" collapsed="false">
      <c r="A707" s="22" t="n">
        <v>46309</v>
      </c>
      <c r="B707" s="0" t="n">
        <v>4</v>
      </c>
      <c r="C707" s="0" t="n">
        <v>5346</v>
      </c>
      <c r="D707" s="0" t="n">
        <v>323</v>
      </c>
      <c r="E707" s="0" t="n">
        <v>1</v>
      </c>
      <c r="F707" s="23" t="s">
        <v>580</v>
      </c>
      <c r="G707" s="0" t="n">
        <v>39.6</v>
      </c>
      <c r="H707" s="0" t="n">
        <v>40</v>
      </c>
      <c r="I707" s="23" t="s">
        <v>92</v>
      </c>
      <c r="J707" s="0" t="n">
        <v>239</v>
      </c>
      <c r="K707" s="0" t="n">
        <v>64</v>
      </c>
      <c r="L707" s="0" t="n">
        <v>84</v>
      </c>
      <c r="M707" s="0" t="n">
        <v>-622.89</v>
      </c>
      <c r="N707" s="0" t="n">
        <v>64.25</v>
      </c>
      <c r="O707" s="0" t="n">
        <v>13.44</v>
      </c>
      <c r="P707" s="0" t="n">
        <v>3.97</v>
      </c>
      <c r="Q707" s="0" t="n">
        <v>3.79</v>
      </c>
      <c r="R707" s="0" t="n">
        <v>3529</v>
      </c>
      <c r="S707" s="0" t="n">
        <v>6345</v>
      </c>
      <c r="T707" s="0" t="n">
        <v>41.3</v>
      </c>
      <c r="U707" s="0" t="n">
        <v>964</v>
      </c>
      <c r="V707" s="0" t="n">
        <v>6</v>
      </c>
      <c r="W707" s="0" t="str">
        <f aca="false">IF(OR(AND(B707&gt;=1,B707&lt;=6),B707=10),"Vaca em lactação",IF(I707="Male","Macho",IF(E707&gt;=1,"Vaca seca",IF(I707="Youngstock","Bezerra/recria","Novilha"))))</f>
        <v>Vaca em lactação</v>
      </c>
      <c r="X707" s="0" t="str">
        <f aca="false">IF(AND(B707&gt;=1,B707&lt;=6),"Tanque",IF(B707=10,"Descarte",""))</f>
        <v>Tanque</v>
      </c>
    </row>
    <row r="708" customFormat="false" ht="15" hidden="false" customHeight="false" outlineLevel="0" collapsed="false">
      <c r="A708" s="22" t="n">
        <v>46309</v>
      </c>
      <c r="B708" s="0" t="n">
        <v>4</v>
      </c>
      <c r="C708" s="0" t="n">
        <v>5355</v>
      </c>
      <c r="D708" s="0" t="n">
        <v>240</v>
      </c>
      <c r="E708" s="0" t="n">
        <v>1</v>
      </c>
      <c r="F708" s="23" t="s">
        <v>581</v>
      </c>
      <c r="G708" s="0" t="n">
        <v>73.9</v>
      </c>
      <c r="H708" s="0" t="n">
        <v>75</v>
      </c>
      <c r="I708" s="23" t="s">
        <v>92</v>
      </c>
      <c r="J708" s="0" t="n">
        <v>170</v>
      </c>
      <c r="K708" s="0" t="n">
        <v>65</v>
      </c>
      <c r="L708" s="0" t="n">
        <v>70</v>
      </c>
      <c r="M708" s="0" t="n">
        <v>1681.03</v>
      </c>
      <c r="N708" s="0" t="n">
        <v>70.99</v>
      </c>
      <c r="O708" s="0" t="n">
        <v>43.68</v>
      </c>
      <c r="P708" s="0" t="n">
        <v>2.95</v>
      </c>
      <c r="Q708" s="0" t="n">
        <v>3.25</v>
      </c>
      <c r="R708" s="0" t="n">
        <v>5686</v>
      </c>
      <c r="S708" s="0" t="n">
        <v>12656</v>
      </c>
      <c r="T708" s="0" t="n">
        <v>63.25</v>
      </c>
      <c r="U708" s="0" t="n">
        <v>961</v>
      </c>
      <c r="V708" s="0" t="n">
        <v>3</v>
      </c>
      <c r="W708" s="0" t="str">
        <f aca="false">IF(OR(AND(B708&gt;=1,B708&lt;=6),B708=10),"Vaca em lactação",IF(I708="Male","Macho",IF(E708&gt;=1,"Vaca seca",IF(I708="Youngstock","Bezerra/recria","Novilha"))))</f>
        <v>Vaca em lactação</v>
      </c>
      <c r="X708" s="0" t="str">
        <f aca="false">IF(AND(B708&gt;=1,B708&lt;=6),"Tanque",IF(B708=10,"Descarte",""))</f>
        <v>Tanque</v>
      </c>
    </row>
    <row r="709" customFormat="false" ht="15" hidden="false" customHeight="false" outlineLevel="0" collapsed="false">
      <c r="A709" s="22" t="n">
        <v>46309</v>
      </c>
      <c r="B709" s="0" t="n">
        <v>4</v>
      </c>
      <c r="C709" s="0" t="n">
        <v>5357</v>
      </c>
      <c r="D709" s="0" t="n">
        <v>281</v>
      </c>
      <c r="E709" s="0" t="n">
        <v>1</v>
      </c>
      <c r="F709" s="23" t="s">
        <v>581</v>
      </c>
      <c r="G709" s="0" t="n">
        <v>46.7</v>
      </c>
      <c r="H709" s="0" t="n">
        <v>48</v>
      </c>
      <c r="I709" s="23" t="s">
        <v>92</v>
      </c>
      <c r="J709" s="0" t="n">
        <v>64</v>
      </c>
      <c r="K709" s="0" t="n">
        <v>64</v>
      </c>
      <c r="L709" s="0" t="n">
        <v>217</v>
      </c>
      <c r="M709" s="0" t="n">
        <v>506</v>
      </c>
      <c r="N709" s="0" t="n">
        <v>86.33</v>
      </c>
      <c r="O709" s="0" t="n">
        <v>26.89</v>
      </c>
      <c r="P709" s="0" t="n">
        <v>4.49</v>
      </c>
      <c r="Q709" s="0" t="n">
        <v>3.34</v>
      </c>
      <c r="R709" s="0" t="n">
        <v>4231</v>
      </c>
      <c r="S709" s="0" t="n">
        <v>9445</v>
      </c>
      <c r="T709" s="0" t="n">
        <v>45.75</v>
      </c>
      <c r="U709" s="0" t="n">
        <v>961</v>
      </c>
      <c r="V709" s="0" t="n">
        <v>1</v>
      </c>
      <c r="W709" s="0" t="str">
        <f aca="false">IF(OR(AND(B709&gt;=1,B709&lt;=6),B709=10),"Vaca em lactação",IF(I709="Male","Macho",IF(E709&gt;=1,"Vaca seca",IF(I709="Youngstock","Bezerra/recria","Novilha"))))</f>
        <v>Vaca em lactação</v>
      </c>
      <c r="X709" s="0" t="str">
        <f aca="false">IF(AND(B709&gt;=1,B709&lt;=6),"Tanque",IF(B709=10,"Descarte",""))</f>
        <v>Tanque</v>
      </c>
    </row>
    <row r="710" customFormat="false" ht="15" hidden="false" customHeight="false" outlineLevel="0" collapsed="false">
      <c r="A710" s="22" t="n">
        <v>46309</v>
      </c>
      <c r="B710" s="0" t="n">
        <v>4</v>
      </c>
      <c r="C710" s="0" t="n">
        <v>5354</v>
      </c>
      <c r="D710" s="0" t="n">
        <v>241</v>
      </c>
      <c r="E710" s="0" t="n">
        <v>1</v>
      </c>
      <c r="F710" s="23" t="s">
        <v>581</v>
      </c>
      <c r="G710" s="0" t="n">
        <v>49.5</v>
      </c>
      <c r="H710" s="0" t="n">
        <v>46</v>
      </c>
      <c r="I710" s="23" t="s">
        <v>92</v>
      </c>
      <c r="J710" s="0" t="n">
        <v>90</v>
      </c>
      <c r="K710" s="0" t="n">
        <v>66</v>
      </c>
      <c r="L710" s="0" t="n">
        <v>151</v>
      </c>
      <c r="M710" s="0" t="n">
        <v>279.48</v>
      </c>
      <c r="N710" s="0" t="n">
        <v>65.64</v>
      </c>
      <c r="O710" s="0" t="n">
        <v>30.43</v>
      </c>
      <c r="P710" s="0" t="n">
        <v>4.27</v>
      </c>
      <c r="Q710" s="0" t="n">
        <v>3.46</v>
      </c>
      <c r="R710" s="0" t="n">
        <v>4448</v>
      </c>
      <c r="S710" s="0" t="n">
        <v>9937</v>
      </c>
      <c r="T710" s="0" t="n">
        <v>48.65</v>
      </c>
      <c r="U710" s="0" t="n">
        <v>961</v>
      </c>
      <c r="V710" s="0" t="n">
        <v>2</v>
      </c>
      <c r="W710" s="0" t="str">
        <f aca="false">IF(OR(AND(B710&gt;=1,B710&lt;=6),B710=10),"Vaca em lactação",IF(I710="Male","Macho",IF(E710&gt;=1,"Vaca seca",IF(I710="Youngstock","Bezerra/recria","Novilha"))))</f>
        <v>Vaca em lactação</v>
      </c>
      <c r="X710" s="0" t="str">
        <f aca="false">IF(AND(B710&gt;=1,B710&lt;=6),"Tanque",IF(B710=10,"Descarte",""))</f>
        <v>Tanque</v>
      </c>
    </row>
    <row r="711" customFormat="false" ht="15" hidden="false" customHeight="false" outlineLevel="0" collapsed="false">
      <c r="A711" s="22" t="n">
        <v>46309</v>
      </c>
      <c r="B711" s="0" t="n">
        <v>4</v>
      </c>
      <c r="C711" s="0" t="n">
        <v>5353</v>
      </c>
      <c r="D711" s="0" t="n">
        <v>182</v>
      </c>
      <c r="E711" s="0" t="n">
        <v>1</v>
      </c>
      <c r="F711" s="23" t="s">
        <v>581</v>
      </c>
      <c r="G711" s="0" t="n">
        <v>37.9</v>
      </c>
      <c r="H711" s="0" t="n">
        <v>39</v>
      </c>
      <c r="I711" s="23" t="s">
        <v>92</v>
      </c>
      <c r="J711" s="0" t="n">
        <v>63</v>
      </c>
      <c r="K711" s="0" t="n">
        <v>63</v>
      </c>
      <c r="L711" s="0" t="n">
        <v>119</v>
      </c>
      <c r="M711" s="0" t="n">
        <v>1036.52</v>
      </c>
      <c r="N711" s="0" t="n">
        <v>49.27</v>
      </c>
      <c r="O711" s="0" t="n">
        <v>37</v>
      </c>
      <c r="P711" s="0" t="n">
        <v>4.1</v>
      </c>
      <c r="Q711" s="0" t="n">
        <v>3.22</v>
      </c>
      <c r="R711" s="0" t="n">
        <v>2989</v>
      </c>
      <c r="S711" s="0" t="n">
        <v>6985</v>
      </c>
      <c r="T711" s="0" t="n">
        <v>34.6</v>
      </c>
      <c r="U711" s="0" t="n">
        <v>961</v>
      </c>
      <c r="V711" s="0" t="n">
        <v>1</v>
      </c>
      <c r="W711" s="0" t="str">
        <f aca="false">IF(OR(AND(B711&gt;=1,B711&lt;=6),B711=10),"Vaca em lactação",IF(I711="Male","Macho",IF(E711&gt;=1,"Vaca seca",IF(I711="Youngstock","Bezerra/recria","Novilha"))))</f>
        <v>Vaca em lactação</v>
      </c>
      <c r="X711" s="0" t="str">
        <f aca="false">IF(AND(B711&gt;=1,B711&lt;=6),"Tanque",IF(B711=10,"Descarte",""))</f>
        <v>Tanque</v>
      </c>
    </row>
    <row r="712" customFormat="false" ht="15" hidden="false" customHeight="false" outlineLevel="0" collapsed="false">
      <c r="A712" s="22" t="n">
        <v>46309</v>
      </c>
      <c r="B712" s="0" t="n">
        <v>4</v>
      </c>
      <c r="C712" s="0" t="n">
        <v>5352</v>
      </c>
      <c r="D712" s="0" t="n">
        <v>319</v>
      </c>
      <c r="E712" s="0" t="n">
        <v>1</v>
      </c>
      <c r="F712" s="23" t="s">
        <v>582</v>
      </c>
      <c r="G712" s="0" t="n">
        <v>40.4</v>
      </c>
      <c r="H712" s="0" t="n">
        <v>35</v>
      </c>
      <c r="I712" s="23" t="s">
        <v>92</v>
      </c>
      <c r="J712" s="0" t="n">
        <v>144</v>
      </c>
      <c r="K712" s="0" t="n">
        <v>67</v>
      </c>
      <c r="L712" s="0" t="n">
        <v>175</v>
      </c>
      <c r="M712" s="0" t="n">
        <v>291.52</v>
      </c>
      <c r="N712" s="0" t="n">
        <v>50.23</v>
      </c>
      <c r="O712" s="0" t="n">
        <v>17.35</v>
      </c>
      <c r="P712" s="0" t="n">
        <v>3.99</v>
      </c>
      <c r="Q712" s="0" t="n">
        <v>3.5</v>
      </c>
      <c r="R712" s="0" t="n">
        <v>3755</v>
      </c>
      <c r="S712" s="0" t="n">
        <v>8157</v>
      </c>
      <c r="T712" s="0" t="n">
        <v>39.55</v>
      </c>
      <c r="U712" s="0" t="n">
        <v>962</v>
      </c>
      <c r="V712" s="0" t="n">
        <v>3</v>
      </c>
      <c r="W712" s="0" t="str">
        <f aca="false">IF(OR(AND(B712&gt;=1,B712&lt;=6),B712=10),"Vaca em lactação",IF(I712="Male","Macho",IF(E712&gt;=1,"Vaca seca",IF(I712="Youngstock","Bezerra/recria","Novilha"))))</f>
        <v>Vaca em lactação</v>
      </c>
      <c r="X712" s="0" t="str">
        <f aca="false">IF(AND(B712&gt;=1,B712&lt;=6),"Tanque",IF(B712=10,"Descarte",""))</f>
        <v>Tanque</v>
      </c>
    </row>
    <row r="713" customFormat="false" ht="15" hidden="false" customHeight="false" outlineLevel="0" collapsed="false">
      <c r="A713" s="22" t="n">
        <v>46309</v>
      </c>
      <c r="B713" s="0" t="n">
        <v>4</v>
      </c>
      <c r="C713" s="0" t="n">
        <v>5360</v>
      </c>
      <c r="D713" s="0" t="n">
        <v>343</v>
      </c>
      <c r="E713" s="0" t="n">
        <v>1</v>
      </c>
      <c r="F713" s="23" t="s">
        <v>583</v>
      </c>
      <c r="G713" s="0" t="n">
        <v>37.3</v>
      </c>
      <c r="H713" s="0" t="n">
        <v>38</v>
      </c>
      <c r="I713" s="23" t="s">
        <v>109</v>
      </c>
      <c r="J713" s="0" t="n">
        <v>343</v>
      </c>
      <c r="K713" s="0" t="n">
        <v>77</v>
      </c>
      <c r="M713" s="0" t="n">
        <v>651.86</v>
      </c>
      <c r="N713" s="0" t="n">
        <v>32.55</v>
      </c>
      <c r="O713" s="0" t="n">
        <v>35.75</v>
      </c>
      <c r="P713" s="0" t="n">
        <v>3.52</v>
      </c>
      <c r="Q713" s="0" t="n">
        <v>4.25</v>
      </c>
      <c r="R713" s="0" t="n">
        <v>3706</v>
      </c>
      <c r="S713" s="0" t="n">
        <v>7943</v>
      </c>
      <c r="T713" s="0" t="n">
        <v>40.1</v>
      </c>
      <c r="U713" s="0" t="n">
        <v>959</v>
      </c>
      <c r="V713" s="0" t="n">
        <v>7</v>
      </c>
      <c r="W713" s="0" t="str">
        <f aca="false">IF(OR(AND(B713&gt;=1,B713&lt;=6),B713=10),"Vaca em lactação",IF(I713="Male","Macho",IF(E713&gt;=1,"Vaca seca",IF(I713="Youngstock","Bezerra/recria","Novilha"))))</f>
        <v>Vaca em lactação</v>
      </c>
      <c r="X713" s="0" t="str">
        <f aca="false">IF(AND(B713&gt;=1,B713&lt;=6),"Tanque",IF(B713=10,"Descarte",""))</f>
        <v>Tanque</v>
      </c>
    </row>
    <row r="714" customFormat="false" ht="15" hidden="false" customHeight="false" outlineLevel="0" collapsed="false">
      <c r="A714" s="22" t="n">
        <v>46309</v>
      </c>
      <c r="B714" s="0" t="n">
        <v>4</v>
      </c>
      <c r="C714" s="0" t="n">
        <v>5359</v>
      </c>
      <c r="D714" s="0" t="n">
        <v>256</v>
      </c>
      <c r="E714" s="0" t="n">
        <v>1</v>
      </c>
      <c r="F714" s="23" t="s">
        <v>584</v>
      </c>
      <c r="G714" s="0" t="n">
        <v>42.2</v>
      </c>
      <c r="H714" s="0" t="n">
        <v>41</v>
      </c>
      <c r="I714" s="23" t="s">
        <v>92</v>
      </c>
      <c r="J714" s="0" t="n">
        <v>67</v>
      </c>
      <c r="K714" s="0" t="n">
        <v>67</v>
      </c>
      <c r="L714" s="0" t="n">
        <v>189</v>
      </c>
      <c r="M714" s="0" t="n">
        <v>1057.55</v>
      </c>
      <c r="N714" s="0" t="n">
        <v>44.97</v>
      </c>
      <c r="O714" s="0" t="n">
        <v>34.01</v>
      </c>
      <c r="P714" s="0" t="n">
        <v>3.34</v>
      </c>
      <c r="Q714" s="0" t="n">
        <v>3.52</v>
      </c>
      <c r="R714" s="0" t="n">
        <v>4896</v>
      </c>
      <c r="S714" s="0" t="n">
        <v>10917</v>
      </c>
      <c r="T714" s="0" t="n">
        <v>59.3</v>
      </c>
      <c r="U714" s="0" t="n">
        <v>960</v>
      </c>
      <c r="V714" s="0" t="n">
        <v>1</v>
      </c>
      <c r="W714" s="0" t="str">
        <f aca="false">IF(OR(AND(B714&gt;=1,B714&lt;=6),B714=10),"Vaca em lactação",IF(I714="Male","Macho",IF(E714&gt;=1,"Vaca seca",IF(I714="Youngstock","Bezerra/recria","Novilha"))))</f>
        <v>Vaca em lactação</v>
      </c>
      <c r="X714" s="0" t="str">
        <f aca="false">IF(AND(B714&gt;=1,B714&lt;=6),"Tanque",IF(B714=10,"Descarte",""))</f>
        <v>Tanque</v>
      </c>
    </row>
    <row r="715" customFormat="false" ht="15" hidden="false" customHeight="false" outlineLevel="0" collapsed="false">
      <c r="A715" s="22" t="n">
        <v>46309</v>
      </c>
      <c r="B715" s="0" t="n">
        <v>4</v>
      </c>
      <c r="C715" s="0" t="n">
        <v>5366</v>
      </c>
      <c r="D715" s="0" t="n">
        <v>305</v>
      </c>
      <c r="E715" s="0" t="n">
        <v>1</v>
      </c>
      <c r="F715" s="23" t="s">
        <v>554</v>
      </c>
      <c r="G715" s="0" t="n">
        <v>42.3</v>
      </c>
      <c r="H715" s="0" t="n">
        <v>42</v>
      </c>
      <c r="I715" s="23" t="s">
        <v>92</v>
      </c>
      <c r="J715" s="0" t="n">
        <v>151</v>
      </c>
      <c r="K715" s="0" t="n">
        <v>60</v>
      </c>
      <c r="L715" s="0" t="n">
        <v>154</v>
      </c>
      <c r="M715" s="0" t="n">
        <v>772.25</v>
      </c>
      <c r="N715" s="0" t="n">
        <v>63.04</v>
      </c>
      <c r="O715" s="0" t="n">
        <v>34.08</v>
      </c>
      <c r="P715" s="0" t="n">
        <v>4.21</v>
      </c>
      <c r="Q715" s="0" t="n">
        <v>3.85</v>
      </c>
      <c r="R715" s="0" t="n">
        <v>4981</v>
      </c>
      <c r="S715" s="0" t="n">
        <v>9906</v>
      </c>
      <c r="T715" s="0" t="n">
        <v>52.3</v>
      </c>
      <c r="U715" s="0" t="n">
        <v>957</v>
      </c>
      <c r="V715" s="0" t="n">
        <v>4</v>
      </c>
      <c r="W715" s="0" t="str">
        <f aca="false">IF(OR(AND(B715&gt;=1,B715&lt;=6),B715=10),"Vaca em lactação",IF(I715="Male","Macho",IF(E715&gt;=1,"Vaca seca",IF(I715="Youngstock","Bezerra/recria","Novilha"))))</f>
        <v>Vaca em lactação</v>
      </c>
      <c r="X715" s="0" t="str">
        <f aca="false">IF(AND(B715&gt;=1,B715&lt;=6),"Tanque",IF(B715=10,"Descarte",""))</f>
        <v>Tanque</v>
      </c>
    </row>
    <row r="716" customFormat="false" ht="15" hidden="false" customHeight="false" outlineLevel="0" collapsed="false">
      <c r="A716" s="22" t="n">
        <v>46309</v>
      </c>
      <c r="B716" s="0" t="n">
        <v>4</v>
      </c>
      <c r="C716" s="0" t="n">
        <v>5365</v>
      </c>
      <c r="D716" s="0" t="n">
        <v>309</v>
      </c>
      <c r="E716" s="0" t="n">
        <v>1</v>
      </c>
      <c r="F716" s="23" t="s">
        <v>554</v>
      </c>
      <c r="G716" s="0" t="n">
        <v>61.9</v>
      </c>
      <c r="H716" s="0" t="n">
        <v>57</v>
      </c>
      <c r="I716" s="23" t="s">
        <v>97</v>
      </c>
      <c r="J716" s="0" t="n">
        <v>309</v>
      </c>
      <c r="K716" s="0" t="n">
        <v>64</v>
      </c>
      <c r="M716" s="0" t="n">
        <v>1661.85</v>
      </c>
      <c r="N716" s="0" t="n">
        <v>68.4</v>
      </c>
      <c r="O716" s="0" t="n">
        <v>47.19</v>
      </c>
      <c r="P716" s="0" t="n">
        <v>3.25</v>
      </c>
      <c r="Q716" s="0" t="n">
        <v>3.58</v>
      </c>
      <c r="R716" s="0" t="n">
        <v>4754</v>
      </c>
      <c r="S716" s="0" t="n">
        <v>10751</v>
      </c>
      <c r="T716" s="0" t="n">
        <v>49.9</v>
      </c>
      <c r="U716" s="0" t="n">
        <v>957</v>
      </c>
      <c r="V716" s="0" t="n">
        <v>10</v>
      </c>
      <c r="W716" s="0" t="str">
        <f aca="false">IF(OR(AND(B716&gt;=1,B716&lt;=6),B716=10),"Vaca em lactação",IF(I716="Male","Macho",IF(E716&gt;=1,"Vaca seca",IF(I716="Youngstock","Bezerra/recria","Novilha"))))</f>
        <v>Vaca em lactação</v>
      </c>
      <c r="X716" s="0" t="str">
        <f aca="false">IF(AND(B716&gt;=1,B716&lt;=6),"Tanque",IF(B716=10,"Descarte",""))</f>
        <v>Tanque</v>
      </c>
    </row>
    <row r="717" customFormat="false" ht="15" hidden="false" customHeight="false" outlineLevel="0" collapsed="false">
      <c r="A717" s="22" t="n">
        <v>46309</v>
      </c>
      <c r="B717" s="0" t="n">
        <v>4</v>
      </c>
      <c r="C717" s="0" t="n">
        <v>5362</v>
      </c>
      <c r="D717" s="0" t="n">
        <v>283</v>
      </c>
      <c r="E717" s="0" t="n">
        <v>1</v>
      </c>
      <c r="F717" s="23" t="s">
        <v>583</v>
      </c>
      <c r="G717" s="0" t="n">
        <v>44.2</v>
      </c>
      <c r="H717" s="0" t="n">
        <v>44</v>
      </c>
      <c r="I717" s="23" t="s">
        <v>92</v>
      </c>
      <c r="J717" s="0" t="n">
        <v>199</v>
      </c>
      <c r="K717" s="0" t="n">
        <v>66</v>
      </c>
      <c r="L717" s="0" t="n">
        <v>84</v>
      </c>
      <c r="M717" s="0" t="n">
        <v>274.94</v>
      </c>
      <c r="N717" s="0" t="n">
        <v>65.42</v>
      </c>
      <c r="O717" s="0" t="n">
        <v>40.84</v>
      </c>
      <c r="P717" s="0" t="n">
        <v>3.92</v>
      </c>
      <c r="Q717" s="0" t="n">
        <v>3.91</v>
      </c>
      <c r="R717" s="0" t="n">
        <v>4286</v>
      </c>
      <c r="S717" s="0" t="n">
        <v>9451</v>
      </c>
      <c r="T717" s="0" t="n">
        <v>45.35</v>
      </c>
      <c r="U717" s="0" t="n">
        <v>959</v>
      </c>
      <c r="V717" s="0" t="n">
        <v>4</v>
      </c>
      <c r="W717" s="0" t="str">
        <f aca="false">IF(OR(AND(B717&gt;=1,B717&lt;=6),B717=10),"Vaca em lactação",IF(I717="Male","Macho",IF(E717&gt;=1,"Vaca seca",IF(I717="Youngstock","Bezerra/recria","Novilha"))))</f>
        <v>Vaca em lactação</v>
      </c>
      <c r="X717" s="0" t="str">
        <f aca="false">IF(AND(B717&gt;=1,B717&lt;=6),"Tanque",IF(B717=10,"Descarte",""))</f>
        <v>Tanque</v>
      </c>
    </row>
    <row r="718" customFormat="false" ht="15" hidden="false" customHeight="false" outlineLevel="0" collapsed="false">
      <c r="A718" s="22" t="n">
        <v>46309</v>
      </c>
      <c r="B718" s="0" t="n">
        <v>4</v>
      </c>
      <c r="C718" s="0" t="n">
        <v>5333</v>
      </c>
      <c r="D718" s="0" t="n">
        <v>302</v>
      </c>
      <c r="E718" s="0" t="n">
        <v>1</v>
      </c>
      <c r="F718" s="23" t="s">
        <v>277</v>
      </c>
      <c r="G718" s="0" t="n">
        <v>61.7</v>
      </c>
      <c r="H718" s="0" t="n">
        <v>60</v>
      </c>
      <c r="I718" s="23" t="s">
        <v>109</v>
      </c>
      <c r="J718" s="0" t="n">
        <v>302</v>
      </c>
      <c r="K718" s="0" t="n">
        <v>64</v>
      </c>
      <c r="M718" s="0" t="n">
        <v>2080.79</v>
      </c>
      <c r="N718" s="0" t="n">
        <v>44.8</v>
      </c>
      <c r="O718" s="0" t="n">
        <v>44.21</v>
      </c>
      <c r="P718" s="0" t="n">
        <v>3</v>
      </c>
      <c r="Q718" s="0" t="n">
        <v>2.83</v>
      </c>
      <c r="R718" s="0" t="n">
        <v>5775</v>
      </c>
      <c r="S718" s="0" t="n">
        <v>11584</v>
      </c>
      <c r="T718" s="0" t="n">
        <v>66.3</v>
      </c>
      <c r="U718" s="0" t="n">
        <v>971</v>
      </c>
      <c r="V718" s="0" t="n">
        <v>6</v>
      </c>
      <c r="W718" s="0" t="str">
        <f aca="false">IF(OR(AND(B718&gt;=1,B718&lt;=6),B718=10),"Vaca em lactação",IF(I718="Male","Macho",IF(E718&gt;=1,"Vaca seca",IF(I718="Youngstock","Bezerra/recria","Novilha"))))</f>
        <v>Vaca em lactação</v>
      </c>
      <c r="X718" s="0" t="str">
        <f aca="false">IF(AND(B718&gt;=1,B718&lt;=6),"Tanque",IF(B718=10,"Descarte",""))</f>
        <v>Tanque</v>
      </c>
    </row>
    <row r="719" customFormat="false" ht="15" hidden="false" customHeight="false" outlineLevel="0" collapsed="false">
      <c r="A719" s="22" t="n">
        <v>46309</v>
      </c>
      <c r="B719" s="0" t="n">
        <v>4</v>
      </c>
      <c r="C719" s="0" t="n">
        <v>5332</v>
      </c>
      <c r="D719" s="0" t="n">
        <v>238</v>
      </c>
      <c r="E719" s="0" t="n">
        <v>1</v>
      </c>
      <c r="F719" s="23" t="s">
        <v>277</v>
      </c>
      <c r="G719" s="0" t="n">
        <v>38.2</v>
      </c>
      <c r="H719" s="0" t="n">
        <v>38</v>
      </c>
      <c r="I719" s="23" t="s">
        <v>92</v>
      </c>
      <c r="J719" s="0" t="n">
        <v>86</v>
      </c>
      <c r="K719" s="0" t="n">
        <v>63</v>
      </c>
      <c r="L719" s="0" t="n">
        <v>152</v>
      </c>
      <c r="M719" s="0" t="n">
        <v>729.15</v>
      </c>
      <c r="N719" s="0" t="n">
        <v>42.78</v>
      </c>
      <c r="O719" s="0" t="n">
        <v>31.68</v>
      </c>
      <c r="P719" s="0" t="n">
        <v>3</v>
      </c>
      <c r="Q719" s="0" t="n">
        <v>3.64</v>
      </c>
      <c r="R719" s="0" t="n">
        <v>3907</v>
      </c>
      <c r="S719" s="0" t="n">
        <v>8955</v>
      </c>
      <c r="T719" s="0" t="n">
        <v>47.95</v>
      </c>
      <c r="U719" s="0" t="n">
        <v>971</v>
      </c>
      <c r="V719" s="0" t="n">
        <v>2</v>
      </c>
      <c r="W719" s="0" t="str">
        <f aca="false">IF(OR(AND(B719&gt;=1,B719&lt;=6),B719=10),"Vaca em lactação",IF(I719="Male","Macho",IF(E719&gt;=1,"Vaca seca",IF(I719="Youngstock","Bezerra/recria","Novilha"))))</f>
        <v>Vaca em lactação</v>
      </c>
      <c r="X719" s="0" t="str">
        <f aca="false">IF(AND(B719&gt;=1,B719&lt;=6),"Tanque",IF(B719=10,"Descarte",""))</f>
        <v>Tanque</v>
      </c>
    </row>
    <row r="720" customFormat="false" ht="15" hidden="false" customHeight="false" outlineLevel="0" collapsed="false">
      <c r="A720" s="22" t="n">
        <v>46309</v>
      </c>
      <c r="B720" s="0" t="n">
        <v>4</v>
      </c>
      <c r="C720" s="0" t="n">
        <v>5331</v>
      </c>
      <c r="D720" s="0" t="n">
        <v>123</v>
      </c>
      <c r="E720" s="0" t="n">
        <v>1</v>
      </c>
      <c r="F720" s="23" t="s">
        <v>277</v>
      </c>
      <c r="G720" s="0" t="n">
        <v>51</v>
      </c>
      <c r="H720" s="0" t="n">
        <v>53</v>
      </c>
      <c r="I720" s="23" t="s">
        <v>92</v>
      </c>
      <c r="J720" s="0" t="n">
        <v>88</v>
      </c>
      <c r="K720" s="0" t="n">
        <v>67</v>
      </c>
      <c r="L720" s="0" t="n">
        <v>35</v>
      </c>
      <c r="M720" s="0" t="n">
        <v>1240.05</v>
      </c>
      <c r="N720" s="0" t="n">
        <v>75.64</v>
      </c>
      <c r="O720" s="0" t="n">
        <v>48.98</v>
      </c>
      <c r="P720" s="0" t="n">
        <v>4.85</v>
      </c>
      <c r="Q720" s="0" t="n">
        <v>2.92</v>
      </c>
      <c r="R720" s="0" t="n">
        <v>5314</v>
      </c>
      <c r="S720" s="0" t="n">
        <v>10829</v>
      </c>
      <c r="T720" s="0" t="n">
        <v>57.1</v>
      </c>
      <c r="U720" s="0" t="n">
        <v>971</v>
      </c>
      <c r="V720" s="0" t="n">
        <v>2</v>
      </c>
      <c r="W720" s="0" t="str">
        <f aca="false">IF(OR(AND(B720&gt;=1,B720&lt;=6),B720=10),"Vaca em lactação",IF(I720="Male","Macho",IF(E720&gt;=1,"Vaca seca",IF(I720="Youngstock","Bezerra/recria","Novilha"))))</f>
        <v>Vaca em lactação</v>
      </c>
      <c r="X720" s="0" t="str">
        <f aca="false">IF(AND(B720&gt;=1,B720&lt;=6),"Tanque",IF(B720=10,"Descarte",""))</f>
        <v>Tanque</v>
      </c>
    </row>
    <row r="721" customFormat="false" ht="15" hidden="false" customHeight="false" outlineLevel="0" collapsed="false">
      <c r="A721" s="22" t="n">
        <v>46309</v>
      </c>
      <c r="B721" s="0" t="n">
        <v>4</v>
      </c>
      <c r="C721" s="0" t="n">
        <v>5330</v>
      </c>
      <c r="D721" s="0" t="n">
        <v>279</v>
      </c>
      <c r="E721" s="0" t="n">
        <v>1</v>
      </c>
      <c r="F721" s="23" t="s">
        <v>277</v>
      </c>
      <c r="G721" s="0" t="n">
        <v>49.4</v>
      </c>
      <c r="H721" s="0" t="n">
        <v>50</v>
      </c>
      <c r="I721" s="23" t="s">
        <v>92</v>
      </c>
      <c r="J721" s="0" t="n">
        <v>244</v>
      </c>
      <c r="K721" s="0" t="n">
        <v>69</v>
      </c>
      <c r="L721" s="0" t="n">
        <v>35</v>
      </c>
      <c r="M721" s="0" t="n">
        <v>1545.12</v>
      </c>
      <c r="N721" s="0" t="n">
        <v>73.19</v>
      </c>
      <c r="O721" s="0" t="n">
        <v>50.71</v>
      </c>
      <c r="P721" s="0" t="n">
        <v>3.56</v>
      </c>
      <c r="Q721" s="0" t="n">
        <v>3.56</v>
      </c>
      <c r="R721" s="0" t="n">
        <v>4244</v>
      </c>
      <c r="S721" s="0" t="n">
        <v>9144</v>
      </c>
      <c r="T721" s="0" t="n">
        <v>47.4</v>
      </c>
      <c r="U721" s="0" t="n">
        <v>971</v>
      </c>
      <c r="V721" s="0" t="n">
        <v>6</v>
      </c>
      <c r="W721" s="0" t="str">
        <f aca="false">IF(OR(AND(B721&gt;=1,B721&lt;=6),B721=10),"Vaca em lactação",IF(I721="Male","Macho",IF(E721&gt;=1,"Vaca seca",IF(I721="Youngstock","Bezerra/recria","Novilha"))))</f>
        <v>Vaca em lactação</v>
      </c>
      <c r="X721" s="0" t="str">
        <f aca="false">IF(AND(B721&gt;=1,B721&lt;=6),"Tanque",IF(B721=10,"Descarte",""))</f>
        <v>Tanque</v>
      </c>
    </row>
    <row r="722" customFormat="false" ht="15" hidden="false" customHeight="false" outlineLevel="0" collapsed="false">
      <c r="A722" s="22" t="n">
        <v>46309</v>
      </c>
      <c r="B722" s="0" t="n">
        <v>4</v>
      </c>
      <c r="C722" s="0" t="n">
        <v>5328</v>
      </c>
      <c r="D722" s="0" t="n">
        <v>252</v>
      </c>
      <c r="E722" s="0" t="n">
        <v>1</v>
      </c>
      <c r="F722" s="23" t="s">
        <v>585</v>
      </c>
      <c r="G722" s="0" t="n">
        <v>51.1</v>
      </c>
      <c r="H722" s="0" t="n">
        <v>53</v>
      </c>
      <c r="I722" s="23" t="s">
        <v>92</v>
      </c>
      <c r="J722" s="0" t="n">
        <v>126</v>
      </c>
      <c r="K722" s="0" t="n">
        <v>63</v>
      </c>
      <c r="L722" s="0" t="n">
        <v>126</v>
      </c>
      <c r="M722" s="0" t="n">
        <v>793.51</v>
      </c>
      <c r="N722" s="0" t="n">
        <v>67.01</v>
      </c>
      <c r="O722" s="0" t="n">
        <v>41.88</v>
      </c>
      <c r="P722" s="0" t="n">
        <v>3.64</v>
      </c>
      <c r="Q722" s="0" t="n">
        <v>3.59</v>
      </c>
      <c r="R722" s="0" t="n">
        <v>4651</v>
      </c>
      <c r="S722" s="0" t="n">
        <v>9776</v>
      </c>
      <c r="T722" s="0" t="n">
        <v>49.4</v>
      </c>
      <c r="U722" s="0" t="n">
        <v>972</v>
      </c>
      <c r="V722" s="0" t="n">
        <v>4</v>
      </c>
      <c r="W722" s="0" t="str">
        <f aca="false">IF(OR(AND(B722&gt;=1,B722&lt;=6),B722=10),"Vaca em lactação",IF(I722="Male","Macho",IF(E722&gt;=1,"Vaca seca",IF(I722="Youngstock","Bezerra/recria","Novilha"))))</f>
        <v>Vaca em lactação</v>
      </c>
      <c r="X722" s="0" t="str">
        <f aca="false">IF(AND(B722&gt;=1,B722&lt;=6),"Tanque",IF(B722=10,"Descarte",""))</f>
        <v>Tanque</v>
      </c>
    </row>
    <row r="723" customFormat="false" ht="15" hidden="false" customHeight="false" outlineLevel="0" collapsed="false">
      <c r="A723" s="22" t="n">
        <v>46309</v>
      </c>
      <c r="B723" s="0" t="n">
        <v>4</v>
      </c>
      <c r="C723" s="0" t="n">
        <v>5338</v>
      </c>
      <c r="D723" s="0" t="n">
        <v>339</v>
      </c>
      <c r="E723" s="0" t="n">
        <v>1</v>
      </c>
      <c r="F723" s="23" t="s">
        <v>91</v>
      </c>
      <c r="G723" s="0" t="n">
        <v>45.3</v>
      </c>
      <c r="H723" s="0" t="n">
        <v>43</v>
      </c>
      <c r="I723" s="23" t="s">
        <v>97</v>
      </c>
      <c r="J723" s="0" t="n">
        <v>339</v>
      </c>
      <c r="K723" s="0" t="n">
        <v>66</v>
      </c>
      <c r="M723" s="0" t="n">
        <v>1375.2</v>
      </c>
      <c r="N723" s="0" t="n">
        <v>50.12</v>
      </c>
      <c r="O723" s="0" t="n">
        <v>41.14</v>
      </c>
      <c r="P723" s="0" t="n">
        <v>4.24</v>
      </c>
      <c r="Q723" s="0" t="n">
        <v>3.72</v>
      </c>
      <c r="R723" s="0" t="n">
        <v>3230</v>
      </c>
      <c r="S723" s="0" t="n">
        <v>7046</v>
      </c>
      <c r="T723" s="0" t="n">
        <v>35.5</v>
      </c>
      <c r="U723" s="0" t="n">
        <v>968</v>
      </c>
      <c r="V723" s="0" t="n">
        <v>7</v>
      </c>
      <c r="W723" s="0" t="str">
        <f aca="false">IF(OR(AND(B723&gt;=1,B723&lt;=6),B723=10),"Vaca em lactação",IF(I723="Male","Macho",IF(E723&gt;=1,"Vaca seca",IF(I723="Youngstock","Bezerra/recria","Novilha"))))</f>
        <v>Vaca em lactação</v>
      </c>
      <c r="X723" s="0" t="str">
        <f aca="false">IF(AND(B723&gt;=1,B723&lt;=6),"Tanque",IF(B723=10,"Descarte",""))</f>
        <v>Tanque</v>
      </c>
    </row>
    <row r="724" customFormat="false" ht="15" hidden="false" customHeight="false" outlineLevel="0" collapsed="false">
      <c r="A724" s="22" t="n">
        <v>46309</v>
      </c>
      <c r="B724" s="0" t="n">
        <v>4</v>
      </c>
      <c r="C724" s="0" t="n">
        <v>5335</v>
      </c>
      <c r="D724" s="0" t="n">
        <v>275</v>
      </c>
      <c r="E724" s="0" t="n">
        <v>1</v>
      </c>
      <c r="F724" s="23" t="s">
        <v>91</v>
      </c>
      <c r="G724" s="0" t="n">
        <v>44.2</v>
      </c>
      <c r="H724" s="0" t="n">
        <v>46</v>
      </c>
      <c r="I724" s="23" t="s">
        <v>92</v>
      </c>
      <c r="J724" s="0" t="n">
        <v>107</v>
      </c>
      <c r="K724" s="0" t="n">
        <v>79</v>
      </c>
      <c r="L724" s="0" t="n">
        <v>168</v>
      </c>
      <c r="M724" s="0" t="n">
        <v>351.46</v>
      </c>
      <c r="N724" s="0" t="n">
        <v>16.11</v>
      </c>
      <c r="O724" s="0" t="n">
        <v>17.42</v>
      </c>
      <c r="P724" s="0" t="n">
        <v>2.88</v>
      </c>
      <c r="Q724" s="0" t="n">
        <v>3.45</v>
      </c>
      <c r="R724" s="0" t="n">
        <v>3729</v>
      </c>
      <c r="S724" s="0" t="n">
        <v>8360</v>
      </c>
      <c r="T724" s="0" t="n">
        <v>41.35</v>
      </c>
      <c r="U724" s="0" t="n">
        <v>968</v>
      </c>
      <c r="V724" s="0" t="n">
        <v>2</v>
      </c>
      <c r="W724" s="0" t="str">
        <f aca="false">IF(OR(AND(B724&gt;=1,B724&lt;=6),B724=10),"Vaca em lactação",IF(I724="Male","Macho",IF(E724&gt;=1,"Vaca seca",IF(I724="Youngstock","Bezerra/recria","Novilha"))))</f>
        <v>Vaca em lactação</v>
      </c>
      <c r="X724" s="0" t="str">
        <f aca="false">IF(AND(B724&gt;=1,B724&lt;=6),"Tanque",IF(B724=10,"Descarte",""))</f>
        <v>Tanque</v>
      </c>
    </row>
    <row r="725" customFormat="false" ht="15" hidden="false" customHeight="false" outlineLevel="0" collapsed="false">
      <c r="A725" s="22" t="n">
        <v>46309</v>
      </c>
      <c r="B725" s="0" t="n">
        <v>4</v>
      </c>
      <c r="C725" s="0" t="n">
        <v>5344</v>
      </c>
      <c r="D725" s="0" t="n">
        <v>323</v>
      </c>
      <c r="E725" s="0" t="n">
        <v>1</v>
      </c>
      <c r="F725" s="23" t="s">
        <v>586</v>
      </c>
      <c r="G725" s="0" t="n">
        <v>39.9</v>
      </c>
      <c r="H725" s="0" t="n">
        <v>42</v>
      </c>
      <c r="I725" s="23" t="s">
        <v>92</v>
      </c>
      <c r="J725" s="0" t="n">
        <v>141</v>
      </c>
      <c r="K725" s="0" t="n">
        <v>64</v>
      </c>
      <c r="L725" s="0" t="n">
        <v>182</v>
      </c>
      <c r="M725" s="0" t="n">
        <v>415.09</v>
      </c>
      <c r="N725" s="0" t="n">
        <v>87.04</v>
      </c>
      <c r="O725" s="0" t="n">
        <v>32.45</v>
      </c>
      <c r="P725" s="0" t="n">
        <v>3.91</v>
      </c>
      <c r="Q725" s="0" t="n">
        <v>3.74</v>
      </c>
      <c r="R725" s="0" t="n">
        <v>3946</v>
      </c>
      <c r="S725" s="0" t="n">
        <v>8298</v>
      </c>
      <c r="T725" s="0" t="n">
        <v>44.25</v>
      </c>
      <c r="U725" s="0" t="n">
        <v>965</v>
      </c>
      <c r="V725" s="0" t="n">
        <v>3</v>
      </c>
      <c r="W725" s="0" t="str">
        <f aca="false">IF(OR(AND(B725&gt;=1,B725&lt;=6),B725=10),"Vaca em lactação",IF(I725="Male","Macho",IF(E725&gt;=1,"Vaca seca",IF(I725="Youngstock","Bezerra/recria","Novilha"))))</f>
        <v>Vaca em lactação</v>
      </c>
      <c r="X725" s="0" t="str">
        <f aca="false">IF(AND(B725&gt;=1,B725&lt;=6),"Tanque",IF(B725=10,"Descarte",""))</f>
        <v>Tanque</v>
      </c>
    </row>
    <row r="726" customFormat="false" ht="15" hidden="false" customHeight="false" outlineLevel="0" collapsed="false">
      <c r="A726" s="22" t="n">
        <v>46309</v>
      </c>
      <c r="B726" s="0" t="n">
        <v>4</v>
      </c>
      <c r="C726" s="0" t="n">
        <v>5343</v>
      </c>
      <c r="D726" s="0" t="n">
        <v>277</v>
      </c>
      <c r="E726" s="0" t="n">
        <v>1</v>
      </c>
      <c r="F726" s="23" t="s">
        <v>586</v>
      </c>
      <c r="G726" s="0" t="n">
        <v>38.7</v>
      </c>
      <c r="H726" s="0" t="n">
        <v>39</v>
      </c>
      <c r="I726" s="23" t="s">
        <v>109</v>
      </c>
      <c r="J726" s="0" t="n">
        <v>277</v>
      </c>
      <c r="K726" s="0" t="n">
        <v>67</v>
      </c>
      <c r="M726" s="0" t="n">
        <v>282.63</v>
      </c>
      <c r="N726" s="0" t="n">
        <v>83.54</v>
      </c>
      <c r="O726" s="0" t="n">
        <v>40.08</v>
      </c>
      <c r="P726" s="0" t="n">
        <v>4.3</v>
      </c>
      <c r="Q726" s="0" t="n">
        <v>3.71</v>
      </c>
      <c r="R726" s="0" t="n">
        <v>4347</v>
      </c>
      <c r="S726" s="0" t="n">
        <v>8195</v>
      </c>
      <c r="T726" s="0" t="n">
        <v>44.3</v>
      </c>
      <c r="U726" s="0" t="n">
        <v>965</v>
      </c>
      <c r="V726" s="0" t="n">
        <v>6</v>
      </c>
      <c r="W726" s="0" t="str">
        <f aca="false">IF(OR(AND(B726&gt;=1,B726&lt;=6),B726=10),"Vaca em lactação",IF(I726="Male","Macho",IF(E726&gt;=1,"Vaca seca",IF(I726="Youngstock","Bezerra/recria","Novilha"))))</f>
        <v>Vaca em lactação</v>
      </c>
      <c r="X726" s="0" t="str">
        <f aca="false">IF(AND(B726&gt;=1,B726&lt;=6),"Tanque",IF(B726=10,"Descarte",""))</f>
        <v>Tanque</v>
      </c>
    </row>
    <row r="727" customFormat="false" ht="15" hidden="false" customHeight="false" outlineLevel="0" collapsed="false">
      <c r="A727" s="22" t="n">
        <v>46309</v>
      </c>
      <c r="B727" s="0" t="n">
        <v>4</v>
      </c>
      <c r="C727" s="0" t="n">
        <v>5443</v>
      </c>
      <c r="D727" s="0" t="n">
        <v>229</v>
      </c>
      <c r="E727" s="0" t="n">
        <v>1</v>
      </c>
      <c r="F727" s="23" t="s">
        <v>587</v>
      </c>
      <c r="G727" s="0" t="n">
        <v>45.1</v>
      </c>
      <c r="H727" s="0" t="n">
        <v>43</v>
      </c>
      <c r="I727" s="23" t="s">
        <v>92</v>
      </c>
      <c r="J727" s="0" t="n">
        <v>68</v>
      </c>
      <c r="K727" s="0" t="n">
        <v>68</v>
      </c>
      <c r="L727" s="0" t="n">
        <v>161</v>
      </c>
      <c r="M727" s="0" t="n">
        <v>243.33</v>
      </c>
      <c r="N727" s="0" t="n">
        <v>61.24</v>
      </c>
      <c r="O727" s="0" t="n">
        <v>23.69</v>
      </c>
      <c r="P727" s="0" t="n">
        <v>2.69</v>
      </c>
      <c r="Q727" s="0" t="n">
        <v>3.39</v>
      </c>
      <c r="R727" s="0" t="n">
        <v>4554</v>
      </c>
      <c r="S727" s="0" t="n">
        <v>9999</v>
      </c>
      <c r="T727" s="0" t="n">
        <v>47.7</v>
      </c>
      <c r="U727" s="0" t="n">
        <v>926</v>
      </c>
      <c r="V727" s="0" t="n">
        <v>1</v>
      </c>
      <c r="W727" s="0" t="str">
        <f aca="false">IF(OR(AND(B727&gt;=1,B727&lt;=6),B727=10),"Vaca em lactação",IF(I727="Male","Macho",IF(E727&gt;=1,"Vaca seca",IF(I727="Youngstock","Bezerra/recria","Novilha"))))</f>
        <v>Vaca em lactação</v>
      </c>
      <c r="X727" s="0" t="str">
        <f aca="false">IF(AND(B727&gt;=1,B727&lt;=6),"Tanque",IF(B727=10,"Descarte",""))</f>
        <v>Tanque</v>
      </c>
    </row>
    <row r="728" customFormat="false" ht="15" hidden="false" customHeight="false" outlineLevel="0" collapsed="false">
      <c r="A728" s="22" t="n">
        <v>46309</v>
      </c>
      <c r="B728" s="0" t="n">
        <v>4</v>
      </c>
      <c r="C728" s="0" t="n">
        <v>5451</v>
      </c>
      <c r="D728" s="0" t="n">
        <v>265</v>
      </c>
      <c r="E728" s="0" t="n">
        <v>1</v>
      </c>
      <c r="F728" s="23" t="s">
        <v>588</v>
      </c>
      <c r="G728" s="0" t="n">
        <v>44.3</v>
      </c>
      <c r="H728" s="0" t="n">
        <v>45</v>
      </c>
      <c r="I728" s="23" t="s">
        <v>92</v>
      </c>
      <c r="J728" s="0" t="n">
        <v>69</v>
      </c>
      <c r="K728" s="0" t="n">
        <v>69</v>
      </c>
      <c r="L728" s="0" t="n">
        <v>196</v>
      </c>
      <c r="M728" s="0" t="n">
        <v>910.34</v>
      </c>
      <c r="N728" s="0" t="n">
        <v>54.34</v>
      </c>
      <c r="O728" s="0" t="n">
        <v>28.85</v>
      </c>
      <c r="P728" s="0" t="n">
        <v>3.39</v>
      </c>
      <c r="Q728" s="0" t="n">
        <v>3.53</v>
      </c>
      <c r="R728" s="0" t="n">
        <v>4453</v>
      </c>
      <c r="S728" s="0" t="n">
        <v>10130</v>
      </c>
      <c r="T728" s="0" t="n">
        <v>43.85</v>
      </c>
      <c r="U728" s="0" t="n">
        <v>924</v>
      </c>
      <c r="V728" s="0" t="n">
        <v>1</v>
      </c>
      <c r="W728" s="0" t="str">
        <f aca="false">IF(OR(AND(B728&gt;=1,B728&lt;=6),B728=10),"Vaca em lactação",IF(I728="Male","Macho",IF(E728&gt;=1,"Vaca seca",IF(I728="Youngstock","Bezerra/recria","Novilha"))))</f>
        <v>Vaca em lactação</v>
      </c>
      <c r="X728" s="0" t="str">
        <f aca="false">IF(AND(B728&gt;=1,B728&lt;=6),"Tanque",IF(B728=10,"Descarte",""))</f>
        <v>Tanque</v>
      </c>
    </row>
    <row r="729" customFormat="false" ht="15" hidden="false" customHeight="false" outlineLevel="0" collapsed="false">
      <c r="A729" s="22" t="n">
        <v>46309</v>
      </c>
      <c r="B729" s="0" t="n">
        <v>4</v>
      </c>
      <c r="C729" s="0" t="n">
        <v>5445</v>
      </c>
      <c r="D729" s="0" t="n">
        <v>271</v>
      </c>
      <c r="E729" s="0" t="n">
        <v>1</v>
      </c>
      <c r="F729" s="23" t="s">
        <v>589</v>
      </c>
      <c r="G729" s="0" t="n">
        <v>25.1</v>
      </c>
      <c r="H729" s="0" t="n">
        <v>27</v>
      </c>
      <c r="I729" s="23" t="s">
        <v>92</v>
      </c>
      <c r="J729" s="0" t="n">
        <v>68</v>
      </c>
      <c r="K729" s="0" t="n">
        <v>68</v>
      </c>
      <c r="L729" s="0" t="n">
        <v>203</v>
      </c>
      <c r="M729" s="0" t="n">
        <v>367</v>
      </c>
      <c r="N729" s="0" t="n">
        <v>72.32</v>
      </c>
      <c r="O729" s="0" t="n">
        <v>28.9</v>
      </c>
      <c r="P729" s="0" t="n">
        <v>3.43</v>
      </c>
      <c r="Q729" s="0" t="n">
        <v>3.97</v>
      </c>
      <c r="R729" s="0" t="n">
        <v>4636</v>
      </c>
      <c r="S729" s="0" t="n">
        <v>10201</v>
      </c>
      <c r="T729" s="0" t="n">
        <v>49.95</v>
      </c>
      <c r="U729" s="0" t="n">
        <v>925</v>
      </c>
      <c r="V729" s="0" t="n">
        <v>1</v>
      </c>
      <c r="W729" s="0" t="str">
        <f aca="false">IF(OR(AND(B729&gt;=1,B729&lt;=6),B729=10),"Vaca em lactação",IF(I729="Male","Macho",IF(E729&gt;=1,"Vaca seca",IF(I729="Youngstock","Bezerra/recria","Novilha"))))</f>
        <v>Vaca em lactação</v>
      </c>
      <c r="X729" s="0" t="str">
        <f aca="false">IF(AND(B729&gt;=1,B729&lt;=6),"Tanque",IF(B729=10,"Descarte",""))</f>
        <v>Tanque</v>
      </c>
    </row>
    <row r="730" customFormat="false" ht="15" hidden="false" customHeight="false" outlineLevel="0" collapsed="false">
      <c r="A730" s="22" t="n">
        <v>46309</v>
      </c>
      <c r="B730" s="0" t="n">
        <v>4</v>
      </c>
      <c r="C730" s="0" t="n">
        <v>5448</v>
      </c>
      <c r="D730" s="0" t="n">
        <v>206</v>
      </c>
      <c r="E730" s="0" t="n">
        <v>1</v>
      </c>
      <c r="F730" s="23" t="s">
        <v>589</v>
      </c>
      <c r="G730" s="0" t="n">
        <v>55.3</v>
      </c>
      <c r="H730" s="0" t="n">
        <v>53</v>
      </c>
      <c r="I730" s="23" t="s">
        <v>92</v>
      </c>
      <c r="J730" s="0" t="n">
        <v>157</v>
      </c>
      <c r="K730" s="0" t="n">
        <v>66</v>
      </c>
      <c r="L730" s="0" t="n">
        <v>49</v>
      </c>
      <c r="M730" s="0" t="n">
        <v>63.97</v>
      </c>
      <c r="N730" s="0" t="n">
        <v>70.71</v>
      </c>
      <c r="O730" s="0" t="n">
        <v>27.41</v>
      </c>
      <c r="P730" s="0" t="n">
        <v>3.82</v>
      </c>
      <c r="Q730" s="0" t="n">
        <v>3.51</v>
      </c>
      <c r="R730" s="0" t="n">
        <v>4365</v>
      </c>
      <c r="S730" s="0" t="n">
        <v>9356</v>
      </c>
      <c r="T730" s="0" t="n">
        <v>50.25</v>
      </c>
      <c r="U730" s="0" t="n">
        <v>925</v>
      </c>
      <c r="V730" s="0" t="n">
        <v>4</v>
      </c>
      <c r="W730" s="0" t="str">
        <f aca="false">IF(OR(AND(B730&gt;=1,B730&lt;=6),B730=10),"Vaca em lactação",IF(I730="Male","Macho",IF(E730&gt;=1,"Vaca seca",IF(I730="Youngstock","Bezerra/recria","Novilha"))))</f>
        <v>Vaca em lactação</v>
      </c>
      <c r="X730" s="0" t="str">
        <f aca="false">IF(AND(B730&gt;=1,B730&lt;=6),"Tanque",IF(B730=10,"Descarte",""))</f>
        <v>Tanque</v>
      </c>
    </row>
    <row r="731" customFormat="false" ht="15" hidden="false" customHeight="false" outlineLevel="0" collapsed="false">
      <c r="A731" s="22" t="n">
        <v>46309</v>
      </c>
      <c r="B731" s="0" t="n">
        <v>4</v>
      </c>
      <c r="C731" s="0" t="n">
        <v>5452</v>
      </c>
      <c r="D731" s="0" t="n">
        <v>222</v>
      </c>
      <c r="E731" s="0" t="n">
        <v>1</v>
      </c>
      <c r="F731" s="23" t="s">
        <v>590</v>
      </c>
      <c r="G731" s="0" t="n">
        <v>50.8</v>
      </c>
      <c r="H731" s="0" t="n">
        <v>48</v>
      </c>
      <c r="I731" s="23" t="s">
        <v>92</v>
      </c>
      <c r="J731" s="0" t="n">
        <v>167</v>
      </c>
      <c r="K731" s="0" t="n">
        <v>68</v>
      </c>
      <c r="L731" s="0" t="n">
        <v>55</v>
      </c>
      <c r="M731" s="0" t="n">
        <v>1034.93</v>
      </c>
      <c r="N731" s="0" t="n">
        <v>42.63</v>
      </c>
      <c r="O731" s="0" t="n">
        <v>49.31</v>
      </c>
      <c r="P731" s="0" t="n">
        <v>2.84</v>
      </c>
      <c r="Q731" s="0" t="n">
        <v>3.39</v>
      </c>
      <c r="R731" s="0" t="n">
        <v>3937</v>
      </c>
      <c r="S731" s="0" t="n">
        <v>8934</v>
      </c>
      <c r="T731" s="0" t="n">
        <v>35.25</v>
      </c>
      <c r="U731" s="0" t="n">
        <v>923</v>
      </c>
      <c r="V731" s="0" t="n">
        <v>4</v>
      </c>
      <c r="W731" s="0" t="str">
        <f aca="false">IF(OR(AND(B731&gt;=1,B731&lt;=6),B731=10),"Vaca em lactação",IF(I731="Male","Macho",IF(E731&gt;=1,"Vaca seca",IF(I731="Youngstock","Bezerra/recria","Novilha"))))</f>
        <v>Vaca em lactação</v>
      </c>
      <c r="X731" s="0" t="str">
        <f aca="false">IF(AND(B731&gt;=1,B731&lt;=6),"Tanque",IF(B731=10,"Descarte",""))</f>
        <v>Tanque</v>
      </c>
    </row>
    <row r="732" customFormat="false" ht="15" hidden="false" customHeight="false" outlineLevel="0" collapsed="false">
      <c r="A732" s="22" t="n">
        <v>46309</v>
      </c>
      <c r="B732" s="0" t="n">
        <v>4</v>
      </c>
      <c r="C732" s="0" t="n">
        <v>5457</v>
      </c>
      <c r="D732" s="0" t="n">
        <v>260</v>
      </c>
      <c r="E732" s="0" t="n">
        <v>1</v>
      </c>
      <c r="F732" s="23" t="s">
        <v>591</v>
      </c>
      <c r="G732" s="0" t="n">
        <v>45.3</v>
      </c>
      <c r="H732" s="0" t="n">
        <v>49</v>
      </c>
      <c r="I732" s="23" t="s">
        <v>97</v>
      </c>
      <c r="J732" s="0" t="n">
        <v>260</v>
      </c>
      <c r="K732" s="0" t="n">
        <v>64</v>
      </c>
      <c r="M732" s="0" t="n">
        <v>402.07</v>
      </c>
      <c r="N732" s="0" t="n">
        <v>30.2</v>
      </c>
      <c r="O732" s="0" t="n">
        <v>23.06</v>
      </c>
      <c r="P732" s="0" t="n">
        <v>2.96</v>
      </c>
      <c r="Q732" s="0" t="n">
        <v>3.43</v>
      </c>
      <c r="R732" s="0" t="n">
        <v>4732</v>
      </c>
      <c r="S732" s="0" t="n">
        <v>10038</v>
      </c>
      <c r="T732" s="0" t="n">
        <v>47.55</v>
      </c>
      <c r="U732" s="0" t="n">
        <v>921</v>
      </c>
      <c r="V732" s="0" t="n">
        <v>6</v>
      </c>
      <c r="W732" s="0" t="str">
        <f aca="false">IF(OR(AND(B732&gt;=1,B732&lt;=6),B732=10),"Vaca em lactação",IF(I732="Male","Macho",IF(E732&gt;=1,"Vaca seca",IF(I732="Youngstock","Bezerra/recria","Novilha"))))</f>
        <v>Vaca em lactação</v>
      </c>
      <c r="X732" s="0" t="str">
        <f aca="false">IF(AND(B732&gt;=1,B732&lt;=6),"Tanque",IF(B732=10,"Descarte",""))</f>
        <v>Tanque</v>
      </c>
    </row>
    <row r="733" customFormat="false" ht="15" hidden="false" customHeight="false" outlineLevel="0" collapsed="false">
      <c r="A733" s="22" t="n">
        <v>46309</v>
      </c>
      <c r="B733" s="0" t="n">
        <v>4</v>
      </c>
      <c r="C733" s="0" t="n">
        <v>5453</v>
      </c>
      <c r="D733" s="0" t="n">
        <v>208</v>
      </c>
      <c r="E733" s="0" t="n">
        <v>1</v>
      </c>
      <c r="F733" s="23" t="s">
        <v>591</v>
      </c>
      <c r="G733" s="0" t="n">
        <v>41.7</v>
      </c>
      <c r="H733" s="0" t="n">
        <v>42</v>
      </c>
      <c r="I733" s="23" t="s">
        <v>92</v>
      </c>
      <c r="J733" s="0" t="n">
        <v>93</v>
      </c>
      <c r="K733" s="0" t="n">
        <v>68</v>
      </c>
      <c r="L733" s="0" t="n">
        <v>115</v>
      </c>
      <c r="M733" s="0" t="n">
        <v>199.49</v>
      </c>
      <c r="N733" s="0" t="n">
        <v>61.52</v>
      </c>
      <c r="O733" s="0" t="n">
        <v>21.68</v>
      </c>
      <c r="P733" s="0" t="n">
        <v>3.99</v>
      </c>
      <c r="Q733" s="0" t="n">
        <v>3.42</v>
      </c>
      <c r="R733" s="0" t="n">
        <v>3308</v>
      </c>
      <c r="S733" s="0" t="n">
        <v>8086</v>
      </c>
      <c r="T733" s="0" t="n">
        <v>39.3</v>
      </c>
      <c r="U733" s="0" t="n">
        <v>921</v>
      </c>
      <c r="V733" s="0" t="n">
        <v>2</v>
      </c>
      <c r="W733" s="0" t="str">
        <f aca="false">IF(OR(AND(B733&gt;=1,B733&lt;=6),B733=10),"Vaca em lactação",IF(I733="Male","Macho",IF(E733&gt;=1,"Vaca seca",IF(I733="Youngstock","Bezerra/recria","Novilha"))))</f>
        <v>Vaca em lactação</v>
      </c>
      <c r="X733" s="0" t="str">
        <f aca="false">IF(AND(B733&gt;=1,B733&lt;=6),"Tanque",IF(B733=10,"Descarte",""))</f>
        <v>Tanque</v>
      </c>
    </row>
    <row r="734" customFormat="false" ht="15" hidden="false" customHeight="false" outlineLevel="0" collapsed="false">
      <c r="A734" s="22" t="n">
        <v>46309</v>
      </c>
      <c r="B734" s="0" t="n">
        <v>4</v>
      </c>
      <c r="C734" s="0" t="n">
        <v>5455</v>
      </c>
      <c r="D734" s="0" t="n">
        <v>261</v>
      </c>
      <c r="E734" s="0" t="n">
        <v>1</v>
      </c>
      <c r="F734" s="23" t="s">
        <v>591</v>
      </c>
      <c r="G734" s="0" t="n">
        <v>21.1</v>
      </c>
      <c r="H734" s="0" t="n">
        <v>20</v>
      </c>
      <c r="I734" s="23" t="s">
        <v>92</v>
      </c>
      <c r="J734" s="0" t="n">
        <v>89</v>
      </c>
      <c r="K734" s="0" t="n">
        <v>65</v>
      </c>
      <c r="L734" s="0" t="n">
        <v>172</v>
      </c>
      <c r="M734" s="0" t="n">
        <v>333.06</v>
      </c>
      <c r="N734" s="0" t="n">
        <v>81.75</v>
      </c>
      <c r="O734" s="0" t="n">
        <v>42.59</v>
      </c>
      <c r="P734" s="0" t="n">
        <v>4.17</v>
      </c>
      <c r="Q734" s="0" t="n">
        <v>3.91</v>
      </c>
      <c r="R734" s="0" t="n">
        <v>3744</v>
      </c>
      <c r="S734" s="0" t="n">
        <v>8915</v>
      </c>
      <c r="T734" s="0" t="n">
        <v>35.1</v>
      </c>
      <c r="U734" s="0" t="n">
        <v>921</v>
      </c>
      <c r="V734" s="0" t="n">
        <v>2</v>
      </c>
      <c r="W734" s="0" t="str">
        <f aca="false">IF(OR(AND(B734&gt;=1,B734&lt;=6),B734=10),"Vaca em lactação",IF(I734="Male","Macho",IF(E734&gt;=1,"Vaca seca",IF(I734="Youngstock","Bezerra/recria","Novilha"))))</f>
        <v>Vaca em lactação</v>
      </c>
      <c r="X734" s="0" t="str">
        <f aca="false">IF(AND(B734&gt;=1,B734&lt;=6),"Tanque",IF(B734=10,"Descarte",""))</f>
        <v>Tanque</v>
      </c>
    </row>
    <row r="735" customFormat="false" ht="15" hidden="false" customHeight="false" outlineLevel="0" collapsed="false">
      <c r="A735" s="22" t="n">
        <v>46309</v>
      </c>
      <c r="B735" s="0" t="n">
        <v>4</v>
      </c>
      <c r="C735" s="0" t="n">
        <v>5074</v>
      </c>
      <c r="D735" s="0" t="n">
        <v>245</v>
      </c>
      <c r="E735" s="0" t="n">
        <v>1</v>
      </c>
      <c r="F735" s="23" t="s">
        <v>592</v>
      </c>
      <c r="G735" s="0" t="n">
        <v>45.6</v>
      </c>
      <c r="H735" s="0" t="n">
        <v>46</v>
      </c>
      <c r="I735" s="23" t="s">
        <v>506</v>
      </c>
      <c r="J735" s="0" t="n">
        <v>245</v>
      </c>
      <c r="M735" s="0" t="n">
        <v>224.68</v>
      </c>
      <c r="N735" s="0" t="n">
        <v>41.18</v>
      </c>
      <c r="O735" s="0" t="n">
        <v>26.06</v>
      </c>
      <c r="P735" s="0" t="n">
        <v>3.4</v>
      </c>
      <c r="Q735" s="0" t="n">
        <v>3.73</v>
      </c>
      <c r="R735" s="0" t="n">
        <v>3436</v>
      </c>
      <c r="S735" s="0" t="n">
        <v>7902</v>
      </c>
      <c r="T735" s="0" t="n">
        <v>41.15</v>
      </c>
      <c r="U735" s="0" t="n">
        <v>1073</v>
      </c>
      <c r="V735" s="0" t="n">
        <v>0</v>
      </c>
      <c r="W735" s="0" t="str">
        <f aca="false">IF(OR(AND(B735&gt;=1,B735&lt;=6),B735=10),"Vaca em lactação",IF(I735="Male","Macho",IF(E735&gt;=1,"Vaca seca",IF(I735="Youngstock","Bezerra/recria","Novilha"))))</f>
        <v>Vaca em lactação</v>
      </c>
      <c r="X735" s="0" t="str">
        <f aca="false">IF(AND(B735&gt;=1,B735&lt;=6),"Tanque",IF(B735=10,"Descarte",""))</f>
        <v>Tanque</v>
      </c>
    </row>
    <row r="736" customFormat="false" ht="15" hidden="false" customHeight="false" outlineLevel="0" collapsed="false">
      <c r="A736" s="22" t="n">
        <v>46309</v>
      </c>
      <c r="B736" s="0" t="n">
        <v>4</v>
      </c>
      <c r="C736" s="0" t="n">
        <v>5071</v>
      </c>
      <c r="D736" s="0" t="n">
        <v>295</v>
      </c>
      <c r="E736" s="0" t="n">
        <v>1</v>
      </c>
      <c r="F736" s="23" t="s">
        <v>279</v>
      </c>
      <c r="G736" s="0" t="n">
        <v>45.5</v>
      </c>
      <c r="H736" s="0" t="n">
        <v>45</v>
      </c>
      <c r="I736" s="23" t="s">
        <v>92</v>
      </c>
      <c r="J736" s="0" t="n">
        <v>194</v>
      </c>
      <c r="K736" s="0" t="n">
        <v>64</v>
      </c>
      <c r="L736" s="0" t="n">
        <v>101</v>
      </c>
      <c r="M736" s="0" t="n">
        <v>608.74</v>
      </c>
      <c r="N736" s="0" t="n">
        <v>81.51</v>
      </c>
      <c r="O736" s="0" t="n">
        <v>31.67</v>
      </c>
      <c r="P736" s="0" t="n">
        <v>3.48</v>
      </c>
      <c r="Q736" s="0" t="n">
        <v>3.85</v>
      </c>
      <c r="R736" s="0" t="n">
        <v>4274</v>
      </c>
      <c r="S736" s="0" t="n">
        <v>9519</v>
      </c>
      <c r="T736" s="0" t="n">
        <v>46.65</v>
      </c>
      <c r="U736" s="0" t="n">
        <v>1075</v>
      </c>
      <c r="V736" s="0" t="n">
        <v>5</v>
      </c>
      <c r="W736" s="0" t="str">
        <f aca="false">IF(OR(AND(B736&gt;=1,B736&lt;=6),B736=10),"Vaca em lactação",IF(I736="Male","Macho",IF(E736&gt;=1,"Vaca seca",IF(I736="Youngstock","Bezerra/recria","Novilha"))))</f>
        <v>Vaca em lactação</v>
      </c>
      <c r="X736" s="0" t="str">
        <f aca="false">IF(AND(B736&gt;=1,B736&lt;=6),"Tanque",IF(B736=10,"Descarte",""))</f>
        <v>Tanque</v>
      </c>
    </row>
    <row r="737" customFormat="false" ht="15" hidden="false" customHeight="false" outlineLevel="0" collapsed="false">
      <c r="A737" s="22" t="n">
        <v>46309</v>
      </c>
      <c r="B737" s="0" t="n">
        <v>4</v>
      </c>
      <c r="C737" s="0" t="n">
        <v>5126</v>
      </c>
      <c r="D737" s="0" t="n">
        <v>141</v>
      </c>
      <c r="E737" s="0" t="n">
        <v>1</v>
      </c>
      <c r="F737" s="23" t="s">
        <v>593</v>
      </c>
      <c r="G737" s="0" t="n">
        <v>34.8</v>
      </c>
      <c r="H737" s="0" t="n">
        <v>35</v>
      </c>
      <c r="I737" s="23" t="s">
        <v>109</v>
      </c>
      <c r="J737" s="0" t="n">
        <v>141</v>
      </c>
      <c r="K737" s="0" t="n">
        <v>64</v>
      </c>
      <c r="M737" s="0" t="n">
        <v>862.41</v>
      </c>
      <c r="N737" s="0" t="n">
        <v>56.06</v>
      </c>
      <c r="O737" s="0" t="n">
        <v>34.71</v>
      </c>
      <c r="P737" s="0" t="n">
        <v>4.06</v>
      </c>
      <c r="Q737" s="0" t="n">
        <v>3.54</v>
      </c>
      <c r="R737" s="0" t="n">
        <v>3593</v>
      </c>
      <c r="S737" s="0" t="n">
        <v>7302</v>
      </c>
      <c r="T737" s="0" t="n">
        <v>37.1</v>
      </c>
      <c r="U737" s="0" t="n">
        <v>1055</v>
      </c>
      <c r="V737" s="0" t="n">
        <v>2</v>
      </c>
      <c r="W737" s="0" t="str">
        <f aca="false">IF(OR(AND(B737&gt;=1,B737&lt;=6),B737=10),"Vaca em lactação",IF(I737="Male","Macho",IF(E737&gt;=1,"Vaca seca",IF(I737="Youngstock","Bezerra/recria","Novilha"))))</f>
        <v>Vaca em lactação</v>
      </c>
      <c r="X737" s="0" t="str">
        <f aca="false">IF(AND(B737&gt;=1,B737&lt;=6),"Tanque",IF(B737=10,"Descarte",""))</f>
        <v>Tanque</v>
      </c>
    </row>
    <row r="738" customFormat="false" ht="15" hidden="false" customHeight="false" outlineLevel="0" collapsed="false">
      <c r="A738" s="22" t="n">
        <v>46309</v>
      </c>
      <c r="B738" s="0" t="n">
        <v>4</v>
      </c>
      <c r="C738" s="0" t="n">
        <v>5122</v>
      </c>
      <c r="D738" s="0" t="n">
        <v>347</v>
      </c>
      <c r="E738" s="0" t="n">
        <v>1</v>
      </c>
      <c r="F738" s="23" t="s">
        <v>594</v>
      </c>
      <c r="G738" s="0" t="n">
        <v>33.6</v>
      </c>
      <c r="H738" s="0" t="n">
        <v>37</v>
      </c>
      <c r="I738" s="23" t="s">
        <v>109</v>
      </c>
      <c r="J738" s="0" t="n">
        <v>347</v>
      </c>
      <c r="K738" s="0" t="n">
        <v>68</v>
      </c>
      <c r="M738" s="0" t="n">
        <v>314.58</v>
      </c>
      <c r="N738" s="0" t="n">
        <v>43.22</v>
      </c>
      <c r="O738" s="0" t="n">
        <v>20.54</v>
      </c>
      <c r="P738" s="0" t="n">
        <v>3.55</v>
      </c>
      <c r="Q738" s="0" t="n">
        <v>3.94</v>
      </c>
      <c r="R738" s="0" t="n">
        <v>4660</v>
      </c>
      <c r="S738" s="0" t="n">
        <v>9328</v>
      </c>
      <c r="T738" s="0" t="n">
        <v>50.35</v>
      </c>
      <c r="U738" s="0" t="n">
        <v>1057</v>
      </c>
      <c r="V738" s="0" t="n">
        <v>6</v>
      </c>
      <c r="W738" s="0" t="str">
        <f aca="false">IF(OR(AND(B738&gt;=1,B738&lt;=6),B738=10),"Vaca em lactação",IF(I738="Male","Macho",IF(E738&gt;=1,"Vaca seca",IF(I738="Youngstock","Bezerra/recria","Novilha"))))</f>
        <v>Vaca em lactação</v>
      </c>
      <c r="X738" s="0" t="str">
        <f aca="false">IF(AND(B738&gt;=1,B738&lt;=6),"Tanque",IF(B738=10,"Descarte",""))</f>
        <v>Tanque</v>
      </c>
    </row>
    <row r="739" customFormat="false" ht="15" hidden="false" customHeight="false" outlineLevel="0" collapsed="false">
      <c r="A739" s="22" t="n">
        <v>46309</v>
      </c>
      <c r="B739" s="0" t="n">
        <v>4</v>
      </c>
      <c r="C739" s="0" t="n">
        <v>5098</v>
      </c>
      <c r="D739" s="0" t="n">
        <v>350</v>
      </c>
      <c r="E739" s="0" t="n">
        <v>1</v>
      </c>
      <c r="F739" s="23" t="s">
        <v>595</v>
      </c>
      <c r="G739" s="0" t="n">
        <v>34.1</v>
      </c>
      <c r="H739" s="0" t="n">
        <v>37</v>
      </c>
      <c r="I739" s="23" t="s">
        <v>109</v>
      </c>
      <c r="J739" s="0" t="n">
        <v>350</v>
      </c>
      <c r="K739" s="0" t="n">
        <v>64</v>
      </c>
      <c r="M739" s="0" t="n">
        <v>36.78</v>
      </c>
      <c r="N739" s="0" t="n">
        <v>70.56</v>
      </c>
      <c r="O739" s="0" t="n">
        <v>28.87</v>
      </c>
      <c r="P739" s="0" t="n">
        <v>5.85</v>
      </c>
      <c r="Q739" s="0" t="n">
        <v>3.99</v>
      </c>
      <c r="R739" s="0" t="n">
        <v>4132</v>
      </c>
      <c r="S739" s="0" t="n">
        <v>8430</v>
      </c>
      <c r="T739" s="0" t="n">
        <v>43.45</v>
      </c>
      <c r="U739" s="0" t="n">
        <v>1066</v>
      </c>
      <c r="V739" s="0" t="n">
        <v>5</v>
      </c>
      <c r="W739" s="0" t="str">
        <f aca="false">IF(OR(AND(B739&gt;=1,B739&lt;=6),B739=10),"Vaca em lactação",IF(I739="Male","Macho",IF(E739&gt;=1,"Vaca seca",IF(I739="Youngstock","Bezerra/recria","Novilha"))))</f>
        <v>Vaca em lactação</v>
      </c>
      <c r="X739" s="0" t="str">
        <f aca="false">IF(AND(B739&gt;=1,B739&lt;=6),"Tanque",IF(B739=10,"Descarte",""))</f>
        <v>Tanque</v>
      </c>
    </row>
    <row r="740" customFormat="false" ht="15" hidden="false" customHeight="false" outlineLevel="0" collapsed="false">
      <c r="A740" s="22" t="n">
        <v>46309</v>
      </c>
      <c r="B740" s="0" t="n">
        <v>4</v>
      </c>
      <c r="C740" s="0" t="n">
        <v>5103</v>
      </c>
      <c r="D740" s="0" t="n">
        <v>350</v>
      </c>
      <c r="E740" s="0" t="n">
        <v>1</v>
      </c>
      <c r="F740" s="23" t="s">
        <v>93</v>
      </c>
      <c r="G740" s="0" t="n">
        <v>53.9</v>
      </c>
      <c r="H740" s="0" t="n">
        <v>49</v>
      </c>
      <c r="I740" s="23" t="s">
        <v>92</v>
      </c>
      <c r="J740" s="0" t="n">
        <v>147</v>
      </c>
      <c r="K740" s="0" t="n">
        <v>64</v>
      </c>
      <c r="L740" s="0" t="n">
        <v>203</v>
      </c>
      <c r="M740" s="0" t="n">
        <v>1203.35</v>
      </c>
      <c r="N740" s="0" t="n">
        <v>70.52</v>
      </c>
      <c r="O740" s="0" t="n">
        <v>46.94</v>
      </c>
      <c r="P740" s="0" t="n">
        <v>3.26</v>
      </c>
      <c r="Q740" s="0" t="n">
        <v>3.75</v>
      </c>
      <c r="R740" s="0" t="n">
        <v>4737</v>
      </c>
      <c r="S740" s="0" t="n">
        <v>10257</v>
      </c>
      <c r="T740" s="0" t="n">
        <v>50.6</v>
      </c>
      <c r="U740" s="0" t="n">
        <v>1064</v>
      </c>
      <c r="V740" s="0" t="n">
        <v>3</v>
      </c>
      <c r="W740" s="0" t="str">
        <f aca="false">IF(OR(AND(B740&gt;=1,B740&lt;=6),B740=10),"Vaca em lactação",IF(I740="Male","Macho",IF(E740&gt;=1,"Vaca seca",IF(I740="Youngstock","Bezerra/recria","Novilha"))))</f>
        <v>Vaca em lactação</v>
      </c>
      <c r="X740" s="0" t="str">
        <f aca="false">IF(AND(B740&gt;=1,B740&lt;=6),"Tanque",IF(B740=10,"Descarte",""))</f>
        <v>Tanque</v>
      </c>
    </row>
    <row r="741" customFormat="false" ht="15" hidden="false" customHeight="false" outlineLevel="0" collapsed="false">
      <c r="A741" s="22" t="n">
        <v>46309</v>
      </c>
      <c r="B741" s="0" t="n">
        <v>4</v>
      </c>
      <c r="C741" s="0" t="n">
        <v>5099</v>
      </c>
      <c r="D741" s="0" t="n">
        <v>311</v>
      </c>
      <c r="E741" s="0" t="n">
        <v>1</v>
      </c>
      <c r="F741" s="23" t="s">
        <v>596</v>
      </c>
      <c r="G741" s="0" t="n">
        <v>39.1</v>
      </c>
      <c r="H741" s="0" t="n">
        <v>43</v>
      </c>
      <c r="I741" s="23" t="s">
        <v>92</v>
      </c>
      <c r="J741" s="0" t="n">
        <v>115</v>
      </c>
      <c r="K741" s="0" t="n">
        <v>66</v>
      </c>
      <c r="L741" s="0" t="n">
        <v>196</v>
      </c>
      <c r="M741" s="0" t="n">
        <v>687.66</v>
      </c>
      <c r="N741" s="0" t="n">
        <v>78.74</v>
      </c>
      <c r="O741" s="0" t="n">
        <v>32.95</v>
      </c>
      <c r="P741" s="0" t="n">
        <v>4.98</v>
      </c>
      <c r="Q741" s="0" t="n">
        <v>3.49</v>
      </c>
      <c r="R741" s="0" t="n">
        <v>3828</v>
      </c>
      <c r="S741" s="0" t="n">
        <v>7960</v>
      </c>
      <c r="T741" s="0" t="n">
        <v>39.85</v>
      </c>
      <c r="U741" s="0" t="n">
        <v>1065</v>
      </c>
      <c r="V741" s="0" t="n">
        <v>2</v>
      </c>
      <c r="W741" s="0" t="str">
        <f aca="false">IF(OR(AND(B741&gt;=1,B741&lt;=6),B741=10),"Vaca em lactação",IF(I741="Male","Macho",IF(E741&gt;=1,"Vaca seca",IF(I741="Youngstock","Bezerra/recria","Novilha"))))</f>
        <v>Vaca em lactação</v>
      </c>
      <c r="X741" s="0" t="str">
        <f aca="false">IF(AND(B741&gt;=1,B741&lt;=6),"Tanque",IF(B741=10,"Descarte",""))</f>
        <v>Tanque</v>
      </c>
    </row>
    <row r="742" customFormat="false" ht="15" hidden="false" customHeight="false" outlineLevel="0" collapsed="false">
      <c r="A742" s="22" t="n">
        <v>46309</v>
      </c>
      <c r="B742" s="0" t="n">
        <v>4</v>
      </c>
      <c r="C742" s="0" t="n">
        <v>5041</v>
      </c>
      <c r="D742" s="0" t="n">
        <v>171</v>
      </c>
      <c r="E742" s="0" t="n">
        <v>1</v>
      </c>
      <c r="F742" s="23" t="s">
        <v>467</v>
      </c>
      <c r="G742" s="0" t="n">
        <v>51.7</v>
      </c>
      <c r="H742" s="0" t="n">
        <v>48</v>
      </c>
      <c r="I742" s="23" t="s">
        <v>506</v>
      </c>
      <c r="J742" s="0" t="n">
        <v>171</v>
      </c>
      <c r="K742" s="0" t="n">
        <v>66</v>
      </c>
      <c r="M742" s="0" t="n">
        <v>1035.99</v>
      </c>
      <c r="N742" s="0" t="n">
        <v>74.52</v>
      </c>
      <c r="O742" s="0" t="n">
        <v>46.72</v>
      </c>
      <c r="P742" s="0" t="n">
        <v>3.98</v>
      </c>
      <c r="Q742" s="0" t="n">
        <v>3.33</v>
      </c>
      <c r="R742" s="0" t="n">
        <v>3721</v>
      </c>
      <c r="S742" s="0" t="n">
        <v>8735</v>
      </c>
      <c r="T742" s="0" t="n">
        <v>42.4</v>
      </c>
      <c r="U742" s="0" t="n">
        <v>1092</v>
      </c>
      <c r="V742" s="0" t="n">
        <v>1</v>
      </c>
      <c r="W742" s="0" t="str">
        <f aca="false">IF(OR(AND(B742&gt;=1,B742&lt;=6),B742=10),"Vaca em lactação",IF(I742="Male","Macho",IF(E742&gt;=1,"Vaca seca",IF(I742="Youngstock","Bezerra/recria","Novilha"))))</f>
        <v>Vaca em lactação</v>
      </c>
      <c r="X742" s="0" t="str">
        <f aca="false">IF(AND(B742&gt;=1,B742&lt;=6),"Tanque",IF(B742=10,"Descarte",""))</f>
        <v>Tanque</v>
      </c>
    </row>
    <row r="743" customFormat="false" ht="15" hidden="false" customHeight="false" outlineLevel="0" collapsed="false">
      <c r="A743" s="22" t="n">
        <v>46309</v>
      </c>
      <c r="B743" s="0" t="n">
        <v>4</v>
      </c>
      <c r="C743" s="0" t="n">
        <v>5221</v>
      </c>
      <c r="D743" s="0" t="n">
        <v>302</v>
      </c>
      <c r="E743" s="0" t="n">
        <v>1</v>
      </c>
      <c r="F743" s="23" t="s">
        <v>597</v>
      </c>
      <c r="G743" s="0" t="n">
        <v>39.8</v>
      </c>
      <c r="H743" s="0" t="n">
        <v>38</v>
      </c>
      <c r="I743" s="23" t="s">
        <v>97</v>
      </c>
      <c r="J743" s="0" t="n">
        <v>302</v>
      </c>
      <c r="K743" s="0" t="n">
        <v>78</v>
      </c>
      <c r="M743" s="0" t="n">
        <v>797.69</v>
      </c>
      <c r="N743" s="0" t="n">
        <v>65.41</v>
      </c>
      <c r="O743" s="0" t="n">
        <v>37.28</v>
      </c>
      <c r="P743" s="0" t="n">
        <v>2.74</v>
      </c>
      <c r="Q743" s="0" t="n">
        <v>3.67</v>
      </c>
      <c r="R743" s="0" t="n">
        <v>4094</v>
      </c>
      <c r="S743" s="0" t="n">
        <v>8342</v>
      </c>
      <c r="T743" s="0" t="n">
        <v>41.9</v>
      </c>
      <c r="U743" s="0" t="n">
        <v>1010</v>
      </c>
      <c r="V743" s="0" t="n">
        <v>6</v>
      </c>
      <c r="W743" s="0" t="str">
        <f aca="false">IF(OR(AND(B743&gt;=1,B743&lt;=6),B743=10),"Vaca em lactação",IF(I743="Male","Macho",IF(E743&gt;=1,"Vaca seca",IF(I743="Youngstock","Bezerra/recria","Novilha"))))</f>
        <v>Vaca em lactação</v>
      </c>
      <c r="X743" s="0" t="str">
        <f aca="false">IF(AND(B743&gt;=1,B743&lt;=6),"Tanque",IF(B743=10,"Descarte",""))</f>
        <v>Tanque</v>
      </c>
    </row>
    <row r="744" customFormat="false" ht="15" hidden="false" customHeight="false" outlineLevel="0" collapsed="false">
      <c r="A744" s="22" t="n">
        <v>46309</v>
      </c>
      <c r="B744" s="0" t="n">
        <v>4</v>
      </c>
      <c r="C744" s="0" t="n">
        <v>5219</v>
      </c>
      <c r="D744" s="0" t="n">
        <v>287</v>
      </c>
      <c r="E744" s="0" t="n">
        <v>1</v>
      </c>
      <c r="F744" s="23" t="s">
        <v>598</v>
      </c>
      <c r="G744" s="0" t="n">
        <v>41.8</v>
      </c>
      <c r="H744" s="0" t="n">
        <v>42</v>
      </c>
      <c r="I744" s="23" t="s">
        <v>109</v>
      </c>
      <c r="J744" s="0" t="n">
        <v>287</v>
      </c>
      <c r="K744" s="0" t="n">
        <v>63</v>
      </c>
      <c r="M744" s="0" t="n">
        <v>1074.6</v>
      </c>
      <c r="N744" s="0" t="n">
        <v>81.89</v>
      </c>
      <c r="O744" s="0" t="n">
        <v>49.98</v>
      </c>
      <c r="P744" s="0" t="n">
        <v>4.33</v>
      </c>
      <c r="Q744" s="0" t="n">
        <v>3.74</v>
      </c>
      <c r="R744" s="0" t="n">
        <v>5073</v>
      </c>
      <c r="S744" s="0" t="n">
        <v>9665</v>
      </c>
      <c r="T744" s="0" t="n">
        <v>49.65</v>
      </c>
      <c r="U744" s="0" t="n">
        <v>1011</v>
      </c>
      <c r="V744" s="0" t="n">
        <v>5</v>
      </c>
      <c r="W744" s="0" t="str">
        <f aca="false">IF(OR(AND(B744&gt;=1,B744&lt;=6),B744=10),"Vaca em lactação",IF(I744="Male","Macho",IF(E744&gt;=1,"Vaca seca",IF(I744="Youngstock","Bezerra/recria","Novilha"))))</f>
        <v>Vaca em lactação</v>
      </c>
      <c r="X744" s="0" t="str">
        <f aca="false">IF(AND(B744&gt;=1,B744&lt;=6),"Tanque",IF(B744=10,"Descarte",""))</f>
        <v>Tanque</v>
      </c>
    </row>
    <row r="745" customFormat="false" ht="15" hidden="false" customHeight="false" outlineLevel="0" collapsed="false">
      <c r="A745" s="22" t="n">
        <v>46309</v>
      </c>
      <c r="B745" s="0" t="n">
        <v>4</v>
      </c>
      <c r="C745" s="0" t="n">
        <v>5226</v>
      </c>
      <c r="D745" s="0" t="n">
        <v>297</v>
      </c>
      <c r="E745" s="0" t="n">
        <v>1</v>
      </c>
      <c r="F745" s="23" t="s">
        <v>599</v>
      </c>
      <c r="G745" s="0" t="n">
        <v>48.8</v>
      </c>
      <c r="H745" s="0" t="n">
        <v>52</v>
      </c>
      <c r="I745" s="23" t="s">
        <v>92</v>
      </c>
      <c r="J745" s="0" t="n">
        <v>122</v>
      </c>
      <c r="K745" s="0" t="n">
        <v>52</v>
      </c>
      <c r="L745" s="0" t="n">
        <v>175</v>
      </c>
      <c r="M745" s="0" t="n">
        <v>425.22</v>
      </c>
      <c r="N745" s="0" t="n">
        <v>86.62</v>
      </c>
      <c r="O745" s="0" t="n">
        <v>27.62</v>
      </c>
      <c r="P745" s="0" t="n">
        <v>4.94</v>
      </c>
      <c r="Q745" s="0" t="n">
        <v>3.54</v>
      </c>
      <c r="R745" s="0" t="n">
        <v>4346</v>
      </c>
      <c r="S745" s="0" t="n">
        <v>9374</v>
      </c>
      <c r="T745" s="0" t="n">
        <v>44.55</v>
      </c>
      <c r="U745" s="0" t="n">
        <v>1008</v>
      </c>
      <c r="V745" s="0" t="n">
        <v>4</v>
      </c>
      <c r="W745" s="0" t="str">
        <f aca="false">IF(OR(AND(B745&gt;=1,B745&lt;=6),B745=10),"Vaca em lactação",IF(I745="Male","Macho",IF(E745&gt;=1,"Vaca seca",IF(I745="Youngstock","Bezerra/recria","Novilha"))))</f>
        <v>Vaca em lactação</v>
      </c>
      <c r="X745" s="0" t="str">
        <f aca="false">IF(AND(B745&gt;=1,B745&lt;=6),"Tanque",IF(B745=10,"Descarte",""))</f>
        <v>Tanque</v>
      </c>
    </row>
    <row r="746" customFormat="false" ht="15" hidden="false" customHeight="false" outlineLevel="0" collapsed="false">
      <c r="A746" s="22" t="n">
        <v>46309</v>
      </c>
      <c r="B746" s="0" t="n">
        <v>4</v>
      </c>
      <c r="C746" s="0" t="n">
        <v>5225</v>
      </c>
      <c r="D746" s="0" t="n">
        <v>350</v>
      </c>
      <c r="E746" s="0" t="n">
        <v>1</v>
      </c>
      <c r="F746" s="23" t="s">
        <v>289</v>
      </c>
      <c r="G746" s="0" t="n">
        <v>48</v>
      </c>
      <c r="H746" s="0" t="n">
        <v>49</v>
      </c>
      <c r="I746" s="23" t="s">
        <v>97</v>
      </c>
      <c r="J746" s="0" t="n">
        <v>350</v>
      </c>
      <c r="K746" s="0" t="n">
        <v>64</v>
      </c>
      <c r="M746" s="0" t="n">
        <v>1418.84</v>
      </c>
      <c r="N746" s="0" t="n">
        <v>42.54</v>
      </c>
      <c r="O746" s="0" t="n">
        <v>35.55</v>
      </c>
      <c r="P746" s="0" t="n">
        <v>3.81</v>
      </c>
      <c r="Q746" s="0" t="n">
        <v>3.53</v>
      </c>
      <c r="R746" s="0" t="n">
        <v>4570</v>
      </c>
      <c r="S746" s="0" t="n">
        <v>9870</v>
      </c>
      <c r="T746" s="0" t="n">
        <v>44.9</v>
      </c>
      <c r="U746" s="0" t="n">
        <v>1009</v>
      </c>
      <c r="V746" s="0" t="n">
        <v>10</v>
      </c>
      <c r="W746" s="0" t="str">
        <f aca="false">IF(OR(AND(B746&gt;=1,B746&lt;=6),B746=10),"Vaca em lactação",IF(I746="Male","Macho",IF(E746&gt;=1,"Vaca seca",IF(I746="Youngstock","Bezerra/recria","Novilha"))))</f>
        <v>Vaca em lactação</v>
      </c>
      <c r="X746" s="0" t="str">
        <f aca="false">IF(AND(B746&gt;=1,B746&lt;=6),"Tanque",IF(B746=10,"Descarte",""))</f>
        <v>Tanque</v>
      </c>
    </row>
    <row r="747" customFormat="false" ht="15" hidden="false" customHeight="false" outlineLevel="0" collapsed="false">
      <c r="A747" s="22" t="n">
        <v>46309</v>
      </c>
      <c r="B747" s="0" t="n">
        <v>4</v>
      </c>
      <c r="C747" s="0" t="n">
        <v>5230</v>
      </c>
      <c r="D747" s="0" t="n">
        <v>276</v>
      </c>
      <c r="E747" s="0" t="n">
        <v>1</v>
      </c>
      <c r="F747" s="23" t="s">
        <v>600</v>
      </c>
      <c r="G747" s="0" t="n">
        <v>46.5</v>
      </c>
      <c r="H747" s="0" t="n">
        <v>48</v>
      </c>
      <c r="I747" s="23" t="s">
        <v>97</v>
      </c>
      <c r="J747" s="0" t="n">
        <v>276</v>
      </c>
      <c r="K747" s="0" t="n">
        <v>73</v>
      </c>
      <c r="M747" s="0" t="n">
        <v>447.35</v>
      </c>
      <c r="N747" s="0" t="n">
        <v>86.51</v>
      </c>
      <c r="O747" s="0" t="n">
        <v>41.97</v>
      </c>
      <c r="P747" s="0" t="n">
        <v>3.35</v>
      </c>
      <c r="Q747" s="0" t="n">
        <v>3.62</v>
      </c>
      <c r="R747" s="0" t="n">
        <v>4192</v>
      </c>
      <c r="S747" s="0" t="n">
        <v>8679</v>
      </c>
      <c r="T747" s="0" t="n">
        <v>41.7</v>
      </c>
      <c r="U747" s="0" t="n">
        <v>1007</v>
      </c>
      <c r="V747" s="0" t="n">
        <v>7</v>
      </c>
      <c r="W747" s="0" t="str">
        <f aca="false">IF(OR(AND(B747&gt;=1,B747&lt;=6),B747=10),"Vaca em lactação",IF(I747="Male","Macho",IF(E747&gt;=1,"Vaca seca",IF(I747="Youngstock","Bezerra/recria","Novilha"))))</f>
        <v>Vaca em lactação</v>
      </c>
      <c r="X747" s="0" t="str">
        <f aca="false">IF(AND(B747&gt;=1,B747&lt;=6),"Tanque",IF(B747=10,"Descarte",""))</f>
        <v>Tanque</v>
      </c>
    </row>
    <row r="748" customFormat="false" ht="15" hidden="false" customHeight="false" outlineLevel="0" collapsed="false">
      <c r="A748" s="22" t="n">
        <v>46309</v>
      </c>
      <c r="B748" s="0" t="n">
        <v>4</v>
      </c>
      <c r="C748" s="0" t="n">
        <v>5238</v>
      </c>
      <c r="D748" s="0" t="n">
        <v>327</v>
      </c>
      <c r="E748" s="0" t="n">
        <v>1</v>
      </c>
      <c r="F748" s="23" t="s">
        <v>291</v>
      </c>
      <c r="G748" s="0" t="n">
        <v>47.5</v>
      </c>
      <c r="H748" s="0" t="n">
        <v>48</v>
      </c>
      <c r="I748" s="23" t="s">
        <v>92</v>
      </c>
      <c r="J748" s="0" t="n">
        <v>278</v>
      </c>
      <c r="K748" s="0" t="n">
        <v>68</v>
      </c>
      <c r="L748" s="0" t="n">
        <v>49</v>
      </c>
      <c r="M748" s="0" t="n">
        <v>1064.77</v>
      </c>
      <c r="N748" s="0" t="n">
        <v>77.62</v>
      </c>
      <c r="O748" s="0" t="n">
        <v>37.86</v>
      </c>
      <c r="P748" s="0" t="n">
        <v>3.26</v>
      </c>
      <c r="Q748" s="0" t="n">
        <v>3.51</v>
      </c>
      <c r="R748" s="0" t="n">
        <v>4887</v>
      </c>
      <c r="S748" s="0" t="n">
        <v>10529</v>
      </c>
      <c r="T748" s="0" t="n">
        <v>55.55</v>
      </c>
      <c r="U748" s="0" t="n">
        <v>1005</v>
      </c>
      <c r="V748" s="0" t="n">
        <v>7</v>
      </c>
      <c r="W748" s="0" t="str">
        <f aca="false">IF(OR(AND(B748&gt;=1,B748&lt;=6),B748=10),"Vaca em lactação",IF(I748="Male","Macho",IF(E748&gt;=1,"Vaca seca",IF(I748="Youngstock","Bezerra/recria","Novilha"))))</f>
        <v>Vaca em lactação</v>
      </c>
      <c r="X748" s="0" t="str">
        <f aca="false">IF(AND(B748&gt;=1,B748&lt;=6),"Tanque",IF(B748=10,"Descarte",""))</f>
        <v>Tanque</v>
      </c>
    </row>
    <row r="749" customFormat="false" ht="15" hidden="false" customHeight="false" outlineLevel="0" collapsed="false">
      <c r="A749" s="22" t="n">
        <v>46309</v>
      </c>
      <c r="B749" s="0" t="n">
        <v>4</v>
      </c>
      <c r="C749" s="0" t="n">
        <v>5236</v>
      </c>
      <c r="D749" s="0" t="n">
        <v>325</v>
      </c>
      <c r="E749" s="0" t="n">
        <v>1</v>
      </c>
      <c r="F749" s="23" t="s">
        <v>291</v>
      </c>
      <c r="G749" s="0" t="n">
        <v>49.6</v>
      </c>
      <c r="H749" s="0" t="n">
        <v>47</v>
      </c>
      <c r="I749" s="23" t="s">
        <v>92</v>
      </c>
      <c r="J749" s="0" t="n">
        <v>192</v>
      </c>
      <c r="K749" s="0" t="n">
        <v>66</v>
      </c>
      <c r="L749" s="0" t="n">
        <v>133</v>
      </c>
      <c r="M749" s="0" t="n">
        <v>892.09</v>
      </c>
      <c r="N749" s="0" t="n">
        <v>66.69</v>
      </c>
      <c r="O749" s="0" t="n">
        <v>42.81</v>
      </c>
      <c r="P749" s="0" t="n">
        <v>3.57</v>
      </c>
      <c r="Q749" s="0" t="n">
        <v>3.71</v>
      </c>
      <c r="R749" s="0" t="n">
        <v>4778</v>
      </c>
      <c r="S749" s="0" t="n">
        <v>9470</v>
      </c>
      <c r="T749" s="0" t="n">
        <v>49.3</v>
      </c>
      <c r="U749" s="0" t="n">
        <v>1005</v>
      </c>
      <c r="V749" s="0" t="n">
        <v>4</v>
      </c>
      <c r="W749" s="0" t="str">
        <f aca="false">IF(OR(AND(B749&gt;=1,B749&lt;=6),B749=10),"Vaca em lactação",IF(I749="Male","Macho",IF(E749&gt;=1,"Vaca seca",IF(I749="Youngstock","Bezerra/recria","Novilha"))))</f>
        <v>Vaca em lactação</v>
      </c>
      <c r="X749" s="0" t="str">
        <f aca="false">IF(AND(B749&gt;=1,B749&lt;=6),"Tanque",IF(B749=10,"Descarte",""))</f>
        <v>Tanque</v>
      </c>
    </row>
    <row r="750" customFormat="false" ht="15" hidden="false" customHeight="false" outlineLevel="0" collapsed="false">
      <c r="A750" s="22" t="n">
        <v>46309</v>
      </c>
      <c r="B750" s="0" t="n">
        <v>4</v>
      </c>
      <c r="C750" s="0" t="n">
        <v>5210</v>
      </c>
      <c r="D750" s="0" t="n">
        <v>347</v>
      </c>
      <c r="E750" s="0" t="n">
        <v>1</v>
      </c>
      <c r="F750" s="23" t="s">
        <v>292</v>
      </c>
      <c r="G750" s="0" t="n">
        <v>48.1</v>
      </c>
      <c r="H750" s="0" t="n">
        <v>52</v>
      </c>
      <c r="I750" s="23" t="s">
        <v>92</v>
      </c>
      <c r="J750" s="0" t="n">
        <v>222</v>
      </c>
      <c r="K750" s="0" t="n">
        <v>74</v>
      </c>
      <c r="L750" s="0" t="n">
        <v>125</v>
      </c>
      <c r="M750" s="0" t="n">
        <v>1503.6</v>
      </c>
      <c r="N750" s="0" t="n">
        <v>46.15</v>
      </c>
      <c r="O750" s="0" t="n">
        <v>51.88</v>
      </c>
      <c r="P750" s="0" t="n">
        <v>2.93</v>
      </c>
      <c r="Q750" s="0" t="n">
        <v>3.52</v>
      </c>
      <c r="R750" s="0" t="n">
        <v>4680</v>
      </c>
      <c r="S750" s="0" t="n">
        <v>10136</v>
      </c>
      <c r="T750" s="0" t="n">
        <v>48</v>
      </c>
      <c r="U750" s="0" t="n">
        <v>1018</v>
      </c>
      <c r="V750" s="0" t="n">
        <v>6</v>
      </c>
      <c r="W750" s="0" t="str">
        <f aca="false">IF(OR(AND(B750&gt;=1,B750&lt;=6),B750=10),"Vaca em lactação",IF(I750="Male","Macho",IF(E750&gt;=1,"Vaca seca",IF(I750="Youngstock","Bezerra/recria","Novilha"))))</f>
        <v>Vaca em lactação</v>
      </c>
      <c r="X750" s="0" t="str">
        <f aca="false">IF(AND(B750&gt;=1,B750&lt;=6),"Tanque",IF(B750=10,"Descarte",""))</f>
        <v>Tanque</v>
      </c>
    </row>
    <row r="751" customFormat="false" ht="15" hidden="false" customHeight="false" outlineLevel="0" collapsed="false">
      <c r="A751" s="22" t="n">
        <v>46309</v>
      </c>
      <c r="B751" s="0" t="n">
        <v>4</v>
      </c>
      <c r="C751" s="0" t="n">
        <v>5266</v>
      </c>
      <c r="D751" s="0" t="n">
        <v>313</v>
      </c>
      <c r="E751" s="0" t="n">
        <v>1</v>
      </c>
      <c r="F751" s="23" t="s">
        <v>601</v>
      </c>
      <c r="G751" s="0" t="n">
        <v>36</v>
      </c>
      <c r="H751" s="0" t="n">
        <v>38</v>
      </c>
      <c r="I751" s="23" t="s">
        <v>92</v>
      </c>
      <c r="J751" s="0" t="n">
        <v>243</v>
      </c>
      <c r="K751" s="0" t="n">
        <v>68</v>
      </c>
      <c r="L751" s="0" t="n">
        <v>70</v>
      </c>
      <c r="M751" s="0" t="n">
        <v>593.14</v>
      </c>
      <c r="N751" s="0" t="n">
        <v>50.16</v>
      </c>
      <c r="O751" s="0" t="n">
        <v>34.84</v>
      </c>
      <c r="P751" s="0" t="n">
        <v>3.58</v>
      </c>
      <c r="Q751" s="0" t="n">
        <v>4.29</v>
      </c>
      <c r="R751" s="0" t="n">
        <v>4283</v>
      </c>
      <c r="S751" s="0" t="n">
        <v>9045</v>
      </c>
      <c r="T751" s="0" t="n">
        <v>43.4</v>
      </c>
      <c r="U751" s="0" t="n">
        <v>993</v>
      </c>
      <c r="V751" s="0" t="n">
        <v>5</v>
      </c>
      <c r="W751" s="0" t="str">
        <f aca="false">IF(OR(AND(B751&gt;=1,B751&lt;=6),B751=10),"Vaca em lactação",IF(I751="Male","Macho",IF(E751&gt;=1,"Vaca seca",IF(I751="Youngstock","Bezerra/recria","Novilha"))))</f>
        <v>Vaca em lactação</v>
      </c>
      <c r="X751" s="0" t="str">
        <f aca="false">IF(AND(B751&gt;=1,B751&lt;=6),"Tanque",IF(B751=10,"Descarte",""))</f>
        <v>Tanque</v>
      </c>
    </row>
    <row r="752" customFormat="false" ht="15" hidden="false" customHeight="false" outlineLevel="0" collapsed="false">
      <c r="A752" s="22" t="n">
        <v>46309</v>
      </c>
      <c r="B752" s="0" t="n">
        <v>4</v>
      </c>
      <c r="C752" s="0" t="n">
        <v>5263</v>
      </c>
      <c r="D752" s="0" t="n">
        <v>318</v>
      </c>
      <c r="E752" s="0" t="n">
        <v>1</v>
      </c>
      <c r="F752" s="23" t="s">
        <v>601</v>
      </c>
      <c r="G752" s="0" t="n">
        <v>37.4</v>
      </c>
      <c r="H752" s="0" t="n">
        <v>36</v>
      </c>
      <c r="I752" s="23" t="s">
        <v>92</v>
      </c>
      <c r="J752" s="0" t="n">
        <v>255</v>
      </c>
      <c r="K752" s="0" t="n">
        <v>66</v>
      </c>
      <c r="L752" s="0" t="n">
        <v>63</v>
      </c>
      <c r="M752" s="0" t="n">
        <v>1111.02</v>
      </c>
      <c r="N752" s="0" t="n">
        <v>47.47</v>
      </c>
      <c r="O752" s="0" t="n">
        <v>50.33</v>
      </c>
      <c r="P752" s="0" t="n">
        <v>4.34</v>
      </c>
      <c r="Q752" s="0" t="n">
        <v>3.92</v>
      </c>
      <c r="R752" s="0" t="n">
        <v>4074</v>
      </c>
      <c r="S752" s="0" t="n">
        <v>8130</v>
      </c>
      <c r="T752" s="0" t="n">
        <v>43.85</v>
      </c>
      <c r="U752" s="0" t="n">
        <v>993</v>
      </c>
      <c r="V752" s="0" t="n">
        <v>6</v>
      </c>
      <c r="W752" s="0" t="str">
        <f aca="false">IF(OR(AND(B752&gt;=1,B752&lt;=6),B752=10),"Vaca em lactação",IF(I752="Male","Macho",IF(E752&gt;=1,"Vaca seca",IF(I752="Youngstock","Bezerra/recria","Novilha"))))</f>
        <v>Vaca em lactação</v>
      </c>
      <c r="X752" s="0" t="str">
        <f aca="false">IF(AND(B752&gt;=1,B752&lt;=6),"Tanque",IF(B752=10,"Descarte",""))</f>
        <v>Tanque</v>
      </c>
    </row>
    <row r="753" customFormat="false" ht="15" hidden="false" customHeight="false" outlineLevel="0" collapsed="false">
      <c r="A753" s="22" t="n">
        <v>46309</v>
      </c>
      <c r="B753" s="0" t="n">
        <v>4</v>
      </c>
      <c r="C753" s="0" t="n">
        <v>5275</v>
      </c>
      <c r="D753" s="0" t="n">
        <v>297</v>
      </c>
      <c r="E753" s="0" t="n">
        <v>1</v>
      </c>
      <c r="F753" s="23" t="s">
        <v>602</v>
      </c>
      <c r="G753" s="0" t="n">
        <v>53.1</v>
      </c>
      <c r="H753" s="0" t="n">
        <v>50</v>
      </c>
      <c r="I753" s="23" t="s">
        <v>92</v>
      </c>
      <c r="J753" s="0" t="n">
        <v>185</v>
      </c>
      <c r="K753" s="0" t="n">
        <v>59</v>
      </c>
      <c r="L753" s="0" t="n">
        <v>112</v>
      </c>
      <c r="M753" s="0" t="n">
        <v>1026.21</v>
      </c>
      <c r="N753" s="0" t="n">
        <v>63.52</v>
      </c>
      <c r="O753" s="0" t="n">
        <v>36.6</v>
      </c>
      <c r="P753" s="0" t="n">
        <v>3.5</v>
      </c>
      <c r="Q753" s="0" t="n">
        <v>3.07</v>
      </c>
      <c r="R753" s="0" t="n">
        <v>5372</v>
      </c>
      <c r="S753" s="0" t="n">
        <v>11564</v>
      </c>
      <c r="T753" s="0" t="n">
        <v>58.65</v>
      </c>
      <c r="U753" s="0" t="n">
        <v>987</v>
      </c>
      <c r="V753" s="0" t="n">
        <v>4</v>
      </c>
      <c r="W753" s="0" t="str">
        <f aca="false">IF(OR(AND(B753&gt;=1,B753&lt;=6),B753=10),"Vaca em lactação",IF(I753="Male","Macho",IF(E753&gt;=1,"Vaca seca",IF(I753="Youngstock","Bezerra/recria","Novilha"))))</f>
        <v>Vaca em lactação</v>
      </c>
      <c r="X753" s="0" t="str">
        <f aca="false">IF(AND(B753&gt;=1,B753&lt;=6),"Tanque",IF(B753=10,"Descarte",""))</f>
        <v>Tanque</v>
      </c>
    </row>
    <row r="754" customFormat="false" ht="15" hidden="false" customHeight="false" outlineLevel="0" collapsed="false">
      <c r="A754" s="22" t="n">
        <v>46309</v>
      </c>
      <c r="B754" s="0" t="n">
        <v>4</v>
      </c>
      <c r="C754" s="0" t="n">
        <v>5273</v>
      </c>
      <c r="D754" s="0" t="n">
        <v>264</v>
      </c>
      <c r="E754" s="0" t="n">
        <v>1</v>
      </c>
      <c r="F754" s="23" t="s">
        <v>602</v>
      </c>
      <c r="G754" s="0" t="n">
        <v>24.6</v>
      </c>
      <c r="H754" s="0" t="n">
        <v>45</v>
      </c>
      <c r="I754" s="23" t="s">
        <v>92</v>
      </c>
      <c r="J754" s="0" t="n">
        <v>113</v>
      </c>
      <c r="K754" s="0" t="n">
        <v>61</v>
      </c>
      <c r="L754" s="0" t="n">
        <v>151</v>
      </c>
      <c r="M754" s="0" t="n">
        <v>1085.01</v>
      </c>
      <c r="N754" s="0" t="n">
        <v>39.12</v>
      </c>
      <c r="O754" s="0" t="n">
        <v>34.1</v>
      </c>
      <c r="P754" s="0" t="n">
        <v>2.82</v>
      </c>
      <c r="Q754" s="0" t="n">
        <v>3.51</v>
      </c>
      <c r="R754" s="0" t="n">
        <v>3779</v>
      </c>
      <c r="S754" s="0" t="n">
        <v>9449</v>
      </c>
      <c r="T754" s="0" t="n">
        <v>37.5</v>
      </c>
      <c r="U754" s="0" t="n">
        <v>987</v>
      </c>
      <c r="V754" s="0" t="n">
        <v>4</v>
      </c>
      <c r="W754" s="0" t="str">
        <f aca="false">IF(OR(AND(B754&gt;=1,B754&lt;=6),B754=10),"Vaca em lactação",IF(I754="Male","Macho",IF(E754&gt;=1,"Vaca seca",IF(I754="Youngstock","Bezerra/recria","Novilha"))))</f>
        <v>Vaca em lactação</v>
      </c>
      <c r="X754" s="0" t="str">
        <f aca="false">IF(AND(B754&gt;=1,B754&lt;=6),"Tanque",IF(B754=10,"Descarte",""))</f>
        <v>Tanque</v>
      </c>
    </row>
    <row r="755" customFormat="false" ht="15" hidden="false" customHeight="false" outlineLevel="0" collapsed="false">
      <c r="A755" s="22" t="n">
        <v>46309</v>
      </c>
      <c r="B755" s="0" t="n">
        <v>4</v>
      </c>
      <c r="C755" s="0" t="n">
        <v>5280</v>
      </c>
      <c r="D755" s="0" t="n">
        <v>333</v>
      </c>
      <c r="E755" s="0" t="n">
        <v>1</v>
      </c>
      <c r="F755" s="23" t="s">
        <v>576</v>
      </c>
      <c r="G755" s="0" t="n">
        <v>40</v>
      </c>
      <c r="H755" s="0" t="n">
        <v>40</v>
      </c>
      <c r="I755" s="23" t="s">
        <v>92</v>
      </c>
      <c r="J755" s="0" t="n">
        <v>111</v>
      </c>
      <c r="K755" s="0" t="n">
        <v>67</v>
      </c>
      <c r="L755" s="0" t="n">
        <v>222</v>
      </c>
      <c r="M755" s="0" t="n">
        <v>869.25</v>
      </c>
      <c r="N755" s="0" t="n">
        <v>69.48</v>
      </c>
      <c r="O755" s="0" t="n">
        <v>28.68</v>
      </c>
      <c r="P755" s="0" t="n">
        <v>3.56</v>
      </c>
      <c r="Q755" s="0" t="n">
        <v>3.56</v>
      </c>
      <c r="R755" s="0" t="n">
        <v>4076</v>
      </c>
      <c r="S755" s="0" t="n">
        <v>8955</v>
      </c>
      <c r="T755" s="0" t="n">
        <v>48.1</v>
      </c>
      <c r="U755" s="0" t="n">
        <v>984</v>
      </c>
      <c r="V755" s="0" t="n">
        <v>3</v>
      </c>
      <c r="W755" s="0" t="str">
        <f aca="false">IF(OR(AND(B755&gt;=1,B755&lt;=6),B755=10),"Vaca em lactação",IF(I755="Male","Macho",IF(E755&gt;=1,"Vaca seca",IF(I755="Youngstock","Bezerra/recria","Novilha"))))</f>
        <v>Vaca em lactação</v>
      </c>
      <c r="X755" s="0" t="str">
        <f aca="false">IF(AND(B755&gt;=1,B755&lt;=6),"Tanque",IF(B755=10,"Descarte",""))</f>
        <v>Tanque</v>
      </c>
    </row>
    <row r="756" customFormat="false" ht="15" hidden="false" customHeight="false" outlineLevel="0" collapsed="false">
      <c r="A756" s="22" t="n">
        <v>46309</v>
      </c>
      <c r="B756" s="0" t="n">
        <v>4</v>
      </c>
      <c r="C756" s="0" t="n">
        <v>5243</v>
      </c>
      <c r="D756" s="0" t="n">
        <v>329</v>
      </c>
      <c r="E756" s="0" t="n">
        <v>1</v>
      </c>
      <c r="F756" s="23" t="s">
        <v>603</v>
      </c>
      <c r="G756" s="0" t="n">
        <v>39.3</v>
      </c>
      <c r="H756" s="0" t="n">
        <v>36</v>
      </c>
      <c r="I756" s="23" t="s">
        <v>97</v>
      </c>
      <c r="J756" s="0" t="n">
        <v>329</v>
      </c>
      <c r="K756" s="0" t="n">
        <v>63</v>
      </c>
      <c r="M756" s="0" t="n">
        <v>635.41</v>
      </c>
      <c r="N756" s="0" t="n">
        <v>82.33</v>
      </c>
      <c r="O756" s="0" t="n">
        <v>40.62</v>
      </c>
      <c r="P756" s="0" t="n">
        <v>3.63</v>
      </c>
      <c r="Q756" s="0" t="n">
        <v>3.78</v>
      </c>
      <c r="R756" s="0" t="n">
        <v>4086</v>
      </c>
      <c r="S756" s="0" t="n">
        <v>7142</v>
      </c>
      <c r="T756" s="0" t="n">
        <v>45.25</v>
      </c>
      <c r="U756" s="0" t="n">
        <v>1002</v>
      </c>
      <c r="V756" s="0" t="n">
        <v>8</v>
      </c>
      <c r="W756" s="0" t="str">
        <f aca="false">IF(OR(AND(B756&gt;=1,B756&lt;=6),B756=10),"Vaca em lactação",IF(I756="Male","Macho",IF(E756&gt;=1,"Vaca seca",IF(I756="Youngstock","Bezerra/recria","Novilha"))))</f>
        <v>Vaca em lactação</v>
      </c>
      <c r="X756" s="0" t="str">
        <f aca="false">IF(AND(B756&gt;=1,B756&lt;=6),"Tanque",IF(B756=10,"Descarte",""))</f>
        <v>Tanque</v>
      </c>
    </row>
    <row r="757" customFormat="false" ht="15" hidden="false" customHeight="false" outlineLevel="0" collapsed="false">
      <c r="A757" s="22" t="n">
        <v>46309</v>
      </c>
      <c r="B757" s="0" t="n">
        <v>4</v>
      </c>
      <c r="C757" s="0" t="n">
        <v>5246</v>
      </c>
      <c r="D757" s="0" t="n">
        <v>287</v>
      </c>
      <c r="E757" s="0" t="n">
        <v>1</v>
      </c>
      <c r="F757" s="23" t="s">
        <v>604</v>
      </c>
      <c r="G757" s="0" t="n">
        <v>39.3</v>
      </c>
      <c r="H757" s="0" t="n">
        <v>39</v>
      </c>
      <c r="I757" s="23" t="s">
        <v>92</v>
      </c>
      <c r="J757" s="0" t="n">
        <v>70</v>
      </c>
      <c r="K757" s="0" t="n">
        <v>70</v>
      </c>
      <c r="L757" s="0" t="n">
        <v>217</v>
      </c>
      <c r="M757" s="0" t="n">
        <v>948.64</v>
      </c>
      <c r="N757" s="0" t="n">
        <v>74.7</v>
      </c>
      <c r="O757" s="0" t="n">
        <v>39.77</v>
      </c>
      <c r="P757" s="0" t="n">
        <v>4.79</v>
      </c>
      <c r="Q757" s="0" t="n">
        <v>3.64</v>
      </c>
      <c r="R757" s="0" t="n">
        <v>5086</v>
      </c>
      <c r="S757" s="0" t="n">
        <v>10061</v>
      </c>
      <c r="T757" s="0" t="n">
        <v>54.65</v>
      </c>
      <c r="U757" s="0" t="n">
        <v>1000</v>
      </c>
      <c r="V757" s="0" t="n">
        <v>1</v>
      </c>
      <c r="W757" s="0" t="str">
        <f aca="false">IF(OR(AND(B757&gt;=1,B757&lt;=6),B757=10),"Vaca em lactação",IF(I757="Male","Macho",IF(E757&gt;=1,"Vaca seca",IF(I757="Youngstock","Bezerra/recria","Novilha"))))</f>
        <v>Vaca em lactação</v>
      </c>
      <c r="X757" s="0" t="str">
        <f aca="false">IF(AND(B757&gt;=1,B757&lt;=6),"Tanque",IF(B757=10,"Descarte",""))</f>
        <v>Tanque</v>
      </c>
    </row>
    <row r="758" customFormat="false" ht="15" hidden="false" customHeight="false" outlineLevel="0" collapsed="false">
      <c r="A758" s="22" t="n">
        <v>46309</v>
      </c>
      <c r="B758" s="0" t="n">
        <v>4</v>
      </c>
      <c r="C758" s="0" t="n">
        <v>5255</v>
      </c>
      <c r="D758" s="0" t="n">
        <v>244</v>
      </c>
      <c r="E758" s="0" t="n">
        <v>1</v>
      </c>
      <c r="F758" s="23" t="s">
        <v>605</v>
      </c>
      <c r="G758" s="0" t="n">
        <v>59.2</v>
      </c>
      <c r="H758" s="0" t="n">
        <v>59</v>
      </c>
      <c r="I758" s="23" t="s">
        <v>92</v>
      </c>
      <c r="J758" s="0" t="n">
        <v>118</v>
      </c>
      <c r="K758" s="0" t="n">
        <v>69</v>
      </c>
      <c r="L758" s="0" t="n">
        <v>126</v>
      </c>
      <c r="M758" s="0" t="n">
        <v>1043.84</v>
      </c>
      <c r="N758" s="0" t="n">
        <v>65</v>
      </c>
      <c r="O758" s="0" t="n">
        <v>34.19</v>
      </c>
      <c r="P758" s="0" t="n">
        <v>3.95</v>
      </c>
      <c r="Q758" s="0" t="n">
        <v>3.21</v>
      </c>
      <c r="R758" s="0" t="n">
        <v>4153</v>
      </c>
      <c r="S758" s="0" t="n">
        <v>9396</v>
      </c>
      <c r="T758" s="0" t="n">
        <v>43.75</v>
      </c>
      <c r="U758" s="0" t="n">
        <v>997</v>
      </c>
      <c r="V758" s="0" t="n">
        <v>2</v>
      </c>
      <c r="W758" s="0" t="str">
        <f aca="false">IF(OR(AND(B758&gt;=1,B758&lt;=6),B758=10),"Vaca em lactação",IF(I758="Male","Macho",IF(E758&gt;=1,"Vaca seca",IF(I758="Youngstock","Bezerra/recria","Novilha"))))</f>
        <v>Vaca em lactação</v>
      </c>
      <c r="X758" s="0" t="str">
        <f aca="false">IF(AND(B758&gt;=1,B758&lt;=6),"Tanque",IF(B758=10,"Descarte",""))</f>
        <v>Tanque</v>
      </c>
    </row>
    <row r="759" customFormat="false" ht="15" hidden="false" customHeight="false" outlineLevel="0" collapsed="false">
      <c r="A759" s="22" t="n">
        <v>46309</v>
      </c>
      <c r="B759" s="0" t="n">
        <v>4</v>
      </c>
      <c r="C759" s="0" t="n">
        <v>5248</v>
      </c>
      <c r="D759" s="0" t="n">
        <v>233</v>
      </c>
      <c r="E759" s="0" t="n">
        <v>1</v>
      </c>
      <c r="F759" s="23" t="s">
        <v>606</v>
      </c>
      <c r="G759" s="0" t="n">
        <v>32.6</v>
      </c>
      <c r="H759" s="0" t="n">
        <v>36</v>
      </c>
      <c r="I759" s="23" t="s">
        <v>92</v>
      </c>
      <c r="J759" s="0" t="n">
        <v>65</v>
      </c>
      <c r="K759" s="0" t="n">
        <v>65</v>
      </c>
      <c r="L759" s="0" t="n">
        <v>168</v>
      </c>
      <c r="M759" s="0" t="n">
        <v>424.61</v>
      </c>
      <c r="N759" s="0" t="n">
        <v>73.01</v>
      </c>
      <c r="O759" s="0" t="n">
        <v>25.38</v>
      </c>
      <c r="P759" s="0" t="n">
        <v>3.2</v>
      </c>
      <c r="Q759" s="0" t="n">
        <v>3.79</v>
      </c>
      <c r="R759" s="0" t="n">
        <v>4754</v>
      </c>
      <c r="S759" s="0" t="n">
        <v>9756</v>
      </c>
      <c r="T759" s="0" t="n">
        <v>53.95</v>
      </c>
      <c r="U759" s="0" t="n">
        <v>998</v>
      </c>
      <c r="V759" s="0" t="n">
        <v>1</v>
      </c>
      <c r="W759" s="0" t="str">
        <f aca="false">IF(OR(AND(B759&gt;=1,B759&lt;=6),B759=10),"Vaca em lactação",IF(I759="Male","Macho",IF(E759&gt;=1,"Vaca seca",IF(I759="Youngstock","Bezerra/recria","Novilha"))))</f>
        <v>Vaca em lactação</v>
      </c>
      <c r="X759" s="0" t="str">
        <f aca="false">IF(AND(B759&gt;=1,B759&lt;=6),"Tanque",IF(B759=10,"Descarte",""))</f>
        <v>Tanque</v>
      </c>
    </row>
    <row r="760" customFormat="false" ht="15" hidden="false" customHeight="false" outlineLevel="0" collapsed="false">
      <c r="A760" s="22" t="n">
        <v>46309</v>
      </c>
      <c r="B760" s="0" t="n">
        <v>4</v>
      </c>
      <c r="C760" s="0" t="n">
        <v>5260</v>
      </c>
      <c r="D760" s="0" t="n">
        <v>283</v>
      </c>
      <c r="E760" s="0" t="n">
        <v>1</v>
      </c>
      <c r="F760" s="23" t="s">
        <v>601</v>
      </c>
      <c r="G760" s="0" t="n">
        <v>35.2</v>
      </c>
      <c r="H760" s="0" t="n">
        <v>32</v>
      </c>
      <c r="I760" s="23" t="s">
        <v>92</v>
      </c>
      <c r="J760" s="0" t="n">
        <v>134</v>
      </c>
      <c r="K760" s="0" t="n">
        <v>66</v>
      </c>
      <c r="L760" s="0" t="n">
        <v>149</v>
      </c>
      <c r="M760" s="0" t="n">
        <v>450.42</v>
      </c>
      <c r="N760" s="0" t="n">
        <v>73.4</v>
      </c>
      <c r="O760" s="0" t="n">
        <v>28.74</v>
      </c>
      <c r="P760" s="0" t="n">
        <v>5.12</v>
      </c>
      <c r="Q760" s="0" t="n">
        <v>4.13</v>
      </c>
      <c r="R760" s="0" t="n">
        <v>4569</v>
      </c>
      <c r="S760" s="0" t="n">
        <v>8596</v>
      </c>
      <c r="T760" s="0" t="n">
        <v>46.95</v>
      </c>
      <c r="U760" s="0" t="n">
        <v>993</v>
      </c>
      <c r="V760" s="0" t="n">
        <v>3</v>
      </c>
      <c r="W760" s="0" t="str">
        <f aca="false">IF(OR(AND(B760&gt;=1,B760&lt;=6),B760=10),"Vaca em lactação",IF(I760="Male","Macho",IF(E760&gt;=1,"Vaca seca",IF(I760="Youngstock","Bezerra/recria","Novilha"))))</f>
        <v>Vaca em lactação</v>
      </c>
      <c r="X760" s="0" t="str">
        <f aca="false">IF(AND(B760&gt;=1,B760&lt;=6),"Tanque",IF(B760=10,"Descarte",""))</f>
        <v>Tanque</v>
      </c>
    </row>
    <row r="761" customFormat="false" ht="15" hidden="false" customHeight="false" outlineLevel="0" collapsed="false">
      <c r="A761" s="22" t="n">
        <v>46309</v>
      </c>
      <c r="B761" s="0" t="n">
        <v>4</v>
      </c>
      <c r="C761" s="0" t="n">
        <v>5259</v>
      </c>
      <c r="D761" s="0" t="n">
        <v>347</v>
      </c>
      <c r="E761" s="0" t="n">
        <v>1</v>
      </c>
      <c r="F761" s="23" t="s">
        <v>607</v>
      </c>
      <c r="G761" s="0" t="n">
        <v>41.2</v>
      </c>
      <c r="H761" s="0" t="n">
        <v>41</v>
      </c>
      <c r="I761" s="23" t="s">
        <v>92</v>
      </c>
      <c r="J761" s="0" t="n">
        <v>263</v>
      </c>
      <c r="K761" s="0" t="n">
        <v>68</v>
      </c>
      <c r="L761" s="0" t="n">
        <v>84</v>
      </c>
      <c r="M761" s="0" t="n">
        <v>310.62</v>
      </c>
      <c r="N761" s="0" t="n">
        <v>29.29</v>
      </c>
      <c r="O761" s="0" t="n">
        <v>21.1</v>
      </c>
      <c r="P761" s="0" t="n">
        <v>4.53</v>
      </c>
      <c r="Q761" s="0" t="n">
        <v>3.5</v>
      </c>
      <c r="R761" s="0" t="n">
        <v>3612</v>
      </c>
      <c r="S761" s="0" t="n">
        <v>7851</v>
      </c>
      <c r="T761" s="0" t="n">
        <v>37.9</v>
      </c>
      <c r="U761" s="0" t="n">
        <v>994</v>
      </c>
      <c r="V761" s="0" t="n">
        <v>6</v>
      </c>
      <c r="W761" s="0" t="str">
        <f aca="false">IF(OR(AND(B761&gt;=1,B761&lt;=6),B761=10),"Vaca em lactação",IF(I761="Male","Macho",IF(E761&gt;=1,"Vaca seca",IF(I761="Youngstock","Bezerra/recria","Novilha"))))</f>
        <v>Vaca em lactação</v>
      </c>
      <c r="X761" s="0" t="str">
        <f aca="false">IF(AND(B761&gt;=1,B761&lt;=6),"Tanque",IF(B761=10,"Descarte",""))</f>
        <v>Tanque</v>
      </c>
    </row>
    <row r="762" customFormat="false" ht="15" hidden="false" customHeight="false" outlineLevel="0" collapsed="false">
      <c r="A762" s="22" t="n">
        <v>46309</v>
      </c>
      <c r="B762" s="0" t="n">
        <v>4</v>
      </c>
      <c r="C762" s="0" t="n">
        <v>5256</v>
      </c>
      <c r="D762" s="0" t="n">
        <v>229</v>
      </c>
      <c r="E762" s="0" t="n">
        <v>1</v>
      </c>
      <c r="F762" s="23" t="s">
        <v>607</v>
      </c>
      <c r="G762" s="0" t="n">
        <v>47.5</v>
      </c>
      <c r="H762" s="0" t="n">
        <v>47</v>
      </c>
      <c r="I762" s="23" t="s">
        <v>92</v>
      </c>
      <c r="J762" s="0" t="n">
        <v>68</v>
      </c>
      <c r="K762" s="0" t="n">
        <v>68</v>
      </c>
      <c r="L762" s="0" t="n">
        <v>161</v>
      </c>
      <c r="M762" s="0" t="n">
        <v>1057.62</v>
      </c>
      <c r="N762" s="0" t="n">
        <v>41.06</v>
      </c>
      <c r="O762" s="0" t="n">
        <v>44.08</v>
      </c>
      <c r="P762" s="0" t="n">
        <v>3.62</v>
      </c>
      <c r="Q762" s="0" t="n">
        <v>3.64</v>
      </c>
      <c r="R762" s="0" t="n">
        <v>4864</v>
      </c>
      <c r="S762" s="0" t="n">
        <v>10576</v>
      </c>
      <c r="T762" s="0" t="n">
        <v>55.55</v>
      </c>
      <c r="U762" s="0" t="n">
        <v>994</v>
      </c>
      <c r="V762" s="0" t="n">
        <v>1</v>
      </c>
      <c r="W762" s="0" t="str">
        <f aca="false">IF(OR(AND(B762&gt;=1,B762&lt;=6),B762=10),"Vaca em lactação",IF(I762="Male","Macho",IF(E762&gt;=1,"Vaca seca",IF(I762="Youngstock","Bezerra/recria","Novilha"))))</f>
        <v>Vaca em lactação</v>
      </c>
      <c r="X762" s="0" t="str">
        <f aca="false">IF(AND(B762&gt;=1,B762&lt;=6),"Tanque",IF(B762=10,"Descarte",""))</f>
        <v>Tanque</v>
      </c>
    </row>
    <row r="763" customFormat="false" ht="15" hidden="false" customHeight="false" outlineLevel="0" collapsed="false">
      <c r="A763" s="22" t="n">
        <v>46309</v>
      </c>
      <c r="B763" s="0" t="n">
        <v>4</v>
      </c>
      <c r="C763" s="0" t="n">
        <v>5151</v>
      </c>
      <c r="D763" s="0" t="n">
        <v>252</v>
      </c>
      <c r="E763" s="0" t="n">
        <v>1</v>
      </c>
      <c r="F763" s="23" t="s">
        <v>472</v>
      </c>
      <c r="G763" s="0" t="n">
        <v>53.1</v>
      </c>
      <c r="H763" s="0" t="n">
        <v>51</v>
      </c>
      <c r="I763" s="23" t="s">
        <v>92</v>
      </c>
      <c r="J763" s="0" t="n">
        <v>140</v>
      </c>
      <c r="K763" s="0" t="n">
        <v>63</v>
      </c>
      <c r="L763" s="0" t="n">
        <v>112</v>
      </c>
      <c r="M763" s="0" t="n">
        <v>777.75</v>
      </c>
      <c r="N763" s="0" t="n">
        <v>23.93</v>
      </c>
      <c r="O763" s="0" t="n">
        <v>39.99</v>
      </c>
      <c r="P763" s="0" t="n">
        <v>3.13</v>
      </c>
      <c r="Q763" s="0" t="n">
        <v>3.63</v>
      </c>
      <c r="R763" s="0" t="n">
        <v>4283</v>
      </c>
      <c r="S763" s="0" t="n">
        <v>10167</v>
      </c>
      <c r="T763" s="0" t="n">
        <v>44.05</v>
      </c>
      <c r="U763" s="0" t="n">
        <v>1045</v>
      </c>
      <c r="V763" s="0" t="n">
        <v>4</v>
      </c>
      <c r="W763" s="0" t="str">
        <f aca="false">IF(OR(AND(B763&gt;=1,B763&lt;=6),B763=10),"Vaca em lactação",IF(I763="Male","Macho",IF(E763&gt;=1,"Vaca seca",IF(I763="Youngstock","Bezerra/recria","Novilha"))))</f>
        <v>Vaca em lactação</v>
      </c>
      <c r="X763" s="0" t="str">
        <f aca="false">IF(AND(B763&gt;=1,B763&lt;=6),"Tanque",IF(B763=10,"Descarte",""))</f>
        <v>Tanque</v>
      </c>
    </row>
    <row r="764" customFormat="false" ht="15" hidden="false" customHeight="false" outlineLevel="0" collapsed="false">
      <c r="A764" s="22" t="n">
        <v>46309</v>
      </c>
      <c r="B764" s="0" t="n">
        <v>4</v>
      </c>
      <c r="C764" s="0" t="n">
        <v>5161</v>
      </c>
      <c r="D764" s="0" t="n">
        <v>234</v>
      </c>
      <c r="E764" s="0" t="n">
        <v>1</v>
      </c>
      <c r="F764" s="23" t="s">
        <v>608</v>
      </c>
      <c r="G764" s="0" t="n">
        <v>45.1</v>
      </c>
      <c r="H764" s="0" t="n">
        <v>46</v>
      </c>
      <c r="I764" s="23" t="s">
        <v>92</v>
      </c>
      <c r="J764" s="0" t="n">
        <v>101</v>
      </c>
      <c r="K764" s="0" t="n">
        <v>66</v>
      </c>
      <c r="L764" s="0" t="n">
        <v>133</v>
      </c>
      <c r="M764" s="0" t="n">
        <v>149.04</v>
      </c>
      <c r="N764" s="0" t="n">
        <v>76.38</v>
      </c>
      <c r="O764" s="0" t="n">
        <v>31.23</v>
      </c>
      <c r="P764" s="0" t="n">
        <v>3.93</v>
      </c>
      <c r="Q764" s="0" t="n">
        <v>3.67</v>
      </c>
      <c r="R764" s="0" t="n">
        <v>4075</v>
      </c>
      <c r="S764" s="0" t="n">
        <v>8770</v>
      </c>
      <c r="T764" s="0" t="n">
        <v>45.95</v>
      </c>
      <c r="U764" s="0" t="n">
        <v>1041</v>
      </c>
      <c r="V764" s="0" t="n">
        <v>2</v>
      </c>
      <c r="W764" s="0" t="str">
        <f aca="false">IF(OR(AND(B764&gt;=1,B764&lt;=6),B764=10),"Vaca em lactação",IF(I764="Male","Macho",IF(E764&gt;=1,"Vaca seca",IF(I764="Youngstock","Bezerra/recria","Novilha"))))</f>
        <v>Vaca em lactação</v>
      </c>
      <c r="X764" s="0" t="str">
        <f aca="false">IF(AND(B764&gt;=1,B764&lt;=6),"Tanque",IF(B764=10,"Descarte",""))</f>
        <v>Tanque</v>
      </c>
    </row>
    <row r="765" customFormat="false" ht="15" hidden="false" customHeight="false" outlineLevel="0" collapsed="false">
      <c r="A765" s="22" t="n">
        <v>46309</v>
      </c>
      <c r="B765" s="0" t="n">
        <v>4</v>
      </c>
      <c r="C765" s="0" t="n">
        <v>5136</v>
      </c>
      <c r="D765" s="0" t="n">
        <v>325</v>
      </c>
      <c r="E765" s="0" t="n">
        <v>1</v>
      </c>
      <c r="F765" s="23" t="s">
        <v>473</v>
      </c>
      <c r="G765" s="0" t="n">
        <v>35.2</v>
      </c>
      <c r="H765" s="0" t="n">
        <v>34</v>
      </c>
      <c r="I765" s="23" t="s">
        <v>97</v>
      </c>
      <c r="J765" s="0" t="n">
        <v>325</v>
      </c>
      <c r="K765" s="0" t="n">
        <v>66</v>
      </c>
      <c r="M765" s="0" t="n">
        <v>-515.28</v>
      </c>
      <c r="N765" s="0" t="n">
        <v>22.7</v>
      </c>
      <c r="O765" s="0" t="n">
        <v>5.41</v>
      </c>
      <c r="P765" s="0" t="n">
        <v>5.83</v>
      </c>
      <c r="Q765" s="0" t="n">
        <v>4.31</v>
      </c>
      <c r="R765" s="0" t="n">
        <v>3558</v>
      </c>
      <c r="S765" s="0" t="n">
        <v>7467</v>
      </c>
      <c r="T765" s="0" t="n">
        <v>39.5</v>
      </c>
      <c r="U765" s="0" t="n">
        <v>1051</v>
      </c>
      <c r="V765" s="0" t="n">
        <v>7</v>
      </c>
      <c r="W765" s="0" t="str">
        <f aca="false">IF(OR(AND(B765&gt;=1,B765&lt;=6),B765=10),"Vaca em lactação",IF(I765="Male","Macho",IF(E765&gt;=1,"Vaca seca",IF(I765="Youngstock","Bezerra/recria","Novilha"))))</f>
        <v>Vaca em lactação</v>
      </c>
      <c r="X765" s="0" t="str">
        <f aca="false">IF(AND(B765&gt;=1,B765&lt;=6),"Tanque",IF(B765=10,"Descarte",""))</f>
        <v>Tanque</v>
      </c>
    </row>
    <row r="766" customFormat="false" ht="15" hidden="false" customHeight="false" outlineLevel="0" collapsed="false">
      <c r="A766" s="22" t="n">
        <v>46309</v>
      </c>
      <c r="B766" s="0" t="n">
        <v>4</v>
      </c>
      <c r="C766" s="0" t="n">
        <v>5130</v>
      </c>
      <c r="D766" s="0" t="n">
        <v>319</v>
      </c>
      <c r="E766" s="0" t="n">
        <v>1</v>
      </c>
      <c r="F766" s="23" t="s">
        <v>609</v>
      </c>
      <c r="G766" s="0" t="n">
        <v>30.9</v>
      </c>
      <c r="H766" s="0" t="n">
        <v>30</v>
      </c>
      <c r="I766" s="23" t="s">
        <v>92</v>
      </c>
      <c r="J766" s="0" t="n">
        <v>229</v>
      </c>
      <c r="K766" s="0" t="n">
        <v>60</v>
      </c>
      <c r="L766" s="0" t="n">
        <v>90</v>
      </c>
      <c r="M766" s="0" t="n">
        <v>393.2</v>
      </c>
      <c r="N766" s="0" t="n">
        <v>62.53</v>
      </c>
      <c r="O766" s="0" t="n">
        <v>46.63</v>
      </c>
      <c r="P766" s="0" t="n">
        <v>3.74</v>
      </c>
      <c r="Q766" s="0" t="n">
        <v>4.37</v>
      </c>
      <c r="R766" s="0" t="n">
        <v>4127</v>
      </c>
      <c r="S766" s="0" t="n">
        <v>8147</v>
      </c>
      <c r="T766" s="0" t="n">
        <v>44.5</v>
      </c>
      <c r="U766" s="0" t="n">
        <v>1053</v>
      </c>
      <c r="V766" s="0" t="n">
        <v>6</v>
      </c>
      <c r="W766" s="0" t="str">
        <f aca="false">IF(OR(AND(B766&gt;=1,B766&lt;=6),B766=10),"Vaca em lactação",IF(I766="Male","Macho",IF(E766&gt;=1,"Vaca seca",IF(I766="Youngstock","Bezerra/recria","Novilha"))))</f>
        <v>Vaca em lactação</v>
      </c>
      <c r="X766" s="0" t="str">
        <f aca="false">IF(AND(B766&gt;=1,B766&lt;=6),"Tanque",IF(B766=10,"Descarte",""))</f>
        <v>Tanque</v>
      </c>
    </row>
    <row r="767" customFormat="false" ht="15" hidden="false" customHeight="false" outlineLevel="0" collapsed="false">
      <c r="A767" s="22" t="n">
        <v>46309</v>
      </c>
      <c r="B767" s="0" t="n">
        <v>4</v>
      </c>
      <c r="C767" s="0" t="n">
        <v>5139</v>
      </c>
      <c r="D767" s="0" t="n">
        <v>234</v>
      </c>
      <c r="E767" s="0" t="n">
        <v>1</v>
      </c>
      <c r="F767" s="23" t="s">
        <v>298</v>
      </c>
      <c r="G767" s="0" t="n">
        <v>56.7</v>
      </c>
      <c r="H767" s="0" t="n">
        <v>60</v>
      </c>
      <c r="I767" s="23" t="s">
        <v>97</v>
      </c>
      <c r="J767" s="0" t="n">
        <v>234</v>
      </c>
      <c r="K767" s="0" t="n">
        <v>66</v>
      </c>
      <c r="M767" s="0" t="n">
        <v>1063.68</v>
      </c>
      <c r="N767" s="0" t="n">
        <v>37.86</v>
      </c>
      <c r="O767" s="0" t="n">
        <v>38.28</v>
      </c>
      <c r="P767" s="0" t="n">
        <v>3.3</v>
      </c>
      <c r="Q767" s="0" t="n">
        <v>3.28</v>
      </c>
      <c r="R767" s="0" t="n">
        <v>4967</v>
      </c>
      <c r="S767" s="0" t="n">
        <v>11179</v>
      </c>
      <c r="T767" s="0" t="n">
        <v>58.45</v>
      </c>
      <c r="U767" s="0" t="n">
        <v>1049</v>
      </c>
      <c r="V767" s="0" t="n">
        <v>5</v>
      </c>
      <c r="W767" s="0" t="str">
        <f aca="false">IF(OR(AND(B767&gt;=1,B767&lt;=6),B767=10),"Vaca em lactação",IF(I767="Male","Macho",IF(E767&gt;=1,"Vaca seca",IF(I767="Youngstock","Bezerra/recria","Novilha"))))</f>
        <v>Vaca em lactação</v>
      </c>
      <c r="X767" s="0" t="str">
        <f aca="false">IF(AND(B767&gt;=1,B767&lt;=6),"Tanque",IF(B767=10,"Descarte",""))</f>
        <v>Tanque</v>
      </c>
    </row>
    <row r="768" customFormat="false" ht="15" hidden="false" customHeight="false" outlineLevel="0" collapsed="false">
      <c r="A768" s="22" t="n">
        <v>46309</v>
      </c>
      <c r="B768" s="0" t="n">
        <v>4</v>
      </c>
      <c r="C768" s="0" t="n">
        <v>5197</v>
      </c>
      <c r="D768" s="0" t="n">
        <v>338</v>
      </c>
      <c r="E768" s="0" t="n">
        <v>1</v>
      </c>
      <c r="F768" s="23" t="s">
        <v>610</v>
      </c>
      <c r="G768" s="0" t="n">
        <v>41.3</v>
      </c>
      <c r="H768" s="0" t="n">
        <v>44</v>
      </c>
      <c r="I768" s="23" t="s">
        <v>92</v>
      </c>
      <c r="J768" s="0" t="n">
        <v>160</v>
      </c>
      <c r="K768" s="0" t="n">
        <v>65</v>
      </c>
      <c r="L768" s="0" t="n">
        <v>178</v>
      </c>
      <c r="M768" s="0" t="n">
        <v>1523.13</v>
      </c>
      <c r="N768" s="0" t="n">
        <v>29.58</v>
      </c>
      <c r="O768" s="0" t="n">
        <v>44.97</v>
      </c>
      <c r="P768" s="0" t="n">
        <v>3.6</v>
      </c>
      <c r="Q768" s="0" t="n">
        <v>3.64</v>
      </c>
      <c r="R768" s="0" t="n">
        <v>4518</v>
      </c>
      <c r="S768" s="0" t="n">
        <v>9281</v>
      </c>
      <c r="T768" s="0" t="n">
        <v>49.35</v>
      </c>
      <c r="U768" s="0" t="n">
        <v>1028</v>
      </c>
      <c r="V768" s="0" t="n">
        <v>4</v>
      </c>
      <c r="W768" s="0" t="str">
        <f aca="false">IF(OR(AND(B768&gt;=1,B768&lt;=6),B768=10),"Vaca em lactação",IF(I768="Male","Macho",IF(E768&gt;=1,"Vaca seca",IF(I768="Youngstock","Bezerra/recria","Novilha"))))</f>
        <v>Vaca em lactação</v>
      </c>
      <c r="X768" s="0" t="str">
        <f aca="false">IF(AND(B768&gt;=1,B768&lt;=6),"Tanque",IF(B768=10,"Descarte",""))</f>
        <v>Tanque</v>
      </c>
    </row>
    <row r="769" customFormat="false" ht="15" hidden="false" customHeight="false" outlineLevel="0" collapsed="false">
      <c r="A769" s="22" t="n">
        <v>46309</v>
      </c>
      <c r="B769" s="0" t="n">
        <v>4</v>
      </c>
      <c r="C769" s="0" t="n">
        <v>5196</v>
      </c>
      <c r="D769" s="0" t="n">
        <v>174</v>
      </c>
      <c r="E769" s="0" t="n">
        <v>1</v>
      </c>
      <c r="F769" s="23" t="s">
        <v>610</v>
      </c>
      <c r="G769" s="0" t="n">
        <v>39.5</v>
      </c>
      <c r="H769" s="0" t="n">
        <v>41</v>
      </c>
      <c r="I769" s="23" t="s">
        <v>92</v>
      </c>
      <c r="J769" s="0" t="n">
        <v>97</v>
      </c>
      <c r="K769" s="0" t="n">
        <v>62</v>
      </c>
      <c r="L769" s="0" t="n">
        <v>77</v>
      </c>
      <c r="M769" s="0" t="n">
        <v>-123.78</v>
      </c>
      <c r="N769" s="0" t="n">
        <v>46.87</v>
      </c>
      <c r="O769" s="0" t="n">
        <v>22.79</v>
      </c>
      <c r="P769" s="0" t="n">
        <v>3.73</v>
      </c>
      <c r="Q769" s="0" t="n">
        <v>3.52</v>
      </c>
      <c r="R769" s="0" t="n">
        <v>3562</v>
      </c>
      <c r="S769" s="0" t="n">
        <v>7962</v>
      </c>
      <c r="T769" s="0" t="n">
        <v>42.6</v>
      </c>
      <c r="U769" s="0" t="n">
        <v>1028</v>
      </c>
      <c r="V769" s="0" t="n">
        <v>2</v>
      </c>
      <c r="W769" s="0" t="str">
        <f aca="false">IF(OR(AND(B769&gt;=1,B769&lt;=6),B769=10),"Vaca em lactação",IF(I769="Male","Macho",IF(E769&gt;=1,"Vaca seca",IF(I769="Youngstock","Bezerra/recria","Novilha"))))</f>
        <v>Vaca em lactação</v>
      </c>
      <c r="X769" s="0" t="str">
        <f aca="false">IF(AND(B769&gt;=1,B769&lt;=6),"Tanque",IF(B769=10,"Descarte",""))</f>
        <v>Tanque</v>
      </c>
    </row>
    <row r="770" customFormat="false" ht="15" hidden="false" customHeight="false" outlineLevel="0" collapsed="false">
      <c r="A770" s="22" t="n">
        <v>46309</v>
      </c>
      <c r="B770" s="0" t="n">
        <v>4</v>
      </c>
      <c r="C770" s="0" t="n">
        <v>5202</v>
      </c>
      <c r="D770" s="0" t="n">
        <v>312</v>
      </c>
      <c r="E770" s="0" t="n">
        <v>1</v>
      </c>
      <c r="F770" s="23" t="s">
        <v>611</v>
      </c>
      <c r="G770" s="0" t="n">
        <v>45.6</v>
      </c>
      <c r="H770" s="0" t="n">
        <v>43</v>
      </c>
      <c r="I770" s="23" t="s">
        <v>92</v>
      </c>
      <c r="J770" s="0" t="n">
        <v>242</v>
      </c>
      <c r="K770" s="0" t="n">
        <v>67</v>
      </c>
      <c r="L770" s="0" t="n">
        <v>70</v>
      </c>
      <c r="M770" s="0" t="n">
        <v>503.27</v>
      </c>
      <c r="N770" s="0" t="n">
        <v>61.39</v>
      </c>
      <c r="O770" s="0" t="n">
        <v>30.41</v>
      </c>
      <c r="P770" s="0" t="n">
        <v>3.37</v>
      </c>
      <c r="Q770" s="0" t="n">
        <v>3.48</v>
      </c>
      <c r="R770" s="0" t="n">
        <v>4402</v>
      </c>
      <c r="S770" s="0" t="n">
        <v>8842</v>
      </c>
      <c r="T770" s="0" t="n">
        <v>45.2</v>
      </c>
      <c r="U770" s="0" t="n">
        <v>1026</v>
      </c>
      <c r="V770" s="0" t="n">
        <v>6</v>
      </c>
      <c r="W770" s="0" t="str">
        <f aca="false">IF(OR(AND(B770&gt;=1,B770&lt;=6),B770=10),"Vaca em lactação",IF(I770="Male","Macho",IF(E770&gt;=1,"Vaca seca",IF(I770="Youngstock","Bezerra/recria","Novilha"))))</f>
        <v>Vaca em lactação</v>
      </c>
      <c r="X770" s="0" t="str">
        <f aca="false">IF(AND(B770&gt;=1,B770&lt;=6),"Tanque",IF(B770=10,"Descarte",""))</f>
        <v>Tanque</v>
      </c>
    </row>
    <row r="771" customFormat="false" ht="15" hidden="false" customHeight="false" outlineLevel="0" collapsed="false">
      <c r="A771" s="22" t="n">
        <v>46309</v>
      </c>
      <c r="B771" s="0" t="n">
        <v>4</v>
      </c>
      <c r="C771" s="0" t="n">
        <v>5203</v>
      </c>
      <c r="D771" s="0" t="n">
        <v>189</v>
      </c>
      <c r="E771" s="0" t="n">
        <v>1</v>
      </c>
      <c r="F771" s="23" t="s">
        <v>611</v>
      </c>
      <c r="G771" s="0" t="n">
        <v>57.3</v>
      </c>
      <c r="H771" s="0" t="n">
        <v>56</v>
      </c>
      <c r="I771" s="23" t="s">
        <v>92</v>
      </c>
      <c r="J771" s="0" t="n">
        <v>63</v>
      </c>
      <c r="K771" s="0" t="n">
        <v>63</v>
      </c>
      <c r="L771" s="0" t="n">
        <v>126</v>
      </c>
      <c r="M771" s="0" t="n">
        <v>449.4</v>
      </c>
      <c r="N771" s="0" t="n">
        <v>69.44</v>
      </c>
      <c r="O771" s="0" t="n">
        <v>29.1</v>
      </c>
      <c r="P771" s="0" t="n">
        <v>3.92</v>
      </c>
      <c r="Q771" s="0" t="n">
        <v>3.14</v>
      </c>
      <c r="R771" s="0" t="n">
        <v>4843</v>
      </c>
      <c r="S771" s="0" t="n">
        <v>10628</v>
      </c>
      <c r="T771" s="0" t="n">
        <v>52.9</v>
      </c>
      <c r="U771" s="0" t="n">
        <v>1026</v>
      </c>
      <c r="V771" s="0" t="n">
        <v>1</v>
      </c>
      <c r="W771" s="0" t="str">
        <f aca="false">IF(OR(AND(B771&gt;=1,B771&lt;=6),B771=10),"Vaca em lactação",IF(I771="Male","Macho",IF(E771&gt;=1,"Vaca seca",IF(I771="Youngstock","Bezerra/recria","Novilha"))))</f>
        <v>Vaca em lactação</v>
      </c>
      <c r="X771" s="0" t="str">
        <f aca="false">IF(AND(B771&gt;=1,B771&lt;=6),"Tanque",IF(B771=10,"Descarte",""))</f>
        <v>Tanque</v>
      </c>
    </row>
    <row r="772" customFormat="false" ht="15" hidden="false" customHeight="false" outlineLevel="0" collapsed="false">
      <c r="A772" s="22" t="n">
        <v>46309</v>
      </c>
      <c r="B772" s="0" t="n">
        <v>4</v>
      </c>
      <c r="C772" s="0" t="n">
        <v>5175</v>
      </c>
      <c r="D772" s="0" t="n">
        <v>322</v>
      </c>
      <c r="E772" s="0" t="n">
        <v>1</v>
      </c>
      <c r="F772" s="23" t="s">
        <v>612</v>
      </c>
      <c r="G772" s="0" t="n">
        <v>53.5</v>
      </c>
      <c r="H772" s="0" t="n">
        <v>51</v>
      </c>
      <c r="I772" s="23" t="s">
        <v>92</v>
      </c>
      <c r="J772" s="0" t="n">
        <v>287</v>
      </c>
      <c r="K772" s="0" t="n">
        <v>63</v>
      </c>
      <c r="L772" s="0" t="n">
        <v>35</v>
      </c>
      <c r="M772" s="0" t="n">
        <v>369.22</v>
      </c>
      <c r="N772" s="0" t="n">
        <v>65.73</v>
      </c>
      <c r="O772" s="0" t="n">
        <v>22.49</v>
      </c>
      <c r="P772" s="0" t="n">
        <v>3.75</v>
      </c>
      <c r="Q772" s="0" t="n">
        <v>3.74</v>
      </c>
      <c r="R772" s="0" t="n">
        <v>4237</v>
      </c>
      <c r="S772" s="0" t="n">
        <v>8448</v>
      </c>
      <c r="T772" s="0" t="n">
        <v>57.8</v>
      </c>
      <c r="U772" s="0" t="n">
        <v>1038</v>
      </c>
      <c r="V772" s="0" t="n">
        <v>5</v>
      </c>
      <c r="W772" s="0" t="str">
        <f aca="false">IF(OR(AND(B772&gt;=1,B772&lt;=6),B772=10),"Vaca em lactação",IF(I772="Male","Macho",IF(E772&gt;=1,"Vaca seca",IF(I772="Youngstock","Bezerra/recria","Novilha"))))</f>
        <v>Vaca em lactação</v>
      </c>
      <c r="X772" s="0" t="str">
        <f aca="false">IF(AND(B772&gt;=1,B772&lt;=6),"Tanque",IF(B772=10,"Descarte",""))</f>
        <v>Tanque</v>
      </c>
    </row>
    <row r="773" customFormat="false" ht="15" hidden="false" customHeight="false" outlineLevel="0" collapsed="false">
      <c r="A773" s="22" t="n">
        <v>46309</v>
      </c>
      <c r="B773" s="0" t="n">
        <v>4</v>
      </c>
      <c r="C773" s="0" t="n">
        <v>5170</v>
      </c>
      <c r="D773" s="0" t="n">
        <v>351</v>
      </c>
      <c r="E773" s="0" t="n">
        <v>1</v>
      </c>
      <c r="F773" s="23" t="s">
        <v>297</v>
      </c>
      <c r="G773" s="0" t="n">
        <v>40.9</v>
      </c>
      <c r="H773" s="0" t="n">
        <v>40</v>
      </c>
      <c r="I773" s="23" t="s">
        <v>92</v>
      </c>
      <c r="J773" s="0" t="n">
        <v>129</v>
      </c>
      <c r="K773" s="0" t="n">
        <v>72</v>
      </c>
      <c r="L773" s="0" t="n">
        <v>222</v>
      </c>
      <c r="M773" s="0" t="n">
        <v>264.55</v>
      </c>
      <c r="N773" s="0" t="n">
        <v>54.25</v>
      </c>
      <c r="O773" s="0" t="n">
        <v>27.12</v>
      </c>
      <c r="P773" s="0" t="n">
        <v>3.43</v>
      </c>
      <c r="Q773" s="0" t="n">
        <v>3.6</v>
      </c>
      <c r="R773" s="0" t="n">
        <v>3483</v>
      </c>
      <c r="S773" s="0" t="n">
        <v>8266</v>
      </c>
      <c r="T773" s="0" t="n">
        <v>42.05</v>
      </c>
      <c r="U773" s="0" t="n">
        <v>1039</v>
      </c>
      <c r="V773" s="0" t="n">
        <v>3</v>
      </c>
      <c r="W773" s="0" t="str">
        <f aca="false">IF(OR(AND(B773&gt;=1,B773&lt;=6),B773=10),"Vaca em lactação",IF(I773="Male","Macho",IF(E773&gt;=1,"Vaca seca",IF(I773="Youngstock","Bezerra/recria","Novilha"))))</f>
        <v>Vaca em lactação</v>
      </c>
      <c r="X773" s="0" t="str">
        <f aca="false">IF(AND(B773&gt;=1,B773&lt;=6),"Tanque",IF(B773=10,"Descarte",""))</f>
        <v>Tanque</v>
      </c>
    </row>
    <row r="774" customFormat="false" ht="15" hidden="false" customHeight="false" outlineLevel="0" collapsed="false">
      <c r="A774" s="22" t="n">
        <v>46309</v>
      </c>
      <c r="B774" s="0" t="n">
        <v>4</v>
      </c>
      <c r="C774" s="0" t="n">
        <v>5180</v>
      </c>
      <c r="D774" s="0" t="n">
        <v>347</v>
      </c>
      <c r="E774" s="0" t="n">
        <v>1</v>
      </c>
      <c r="F774" s="23" t="s">
        <v>613</v>
      </c>
      <c r="G774" s="0" t="n">
        <v>30.9</v>
      </c>
      <c r="H774" s="0" t="n">
        <v>33</v>
      </c>
      <c r="I774" s="23" t="s">
        <v>92</v>
      </c>
      <c r="J774" s="0" t="n">
        <v>221</v>
      </c>
      <c r="K774" s="0" t="n">
        <v>74</v>
      </c>
      <c r="L774" s="0" t="n">
        <v>126</v>
      </c>
      <c r="M774" s="0" t="n">
        <v>1215.69</v>
      </c>
      <c r="N774" s="0" t="n">
        <v>27.97</v>
      </c>
      <c r="O774" s="0" t="n">
        <v>43.02</v>
      </c>
      <c r="P774" s="0" t="n">
        <v>4.02</v>
      </c>
      <c r="Q774" s="0" t="n">
        <v>3.59</v>
      </c>
      <c r="R774" s="0" t="n">
        <v>4169</v>
      </c>
      <c r="S774" s="0" t="n">
        <v>9734</v>
      </c>
      <c r="T774" s="0" t="n">
        <v>43.3</v>
      </c>
      <c r="U774" s="0" t="n">
        <v>1036</v>
      </c>
      <c r="V774" s="0" t="n">
        <v>5</v>
      </c>
      <c r="W774" s="0" t="str">
        <f aca="false">IF(OR(AND(B774&gt;=1,B774&lt;=6),B774=10),"Vaca em lactação",IF(I774="Male","Macho",IF(E774&gt;=1,"Vaca seca",IF(I774="Youngstock","Bezerra/recria","Novilha"))))</f>
        <v>Vaca em lactação</v>
      </c>
      <c r="X774" s="0" t="str">
        <f aca="false">IF(AND(B774&gt;=1,B774&lt;=6),"Tanque",IF(B774=10,"Descarte",""))</f>
        <v>Tanque</v>
      </c>
    </row>
    <row r="775" customFormat="false" ht="15" hidden="false" customHeight="false" outlineLevel="0" collapsed="false">
      <c r="A775" s="22" t="n">
        <v>46309</v>
      </c>
      <c r="B775" s="0" t="n">
        <v>4</v>
      </c>
      <c r="C775" s="0" t="n">
        <v>5176</v>
      </c>
      <c r="D775" s="0" t="n">
        <v>319</v>
      </c>
      <c r="E775" s="0" t="n">
        <v>1</v>
      </c>
      <c r="F775" s="23" t="s">
        <v>475</v>
      </c>
      <c r="G775" s="0" t="n">
        <v>40.1</v>
      </c>
      <c r="H775" s="0" t="n">
        <v>40</v>
      </c>
      <c r="I775" s="23" t="s">
        <v>92</v>
      </c>
      <c r="J775" s="0" t="n">
        <v>102</v>
      </c>
      <c r="K775" s="0" t="n">
        <v>67</v>
      </c>
      <c r="L775" s="0" t="n">
        <v>217</v>
      </c>
      <c r="M775" s="0" t="n">
        <v>243.2</v>
      </c>
      <c r="N775" s="0" t="n">
        <v>58.66</v>
      </c>
      <c r="O775" s="0" t="n">
        <v>27.3</v>
      </c>
      <c r="P775" s="0" t="n">
        <v>3.41</v>
      </c>
      <c r="Q775" s="0" t="n">
        <v>3.68</v>
      </c>
      <c r="R775" s="0" t="n">
        <v>4019</v>
      </c>
      <c r="S775" s="0" t="n">
        <v>9243</v>
      </c>
      <c r="T775" s="0" t="n">
        <v>44.9</v>
      </c>
      <c r="U775" s="0" t="n">
        <v>1037</v>
      </c>
      <c r="V775" s="0" t="n">
        <v>2</v>
      </c>
      <c r="W775" s="0" t="str">
        <f aca="false">IF(OR(AND(B775&gt;=1,B775&lt;=6),B775=10),"Vaca em lactação",IF(I775="Male","Macho",IF(E775&gt;=1,"Vaca seca",IF(I775="Youngstock","Bezerra/recria","Novilha"))))</f>
        <v>Vaca em lactação</v>
      </c>
      <c r="X775" s="0" t="str">
        <f aca="false">IF(AND(B775&gt;=1,B775&lt;=6),"Tanque",IF(B775=10,"Descarte",""))</f>
        <v>Tanque</v>
      </c>
    </row>
    <row r="776" customFormat="false" ht="15" hidden="false" customHeight="false" outlineLevel="0" collapsed="false">
      <c r="A776" s="22" t="n">
        <v>46309</v>
      </c>
      <c r="B776" s="0" t="n">
        <v>4</v>
      </c>
      <c r="C776" s="0" t="n">
        <v>5191</v>
      </c>
      <c r="D776" s="0" t="n">
        <v>322</v>
      </c>
      <c r="E776" s="0" t="n">
        <v>1</v>
      </c>
      <c r="F776" s="23" t="s">
        <v>614</v>
      </c>
      <c r="G776" s="0" t="n">
        <v>44.6</v>
      </c>
      <c r="H776" s="0" t="n">
        <v>43</v>
      </c>
      <c r="I776" s="23" t="s">
        <v>92</v>
      </c>
      <c r="J776" s="0" t="n">
        <v>119</v>
      </c>
      <c r="K776" s="0" t="n">
        <v>63</v>
      </c>
      <c r="L776" s="0" t="n">
        <v>203</v>
      </c>
      <c r="M776" s="0" t="n">
        <v>16.07</v>
      </c>
      <c r="N776" s="0" t="n">
        <v>71.75</v>
      </c>
      <c r="O776" s="0" t="n">
        <v>34.8</v>
      </c>
      <c r="P776" s="0" t="n">
        <v>4.77</v>
      </c>
      <c r="Q776" s="0" t="n">
        <v>3.8</v>
      </c>
      <c r="R776" s="0" t="n">
        <v>3295</v>
      </c>
      <c r="S776" s="0" t="n">
        <v>7659</v>
      </c>
      <c r="T776" s="0" t="n">
        <v>32.55</v>
      </c>
      <c r="U776" s="0" t="n">
        <v>1032</v>
      </c>
      <c r="V776" s="0" t="n">
        <v>3</v>
      </c>
      <c r="W776" s="0" t="str">
        <f aca="false">IF(OR(AND(B776&gt;=1,B776&lt;=6),B776=10),"Vaca em lactação",IF(I776="Male","Macho",IF(E776&gt;=1,"Vaca seca",IF(I776="Youngstock","Bezerra/recria","Novilha"))))</f>
        <v>Vaca em lactação</v>
      </c>
      <c r="X776" s="0" t="str">
        <f aca="false">IF(AND(B776&gt;=1,B776&lt;=6),"Tanque",IF(B776=10,"Descarte",""))</f>
        <v>Tanque</v>
      </c>
    </row>
    <row r="777" customFormat="false" ht="15" hidden="false" customHeight="false" outlineLevel="0" collapsed="false">
      <c r="A777" s="22" t="n">
        <v>46309</v>
      </c>
      <c r="B777" s="0" t="n">
        <v>4</v>
      </c>
      <c r="C777" s="0" t="n">
        <v>4961</v>
      </c>
      <c r="D777" s="0" t="n">
        <v>343</v>
      </c>
      <c r="E777" s="0" t="n">
        <v>1</v>
      </c>
      <c r="F777" s="23" t="s">
        <v>339</v>
      </c>
      <c r="G777" s="0" t="n">
        <v>39.8</v>
      </c>
      <c r="H777" s="0" t="n">
        <v>41</v>
      </c>
      <c r="I777" s="23" t="s">
        <v>506</v>
      </c>
      <c r="J777" s="0" t="n">
        <v>343</v>
      </c>
      <c r="K777" s="0" t="n">
        <v>64</v>
      </c>
      <c r="M777" s="0" t="n">
        <v>1267.45</v>
      </c>
      <c r="N777" s="0" t="n">
        <v>48.87</v>
      </c>
      <c r="O777" s="0" t="n">
        <v>38.3</v>
      </c>
      <c r="P777" s="0" t="n">
        <v>3.61</v>
      </c>
      <c r="Q777" s="0" t="n">
        <v>3.57</v>
      </c>
      <c r="R777" s="0" t="n">
        <v>4046</v>
      </c>
      <c r="S777" s="0" t="n">
        <v>8149</v>
      </c>
      <c r="T777" s="0" t="n">
        <v>47.9</v>
      </c>
      <c r="U777" s="0" t="n">
        <v>1142</v>
      </c>
      <c r="V777" s="0" t="n">
        <v>2</v>
      </c>
      <c r="W777" s="0" t="str">
        <f aca="false">IF(OR(AND(B777&gt;=1,B777&lt;=6),B777=10),"Vaca em lactação",IF(I777="Male","Macho",IF(E777&gt;=1,"Vaca seca",IF(I777="Youngstock","Bezerra/recria","Novilha"))))</f>
        <v>Vaca em lactação</v>
      </c>
      <c r="X777" s="0" t="str">
        <f aca="false">IF(AND(B777&gt;=1,B777&lt;=6),"Tanque",IF(B777=10,"Descarte",""))</f>
        <v>Tanque</v>
      </c>
    </row>
    <row r="778" customFormat="false" ht="15" hidden="false" customHeight="false" outlineLevel="0" collapsed="false">
      <c r="A778" s="22" t="n">
        <v>46309</v>
      </c>
      <c r="B778" s="0" t="n">
        <v>4</v>
      </c>
      <c r="C778" s="0" t="n">
        <v>4859</v>
      </c>
      <c r="D778" s="0" t="n">
        <v>185</v>
      </c>
      <c r="E778" s="0" t="n">
        <v>1</v>
      </c>
      <c r="F778" s="23" t="s">
        <v>346</v>
      </c>
      <c r="G778" s="0" t="n">
        <v>59.7</v>
      </c>
      <c r="H778" s="0" t="n">
        <v>60</v>
      </c>
      <c r="I778" s="23" t="s">
        <v>92</v>
      </c>
      <c r="J778" s="0" t="n">
        <v>101</v>
      </c>
      <c r="K778" s="0" t="n">
        <v>66</v>
      </c>
      <c r="L778" s="0" t="n">
        <v>84</v>
      </c>
      <c r="M778" s="0" t="n">
        <v>865.82</v>
      </c>
      <c r="N778" s="0" t="n">
        <v>51.91</v>
      </c>
      <c r="O778" s="0" t="n">
        <v>30.8</v>
      </c>
      <c r="P778" s="0" t="n">
        <v>3.72</v>
      </c>
      <c r="Q778" s="0" t="n">
        <v>3.28</v>
      </c>
      <c r="R778" s="0" t="n">
        <v>5372</v>
      </c>
      <c r="S778" s="0" t="n">
        <v>11562</v>
      </c>
      <c r="T778" s="0" t="n">
        <v>57.15</v>
      </c>
      <c r="U778" s="0" t="n">
        <v>1188</v>
      </c>
      <c r="V778" s="0" t="n">
        <v>2</v>
      </c>
      <c r="W778" s="0" t="str">
        <f aca="false">IF(OR(AND(B778&gt;=1,B778&lt;=6),B778=10),"Vaca em lactação",IF(I778="Male","Macho",IF(E778&gt;=1,"Vaca seca",IF(I778="Youngstock","Bezerra/recria","Novilha"))))</f>
        <v>Vaca em lactação</v>
      </c>
      <c r="X778" s="0" t="str">
        <f aca="false">IF(AND(B778&gt;=1,B778&lt;=6),"Tanque",IF(B778=10,"Descarte",""))</f>
        <v>Tanque</v>
      </c>
    </row>
    <row r="779" customFormat="false" ht="15" hidden="false" customHeight="false" outlineLevel="0" collapsed="false">
      <c r="A779" s="22" t="n">
        <v>46309</v>
      </c>
      <c r="B779" s="0" t="n">
        <v>4</v>
      </c>
      <c r="C779" s="0" t="n">
        <v>5461</v>
      </c>
      <c r="D779" s="0" t="n">
        <v>252</v>
      </c>
      <c r="E779" s="0" t="n">
        <v>1</v>
      </c>
      <c r="F779" s="23" t="s">
        <v>615</v>
      </c>
      <c r="G779" s="0" t="n">
        <v>46.3</v>
      </c>
      <c r="H779" s="0" t="n">
        <v>47</v>
      </c>
      <c r="I779" s="23" t="s">
        <v>92</v>
      </c>
      <c r="J779" s="0" t="n">
        <v>98</v>
      </c>
      <c r="K779" s="0" t="n">
        <v>71</v>
      </c>
      <c r="L779" s="0" t="n">
        <v>154</v>
      </c>
      <c r="M779" s="0" t="n">
        <v>1126.34</v>
      </c>
      <c r="N779" s="0" t="n">
        <v>51.85</v>
      </c>
      <c r="O779" s="0" t="n">
        <v>39.43</v>
      </c>
      <c r="P779" s="0" t="n">
        <v>3.31</v>
      </c>
      <c r="Q779" s="0" t="n">
        <v>3.32</v>
      </c>
      <c r="R779" s="0" t="n">
        <v>4417</v>
      </c>
      <c r="S779" s="0" t="n">
        <v>9965</v>
      </c>
      <c r="T779" s="0" t="n">
        <v>45.45</v>
      </c>
      <c r="U779" s="0" t="n">
        <v>918</v>
      </c>
      <c r="V779" s="0" t="n">
        <v>2</v>
      </c>
      <c r="W779" s="0" t="str">
        <f aca="false">IF(OR(AND(B779&gt;=1,B779&lt;=6),B779=10),"Vaca em lactação",IF(I779="Male","Macho",IF(E779&gt;=1,"Vaca seca",IF(I779="Youngstock","Bezerra/recria","Novilha"))))</f>
        <v>Vaca em lactação</v>
      </c>
      <c r="X779" s="0" t="str">
        <f aca="false">IF(AND(B779&gt;=1,B779&lt;=6),"Tanque",IF(B779=10,"Descarte",""))</f>
        <v>Tanque</v>
      </c>
    </row>
    <row r="780" customFormat="false" ht="15" hidden="false" customHeight="false" outlineLevel="0" collapsed="false">
      <c r="A780" s="22" t="n">
        <v>46309</v>
      </c>
      <c r="B780" s="0" t="n">
        <v>4</v>
      </c>
      <c r="C780" s="0" t="n">
        <v>5459</v>
      </c>
      <c r="D780" s="0" t="n">
        <v>193</v>
      </c>
      <c r="E780" s="0" t="n">
        <v>1</v>
      </c>
      <c r="F780" s="23" t="s">
        <v>616</v>
      </c>
      <c r="G780" s="0" t="n">
        <v>45</v>
      </c>
      <c r="H780" s="0" t="n">
        <v>34</v>
      </c>
      <c r="I780" s="23" t="s">
        <v>97</v>
      </c>
      <c r="J780" s="0" t="n">
        <v>193</v>
      </c>
      <c r="K780" s="0" t="n">
        <v>60</v>
      </c>
      <c r="M780" s="0" t="n">
        <v>860.44</v>
      </c>
      <c r="N780" s="0" t="n">
        <v>37.54</v>
      </c>
      <c r="O780" s="0" t="n">
        <v>26.16</v>
      </c>
      <c r="P780" s="0" t="n">
        <v>3.57</v>
      </c>
      <c r="Q780" s="0" t="n">
        <v>3.21</v>
      </c>
      <c r="R780" s="0" t="n">
        <v>4826</v>
      </c>
      <c r="S780" s="0" t="n">
        <v>10329</v>
      </c>
      <c r="T780" s="0" t="n">
        <v>51.05</v>
      </c>
      <c r="U780" s="0" t="n">
        <v>920</v>
      </c>
      <c r="V780" s="0" t="n">
        <v>5</v>
      </c>
      <c r="W780" s="0" t="str">
        <f aca="false">IF(OR(AND(B780&gt;=1,B780&lt;=6),B780=10),"Vaca em lactação",IF(I780="Male","Macho",IF(E780&gt;=1,"Vaca seca",IF(I780="Youngstock","Bezerra/recria","Novilha"))))</f>
        <v>Vaca em lactação</v>
      </c>
      <c r="X780" s="0" t="str">
        <f aca="false">IF(AND(B780&gt;=1,B780&lt;=6),"Tanque",IF(B780=10,"Descarte",""))</f>
        <v>Tanque</v>
      </c>
    </row>
    <row r="781" customFormat="false" ht="15" hidden="false" customHeight="false" outlineLevel="0" collapsed="false">
      <c r="A781" s="22" t="n">
        <v>46309</v>
      </c>
      <c r="B781" s="0" t="n">
        <v>4</v>
      </c>
      <c r="C781" s="0" t="n">
        <v>5462</v>
      </c>
      <c r="D781" s="0" t="n">
        <v>208</v>
      </c>
      <c r="E781" s="0" t="n">
        <v>1</v>
      </c>
      <c r="F781" s="23" t="s">
        <v>617</v>
      </c>
      <c r="G781" s="0" t="n">
        <v>23</v>
      </c>
      <c r="H781" s="0" t="n">
        <v>25</v>
      </c>
      <c r="I781" s="23" t="s">
        <v>92</v>
      </c>
      <c r="J781" s="0" t="n">
        <v>103</v>
      </c>
      <c r="K781" s="0" t="n">
        <v>68</v>
      </c>
      <c r="L781" s="0" t="n">
        <v>105</v>
      </c>
      <c r="M781" s="0" t="n">
        <v>1216.79</v>
      </c>
      <c r="N781" s="0" t="n">
        <v>37.27</v>
      </c>
      <c r="O781" s="0" t="n">
        <v>37.47</v>
      </c>
      <c r="P781" s="0" t="n">
        <v>4.51</v>
      </c>
      <c r="Q781" s="0" t="n">
        <v>3.35</v>
      </c>
      <c r="R781" s="0" t="n">
        <v>4551</v>
      </c>
      <c r="S781" s="0" t="n">
        <v>8832</v>
      </c>
      <c r="T781" s="0" t="n">
        <v>51.9</v>
      </c>
      <c r="U781" s="0" t="n">
        <v>917</v>
      </c>
      <c r="V781" s="0" t="n">
        <v>2</v>
      </c>
      <c r="W781" s="0" t="str">
        <f aca="false">IF(OR(AND(B781&gt;=1,B781&lt;=6),B781=10),"Vaca em lactação",IF(I781="Male","Macho",IF(E781&gt;=1,"Vaca seca",IF(I781="Youngstock","Bezerra/recria","Novilha"))))</f>
        <v>Vaca em lactação</v>
      </c>
      <c r="X781" s="0" t="str">
        <f aca="false">IF(AND(B781&gt;=1,B781&lt;=6),"Tanque",IF(B781=10,"Descarte",""))</f>
        <v>Tanque</v>
      </c>
    </row>
    <row r="782" customFormat="false" ht="15" hidden="false" customHeight="false" outlineLevel="0" collapsed="false">
      <c r="A782" s="22" t="n">
        <v>46309</v>
      </c>
      <c r="B782" s="0" t="n">
        <v>4</v>
      </c>
      <c r="C782" s="0" t="n">
        <v>5466</v>
      </c>
      <c r="D782" s="0" t="n">
        <v>270</v>
      </c>
      <c r="E782" s="0" t="n">
        <v>1</v>
      </c>
      <c r="F782" s="23" t="s">
        <v>617</v>
      </c>
      <c r="G782" s="0" t="n">
        <v>31.4</v>
      </c>
      <c r="H782" s="0" t="n">
        <v>31</v>
      </c>
      <c r="I782" s="23" t="s">
        <v>92</v>
      </c>
      <c r="J782" s="0" t="n">
        <v>223</v>
      </c>
      <c r="K782" s="0" t="n">
        <v>67</v>
      </c>
      <c r="L782" s="0" t="n">
        <v>47</v>
      </c>
      <c r="M782" s="0" t="n">
        <v>82.29</v>
      </c>
      <c r="N782" s="0" t="n">
        <v>64.17</v>
      </c>
      <c r="O782" s="0" t="n">
        <v>32.97</v>
      </c>
      <c r="P782" s="0" t="n">
        <v>5.53</v>
      </c>
      <c r="Q782" s="0" t="n">
        <v>4.07</v>
      </c>
      <c r="R782" s="0" t="n">
        <v>3532</v>
      </c>
      <c r="S782" s="0" t="n">
        <v>7459</v>
      </c>
      <c r="T782" s="0" t="n">
        <v>35.65</v>
      </c>
      <c r="U782" s="0" t="n">
        <v>917</v>
      </c>
      <c r="V782" s="0" t="n">
        <v>6</v>
      </c>
      <c r="W782" s="0" t="str">
        <f aca="false">IF(OR(AND(B782&gt;=1,B782&lt;=6),B782=10),"Vaca em lactação",IF(I782="Male","Macho",IF(E782&gt;=1,"Vaca seca",IF(I782="Youngstock","Bezerra/recria","Novilha"))))</f>
        <v>Vaca em lactação</v>
      </c>
      <c r="X782" s="0" t="str">
        <f aca="false">IF(AND(B782&gt;=1,B782&lt;=6),"Tanque",IF(B782=10,"Descarte",""))</f>
        <v>Tanque</v>
      </c>
    </row>
    <row r="783" customFormat="false" ht="15" hidden="false" customHeight="false" outlineLevel="0" collapsed="false">
      <c r="A783" s="22" t="n">
        <v>46309</v>
      </c>
      <c r="B783" s="0" t="n">
        <v>4</v>
      </c>
      <c r="C783" s="0" t="n">
        <v>5467</v>
      </c>
      <c r="D783" s="0" t="n">
        <v>264</v>
      </c>
      <c r="E783" s="0" t="n">
        <v>1</v>
      </c>
      <c r="F783" s="23" t="s">
        <v>617</v>
      </c>
      <c r="G783" s="0" t="n">
        <v>43.7</v>
      </c>
      <c r="H783" s="0" t="n">
        <v>45</v>
      </c>
      <c r="I783" s="23" t="s">
        <v>92</v>
      </c>
      <c r="J783" s="0" t="n">
        <v>68</v>
      </c>
      <c r="K783" s="0" t="n">
        <v>68</v>
      </c>
      <c r="L783" s="0" t="n">
        <v>196</v>
      </c>
      <c r="M783" s="0" t="n">
        <v>453.56</v>
      </c>
      <c r="N783" s="0" t="n">
        <v>53.56</v>
      </c>
      <c r="O783" s="0" t="n">
        <v>31.68</v>
      </c>
      <c r="P783" s="0" t="n">
        <v>3.42</v>
      </c>
      <c r="Q783" s="0" t="n">
        <v>3.46</v>
      </c>
      <c r="R783" s="0" t="n">
        <v>4589</v>
      </c>
      <c r="S783" s="0" t="n">
        <v>10206</v>
      </c>
      <c r="T783" s="0" t="n">
        <v>48.25</v>
      </c>
      <c r="U783" s="0" t="n">
        <v>917</v>
      </c>
      <c r="V783" s="0" t="n">
        <v>1</v>
      </c>
      <c r="W783" s="0" t="str">
        <f aca="false">IF(OR(AND(B783&gt;=1,B783&lt;=6),B783=10),"Vaca em lactação",IF(I783="Male","Macho",IF(E783&gt;=1,"Vaca seca",IF(I783="Youngstock","Bezerra/recria","Novilha"))))</f>
        <v>Vaca em lactação</v>
      </c>
      <c r="X783" s="0" t="str">
        <f aca="false">IF(AND(B783&gt;=1,B783&lt;=6),"Tanque",IF(B783=10,"Descarte",""))</f>
        <v>Tanque</v>
      </c>
    </row>
    <row r="784" customFormat="false" ht="15" hidden="false" customHeight="false" outlineLevel="0" collapsed="false">
      <c r="A784" s="22" t="n">
        <v>46309</v>
      </c>
      <c r="B784" s="0" t="n">
        <v>4</v>
      </c>
      <c r="C784" s="0" t="n">
        <v>5494</v>
      </c>
      <c r="D784" s="0" t="n">
        <v>261</v>
      </c>
      <c r="E784" s="0" t="n">
        <v>1</v>
      </c>
      <c r="F784" s="23" t="s">
        <v>95</v>
      </c>
      <c r="G784" s="0" t="n">
        <v>36.5</v>
      </c>
      <c r="H784" s="0" t="n">
        <v>37</v>
      </c>
      <c r="I784" s="23" t="s">
        <v>92</v>
      </c>
      <c r="J784" s="0" t="n">
        <v>135</v>
      </c>
      <c r="K784" s="0" t="n">
        <v>65</v>
      </c>
      <c r="L784" s="0" t="n">
        <v>126</v>
      </c>
      <c r="M784" s="0" t="n">
        <v>506.05</v>
      </c>
      <c r="N784" s="0" t="n">
        <v>96.91</v>
      </c>
      <c r="O784" s="0" t="n">
        <v>23.46</v>
      </c>
      <c r="P784" s="0" t="n">
        <v>4.58</v>
      </c>
      <c r="Q784" s="0" t="n">
        <v>3.24</v>
      </c>
      <c r="R784" s="0" t="n">
        <v>3884</v>
      </c>
      <c r="S784" s="0" t="n">
        <v>8203</v>
      </c>
      <c r="T784" s="0" t="n">
        <v>41.65</v>
      </c>
      <c r="U784" s="0" t="n">
        <v>903</v>
      </c>
      <c r="V784" s="0" t="n">
        <v>3</v>
      </c>
      <c r="W784" s="0" t="str">
        <f aca="false">IF(OR(AND(B784&gt;=1,B784&lt;=6),B784=10),"Vaca em lactação",IF(I784="Male","Macho",IF(E784&gt;=1,"Vaca seca",IF(I784="Youngstock","Bezerra/recria","Novilha"))))</f>
        <v>Vaca em lactação</v>
      </c>
      <c r="X784" s="0" t="str">
        <f aca="false">IF(AND(B784&gt;=1,B784&lt;=6),"Tanque",IF(B784=10,"Descarte",""))</f>
        <v>Tanque</v>
      </c>
    </row>
    <row r="785" customFormat="false" ht="15" hidden="false" customHeight="false" outlineLevel="0" collapsed="false">
      <c r="A785" s="22" t="n">
        <v>46309</v>
      </c>
      <c r="B785" s="0" t="n">
        <v>4</v>
      </c>
      <c r="C785" s="0" t="n">
        <v>5496</v>
      </c>
      <c r="D785" s="0" t="n">
        <v>221</v>
      </c>
      <c r="E785" s="0" t="n">
        <v>1</v>
      </c>
      <c r="F785" s="23" t="s">
        <v>618</v>
      </c>
      <c r="G785" s="0" t="n">
        <v>55.4</v>
      </c>
      <c r="H785" s="0" t="n">
        <v>57</v>
      </c>
      <c r="I785" s="23" t="s">
        <v>92</v>
      </c>
      <c r="J785" s="0" t="n">
        <v>179</v>
      </c>
      <c r="K785" s="0" t="n">
        <v>67</v>
      </c>
      <c r="L785" s="0" t="n">
        <v>42</v>
      </c>
      <c r="M785" s="0" t="n">
        <v>1225.7</v>
      </c>
      <c r="N785" s="0" t="n">
        <v>47.21</v>
      </c>
      <c r="O785" s="0" t="n">
        <v>36.55</v>
      </c>
      <c r="P785" s="0" t="n">
        <v>4.1</v>
      </c>
      <c r="Q785" s="0" t="n">
        <v>3.13</v>
      </c>
      <c r="R785" s="0" t="n">
        <v>4682</v>
      </c>
      <c r="S785" s="0" t="n">
        <v>10685</v>
      </c>
      <c r="T785" s="0" t="n">
        <v>52.4</v>
      </c>
      <c r="U785" s="0" t="n">
        <v>902</v>
      </c>
      <c r="V785" s="0" t="n">
        <v>5</v>
      </c>
      <c r="W785" s="0" t="str">
        <f aca="false">IF(OR(AND(B785&gt;=1,B785&lt;=6),B785=10),"Vaca em lactação",IF(I785="Male","Macho",IF(E785&gt;=1,"Vaca seca",IF(I785="Youngstock","Bezerra/recria","Novilha"))))</f>
        <v>Vaca em lactação</v>
      </c>
      <c r="X785" s="0" t="str">
        <f aca="false">IF(AND(B785&gt;=1,B785&lt;=6),"Tanque",IF(B785=10,"Descarte",""))</f>
        <v>Tanque</v>
      </c>
    </row>
    <row r="786" customFormat="false" ht="15" hidden="false" customHeight="false" outlineLevel="0" collapsed="false">
      <c r="A786" s="22" t="n">
        <v>46309</v>
      </c>
      <c r="B786" s="0" t="n">
        <v>4</v>
      </c>
      <c r="C786" s="0" t="n">
        <v>5490</v>
      </c>
      <c r="D786" s="0" t="n">
        <v>254</v>
      </c>
      <c r="E786" s="0" t="n">
        <v>1</v>
      </c>
      <c r="F786" s="23" t="s">
        <v>95</v>
      </c>
      <c r="G786" s="0" t="n">
        <v>45.9</v>
      </c>
      <c r="H786" s="0" t="n">
        <v>43</v>
      </c>
      <c r="I786" s="23" t="s">
        <v>92</v>
      </c>
      <c r="J786" s="0" t="n">
        <v>65</v>
      </c>
      <c r="K786" s="0" t="n">
        <v>65</v>
      </c>
      <c r="L786" s="0" t="n">
        <v>189</v>
      </c>
      <c r="M786" s="0" t="n">
        <v>27.49</v>
      </c>
      <c r="N786" s="0" t="n">
        <v>75.4</v>
      </c>
      <c r="O786" s="0" t="n">
        <v>17.79</v>
      </c>
      <c r="P786" s="0" t="n">
        <v>4.12</v>
      </c>
      <c r="Q786" s="0" t="n">
        <v>3.46</v>
      </c>
      <c r="R786" s="0" t="n">
        <v>3738</v>
      </c>
      <c r="S786" s="0" t="n">
        <v>8620</v>
      </c>
      <c r="T786" s="0" t="n">
        <v>39.15</v>
      </c>
      <c r="U786" s="0" t="n">
        <v>903</v>
      </c>
      <c r="V786" s="0" t="n">
        <v>1</v>
      </c>
      <c r="W786" s="0" t="str">
        <f aca="false">IF(OR(AND(B786&gt;=1,B786&lt;=6),B786=10),"Vaca em lactação",IF(I786="Male","Macho",IF(E786&gt;=1,"Vaca seca",IF(I786="Youngstock","Bezerra/recria","Novilha"))))</f>
        <v>Vaca em lactação</v>
      </c>
      <c r="X786" s="0" t="str">
        <f aca="false">IF(AND(B786&gt;=1,B786&lt;=6),"Tanque",IF(B786=10,"Descarte",""))</f>
        <v>Tanque</v>
      </c>
    </row>
    <row r="787" customFormat="false" ht="15" hidden="false" customHeight="false" outlineLevel="0" collapsed="false">
      <c r="A787" s="22" t="n">
        <v>46309</v>
      </c>
      <c r="B787" s="0" t="n">
        <v>4</v>
      </c>
      <c r="C787" s="0" t="n">
        <v>5493</v>
      </c>
      <c r="D787" s="0" t="n">
        <v>245</v>
      </c>
      <c r="E787" s="0" t="n">
        <v>1</v>
      </c>
      <c r="F787" s="23" t="s">
        <v>95</v>
      </c>
      <c r="G787" s="0" t="n">
        <v>54.3</v>
      </c>
      <c r="H787" s="0" t="n">
        <v>47</v>
      </c>
      <c r="I787" s="23" t="s">
        <v>92</v>
      </c>
      <c r="J787" s="0" t="n">
        <v>63</v>
      </c>
      <c r="K787" s="0" t="n">
        <v>63</v>
      </c>
      <c r="L787" s="0" t="n">
        <v>182</v>
      </c>
      <c r="M787" s="0" t="n">
        <v>688.36</v>
      </c>
      <c r="N787" s="0" t="n">
        <v>33.3</v>
      </c>
      <c r="O787" s="0" t="n">
        <v>42.6</v>
      </c>
      <c r="P787" s="0" t="n">
        <v>3.79</v>
      </c>
      <c r="Q787" s="0" t="n">
        <v>3.7</v>
      </c>
      <c r="R787" s="0" t="n">
        <v>4140</v>
      </c>
      <c r="S787" s="0" t="n">
        <v>9108</v>
      </c>
      <c r="T787" s="0" t="n">
        <v>42.4</v>
      </c>
      <c r="U787" s="0" t="n">
        <v>903</v>
      </c>
      <c r="V787" s="0" t="n">
        <v>1</v>
      </c>
      <c r="W787" s="0" t="str">
        <f aca="false">IF(OR(AND(B787&gt;=1,B787&lt;=6),B787=10),"Vaca em lactação",IF(I787="Male","Macho",IF(E787&gt;=1,"Vaca seca",IF(I787="Youngstock","Bezerra/recria","Novilha"))))</f>
        <v>Vaca em lactação</v>
      </c>
      <c r="X787" s="0" t="str">
        <f aca="false">IF(AND(B787&gt;=1,B787&lt;=6),"Tanque",IF(B787=10,"Descarte",""))</f>
        <v>Tanque</v>
      </c>
    </row>
    <row r="788" customFormat="false" ht="15" hidden="false" customHeight="false" outlineLevel="0" collapsed="false">
      <c r="A788" s="22" t="n">
        <v>46309</v>
      </c>
      <c r="B788" s="0" t="n">
        <v>4</v>
      </c>
      <c r="C788" s="0" t="n">
        <v>5483</v>
      </c>
      <c r="D788" s="0" t="n">
        <v>256</v>
      </c>
      <c r="E788" s="0" t="n">
        <v>1</v>
      </c>
      <c r="F788" s="23" t="s">
        <v>619</v>
      </c>
      <c r="G788" s="0" t="n">
        <v>38.5</v>
      </c>
      <c r="H788" s="0" t="n">
        <v>41</v>
      </c>
      <c r="I788" s="23" t="s">
        <v>92</v>
      </c>
      <c r="J788" s="0" t="n">
        <v>67</v>
      </c>
      <c r="K788" s="0" t="n">
        <v>67</v>
      </c>
      <c r="L788" s="0" t="n">
        <v>189</v>
      </c>
      <c r="M788" s="0" t="n">
        <v>785.47</v>
      </c>
      <c r="N788" s="0" t="n">
        <v>47.82</v>
      </c>
      <c r="O788" s="0" t="n">
        <v>18.22</v>
      </c>
      <c r="P788" s="0" t="n">
        <v>4.08</v>
      </c>
      <c r="Q788" s="0" t="n">
        <v>3.3</v>
      </c>
      <c r="R788" s="0" t="n">
        <v>3855</v>
      </c>
      <c r="S788" s="0" t="n">
        <v>8798</v>
      </c>
      <c r="T788" s="0" t="n">
        <v>55.65</v>
      </c>
      <c r="U788" s="0" t="n">
        <v>905</v>
      </c>
      <c r="V788" s="0" t="n">
        <v>1</v>
      </c>
      <c r="W788" s="0" t="str">
        <f aca="false">IF(OR(AND(B788&gt;=1,B788&lt;=6),B788=10),"Vaca em lactação",IF(I788="Male","Macho",IF(E788&gt;=1,"Vaca seca",IF(I788="Youngstock","Bezerra/recria","Novilha"))))</f>
        <v>Vaca em lactação</v>
      </c>
      <c r="X788" s="0" t="str">
        <f aca="false">IF(AND(B788&gt;=1,B788&lt;=6),"Tanque",IF(B788=10,"Descarte",""))</f>
        <v>Tanque</v>
      </c>
    </row>
    <row r="789" customFormat="false" ht="15" hidden="false" customHeight="false" outlineLevel="0" collapsed="false">
      <c r="A789" s="22" t="n">
        <v>46309</v>
      </c>
      <c r="B789" s="0" t="n">
        <v>4</v>
      </c>
      <c r="C789" s="0" t="n">
        <v>5485</v>
      </c>
      <c r="D789" s="0" t="n">
        <v>258</v>
      </c>
      <c r="E789" s="0" t="n">
        <v>1</v>
      </c>
      <c r="F789" s="23" t="s">
        <v>619</v>
      </c>
      <c r="G789" s="0" t="n">
        <v>43.7</v>
      </c>
      <c r="H789" s="0" t="n">
        <v>43</v>
      </c>
      <c r="I789" s="23" t="s">
        <v>97</v>
      </c>
      <c r="J789" s="0" t="n">
        <v>258</v>
      </c>
      <c r="K789" s="0" t="n">
        <v>77</v>
      </c>
      <c r="M789" s="0" t="n">
        <v>801.15</v>
      </c>
      <c r="N789" s="0" t="n">
        <v>48.64</v>
      </c>
      <c r="O789" s="0" t="n">
        <v>46.47</v>
      </c>
      <c r="P789" s="0" t="n">
        <v>3.99</v>
      </c>
      <c r="Q789" s="0" t="n">
        <v>3.99</v>
      </c>
      <c r="R789" s="0" t="n">
        <v>3182</v>
      </c>
      <c r="S789" s="0" t="n">
        <v>7642</v>
      </c>
      <c r="T789" s="0" t="n">
        <v>48.5</v>
      </c>
      <c r="U789" s="0" t="n">
        <v>905</v>
      </c>
      <c r="V789" s="0" t="n">
        <v>5</v>
      </c>
      <c r="W789" s="0" t="str">
        <f aca="false">IF(OR(AND(B789&gt;=1,B789&lt;=6),B789=10),"Vaca em lactação",IF(I789="Male","Macho",IF(E789&gt;=1,"Vaca seca",IF(I789="Youngstock","Bezerra/recria","Novilha"))))</f>
        <v>Vaca em lactação</v>
      </c>
      <c r="X789" s="0" t="str">
        <f aca="false">IF(AND(B789&gt;=1,B789&lt;=6),"Tanque",IF(B789=10,"Descarte",""))</f>
        <v>Tanque</v>
      </c>
    </row>
    <row r="790" customFormat="false" ht="15" hidden="false" customHeight="false" outlineLevel="0" collapsed="false">
      <c r="A790" s="22" t="n">
        <v>46309</v>
      </c>
      <c r="B790" s="0" t="n">
        <v>4</v>
      </c>
      <c r="C790" s="0" t="n">
        <v>5489</v>
      </c>
      <c r="D790" s="0" t="n">
        <v>254</v>
      </c>
      <c r="E790" s="0" t="n">
        <v>1</v>
      </c>
      <c r="F790" s="23" t="s">
        <v>620</v>
      </c>
      <c r="G790" s="0" t="n">
        <v>40.4</v>
      </c>
      <c r="H790" s="0" t="n">
        <v>40</v>
      </c>
      <c r="I790" s="23" t="s">
        <v>92</v>
      </c>
      <c r="J790" s="0" t="n">
        <v>85</v>
      </c>
      <c r="K790" s="0" t="n">
        <v>73</v>
      </c>
      <c r="L790" s="0" t="n">
        <v>169</v>
      </c>
      <c r="M790" s="0" t="n">
        <v>931.01</v>
      </c>
      <c r="N790" s="0" t="n">
        <v>19.85</v>
      </c>
      <c r="O790" s="0" t="n">
        <v>27.6</v>
      </c>
      <c r="P790" s="0" t="n">
        <v>2.95</v>
      </c>
      <c r="Q790" s="0" t="n">
        <v>3.2</v>
      </c>
      <c r="R790" s="0" t="n">
        <v>3819</v>
      </c>
      <c r="S790" s="0" t="n">
        <v>8859</v>
      </c>
      <c r="T790" s="0" t="n">
        <v>40.35</v>
      </c>
      <c r="U790" s="0" t="n">
        <v>904</v>
      </c>
      <c r="V790" s="0" t="n">
        <v>2</v>
      </c>
      <c r="W790" s="0" t="str">
        <f aca="false">IF(OR(AND(B790&gt;=1,B790&lt;=6),B790=10),"Vaca em lactação",IF(I790="Male","Macho",IF(E790&gt;=1,"Vaca seca",IF(I790="Youngstock","Bezerra/recria","Novilha"))))</f>
        <v>Vaca em lactação</v>
      </c>
      <c r="X790" s="0" t="str">
        <f aca="false">IF(AND(B790&gt;=1,B790&lt;=6),"Tanque",IF(B790=10,"Descarte",""))</f>
        <v>Tanque</v>
      </c>
    </row>
    <row r="791" customFormat="false" ht="15" hidden="false" customHeight="false" outlineLevel="0" collapsed="false">
      <c r="A791" s="22" t="n">
        <v>46309</v>
      </c>
      <c r="B791" s="0" t="n">
        <v>4</v>
      </c>
      <c r="C791" s="0" t="n">
        <v>5487</v>
      </c>
      <c r="D791" s="0" t="n">
        <v>159</v>
      </c>
      <c r="E791" s="0" t="n">
        <v>1</v>
      </c>
      <c r="F791" s="23" t="s">
        <v>619</v>
      </c>
      <c r="G791" s="0" t="n">
        <v>44.9</v>
      </c>
      <c r="H791" s="0" t="n">
        <v>46</v>
      </c>
      <c r="I791" s="23" t="s">
        <v>92</v>
      </c>
      <c r="J791" s="0" t="n">
        <v>103</v>
      </c>
      <c r="K791" s="0" t="n">
        <v>68</v>
      </c>
      <c r="L791" s="0" t="n">
        <v>56</v>
      </c>
      <c r="M791" s="0" t="n">
        <v>-628.94</v>
      </c>
      <c r="N791" s="0" t="n">
        <v>55</v>
      </c>
      <c r="O791" s="0" t="n">
        <v>14.84</v>
      </c>
      <c r="P791" s="0" t="n">
        <v>4.06</v>
      </c>
      <c r="Q791" s="0" t="n">
        <v>3.75</v>
      </c>
      <c r="R791" s="0" t="n">
        <v>4045</v>
      </c>
      <c r="S791" s="0" t="n">
        <v>8508</v>
      </c>
      <c r="T791" s="0" t="n">
        <v>45.55</v>
      </c>
      <c r="U791" s="0" t="n">
        <v>905</v>
      </c>
      <c r="V791" s="0" t="n">
        <v>2</v>
      </c>
      <c r="W791" s="0" t="str">
        <f aca="false">IF(OR(AND(B791&gt;=1,B791&lt;=6),B791=10),"Vaca em lactação",IF(I791="Male","Macho",IF(E791&gt;=1,"Vaca seca",IF(I791="Youngstock","Bezerra/recria","Novilha"))))</f>
        <v>Vaca em lactação</v>
      </c>
      <c r="X791" s="0" t="str">
        <f aca="false">IF(AND(B791&gt;=1,B791&lt;=6),"Tanque",IF(B791=10,"Descarte",""))</f>
        <v>Tanque</v>
      </c>
    </row>
    <row r="792" customFormat="false" ht="15" hidden="false" customHeight="false" outlineLevel="0" collapsed="false">
      <c r="A792" s="22" t="n">
        <v>46309</v>
      </c>
      <c r="B792" s="0" t="n">
        <v>4</v>
      </c>
      <c r="C792" s="0" t="n">
        <v>5532</v>
      </c>
      <c r="D792" s="0" t="n">
        <v>194</v>
      </c>
      <c r="E792" s="0" t="n">
        <v>1</v>
      </c>
      <c r="F792" s="23" t="s">
        <v>621</v>
      </c>
      <c r="G792" s="0" t="n">
        <v>54.1</v>
      </c>
      <c r="H792" s="0" t="n">
        <v>58</v>
      </c>
      <c r="I792" s="23" t="s">
        <v>92</v>
      </c>
      <c r="J792" s="0" t="n">
        <v>68</v>
      </c>
      <c r="K792" s="0" t="n">
        <v>68</v>
      </c>
      <c r="L792" s="0" t="n">
        <v>126</v>
      </c>
      <c r="P792" s="0" t="n">
        <v>3.54</v>
      </c>
      <c r="Q792" s="0" t="n">
        <v>3.19</v>
      </c>
      <c r="R792" s="0" t="n">
        <v>4350</v>
      </c>
      <c r="S792" s="0" t="n">
        <v>10073</v>
      </c>
      <c r="T792" s="0" t="n">
        <v>47.65</v>
      </c>
      <c r="U792" s="0" t="n">
        <v>893</v>
      </c>
      <c r="V792" s="0" t="n">
        <v>1</v>
      </c>
      <c r="W792" s="0" t="str">
        <f aca="false">IF(OR(AND(B792&gt;=1,B792&lt;=6),B792=10),"Vaca em lactação",IF(I792="Male","Macho",IF(E792&gt;=1,"Vaca seca",IF(I792="Youngstock","Bezerra/recria","Novilha"))))</f>
        <v>Vaca em lactação</v>
      </c>
      <c r="X792" s="0" t="str">
        <f aca="false">IF(AND(B792&gt;=1,B792&lt;=6),"Tanque",IF(B792=10,"Descarte",""))</f>
        <v>Tanque</v>
      </c>
    </row>
    <row r="793" customFormat="false" ht="15" hidden="false" customHeight="false" outlineLevel="0" collapsed="false">
      <c r="A793" s="22" t="n">
        <v>46309</v>
      </c>
      <c r="B793" s="0" t="n">
        <v>4</v>
      </c>
      <c r="C793" s="0" t="n">
        <v>5528</v>
      </c>
      <c r="D793" s="0" t="n">
        <v>187</v>
      </c>
      <c r="E793" s="0" t="n">
        <v>1</v>
      </c>
      <c r="F793" s="23" t="s">
        <v>622</v>
      </c>
      <c r="G793" s="0" t="n">
        <v>50.5</v>
      </c>
      <c r="H793" s="0" t="n">
        <v>53</v>
      </c>
      <c r="I793" s="23" t="s">
        <v>109</v>
      </c>
      <c r="J793" s="0" t="n">
        <v>187</v>
      </c>
      <c r="K793" s="0" t="n">
        <v>68</v>
      </c>
      <c r="P793" s="0" t="n">
        <v>3.99</v>
      </c>
      <c r="Q793" s="0" t="n">
        <v>2.95</v>
      </c>
      <c r="R793" s="0" t="n">
        <v>4224</v>
      </c>
      <c r="S793" s="0" t="n">
        <v>9406</v>
      </c>
      <c r="T793" s="0" t="n">
        <v>44.5</v>
      </c>
      <c r="U793" s="0" t="n">
        <v>894</v>
      </c>
      <c r="V793" s="0" t="n">
        <v>3</v>
      </c>
      <c r="W793" s="0" t="str">
        <f aca="false">IF(OR(AND(B793&gt;=1,B793&lt;=6),B793=10),"Vaca em lactação",IF(I793="Male","Macho",IF(E793&gt;=1,"Vaca seca",IF(I793="Youngstock","Bezerra/recria","Novilha"))))</f>
        <v>Vaca em lactação</v>
      </c>
      <c r="X793" s="0" t="str">
        <f aca="false">IF(AND(B793&gt;=1,B793&lt;=6),"Tanque",IF(B793=10,"Descarte",""))</f>
        <v>Tanque</v>
      </c>
    </row>
    <row r="794" customFormat="false" ht="15" hidden="false" customHeight="false" outlineLevel="0" collapsed="false">
      <c r="A794" s="22" t="n">
        <v>46309</v>
      </c>
      <c r="B794" s="0" t="n">
        <v>4</v>
      </c>
      <c r="C794" s="0" t="n">
        <v>5524</v>
      </c>
      <c r="D794" s="0" t="n">
        <v>203</v>
      </c>
      <c r="E794" s="0" t="n">
        <v>1</v>
      </c>
      <c r="F794" s="23" t="s">
        <v>623</v>
      </c>
      <c r="G794" s="0" t="n">
        <v>50.1</v>
      </c>
      <c r="H794" s="0" t="n">
        <v>48</v>
      </c>
      <c r="I794" s="23" t="s">
        <v>92</v>
      </c>
      <c r="J794" s="0" t="n">
        <v>98</v>
      </c>
      <c r="K794" s="0" t="n">
        <v>63</v>
      </c>
      <c r="L794" s="0" t="n">
        <v>105</v>
      </c>
      <c r="M794" s="0" t="n">
        <v>979.08</v>
      </c>
      <c r="N794" s="0" t="n">
        <v>50.14</v>
      </c>
      <c r="O794" s="0" t="n">
        <v>41.97</v>
      </c>
      <c r="P794" s="0" t="n">
        <v>4.37</v>
      </c>
      <c r="Q794" s="0" t="n">
        <v>3.57</v>
      </c>
      <c r="R794" s="0" t="n">
        <v>4520</v>
      </c>
      <c r="S794" s="0" t="n">
        <v>9533</v>
      </c>
      <c r="T794" s="0" t="n">
        <v>49.65</v>
      </c>
      <c r="U794" s="0" t="n">
        <v>896</v>
      </c>
      <c r="V794" s="0" t="n">
        <v>2</v>
      </c>
      <c r="W794" s="0" t="str">
        <f aca="false">IF(OR(AND(B794&gt;=1,B794&lt;=6),B794=10),"Vaca em lactação",IF(I794="Male","Macho",IF(E794&gt;=1,"Vaca seca",IF(I794="Youngstock","Bezerra/recria","Novilha"))))</f>
        <v>Vaca em lactação</v>
      </c>
      <c r="X794" s="0" t="str">
        <f aca="false">IF(AND(B794&gt;=1,B794&lt;=6),"Tanque",IF(B794=10,"Descarte",""))</f>
        <v>Tanque</v>
      </c>
    </row>
    <row r="795" customFormat="false" ht="15" hidden="false" customHeight="false" outlineLevel="0" collapsed="false">
      <c r="A795" s="22" t="n">
        <v>46309</v>
      </c>
      <c r="B795" s="0" t="n">
        <v>4</v>
      </c>
      <c r="C795" s="0" t="n">
        <v>5526</v>
      </c>
      <c r="D795" s="0" t="n">
        <v>245</v>
      </c>
      <c r="E795" s="0" t="n">
        <v>1</v>
      </c>
      <c r="F795" s="23" t="s">
        <v>624</v>
      </c>
      <c r="G795" s="0" t="n">
        <v>57.4</v>
      </c>
      <c r="H795" s="0" t="n">
        <v>57</v>
      </c>
      <c r="I795" s="23" t="s">
        <v>92</v>
      </c>
      <c r="J795" s="0" t="n">
        <v>133</v>
      </c>
      <c r="K795" s="0" t="n">
        <v>63</v>
      </c>
      <c r="L795" s="0" t="n">
        <v>112</v>
      </c>
      <c r="M795" s="0" t="n">
        <v>1089.19</v>
      </c>
      <c r="N795" s="0" t="n">
        <v>45.59</v>
      </c>
      <c r="O795" s="0" t="n">
        <v>36.28</v>
      </c>
      <c r="P795" s="0" t="n">
        <v>3.58</v>
      </c>
      <c r="Q795" s="0" t="n">
        <v>3.19</v>
      </c>
      <c r="R795" s="0" t="n">
        <v>4995</v>
      </c>
      <c r="S795" s="0" t="n">
        <v>11261</v>
      </c>
      <c r="T795" s="0" t="n">
        <v>52.55</v>
      </c>
      <c r="U795" s="0" t="n">
        <v>895</v>
      </c>
      <c r="V795" s="0" t="n">
        <v>3</v>
      </c>
      <c r="W795" s="0" t="str">
        <f aca="false">IF(OR(AND(B795&gt;=1,B795&lt;=6),B795=10),"Vaca em lactação",IF(I795="Male","Macho",IF(E795&gt;=1,"Vaca seca",IF(I795="Youngstock","Bezerra/recria","Novilha"))))</f>
        <v>Vaca em lactação</v>
      </c>
      <c r="X795" s="0" t="str">
        <f aca="false">IF(AND(B795&gt;=1,B795&lt;=6),"Tanque",IF(B795=10,"Descarte",""))</f>
        <v>Tanque</v>
      </c>
    </row>
    <row r="796" customFormat="false" ht="15" hidden="false" customHeight="false" outlineLevel="0" collapsed="false">
      <c r="A796" s="22" t="n">
        <v>46309</v>
      </c>
      <c r="B796" s="0" t="n">
        <v>4</v>
      </c>
      <c r="C796" s="0" t="n">
        <v>5508</v>
      </c>
      <c r="D796" s="0" t="n">
        <v>259</v>
      </c>
      <c r="E796" s="0" t="n">
        <v>1</v>
      </c>
      <c r="F796" s="23" t="s">
        <v>625</v>
      </c>
      <c r="G796" s="0" t="n">
        <v>27.9</v>
      </c>
      <c r="H796" s="0" t="n">
        <v>32</v>
      </c>
      <c r="I796" s="23" t="s">
        <v>92</v>
      </c>
      <c r="J796" s="0" t="n">
        <v>140</v>
      </c>
      <c r="K796" s="0" t="n">
        <v>63</v>
      </c>
      <c r="L796" s="0" t="n">
        <v>119</v>
      </c>
      <c r="M796" s="0" t="n">
        <v>-34.5</v>
      </c>
      <c r="N796" s="0" t="n">
        <v>47.01</v>
      </c>
      <c r="O796" s="0" t="n">
        <v>20.92</v>
      </c>
      <c r="P796" s="0" t="n">
        <v>5.3</v>
      </c>
      <c r="Q796" s="0" t="n">
        <v>4.06</v>
      </c>
      <c r="R796" s="0" t="n">
        <v>3028</v>
      </c>
      <c r="S796" s="0" t="n">
        <v>6523</v>
      </c>
      <c r="T796" s="0" t="n">
        <v>30.3</v>
      </c>
      <c r="U796" s="0" t="n">
        <v>897</v>
      </c>
      <c r="V796" s="0" t="n">
        <v>3</v>
      </c>
      <c r="W796" s="0" t="str">
        <f aca="false">IF(OR(AND(B796&gt;=1,B796&lt;=6),B796=10),"Vaca em lactação",IF(I796="Male","Macho",IF(E796&gt;=1,"Vaca seca",IF(I796="Youngstock","Bezerra/recria","Novilha"))))</f>
        <v>Vaca em lactação</v>
      </c>
      <c r="X796" s="0" t="str">
        <f aca="false">IF(AND(B796&gt;=1,B796&lt;=6),"Tanque",IF(B796=10,"Descarte",""))</f>
        <v>Tanque</v>
      </c>
    </row>
    <row r="797" customFormat="false" ht="15" hidden="false" customHeight="false" outlineLevel="0" collapsed="false">
      <c r="A797" s="22" t="n">
        <v>46309</v>
      </c>
      <c r="B797" s="0" t="n">
        <v>4</v>
      </c>
      <c r="C797" s="0" t="n">
        <v>5519</v>
      </c>
      <c r="D797" s="0" t="n">
        <v>191</v>
      </c>
      <c r="E797" s="0" t="n">
        <v>1</v>
      </c>
      <c r="F797" s="23" t="s">
        <v>625</v>
      </c>
      <c r="G797" s="0" t="n">
        <v>52.1</v>
      </c>
      <c r="H797" s="0" t="n">
        <v>52</v>
      </c>
      <c r="I797" s="23" t="s">
        <v>97</v>
      </c>
      <c r="J797" s="0" t="n">
        <v>191</v>
      </c>
      <c r="K797" s="0" t="n">
        <v>65</v>
      </c>
      <c r="M797" s="0" t="n">
        <v>333.18</v>
      </c>
      <c r="N797" s="0" t="n">
        <v>48.45</v>
      </c>
      <c r="O797" s="0" t="n">
        <v>15.97</v>
      </c>
      <c r="P797" s="0" t="n">
        <v>4.16</v>
      </c>
      <c r="Q797" s="0" t="n">
        <v>3.1</v>
      </c>
      <c r="R797" s="0" t="n">
        <v>4326</v>
      </c>
      <c r="S797" s="0" t="n">
        <v>9536</v>
      </c>
      <c r="T797" s="0" t="n">
        <v>44.2</v>
      </c>
      <c r="U797" s="0" t="n">
        <v>897</v>
      </c>
      <c r="V797" s="0" t="n">
        <v>4</v>
      </c>
      <c r="W797" s="0" t="str">
        <f aca="false">IF(OR(AND(B797&gt;=1,B797&lt;=6),B797=10),"Vaca em lactação",IF(I797="Male","Macho",IF(E797&gt;=1,"Vaca seca",IF(I797="Youngstock","Bezerra/recria","Novilha"))))</f>
        <v>Vaca em lactação</v>
      </c>
      <c r="X797" s="0" t="str">
        <f aca="false">IF(AND(B797&gt;=1,B797&lt;=6),"Tanque",IF(B797=10,"Descarte",""))</f>
        <v>Tanque</v>
      </c>
    </row>
    <row r="798" customFormat="false" ht="15" hidden="false" customHeight="false" outlineLevel="0" collapsed="false">
      <c r="A798" s="22" t="n">
        <v>46309</v>
      </c>
      <c r="B798" s="0" t="n">
        <v>4</v>
      </c>
      <c r="C798" s="0" t="n">
        <v>5520</v>
      </c>
      <c r="D798" s="0" t="n">
        <v>195</v>
      </c>
      <c r="E798" s="0" t="n">
        <v>1</v>
      </c>
      <c r="F798" s="23" t="s">
        <v>625</v>
      </c>
      <c r="G798" s="0" t="n">
        <v>55.5</v>
      </c>
      <c r="H798" s="0" t="n">
        <v>51</v>
      </c>
      <c r="I798" s="23" t="s">
        <v>92</v>
      </c>
      <c r="J798" s="0" t="n">
        <v>62</v>
      </c>
      <c r="K798" s="0" t="n">
        <v>62</v>
      </c>
      <c r="L798" s="0" t="n">
        <v>133</v>
      </c>
      <c r="M798" s="0" t="n">
        <v>607.18</v>
      </c>
      <c r="N798" s="0" t="n">
        <v>47.51</v>
      </c>
      <c r="O798" s="0" t="n">
        <v>22</v>
      </c>
      <c r="P798" s="0" t="n">
        <v>3.61</v>
      </c>
      <c r="Q798" s="0" t="n">
        <v>3.1</v>
      </c>
      <c r="R798" s="0" t="n">
        <v>4230</v>
      </c>
      <c r="S798" s="0" t="n">
        <v>9541</v>
      </c>
      <c r="T798" s="0" t="n">
        <v>45.95</v>
      </c>
      <c r="U798" s="0" t="n">
        <v>897</v>
      </c>
      <c r="V798" s="0" t="n">
        <v>1</v>
      </c>
      <c r="W798" s="0" t="str">
        <f aca="false">IF(OR(AND(B798&gt;=1,B798&lt;=6),B798=10),"Vaca em lactação",IF(I798="Male","Macho",IF(E798&gt;=1,"Vaca seca",IF(I798="Youngstock","Bezerra/recria","Novilha"))))</f>
        <v>Vaca em lactação</v>
      </c>
      <c r="X798" s="0" t="str">
        <f aca="false">IF(AND(B798&gt;=1,B798&lt;=6),"Tanque",IF(B798=10,"Descarte",""))</f>
        <v>Tanque</v>
      </c>
    </row>
    <row r="799" customFormat="false" ht="15" hidden="false" customHeight="false" outlineLevel="0" collapsed="false">
      <c r="A799" s="22" t="n">
        <v>46309</v>
      </c>
      <c r="B799" s="0" t="n">
        <v>4</v>
      </c>
      <c r="C799" s="0" t="n">
        <v>5521</v>
      </c>
      <c r="D799" s="0" t="n">
        <v>264</v>
      </c>
      <c r="E799" s="0" t="n">
        <v>1</v>
      </c>
      <c r="F799" s="23" t="s">
        <v>625</v>
      </c>
      <c r="G799" s="0" t="n">
        <v>45.9</v>
      </c>
      <c r="H799" s="0" t="n">
        <v>45</v>
      </c>
      <c r="I799" s="23" t="s">
        <v>92</v>
      </c>
      <c r="J799" s="0" t="n">
        <v>145</v>
      </c>
      <c r="K799" s="0" t="n">
        <v>68</v>
      </c>
      <c r="L799" s="0" t="n">
        <v>119</v>
      </c>
      <c r="M799" s="0" t="n">
        <v>1207.3</v>
      </c>
      <c r="N799" s="0" t="n">
        <v>74.69</v>
      </c>
      <c r="O799" s="0" t="n">
        <v>51.73</v>
      </c>
      <c r="P799" s="0" t="n">
        <v>3.11</v>
      </c>
      <c r="Q799" s="0" t="n">
        <v>3.72</v>
      </c>
      <c r="R799" s="0" t="n">
        <v>5019</v>
      </c>
      <c r="S799" s="0" t="n">
        <v>10857</v>
      </c>
      <c r="T799" s="0" t="n">
        <v>53</v>
      </c>
      <c r="U799" s="0" t="n">
        <v>897</v>
      </c>
      <c r="V799" s="0" t="n">
        <v>3</v>
      </c>
      <c r="W799" s="0" t="str">
        <f aca="false">IF(OR(AND(B799&gt;=1,B799&lt;=6),B799=10),"Vaca em lactação",IF(I799="Male","Macho",IF(E799&gt;=1,"Vaca seca",IF(I799="Youngstock","Bezerra/recria","Novilha"))))</f>
        <v>Vaca em lactação</v>
      </c>
      <c r="X799" s="0" t="str">
        <f aca="false">IF(AND(B799&gt;=1,B799&lt;=6),"Tanque",IF(B799=10,"Descarte",""))</f>
        <v>Tanque</v>
      </c>
    </row>
    <row r="800" customFormat="false" ht="15" hidden="false" customHeight="false" outlineLevel="0" collapsed="false">
      <c r="A800" s="22" t="n">
        <v>46309</v>
      </c>
      <c r="B800" s="0" t="n">
        <v>4</v>
      </c>
      <c r="C800" s="0" t="n">
        <v>5518</v>
      </c>
      <c r="D800" s="0" t="n">
        <v>250</v>
      </c>
      <c r="E800" s="0" t="n">
        <v>1</v>
      </c>
      <c r="F800" s="23" t="s">
        <v>625</v>
      </c>
      <c r="G800" s="0" t="n">
        <v>28.2</v>
      </c>
      <c r="H800" s="0" t="n">
        <v>32</v>
      </c>
      <c r="I800" s="23" t="s">
        <v>92</v>
      </c>
      <c r="J800" s="0" t="n">
        <v>124</v>
      </c>
      <c r="K800" s="0" t="n">
        <v>68</v>
      </c>
      <c r="L800" s="0" t="n">
        <v>126</v>
      </c>
      <c r="M800" s="0" t="n">
        <v>382.46</v>
      </c>
      <c r="N800" s="0" t="n">
        <v>82.96</v>
      </c>
      <c r="O800" s="0" t="n">
        <v>28.99</v>
      </c>
      <c r="P800" s="0" t="n">
        <v>4.22</v>
      </c>
      <c r="Q800" s="0" t="n">
        <v>3.41</v>
      </c>
      <c r="R800" s="0" t="n">
        <v>4134</v>
      </c>
      <c r="S800" s="0" t="n">
        <v>9074</v>
      </c>
      <c r="T800" s="0" t="n">
        <v>45.95</v>
      </c>
      <c r="U800" s="0" t="n">
        <v>897</v>
      </c>
      <c r="V800" s="0" t="n">
        <v>3</v>
      </c>
      <c r="W800" s="0" t="str">
        <f aca="false">IF(OR(AND(B800&gt;=1,B800&lt;=6),B800=10),"Vaca em lactação",IF(I800="Male","Macho",IF(E800&gt;=1,"Vaca seca",IF(I800="Youngstock","Bezerra/recria","Novilha"))))</f>
        <v>Vaca em lactação</v>
      </c>
      <c r="X800" s="0" t="str">
        <f aca="false">IF(AND(B800&gt;=1,B800&lt;=6),"Tanque",IF(B800=10,"Descarte",""))</f>
        <v>Tanque</v>
      </c>
    </row>
    <row r="801" customFormat="false" ht="15" hidden="false" customHeight="false" outlineLevel="0" collapsed="false">
      <c r="A801" s="22" t="n">
        <v>46309</v>
      </c>
      <c r="B801" s="0" t="n">
        <v>4</v>
      </c>
      <c r="C801" s="0" t="n">
        <v>5523</v>
      </c>
      <c r="D801" s="0" t="n">
        <v>253</v>
      </c>
      <c r="E801" s="0" t="n">
        <v>1</v>
      </c>
      <c r="F801" s="23" t="s">
        <v>625</v>
      </c>
      <c r="G801" s="0" t="n">
        <v>48.7</v>
      </c>
      <c r="H801" s="0" t="n">
        <v>49</v>
      </c>
      <c r="I801" s="23" t="s">
        <v>92</v>
      </c>
      <c r="J801" s="0" t="n">
        <v>211</v>
      </c>
      <c r="K801" s="0" t="n">
        <v>64</v>
      </c>
      <c r="L801" s="0" t="n">
        <v>42</v>
      </c>
      <c r="M801" s="0" t="n">
        <v>189.63</v>
      </c>
      <c r="N801" s="0" t="n">
        <v>79.91</v>
      </c>
      <c r="O801" s="0" t="n">
        <v>32.87</v>
      </c>
      <c r="P801" s="0" t="n">
        <v>3.3</v>
      </c>
      <c r="Q801" s="0" t="n">
        <v>3.61</v>
      </c>
      <c r="R801" s="0" t="n">
        <v>3932</v>
      </c>
      <c r="S801" s="0" t="n">
        <v>9076</v>
      </c>
      <c r="T801" s="0" t="n">
        <v>38.25</v>
      </c>
      <c r="U801" s="0" t="n">
        <v>897</v>
      </c>
      <c r="V801" s="0" t="n">
        <v>5</v>
      </c>
      <c r="W801" s="0" t="str">
        <f aca="false">IF(OR(AND(B801&gt;=1,B801&lt;=6),B801=10),"Vaca em lactação",IF(I801="Male","Macho",IF(E801&gt;=1,"Vaca seca",IF(I801="Youngstock","Bezerra/recria","Novilha"))))</f>
        <v>Vaca em lactação</v>
      </c>
      <c r="X801" s="0" t="str">
        <f aca="false">IF(AND(B801&gt;=1,B801&lt;=6),"Tanque",IF(B801=10,"Descarte",""))</f>
        <v>Tanque</v>
      </c>
    </row>
    <row r="802" customFormat="false" ht="15" hidden="false" customHeight="false" outlineLevel="0" collapsed="false">
      <c r="A802" s="22" t="n">
        <v>46309</v>
      </c>
      <c r="B802" s="0" t="n">
        <v>4</v>
      </c>
      <c r="C802" s="0" t="n">
        <v>5501</v>
      </c>
      <c r="D802" s="0" t="n">
        <v>205</v>
      </c>
      <c r="E802" s="0" t="n">
        <v>1</v>
      </c>
      <c r="F802" s="23" t="s">
        <v>626</v>
      </c>
      <c r="G802" s="0" t="n">
        <v>53</v>
      </c>
      <c r="H802" s="0" t="n">
        <v>54</v>
      </c>
      <c r="I802" s="23" t="s">
        <v>92</v>
      </c>
      <c r="J802" s="0" t="n">
        <v>100</v>
      </c>
      <c r="K802" s="0" t="n">
        <v>65</v>
      </c>
      <c r="L802" s="0" t="n">
        <v>105</v>
      </c>
      <c r="M802" s="0" t="n">
        <v>1240.59</v>
      </c>
      <c r="N802" s="0" t="n">
        <v>69.85</v>
      </c>
      <c r="O802" s="0" t="n">
        <v>48.88</v>
      </c>
      <c r="P802" s="0" t="n">
        <v>3.01</v>
      </c>
      <c r="Q802" s="0" t="n">
        <v>3.5</v>
      </c>
      <c r="R802" s="0" t="n">
        <v>4935</v>
      </c>
      <c r="S802" s="0" t="n">
        <v>10831</v>
      </c>
      <c r="T802" s="0" t="n">
        <v>59.25</v>
      </c>
      <c r="U802" s="0" t="n">
        <v>900</v>
      </c>
      <c r="V802" s="0" t="n">
        <v>2</v>
      </c>
      <c r="W802" s="0" t="str">
        <f aca="false">IF(OR(AND(B802&gt;=1,B802&lt;=6),B802=10),"Vaca em lactação",IF(I802="Male","Macho",IF(E802&gt;=1,"Vaca seca",IF(I802="Youngstock","Bezerra/recria","Novilha"))))</f>
        <v>Vaca em lactação</v>
      </c>
      <c r="X802" s="0" t="str">
        <f aca="false">IF(AND(B802&gt;=1,B802&lt;=6),"Tanque",IF(B802=10,"Descarte",""))</f>
        <v>Tanque</v>
      </c>
    </row>
    <row r="803" customFormat="false" ht="15" hidden="false" customHeight="false" outlineLevel="0" collapsed="false">
      <c r="A803" s="22" t="n">
        <v>46309</v>
      </c>
      <c r="B803" s="0" t="n">
        <v>4</v>
      </c>
      <c r="C803" s="0" t="n">
        <v>5500</v>
      </c>
      <c r="D803" s="0" t="n">
        <v>264</v>
      </c>
      <c r="E803" s="0" t="n">
        <v>1</v>
      </c>
      <c r="F803" s="23" t="s">
        <v>627</v>
      </c>
      <c r="G803" s="0" t="n">
        <v>45.1</v>
      </c>
      <c r="H803" s="0" t="n">
        <v>45</v>
      </c>
      <c r="I803" s="23" t="s">
        <v>92</v>
      </c>
      <c r="J803" s="0" t="n">
        <v>124</v>
      </c>
      <c r="K803" s="0" t="n">
        <v>68</v>
      </c>
      <c r="L803" s="0" t="n">
        <v>140</v>
      </c>
      <c r="M803" s="0" t="n">
        <v>528.12</v>
      </c>
      <c r="N803" s="0" t="n">
        <v>55.44</v>
      </c>
      <c r="O803" s="0" t="n">
        <v>39.1</v>
      </c>
      <c r="P803" s="0" t="n">
        <v>4.01</v>
      </c>
      <c r="Q803" s="0" t="n">
        <v>3.83</v>
      </c>
      <c r="R803" s="0" t="n">
        <v>3636</v>
      </c>
      <c r="S803" s="0" t="n">
        <v>8520</v>
      </c>
      <c r="T803" s="0" t="n">
        <v>38</v>
      </c>
      <c r="U803" s="0" t="n">
        <v>901</v>
      </c>
      <c r="V803" s="0" t="n">
        <v>2</v>
      </c>
      <c r="W803" s="0" t="str">
        <f aca="false">IF(OR(AND(B803&gt;=1,B803&lt;=6),B803=10),"Vaca em lactação",IF(I803="Male","Macho",IF(E803&gt;=1,"Vaca seca",IF(I803="Youngstock","Bezerra/recria","Novilha"))))</f>
        <v>Vaca em lactação</v>
      </c>
      <c r="X803" s="0" t="str">
        <f aca="false">IF(AND(B803&gt;=1,B803&lt;=6),"Tanque",IF(B803=10,"Descarte",""))</f>
        <v>Tanque</v>
      </c>
    </row>
    <row r="804" customFormat="false" ht="15" hidden="false" customHeight="false" outlineLevel="0" collapsed="false">
      <c r="A804" s="22" t="n">
        <v>46309</v>
      </c>
      <c r="B804" s="0" t="n">
        <v>4</v>
      </c>
      <c r="C804" s="0" t="n">
        <v>5499</v>
      </c>
      <c r="D804" s="0" t="n">
        <v>256</v>
      </c>
      <c r="E804" s="0" t="n">
        <v>1</v>
      </c>
      <c r="F804" s="23" t="s">
        <v>627</v>
      </c>
      <c r="G804" s="0" t="n">
        <v>47.3</v>
      </c>
      <c r="H804" s="0" t="n">
        <v>46</v>
      </c>
      <c r="I804" s="23" t="s">
        <v>92</v>
      </c>
      <c r="J804" s="0" t="n">
        <v>103</v>
      </c>
      <c r="K804" s="0" t="n">
        <v>81</v>
      </c>
      <c r="L804" s="0" t="n">
        <v>153</v>
      </c>
      <c r="M804" s="0" t="n">
        <v>1602.87</v>
      </c>
      <c r="N804" s="0" t="n">
        <v>75.16</v>
      </c>
      <c r="O804" s="0" t="n">
        <v>43.89</v>
      </c>
      <c r="P804" s="0" t="n">
        <v>3.11</v>
      </c>
      <c r="Q804" s="0" t="n">
        <v>3.48</v>
      </c>
      <c r="R804" s="0" t="n">
        <v>4922</v>
      </c>
      <c r="S804" s="0" t="n">
        <v>10643</v>
      </c>
      <c r="T804" s="0" t="n">
        <v>51.1</v>
      </c>
      <c r="U804" s="0" t="n">
        <v>901</v>
      </c>
      <c r="V804" s="0" t="n">
        <v>2</v>
      </c>
      <c r="W804" s="0" t="str">
        <f aca="false">IF(OR(AND(B804&gt;=1,B804&lt;=6),B804=10),"Vaca em lactação",IF(I804="Male","Macho",IF(E804&gt;=1,"Vaca seca",IF(I804="Youngstock","Bezerra/recria","Novilha"))))</f>
        <v>Vaca em lactação</v>
      </c>
      <c r="X804" s="0" t="str">
        <f aca="false">IF(AND(B804&gt;=1,B804&lt;=6),"Tanque",IF(B804=10,"Descarte",""))</f>
        <v>Tanque</v>
      </c>
    </row>
    <row r="805" customFormat="false" ht="15" hidden="false" customHeight="false" outlineLevel="0" collapsed="false">
      <c r="A805" s="22" t="n">
        <v>46309</v>
      </c>
      <c r="B805" s="0" t="n">
        <v>4</v>
      </c>
      <c r="C805" s="0" t="n">
        <v>5507</v>
      </c>
      <c r="D805" s="0" t="n">
        <v>207</v>
      </c>
      <c r="E805" s="0" t="n">
        <v>1</v>
      </c>
      <c r="F805" s="23" t="s">
        <v>628</v>
      </c>
      <c r="G805" s="0" t="n">
        <v>42.1</v>
      </c>
      <c r="H805" s="0" t="n">
        <v>42</v>
      </c>
      <c r="I805" s="23" t="s">
        <v>92</v>
      </c>
      <c r="J805" s="0" t="n">
        <v>67</v>
      </c>
      <c r="K805" s="0" t="n">
        <v>67</v>
      </c>
      <c r="L805" s="0" t="n">
        <v>140</v>
      </c>
      <c r="M805" s="0" t="n">
        <v>794.14</v>
      </c>
      <c r="N805" s="0" t="n">
        <v>67.31</v>
      </c>
      <c r="O805" s="0" t="n">
        <v>42.16</v>
      </c>
      <c r="P805" s="0" t="n">
        <v>4.19</v>
      </c>
      <c r="Q805" s="0" t="n">
        <v>3.58</v>
      </c>
      <c r="R805" s="0" t="n">
        <v>3954</v>
      </c>
      <c r="S805" s="0" t="n">
        <v>8316</v>
      </c>
      <c r="T805" s="0" t="n">
        <v>45.1</v>
      </c>
      <c r="U805" s="0" t="n">
        <v>899</v>
      </c>
      <c r="V805" s="0" t="n">
        <v>1</v>
      </c>
      <c r="W805" s="0" t="str">
        <f aca="false">IF(OR(AND(B805&gt;=1,B805&lt;=6),B805=10),"Vaca em lactação",IF(I805="Male","Macho",IF(E805&gt;=1,"Vaca seca",IF(I805="Youngstock","Bezerra/recria","Novilha"))))</f>
        <v>Vaca em lactação</v>
      </c>
      <c r="X805" s="0" t="str">
        <f aca="false">IF(AND(B805&gt;=1,B805&lt;=6),"Tanque",IF(B805=10,"Descarte",""))</f>
        <v>Tanque</v>
      </c>
    </row>
    <row r="806" customFormat="false" ht="15" hidden="false" customHeight="false" outlineLevel="0" collapsed="false">
      <c r="A806" s="22" t="n">
        <v>46309</v>
      </c>
      <c r="B806" s="0" t="n">
        <v>4</v>
      </c>
      <c r="C806" s="0" t="n">
        <v>5506</v>
      </c>
      <c r="D806" s="0" t="n">
        <v>186</v>
      </c>
      <c r="E806" s="0" t="n">
        <v>1</v>
      </c>
      <c r="F806" s="23" t="s">
        <v>626</v>
      </c>
      <c r="G806" s="0" t="n">
        <v>60.3</v>
      </c>
      <c r="H806" s="0" t="n">
        <v>59</v>
      </c>
      <c r="I806" s="23" t="s">
        <v>97</v>
      </c>
      <c r="J806" s="0" t="n">
        <v>186</v>
      </c>
      <c r="K806" s="0" t="n">
        <v>67</v>
      </c>
      <c r="M806" s="0" t="n">
        <v>1059.4</v>
      </c>
      <c r="N806" s="0" t="n">
        <v>67.5</v>
      </c>
      <c r="O806" s="0" t="n">
        <v>35.98</v>
      </c>
      <c r="P806" s="0" t="n">
        <v>3.44</v>
      </c>
      <c r="Q806" s="0" t="n">
        <v>3.09</v>
      </c>
      <c r="R806" s="0" t="n">
        <v>5123</v>
      </c>
      <c r="S806" s="0" t="n">
        <v>10866</v>
      </c>
      <c r="T806" s="0" t="n">
        <v>53.6</v>
      </c>
      <c r="U806" s="0" t="n">
        <v>900</v>
      </c>
      <c r="V806" s="0" t="n">
        <v>4</v>
      </c>
      <c r="W806" s="0" t="str">
        <f aca="false">IF(OR(AND(B806&gt;=1,B806&lt;=6),B806=10),"Vaca em lactação",IF(I806="Male","Macho",IF(E806&gt;=1,"Vaca seca",IF(I806="Youngstock","Bezerra/recria","Novilha"))))</f>
        <v>Vaca em lactação</v>
      </c>
      <c r="X806" s="0" t="str">
        <f aca="false">IF(AND(B806&gt;=1,B806&lt;=6),"Tanque",IF(B806=10,"Descarte",""))</f>
        <v>Tanque</v>
      </c>
    </row>
    <row r="807" customFormat="false" ht="15" hidden="false" customHeight="false" outlineLevel="0" collapsed="false">
      <c r="A807" s="22" t="n">
        <v>46309</v>
      </c>
      <c r="B807" s="0" t="n">
        <v>4</v>
      </c>
      <c r="C807" s="0" t="n">
        <v>5505</v>
      </c>
      <c r="D807" s="0" t="n">
        <v>201</v>
      </c>
      <c r="E807" s="0" t="n">
        <v>1</v>
      </c>
      <c r="F807" s="23" t="s">
        <v>626</v>
      </c>
      <c r="G807" s="0" t="n">
        <v>46.6</v>
      </c>
      <c r="H807" s="0" t="n">
        <v>42</v>
      </c>
      <c r="I807" s="23" t="s">
        <v>92</v>
      </c>
      <c r="J807" s="0" t="n">
        <v>89</v>
      </c>
      <c r="K807" s="0" t="n">
        <v>68</v>
      </c>
      <c r="L807" s="0" t="n">
        <v>112</v>
      </c>
      <c r="M807" s="0" t="n">
        <v>912.53</v>
      </c>
      <c r="N807" s="0" t="n">
        <v>62.2</v>
      </c>
      <c r="O807" s="0" t="n">
        <v>35.85</v>
      </c>
      <c r="P807" s="0" t="n">
        <v>3.97</v>
      </c>
      <c r="Q807" s="0" t="n">
        <v>3.59</v>
      </c>
      <c r="R807" s="0" t="n">
        <v>3542</v>
      </c>
      <c r="S807" s="0" t="n">
        <v>8482</v>
      </c>
      <c r="T807" s="0" t="n">
        <v>45.05</v>
      </c>
      <c r="U807" s="0" t="n">
        <v>900</v>
      </c>
      <c r="V807" s="0" t="n">
        <v>2</v>
      </c>
      <c r="W807" s="0" t="str">
        <f aca="false">IF(OR(AND(B807&gt;=1,B807&lt;=6),B807=10),"Vaca em lactação",IF(I807="Male","Macho",IF(E807&gt;=1,"Vaca seca",IF(I807="Youngstock","Bezerra/recria","Novilha"))))</f>
        <v>Vaca em lactação</v>
      </c>
      <c r="X807" s="0" t="str">
        <f aca="false">IF(AND(B807&gt;=1,B807&lt;=6),"Tanque",IF(B807=10,"Descarte",""))</f>
        <v>Tanque</v>
      </c>
    </row>
    <row r="808" customFormat="false" ht="15" hidden="false" customHeight="false" outlineLevel="0" collapsed="false">
      <c r="A808" s="22" t="n">
        <v>46309</v>
      </c>
      <c r="B808" s="0" t="n">
        <v>4</v>
      </c>
      <c r="C808" s="0" t="n">
        <v>5504</v>
      </c>
      <c r="D808" s="0" t="n">
        <v>208</v>
      </c>
      <c r="E808" s="0" t="n">
        <v>1</v>
      </c>
      <c r="F808" s="23" t="s">
        <v>626</v>
      </c>
      <c r="G808" s="0" t="n">
        <v>50.3</v>
      </c>
      <c r="H808" s="0" t="n">
        <v>50</v>
      </c>
      <c r="I808" s="23" t="s">
        <v>92</v>
      </c>
      <c r="J808" s="0" t="n">
        <v>68</v>
      </c>
      <c r="K808" s="0" t="n">
        <v>68</v>
      </c>
      <c r="L808" s="0" t="n">
        <v>140</v>
      </c>
      <c r="M808" s="0" t="n">
        <v>1327.69</v>
      </c>
      <c r="N808" s="0" t="n">
        <v>57.9</v>
      </c>
      <c r="O808" s="0" t="n">
        <v>37.27</v>
      </c>
      <c r="P808" s="0" t="n">
        <v>3.74</v>
      </c>
      <c r="Q808" s="0" t="n">
        <v>3.29</v>
      </c>
      <c r="R808" s="0" t="n">
        <v>3350</v>
      </c>
      <c r="S808" s="0" t="n">
        <v>8821</v>
      </c>
      <c r="T808" s="0" t="n">
        <v>46.4</v>
      </c>
      <c r="U808" s="0" t="n">
        <v>900</v>
      </c>
      <c r="V808" s="0" t="n">
        <v>1</v>
      </c>
      <c r="W808" s="0" t="str">
        <f aca="false">IF(OR(AND(B808&gt;=1,B808&lt;=6),B808=10),"Vaca em lactação",IF(I808="Male","Macho",IF(E808&gt;=1,"Vaca seca",IF(I808="Youngstock","Bezerra/recria","Novilha"))))</f>
        <v>Vaca em lactação</v>
      </c>
      <c r="X808" s="0" t="str">
        <f aca="false">IF(AND(B808&gt;=1,B808&lt;=6),"Tanque",IF(B808=10,"Descarte",""))</f>
        <v>Tanque</v>
      </c>
    </row>
    <row r="809" customFormat="false" ht="15" hidden="false" customHeight="false" outlineLevel="0" collapsed="false">
      <c r="A809" s="22" t="n">
        <v>46309</v>
      </c>
      <c r="B809" s="0" t="n">
        <v>4</v>
      </c>
      <c r="C809" s="0" t="n">
        <v>5503</v>
      </c>
      <c r="D809" s="0" t="n">
        <v>194</v>
      </c>
      <c r="E809" s="0" t="n">
        <v>1</v>
      </c>
      <c r="F809" s="23" t="s">
        <v>626</v>
      </c>
      <c r="G809" s="0" t="n">
        <v>45.5</v>
      </c>
      <c r="H809" s="0" t="n">
        <v>48</v>
      </c>
      <c r="I809" s="23" t="s">
        <v>92</v>
      </c>
      <c r="J809" s="0" t="n">
        <v>68</v>
      </c>
      <c r="K809" s="0" t="n">
        <v>68</v>
      </c>
      <c r="L809" s="0" t="n">
        <v>126</v>
      </c>
      <c r="M809" s="0" t="n">
        <v>1084.59</v>
      </c>
      <c r="N809" s="0" t="n">
        <v>69.67</v>
      </c>
      <c r="O809" s="0" t="n">
        <v>33.24</v>
      </c>
      <c r="P809" s="0" t="n">
        <v>4.28</v>
      </c>
      <c r="Q809" s="0" t="n">
        <v>3.25</v>
      </c>
      <c r="R809" s="0" t="n">
        <v>4257</v>
      </c>
      <c r="S809" s="0" t="n">
        <v>8970</v>
      </c>
      <c r="T809" s="0" t="n">
        <v>45.05</v>
      </c>
      <c r="U809" s="0" t="n">
        <v>900</v>
      </c>
      <c r="V809" s="0" t="n">
        <v>1</v>
      </c>
      <c r="W809" s="0" t="str">
        <f aca="false">IF(OR(AND(B809&gt;=1,B809&lt;=6),B809=10),"Vaca em lactação",IF(I809="Male","Macho",IF(E809&gt;=1,"Vaca seca",IF(I809="Youngstock","Bezerra/recria","Novilha"))))</f>
        <v>Vaca em lactação</v>
      </c>
      <c r="X809" s="0" t="str">
        <f aca="false">IF(AND(B809&gt;=1,B809&lt;=6),"Tanque",IF(B809=10,"Descarte",""))</f>
        <v>Tanque</v>
      </c>
    </row>
    <row r="810" customFormat="false" ht="15" hidden="false" customHeight="false" outlineLevel="0" collapsed="false">
      <c r="A810" s="22" t="n">
        <v>46309</v>
      </c>
      <c r="B810" s="0" t="n">
        <v>4</v>
      </c>
      <c r="C810" s="0" t="n">
        <v>5510</v>
      </c>
      <c r="D810" s="0" t="n">
        <v>256</v>
      </c>
      <c r="E810" s="0" t="n">
        <v>1</v>
      </c>
      <c r="F810" s="23" t="s">
        <v>628</v>
      </c>
      <c r="G810" s="0" t="n">
        <v>49.2</v>
      </c>
      <c r="H810" s="0" t="n">
        <v>45</v>
      </c>
      <c r="I810" s="23" t="s">
        <v>92</v>
      </c>
      <c r="J810" s="0" t="n">
        <v>193</v>
      </c>
      <c r="K810" s="0" t="n">
        <v>67</v>
      </c>
      <c r="L810" s="0" t="n">
        <v>63</v>
      </c>
      <c r="M810" s="0" t="n">
        <v>713.84</v>
      </c>
      <c r="N810" s="0" t="n">
        <v>62.65</v>
      </c>
      <c r="O810" s="0" t="n">
        <v>11.33</v>
      </c>
      <c r="P810" s="0" t="n">
        <v>4.27</v>
      </c>
      <c r="Q810" s="0" t="n">
        <v>3.35</v>
      </c>
      <c r="R810" s="0" t="n">
        <v>4027</v>
      </c>
      <c r="S810" s="0" t="n">
        <v>8377</v>
      </c>
      <c r="T810" s="0" t="n">
        <v>39.9</v>
      </c>
      <c r="U810" s="0" t="n">
        <v>899</v>
      </c>
      <c r="V810" s="0" t="n">
        <v>4</v>
      </c>
      <c r="W810" s="0" t="str">
        <f aca="false">IF(OR(AND(B810&gt;=1,B810&lt;=6),B810=10),"Vaca em lactação",IF(I810="Male","Macho",IF(E810&gt;=1,"Vaca seca",IF(I810="Youngstock","Bezerra/recria","Novilha"))))</f>
        <v>Vaca em lactação</v>
      </c>
      <c r="X810" s="0" t="str">
        <f aca="false">IF(AND(B810&gt;=1,B810&lt;=6),"Tanque",IF(B810=10,"Descarte",""))</f>
        <v>Tanque</v>
      </c>
    </row>
    <row r="811" customFormat="false" ht="15" hidden="false" customHeight="false" outlineLevel="0" collapsed="false">
      <c r="A811" s="22" t="n">
        <v>46309</v>
      </c>
      <c r="B811" s="0" t="n">
        <v>4</v>
      </c>
      <c r="C811" s="0" t="n">
        <v>5509</v>
      </c>
      <c r="D811" s="0" t="n">
        <v>235</v>
      </c>
      <c r="E811" s="0" t="n">
        <v>1</v>
      </c>
      <c r="F811" s="23" t="s">
        <v>628</v>
      </c>
      <c r="G811" s="0" t="n">
        <v>51.7</v>
      </c>
      <c r="H811" s="0" t="n">
        <v>51</v>
      </c>
      <c r="I811" s="23" t="s">
        <v>92</v>
      </c>
      <c r="J811" s="0" t="n">
        <v>151</v>
      </c>
      <c r="K811" s="0" t="n">
        <v>109</v>
      </c>
      <c r="L811" s="0" t="n">
        <v>84</v>
      </c>
      <c r="M811" s="0" t="n">
        <v>556.77</v>
      </c>
      <c r="N811" s="0" t="n">
        <v>63.37</v>
      </c>
      <c r="O811" s="0" t="n">
        <v>28.12</v>
      </c>
      <c r="P811" s="0" t="n">
        <v>3.08</v>
      </c>
      <c r="Q811" s="0" t="n">
        <v>3.39</v>
      </c>
      <c r="R811" s="0" t="n">
        <v>3061</v>
      </c>
      <c r="S811" s="0" t="n">
        <v>7473</v>
      </c>
      <c r="T811" s="0" t="n">
        <v>36.3</v>
      </c>
      <c r="U811" s="0" t="n">
        <v>899</v>
      </c>
      <c r="V811" s="0" t="n">
        <v>2</v>
      </c>
      <c r="W811" s="0" t="str">
        <f aca="false">IF(OR(AND(B811&gt;=1,B811&lt;=6),B811=10),"Vaca em lactação",IF(I811="Male","Macho",IF(E811&gt;=1,"Vaca seca",IF(I811="Youngstock","Bezerra/recria","Novilha"))))</f>
        <v>Vaca em lactação</v>
      </c>
      <c r="X811" s="0" t="str">
        <f aca="false">IF(AND(B811&gt;=1,B811&lt;=6),"Tanque",IF(B811=10,"Descarte",""))</f>
        <v>Tanque</v>
      </c>
    </row>
    <row r="812" customFormat="false" ht="15" hidden="false" customHeight="false" outlineLevel="0" collapsed="false">
      <c r="A812" s="22" t="n">
        <v>46309</v>
      </c>
      <c r="B812" s="0" t="n">
        <v>4</v>
      </c>
      <c r="C812" s="0" t="n">
        <v>5511</v>
      </c>
      <c r="D812" s="0" t="n">
        <v>260</v>
      </c>
      <c r="E812" s="0" t="n">
        <v>1</v>
      </c>
      <c r="F812" s="23" t="s">
        <v>628</v>
      </c>
      <c r="G812" s="0" t="n">
        <v>35.1</v>
      </c>
      <c r="H812" s="0" t="n">
        <v>31</v>
      </c>
      <c r="I812" s="23" t="s">
        <v>92</v>
      </c>
      <c r="J812" s="0" t="n">
        <v>64</v>
      </c>
      <c r="K812" s="0" t="n">
        <v>64</v>
      </c>
      <c r="L812" s="0" t="n">
        <v>196</v>
      </c>
      <c r="M812" s="0" t="n">
        <v>768.15</v>
      </c>
      <c r="N812" s="0" t="n">
        <v>46.72</v>
      </c>
      <c r="O812" s="0" t="n">
        <v>43.69</v>
      </c>
      <c r="P812" s="0" t="n">
        <v>3.8</v>
      </c>
      <c r="Q812" s="0" t="n">
        <v>3.83</v>
      </c>
      <c r="R812" s="0" t="n">
        <v>3613</v>
      </c>
      <c r="S812" s="0" t="n">
        <v>8392</v>
      </c>
      <c r="T812" s="0" t="n">
        <v>35.05</v>
      </c>
      <c r="U812" s="0" t="n">
        <v>899</v>
      </c>
      <c r="V812" s="0" t="n">
        <v>1</v>
      </c>
      <c r="W812" s="0" t="str">
        <f aca="false">IF(OR(AND(B812&gt;=1,B812&lt;=6),B812=10),"Vaca em lactação",IF(I812="Male","Macho",IF(E812&gt;=1,"Vaca seca",IF(I812="Youngstock","Bezerra/recria","Novilha"))))</f>
        <v>Vaca em lactação</v>
      </c>
      <c r="X812" s="0" t="str">
        <f aca="false">IF(AND(B812&gt;=1,B812&lt;=6),"Tanque",IF(B812=10,"Descarte",""))</f>
        <v>Tanque</v>
      </c>
    </row>
    <row r="813" customFormat="false" ht="15" hidden="false" customHeight="false" outlineLevel="0" collapsed="false">
      <c r="A813" s="22" t="n">
        <v>46309</v>
      </c>
      <c r="B813" s="0" t="n">
        <v>4</v>
      </c>
      <c r="C813" s="0" t="n">
        <v>5513</v>
      </c>
      <c r="D813" s="0" t="n">
        <v>185</v>
      </c>
      <c r="E813" s="0" t="n">
        <v>1</v>
      </c>
      <c r="F813" s="23" t="s">
        <v>629</v>
      </c>
      <c r="G813" s="0" t="n">
        <v>53.1</v>
      </c>
      <c r="H813" s="0" t="n">
        <v>53</v>
      </c>
      <c r="I813" s="23" t="s">
        <v>97</v>
      </c>
      <c r="J813" s="0" t="n">
        <v>185</v>
      </c>
      <c r="K813" s="0" t="n">
        <v>66</v>
      </c>
      <c r="M813" s="0" t="n">
        <v>793.05</v>
      </c>
      <c r="N813" s="0" t="n">
        <v>67.59</v>
      </c>
      <c r="O813" s="0" t="n">
        <v>29.19</v>
      </c>
      <c r="P813" s="0" t="n">
        <v>3.13</v>
      </c>
      <c r="Q813" s="0" t="n">
        <v>3.61</v>
      </c>
      <c r="R813" s="0" t="n">
        <v>4788</v>
      </c>
      <c r="S813" s="0" t="n">
        <v>10611</v>
      </c>
      <c r="T813" s="0" t="n">
        <v>48.7</v>
      </c>
      <c r="U813" s="0" t="n">
        <v>898</v>
      </c>
      <c r="V813" s="0" t="n">
        <v>3</v>
      </c>
      <c r="W813" s="0" t="str">
        <f aca="false">IF(OR(AND(B813&gt;=1,B813&lt;=6),B813=10),"Vaca em lactação",IF(I813="Male","Macho",IF(E813&gt;=1,"Vaca seca",IF(I813="Youngstock","Bezerra/recria","Novilha"))))</f>
        <v>Vaca em lactação</v>
      </c>
      <c r="X813" s="0" t="str">
        <f aca="false">IF(AND(B813&gt;=1,B813&lt;=6),"Tanque",IF(B813=10,"Descarte",""))</f>
        <v>Tanque</v>
      </c>
    </row>
    <row r="814" customFormat="false" ht="15" hidden="false" customHeight="false" outlineLevel="0" collapsed="false">
      <c r="A814" s="22" t="n">
        <v>46309</v>
      </c>
      <c r="B814" s="0" t="n">
        <v>4</v>
      </c>
      <c r="C814" s="0" t="n">
        <v>5516</v>
      </c>
      <c r="D814" s="0" t="n">
        <v>263</v>
      </c>
      <c r="E814" s="0" t="n">
        <v>1</v>
      </c>
      <c r="F814" s="23" t="s">
        <v>629</v>
      </c>
      <c r="G814" s="0" t="n">
        <v>48.5</v>
      </c>
      <c r="H814" s="0" t="n">
        <v>50</v>
      </c>
      <c r="I814" s="23" t="s">
        <v>92</v>
      </c>
      <c r="J814" s="0" t="n">
        <v>67</v>
      </c>
      <c r="K814" s="0" t="n">
        <v>67</v>
      </c>
      <c r="L814" s="0" t="n">
        <v>196</v>
      </c>
      <c r="M814" s="0" t="n">
        <v>945.4</v>
      </c>
      <c r="N814" s="0" t="n">
        <v>36.17</v>
      </c>
      <c r="O814" s="0" t="n">
        <v>31.39</v>
      </c>
      <c r="P814" s="0" t="n">
        <v>4.2</v>
      </c>
      <c r="Q814" s="0" t="n">
        <v>3.24</v>
      </c>
      <c r="R814" s="0" t="n">
        <v>4514</v>
      </c>
      <c r="S814" s="0" t="n">
        <v>10482</v>
      </c>
      <c r="T814" s="0" t="n">
        <v>46.3</v>
      </c>
      <c r="U814" s="0" t="n">
        <v>898</v>
      </c>
      <c r="V814" s="0" t="n">
        <v>1</v>
      </c>
      <c r="W814" s="0" t="str">
        <f aca="false">IF(OR(AND(B814&gt;=1,B814&lt;=6),B814=10),"Vaca em lactação",IF(I814="Male","Macho",IF(E814&gt;=1,"Vaca seca",IF(I814="Youngstock","Bezerra/recria","Novilha"))))</f>
        <v>Vaca em lactação</v>
      </c>
      <c r="X814" s="0" t="str">
        <f aca="false">IF(AND(B814&gt;=1,B814&lt;=6),"Tanque",IF(B814=10,"Descarte",""))</f>
        <v>Tanque</v>
      </c>
    </row>
    <row r="815" customFormat="false" ht="15" hidden="false" customHeight="false" outlineLevel="0" collapsed="false">
      <c r="A815" s="22" t="n">
        <v>46309</v>
      </c>
      <c r="B815" s="0" t="n">
        <v>4</v>
      </c>
      <c r="C815" s="0" t="n">
        <v>5514</v>
      </c>
      <c r="D815" s="0" t="n">
        <v>253</v>
      </c>
      <c r="E815" s="0" t="n">
        <v>1</v>
      </c>
      <c r="F815" s="23" t="s">
        <v>629</v>
      </c>
      <c r="G815" s="0" t="n">
        <v>43.5</v>
      </c>
      <c r="H815" s="0" t="n">
        <v>43</v>
      </c>
      <c r="I815" s="23" t="s">
        <v>92</v>
      </c>
      <c r="J815" s="0" t="n">
        <v>148</v>
      </c>
      <c r="K815" s="0" t="n">
        <v>64</v>
      </c>
      <c r="L815" s="0" t="n">
        <v>105</v>
      </c>
      <c r="M815" s="0" t="n">
        <v>254.4</v>
      </c>
      <c r="N815" s="0" t="n">
        <v>42.48</v>
      </c>
      <c r="O815" s="0" t="n">
        <v>20.54</v>
      </c>
      <c r="P815" s="0" t="n">
        <v>3.49</v>
      </c>
      <c r="Q815" s="0" t="n">
        <v>3.58</v>
      </c>
      <c r="R815" s="0" t="n">
        <v>3408</v>
      </c>
      <c r="S815" s="0" t="n">
        <v>8068</v>
      </c>
      <c r="T815" s="0" t="n">
        <v>37.5</v>
      </c>
      <c r="U815" s="0" t="n">
        <v>898</v>
      </c>
      <c r="V815" s="0" t="n">
        <v>5</v>
      </c>
      <c r="W815" s="0" t="str">
        <f aca="false">IF(OR(AND(B815&gt;=1,B815&lt;=6),B815=10),"Vaca em lactação",IF(I815="Male","Macho",IF(E815&gt;=1,"Vaca seca",IF(I815="Youngstock","Bezerra/recria","Novilha"))))</f>
        <v>Vaca em lactação</v>
      </c>
      <c r="X815" s="0" t="str">
        <f aca="false">IF(AND(B815&gt;=1,B815&lt;=6),"Tanque",IF(B815=10,"Descarte",""))</f>
        <v>Tanque</v>
      </c>
    </row>
    <row r="816" customFormat="false" ht="15" hidden="false" customHeight="false" outlineLevel="0" collapsed="false">
      <c r="A816" s="22" t="n">
        <v>46309</v>
      </c>
      <c r="B816" s="0" t="n">
        <v>4</v>
      </c>
      <c r="C816" s="0" t="n">
        <v>5555</v>
      </c>
      <c r="D816" s="0" t="n">
        <v>238</v>
      </c>
      <c r="E816" s="0" t="n">
        <v>1</v>
      </c>
      <c r="F816" s="23" t="s">
        <v>630</v>
      </c>
      <c r="G816" s="0" t="n">
        <v>48.5</v>
      </c>
      <c r="H816" s="0" t="n">
        <v>49</v>
      </c>
      <c r="I816" s="23" t="s">
        <v>92</v>
      </c>
      <c r="J816" s="0" t="n">
        <v>87</v>
      </c>
      <c r="K816" s="0" t="n">
        <v>63</v>
      </c>
      <c r="L816" s="0" t="n">
        <v>151</v>
      </c>
      <c r="P816" s="0" t="n">
        <v>3.21</v>
      </c>
      <c r="Q816" s="0" t="n">
        <v>3.57</v>
      </c>
      <c r="R816" s="0" t="n">
        <v>4519</v>
      </c>
      <c r="S816" s="0" t="n">
        <v>9753</v>
      </c>
      <c r="T816" s="0" t="n">
        <v>52.7</v>
      </c>
      <c r="U816" s="0" t="n">
        <v>883</v>
      </c>
      <c r="V816" s="0" t="n">
        <v>2</v>
      </c>
      <c r="W816" s="0" t="str">
        <f aca="false">IF(OR(AND(B816&gt;=1,B816&lt;=6),B816=10),"Vaca em lactação",IF(I816="Male","Macho",IF(E816&gt;=1,"Vaca seca",IF(I816="Youngstock","Bezerra/recria","Novilha"))))</f>
        <v>Vaca em lactação</v>
      </c>
      <c r="X816" s="0" t="str">
        <f aca="false">IF(AND(B816&gt;=1,B816&lt;=6),"Tanque",IF(B816=10,"Descarte",""))</f>
        <v>Tanque</v>
      </c>
    </row>
    <row r="817" customFormat="false" ht="15" hidden="false" customHeight="false" outlineLevel="0" collapsed="false">
      <c r="A817" s="22" t="n">
        <v>46309</v>
      </c>
      <c r="B817" s="0" t="n">
        <v>4</v>
      </c>
      <c r="C817" s="0" t="n">
        <v>5554</v>
      </c>
      <c r="D817" s="0" t="n">
        <v>238</v>
      </c>
      <c r="E817" s="0" t="n">
        <v>1</v>
      </c>
      <c r="F817" s="23" t="s">
        <v>630</v>
      </c>
      <c r="G817" s="0" t="n">
        <v>50.4</v>
      </c>
      <c r="H817" s="0" t="n">
        <v>49</v>
      </c>
      <c r="I817" s="23" t="s">
        <v>97</v>
      </c>
      <c r="J817" s="0" t="n">
        <v>238</v>
      </c>
      <c r="K817" s="0" t="n">
        <v>70</v>
      </c>
      <c r="P817" s="0" t="n">
        <v>3.02</v>
      </c>
      <c r="Q817" s="0" t="n">
        <v>3.57</v>
      </c>
      <c r="R817" s="0" t="n">
        <v>5271</v>
      </c>
      <c r="S817" s="0" t="n">
        <v>11186</v>
      </c>
      <c r="T817" s="0" t="n">
        <v>60</v>
      </c>
      <c r="U817" s="0" t="n">
        <v>883</v>
      </c>
      <c r="V817" s="0" t="n">
        <v>5</v>
      </c>
      <c r="W817" s="0" t="str">
        <f aca="false">IF(OR(AND(B817&gt;=1,B817&lt;=6),B817=10),"Vaca em lactação",IF(I817="Male","Macho",IF(E817&gt;=1,"Vaca seca",IF(I817="Youngstock","Bezerra/recria","Novilha"))))</f>
        <v>Vaca em lactação</v>
      </c>
      <c r="X817" s="0" t="str">
        <f aca="false">IF(AND(B817&gt;=1,B817&lt;=6),"Tanque",IF(B817=10,"Descarte",""))</f>
        <v>Tanque</v>
      </c>
    </row>
    <row r="818" customFormat="false" ht="15" hidden="false" customHeight="false" outlineLevel="0" collapsed="false">
      <c r="A818" s="22" t="n">
        <v>46309</v>
      </c>
      <c r="B818" s="0" t="n">
        <v>4</v>
      </c>
      <c r="C818" s="0" t="n">
        <v>5553</v>
      </c>
      <c r="D818" s="0" t="n">
        <v>244</v>
      </c>
      <c r="E818" s="0" t="n">
        <v>1</v>
      </c>
      <c r="F818" s="23" t="s">
        <v>630</v>
      </c>
      <c r="G818" s="0" t="n">
        <v>39.4</v>
      </c>
      <c r="H818" s="0" t="n">
        <v>39</v>
      </c>
      <c r="I818" s="23" t="s">
        <v>92</v>
      </c>
      <c r="J818" s="0" t="n">
        <v>69</v>
      </c>
      <c r="K818" s="0" t="n">
        <v>69</v>
      </c>
      <c r="L818" s="0" t="n">
        <v>175</v>
      </c>
      <c r="P818" s="0" t="n">
        <v>3.9</v>
      </c>
      <c r="Q818" s="0" t="n">
        <v>3.55</v>
      </c>
      <c r="R818" s="0" t="n">
        <v>4290</v>
      </c>
      <c r="S818" s="0" t="n">
        <v>9081</v>
      </c>
      <c r="T818" s="0" t="n">
        <v>45.95</v>
      </c>
      <c r="U818" s="0" t="n">
        <v>883</v>
      </c>
      <c r="V818" s="0" t="n">
        <v>1</v>
      </c>
      <c r="W818" s="0" t="str">
        <f aca="false">IF(OR(AND(B818&gt;=1,B818&lt;=6),B818=10),"Vaca em lactação",IF(I818="Male","Macho",IF(E818&gt;=1,"Vaca seca",IF(I818="Youngstock","Bezerra/recria","Novilha"))))</f>
        <v>Vaca em lactação</v>
      </c>
      <c r="X818" s="0" t="str">
        <f aca="false">IF(AND(B818&gt;=1,B818&lt;=6),"Tanque",IF(B818=10,"Descarte",""))</f>
        <v>Tanque</v>
      </c>
    </row>
    <row r="819" customFormat="false" ht="15" hidden="false" customHeight="false" outlineLevel="0" collapsed="false">
      <c r="A819" s="22" t="n">
        <v>46309</v>
      </c>
      <c r="B819" s="0" t="n">
        <v>4</v>
      </c>
      <c r="C819" s="0" t="n">
        <v>5556</v>
      </c>
      <c r="D819" s="0" t="n">
        <v>283</v>
      </c>
      <c r="E819" s="0" t="n">
        <v>1</v>
      </c>
      <c r="F819" s="23" t="s">
        <v>96</v>
      </c>
      <c r="G819" s="0" t="n">
        <v>24.7</v>
      </c>
      <c r="H819" s="0" t="n">
        <v>29</v>
      </c>
      <c r="I819" s="23" t="s">
        <v>92</v>
      </c>
      <c r="J819" s="0" t="n">
        <v>66</v>
      </c>
      <c r="K819" s="0" t="n">
        <v>66</v>
      </c>
      <c r="L819" s="0" t="n">
        <v>217</v>
      </c>
      <c r="P819" s="0" t="n">
        <v>3.13</v>
      </c>
      <c r="Q819" s="0" t="n">
        <v>3.76</v>
      </c>
      <c r="R819" s="0" t="n">
        <v>2753</v>
      </c>
      <c r="S819" s="0" t="n">
        <v>6058</v>
      </c>
      <c r="T819" s="0" t="n">
        <v>30.9</v>
      </c>
      <c r="U819" s="0" t="n">
        <v>882</v>
      </c>
      <c r="V819" s="0" t="n">
        <v>1</v>
      </c>
      <c r="W819" s="0" t="str">
        <f aca="false">IF(OR(AND(B819&gt;=1,B819&lt;=6),B819=10),"Vaca em lactação",IF(I819="Male","Macho",IF(E819&gt;=1,"Vaca seca",IF(I819="Youngstock","Bezerra/recria","Novilha"))))</f>
        <v>Vaca em lactação</v>
      </c>
      <c r="X819" s="0" t="str">
        <f aca="false">IF(AND(B819&gt;=1,B819&lt;=6),"Tanque",IF(B819=10,"Descarte",""))</f>
        <v>Tanque</v>
      </c>
    </row>
    <row r="820" customFormat="false" ht="15" hidden="false" customHeight="false" outlineLevel="0" collapsed="false">
      <c r="A820" s="22" t="n">
        <v>46309</v>
      </c>
      <c r="B820" s="0" t="n">
        <v>4</v>
      </c>
      <c r="C820" s="0" t="n">
        <v>5428</v>
      </c>
      <c r="D820" s="0" t="n">
        <v>247</v>
      </c>
      <c r="E820" s="0" t="n">
        <v>1</v>
      </c>
      <c r="F820" s="23" t="s">
        <v>560</v>
      </c>
      <c r="G820" s="0" t="n">
        <v>39.6</v>
      </c>
      <c r="H820" s="0" t="n">
        <v>39</v>
      </c>
      <c r="I820" s="23" t="s">
        <v>92</v>
      </c>
      <c r="J820" s="0" t="n">
        <v>65</v>
      </c>
      <c r="K820" s="0" t="n">
        <v>65</v>
      </c>
      <c r="L820" s="0" t="n">
        <v>182</v>
      </c>
      <c r="M820" s="0" t="n">
        <v>1035.57</v>
      </c>
      <c r="N820" s="0" t="n">
        <v>78.61</v>
      </c>
      <c r="O820" s="0" t="n">
        <v>37.5</v>
      </c>
      <c r="P820" s="0" t="n">
        <v>4.51</v>
      </c>
      <c r="Q820" s="0" t="n">
        <v>3.53</v>
      </c>
      <c r="R820" s="0" t="n">
        <v>3444</v>
      </c>
      <c r="S820" s="0" t="n">
        <v>7248</v>
      </c>
      <c r="T820" s="0" t="n">
        <v>36.35</v>
      </c>
      <c r="U820" s="0" t="n">
        <v>931</v>
      </c>
      <c r="V820" s="0" t="n">
        <v>1</v>
      </c>
      <c r="W820" s="0" t="str">
        <f aca="false">IF(OR(AND(B820&gt;=1,B820&lt;=6),B820=10),"Vaca em lactação",IF(I820="Male","Macho",IF(E820&gt;=1,"Vaca seca",IF(I820="Youngstock","Bezerra/recria","Novilha"))))</f>
        <v>Vaca em lactação</v>
      </c>
      <c r="X820" s="0" t="str">
        <f aca="false">IF(AND(B820&gt;=1,B820&lt;=6),"Tanque",IF(B820=10,"Descarte",""))</f>
        <v>Tanque</v>
      </c>
    </row>
    <row r="821" customFormat="false" ht="15" hidden="false" customHeight="false" outlineLevel="0" collapsed="false">
      <c r="A821" s="22" t="n">
        <v>46309</v>
      </c>
      <c r="B821" s="0" t="n">
        <v>4</v>
      </c>
      <c r="C821" s="0" t="n">
        <v>5479</v>
      </c>
      <c r="D821" s="0" t="n">
        <v>268</v>
      </c>
      <c r="E821" s="0" t="n">
        <v>1</v>
      </c>
      <c r="F821" s="23" t="s">
        <v>545</v>
      </c>
      <c r="G821" s="0" t="n">
        <v>51.6</v>
      </c>
      <c r="H821" s="0" t="n">
        <v>52</v>
      </c>
      <c r="I821" s="23" t="s">
        <v>92</v>
      </c>
      <c r="J821" s="0" t="n">
        <v>100</v>
      </c>
      <c r="K821" s="0" t="n">
        <v>65</v>
      </c>
      <c r="L821" s="0" t="n">
        <v>168</v>
      </c>
      <c r="M821" s="0" t="n">
        <v>839.24</v>
      </c>
      <c r="N821" s="0" t="n">
        <v>64.52</v>
      </c>
      <c r="O821" s="0" t="n">
        <v>29.13</v>
      </c>
      <c r="P821" s="0" t="n">
        <v>3.02</v>
      </c>
      <c r="Q821" s="0" t="n">
        <v>3.24</v>
      </c>
      <c r="R821" s="0" t="n">
        <v>4157</v>
      </c>
      <c r="S821" s="0" t="n">
        <v>9562</v>
      </c>
      <c r="T821" s="0" t="n">
        <v>43.3</v>
      </c>
      <c r="U821" s="0" t="n">
        <v>908</v>
      </c>
      <c r="V821" s="0" t="n">
        <v>2</v>
      </c>
      <c r="W821" s="0" t="str">
        <f aca="false">IF(OR(AND(B821&gt;=1,B821&lt;=6),B821=10),"Vaca em lactação",IF(I821="Male","Macho",IF(E821&gt;=1,"Vaca seca",IF(I821="Youngstock","Bezerra/recria","Novilha"))))</f>
        <v>Vaca em lactação</v>
      </c>
      <c r="X821" s="0" t="str">
        <f aca="false">IF(AND(B821&gt;=1,B821&lt;=6),"Tanque",IF(B821=10,"Descarte",""))</f>
        <v>Tanque</v>
      </c>
    </row>
    <row r="822" customFormat="false" ht="15" hidden="false" customHeight="false" outlineLevel="0" collapsed="false">
      <c r="A822" s="22" t="n">
        <v>46309</v>
      </c>
      <c r="B822" s="0" t="n">
        <v>4</v>
      </c>
      <c r="C822" s="0" t="n">
        <v>5440</v>
      </c>
      <c r="D822" s="0" t="n">
        <v>276</v>
      </c>
      <c r="E822" s="0" t="n">
        <v>1</v>
      </c>
      <c r="F822" s="23" t="s">
        <v>563</v>
      </c>
      <c r="G822" s="0" t="n">
        <v>37.1</v>
      </c>
      <c r="H822" s="0" t="n">
        <v>42</v>
      </c>
      <c r="I822" s="23" t="s">
        <v>92</v>
      </c>
      <c r="J822" s="0" t="n">
        <v>101</v>
      </c>
      <c r="K822" s="0" t="n">
        <v>66</v>
      </c>
      <c r="L822" s="0" t="n">
        <v>175</v>
      </c>
      <c r="M822" s="0" t="n">
        <v>1333.58</v>
      </c>
      <c r="N822" s="0" t="n">
        <v>31.5</v>
      </c>
      <c r="O822" s="0" t="n">
        <v>32.21</v>
      </c>
      <c r="P822" s="0" t="n">
        <v>3.05</v>
      </c>
      <c r="Q822" s="0" t="n">
        <v>3.1</v>
      </c>
      <c r="R822" s="0" t="n">
        <v>4486</v>
      </c>
      <c r="S822" s="0" t="n">
        <v>9990</v>
      </c>
      <c r="T822" s="0" t="n">
        <v>44.35</v>
      </c>
      <c r="U822" s="0" t="n">
        <v>927</v>
      </c>
      <c r="V822" s="0" t="n">
        <v>2</v>
      </c>
      <c r="W822" s="0" t="str">
        <f aca="false">IF(OR(AND(B822&gt;=1,B822&lt;=6),B822=10),"Vaca em lactação",IF(I822="Male","Macho",IF(E822&gt;=1,"Vaca seca",IF(I822="Youngstock","Bezerra/recria","Novilha"))))</f>
        <v>Vaca em lactação</v>
      </c>
      <c r="X822" s="0" t="str">
        <f aca="false">IF(AND(B822&gt;=1,B822&lt;=6),"Tanque",IF(B822=10,"Descarte",""))</f>
        <v>Tanque</v>
      </c>
    </row>
    <row r="823" customFormat="false" ht="15" hidden="false" customHeight="false" outlineLevel="0" collapsed="false">
      <c r="A823" s="22" t="n">
        <v>46309</v>
      </c>
      <c r="B823" s="0" t="n">
        <v>4</v>
      </c>
      <c r="C823" s="0" t="n">
        <v>5435</v>
      </c>
      <c r="D823" s="0" t="n">
        <v>264</v>
      </c>
      <c r="E823" s="0" t="n">
        <v>1</v>
      </c>
      <c r="F823" s="23" t="s">
        <v>631</v>
      </c>
      <c r="G823" s="0" t="n">
        <v>36.2</v>
      </c>
      <c r="H823" s="0" t="n">
        <v>50</v>
      </c>
      <c r="I823" s="23" t="s">
        <v>92</v>
      </c>
      <c r="J823" s="0" t="n">
        <v>68</v>
      </c>
      <c r="K823" s="0" t="n">
        <v>68</v>
      </c>
      <c r="L823" s="0" t="n">
        <v>196</v>
      </c>
      <c r="M823" s="0" t="n">
        <v>1171.63</v>
      </c>
      <c r="N823" s="0" t="n">
        <v>74.15</v>
      </c>
      <c r="O823" s="0" t="n">
        <v>33.04</v>
      </c>
      <c r="P823" s="0" t="n">
        <v>3.01</v>
      </c>
      <c r="Q823" s="0" t="n">
        <v>2.96</v>
      </c>
      <c r="R823" s="0" t="n">
        <v>5143</v>
      </c>
      <c r="S823" s="0" t="n">
        <v>11636</v>
      </c>
      <c r="T823" s="0" t="n">
        <v>55.05</v>
      </c>
      <c r="U823" s="0" t="n">
        <v>929</v>
      </c>
      <c r="V823" s="0" t="n">
        <v>1</v>
      </c>
      <c r="W823" s="0" t="str">
        <f aca="false">IF(OR(AND(B823&gt;=1,B823&lt;=6),B823=10),"Vaca em lactação",IF(I823="Male","Macho",IF(E823&gt;=1,"Vaca seca",IF(I823="Youngstock","Bezerra/recria","Novilha"))))</f>
        <v>Vaca em lactação</v>
      </c>
      <c r="X823" s="0" t="str">
        <f aca="false">IF(AND(B823&gt;=1,B823&lt;=6),"Tanque",IF(B823=10,"Descarte",""))</f>
        <v>Tanque</v>
      </c>
    </row>
    <row r="824" customFormat="false" ht="15" hidden="false" customHeight="false" outlineLevel="0" collapsed="false">
      <c r="A824" s="22" t="n">
        <v>46309</v>
      </c>
      <c r="B824" s="0" t="n">
        <v>4</v>
      </c>
      <c r="C824" s="0" t="n">
        <v>5515</v>
      </c>
      <c r="D824" s="0" t="n">
        <v>182</v>
      </c>
      <c r="E824" s="0" t="n">
        <v>1</v>
      </c>
      <c r="F824" s="23" t="s">
        <v>629</v>
      </c>
      <c r="G824" s="0" t="n">
        <v>57.5</v>
      </c>
      <c r="H824" s="0" t="n">
        <v>56</v>
      </c>
      <c r="I824" s="23" t="s">
        <v>109</v>
      </c>
      <c r="J824" s="0" t="n">
        <v>182</v>
      </c>
      <c r="K824" s="0" t="n">
        <v>63</v>
      </c>
      <c r="M824" s="0" t="n">
        <v>435.56</v>
      </c>
      <c r="N824" s="0" t="n">
        <v>58.34</v>
      </c>
      <c r="O824" s="0" t="n">
        <v>29.22</v>
      </c>
      <c r="P824" s="0" t="n">
        <v>3</v>
      </c>
      <c r="Q824" s="0" t="n">
        <v>3.42</v>
      </c>
      <c r="R824" s="0" t="n">
        <v>4587</v>
      </c>
      <c r="S824" s="0" t="n">
        <v>10193</v>
      </c>
      <c r="T824" s="0" t="n">
        <v>56.15</v>
      </c>
      <c r="U824" s="0" t="n">
        <v>898</v>
      </c>
      <c r="V824" s="0" t="n">
        <v>3</v>
      </c>
      <c r="W824" s="0" t="str">
        <f aca="false">IF(OR(AND(B824&gt;=1,B824&lt;=6),B824=10),"Vaca em lactação",IF(I824="Male","Macho",IF(E824&gt;=1,"Vaca seca",IF(I824="Youngstock","Bezerra/recria","Novilha"))))</f>
        <v>Vaca em lactação</v>
      </c>
      <c r="X824" s="0" t="str">
        <f aca="false">IF(AND(B824&gt;=1,B824&lt;=6),"Tanque",IF(B824=10,"Descarte",""))</f>
        <v>Tanque</v>
      </c>
    </row>
    <row r="825" customFormat="false" ht="15" hidden="false" customHeight="false" outlineLevel="0" collapsed="false">
      <c r="A825" s="22" t="n">
        <v>46309</v>
      </c>
      <c r="B825" s="0" t="n">
        <v>4</v>
      </c>
      <c r="C825" s="0" t="n">
        <v>5558</v>
      </c>
      <c r="D825" s="0" t="n">
        <v>232</v>
      </c>
      <c r="E825" s="0" t="n">
        <v>1</v>
      </c>
      <c r="F825" s="23" t="s">
        <v>96</v>
      </c>
      <c r="G825" s="0" t="n">
        <v>57.1</v>
      </c>
      <c r="H825" s="0" t="n">
        <v>53</v>
      </c>
      <c r="I825" s="23" t="s">
        <v>92</v>
      </c>
      <c r="J825" s="0" t="n">
        <v>71</v>
      </c>
      <c r="K825" s="0" t="n">
        <v>71</v>
      </c>
      <c r="L825" s="0" t="n">
        <v>161</v>
      </c>
      <c r="P825" s="0" t="n">
        <v>3.38</v>
      </c>
      <c r="Q825" s="0" t="n">
        <v>3.25</v>
      </c>
      <c r="R825" s="0" t="n">
        <v>4227</v>
      </c>
      <c r="S825" s="0" t="n">
        <v>9763</v>
      </c>
      <c r="T825" s="0" t="n">
        <v>48.2</v>
      </c>
      <c r="U825" s="0" t="n">
        <v>882</v>
      </c>
      <c r="V825" s="0" t="n">
        <v>1</v>
      </c>
      <c r="W825" s="0" t="str">
        <f aca="false">IF(OR(AND(B825&gt;=1,B825&lt;=6),B825=10),"Vaca em lactação",IF(I825="Male","Macho",IF(E825&gt;=1,"Vaca seca",IF(I825="Youngstock","Bezerra/recria","Novilha"))))</f>
        <v>Vaca em lactação</v>
      </c>
      <c r="X825" s="0" t="str">
        <f aca="false">IF(AND(B825&gt;=1,B825&lt;=6),"Tanque",IF(B825=10,"Descarte",""))</f>
        <v>Tanque</v>
      </c>
    </row>
    <row r="826" customFormat="false" ht="15" hidden="false" customHeight="false" outlineLevel="0" collapsed="false">
      <c r="A826" s="22" t="n">
        <v>46309</v>
      </c>
      <c r="B826" s="0" t="n">
        <v>4</v>
      </c>
      <c r="C826" s="0" t="n">
        <v>5560</v>
      </c>
      <c r="D826" s="0" t="n">
        <v>237</v>
      </c>
      <c r="E826" s="0" t="n">
        <v>1</v>
      </c>
      <c r="F826" s="23" t="s">
        <v>632</v>
      </c>
      <c r="G826" s="0" t="n">
        <v>44.8</v>
      </c>
      <c r="H826" s="0" t="n">
        <v>44</v>
      </c>
      <c r="I826" s="23" t="s">
        <v>92</v>
      </c>
      <c r="J826" s="0" t="n">
        <v>125</v>
      </c>
      <c r="K826" s="0" t="n">
        <v>69</v>
      </c>
      <c r="L826" s="0" t="n">
        <v>112</v>
      </c>
      <c r="P826" s="0" t="n">
        <v>3.56</v>
      </c>
      <c r="Q826" s="0" t="n">
        <v>3.6</v>
      </c>
      <c r="R826" s="0" t="n">
        <v>3875</v>
      </c>
      <c r="S826" s="0" t="n">
        <v>8123</v>
      </c>
      <c r="T826" s="0" t="n">
        <v>42.65</v>
      </c>
      <c r="U826" s="0" t="n">
        <v>879</v>
      </c>
      <c r="V826" s="0" t="n">
        <v>3</v>
      </c>
      <c r="W826" s="0" t="str">
        <f aca="false">IF(OR(AND(B826&gt;=1,B826&lt;=6),B826=10),"Vaca em lactação",IF(I826="Male","Macho",IF(E826&gt;=1,"Vaca seca",IF(I826="Youngstock","Bezerra/recria","Novilha"))))</f>
        <v>Vaca em lactação</v>
      </c>
      <c r="X826" s="0" t="str">
        <f aca="false">IF(AND(B826&gt;=1,B826&lt;=6),"Tanque",IF(B826=10,"Descarte",""))</f>
        <v>Tanque</v>
      </c>
    </row>
    <row r="827" customFormat="false" ht="15" hidden="false" customHeight="false" outlineLevel="0" collapsed="false">
      <c r="A827" s="22" t="n">
        <v>46309</v>
      </c>
      <c r="B827" s="0" t="n">
        <v>4</v>
      </c>
      <c r="C827" s="0" t="n">
        <v>5561</v>
      </c>
      <c r="D827" s="0" t="n">
        <v>237</v>
      </c>
      <c r="E827" s="0" t="n">
        <v>1</v>
      </c>
      <c r="F827" s="23" t="s">
        <v>632</v>
      </c>
      <c r="G827" s="0" t="n">
        <v>43.2</v>
      </c>
      <c r="H827" s="0" t="n">
        <v>46</v>
      </c>
      <c r="I827" s="23" t="s">
        <v>97</v>
      </c>
      <c r="J827" s="0" t="n">
        <v>237</v>
      </c>
      <c r="K827" s="0" t="n">
        <v>69</v>
      </c>
      <c r="P827" s="0" t="n">
        <v>3.85</v>
      </c>
      <c r="Q827" s="0" t="n">
        <v>3.73</v>
      </c>
      <c r="R827" s="0" t="n">
        <v>3973</v>
      </c>
      <c r="S827" s="0" t="n">
        <v>8582</v>
      </c>
      <c r="T827" s="0" t="n">
        <v>45.95</v>
      </c>
      <c r="U827" s="0" t="n">
        <v>879</v>
      </c>
      <c r="V827" s="0" t="n">
        <v>5</v>
      </c>
      <c r="W827" s="0" t="str">
        <f aca="false">IF(OR(AND(B827&gt;=1,B827&lt;=6),B827=10),"Vaca em lactação",IF(I827="Male","Macho",IF(E827&gt;=1,"Vaca seca",IF(I827="Youngstock","Bezerra/recria","Novilha"))))</f>
        <v>Vaca em lactação</v>
      </c>
      <c r="X827" s="0" t="str">
        <f aca="false">IF(AND(B827&gt;=1,B827&lt;=6),"Tanque",IF(B827=10,"Descarte",""))</f>
        <v>Tanque</v>
      </c>
    </row>
    <row r="828" customFormat="false" ht="15" hidden="false" customHeight="false" outlineLevel="0" collapsed="false">
      <c r="A828" s="22" t="n">
        <v>46309</v>
      </c>
      <c r="B828" s="0" t="n">
        <v>4</v>
      </c>
      <c r="C828" s="0" t="n">
        <v>5563</v>
      </c>
      <c r="D828" s="0" t="n">
        <v>171</v>
      </c>
      <c r="E828" s="0" t="n">
        <v>1</v>
      </c>
      <c r="F828" s="23" t="s">
        <v>632</v>
      </c>
      <c r="G828" s="0" t="n">
        <v>54.9</v>
      </c>
      <c r="H828" s="0" t="n">
        <v>56</v>
      </c>
      <c r="I828" s="23" t="s">
        <v>92</v>
      </c>
      <c r="J828" s="0" t="n">
        <v>122</v>
      </c>
      <c r="K828" s="0" t="n">
        <v>66</v>
      </c>
      <c r="L828" s="0" t="n">
        <v>49</v>
      </c>
      <c r="P828" s="0" t="n">
        <v>3.93</v>
      </c>
      <c r="Q828" s="0" t="n">
        <v>3.21</v>
      </c>
      <c r="R828" s="0" t="n">
        <v>4542</v>
      </c>
      <c r="S828" s="0" t="n">
        <v>9903</v>
      </c>
      <c r="T828" s="0" t="n">
        <v>49.4</v>
      </c>
      <c r="U828" s="0" t="n">
        <v>879</v>
      </c>
      <c r="V828" s="0" t="n">
        <v>2</v>
      </c>
      <c r="W828" s="0" t="str">
        <f aca="false">IF(OR(AND(B828&gt;=1,B828&lt;=6),B828=10),"Vaca em lactação",IF(I828="Male","Macho",IF(E828&gt;=1,"Vaca seca",IF(I828="Youngstock","Bezerra/recria","Novilha"))))</f>
        <v>Vaca em lactação</v>
      </c>
      <c r="X828" s="0" t="str">
        <f aca="false">IF(AND(B828&gt;=1,B828&lt;=6),"Tanque",IF(B828=10,"Descarte",""))</f>
        <v>Tanque</v>
      </c>
    </row>
    <row r="829" customFormat="false" ht="15" hidden="false" customHeight="false" outlineLevel="0" collapsed="false">
      <c r="A829" s="22" t="n">
        <v>46309</v>
      </c>
      <c r="B829" s="0" t="n">
        <v>4</v>
      </c>
      <c r="C829" s="0" t="n">
        <v>5562</v>
      </c>
      <c r="D829" s="0" t="n">
        <v>240</v>
      </c>
      <c r="E829" s="0" t="n">
        <v>1</v>
      </c>
      <c r="F829" s="23" t="s">
        <v>632</v>
      </c>
      <c r="G829" s="0" t="n">
        <v>52.3</v>
      </c>
      <c r="H829" s="0" t="n">
        <v>50</v>
      </c>
      <c r="I829" s="23" t="s">
        <v>92</v>
      </c>
      <c r="J829" s="0" t="n">
        <v>65</v>
      </c>
      <c r="K829" s="0" t="n">
        <v>65</v>
      </c>
      <c r="L829" s="0" t="n">
        <v>175</v>
      </c>
      <c r="P829" s="0" t="n">
        <v>3.88</v>
      </c>
      <c r="Q829" s="0" t="n">
        <v>3.36</v>
      </c>
      <c r="R829" s="0" t="n">
        <v>4328</v>
      </c>
      <c r="S829" s="0" t="n">
        <v>10082</v>
      </c>
      <c r="T829" s="0" t="n">
        <v>52.3</v>
      </c>
      <c r="U829" s="0" t="n">
        <v>879</v>
      </c>
      <c r="V829" s="0" t="n">
        <v>1</v>
      </c>
      <c r="W829" s="0" t="str">
        <f aca="false">IF(OR(AND(B829&gt;=1,B829&lt;=6),B829=10),"Vaca em lactação",IF(I829="Male","Macho",IF(E829&gt;=1,"Vaca seca",IF(I829="Youngstock","Bezerra/recria","Novilha"))))</f>
        <v>Vaca em lactação</v>
      </c>
      <c r="X829" s="0" t="str">
        <f aca="false">IF(AND(B829&gt;=1,B829&lt;=6),"Tanque",IF(B829=10,"Descarte",""))</f>
        <v>Tanque</v>
      </c>
    </row>
    <row r="830" customFormat="false" ht="15" hidden="false" customHeight="false" outlineLevel="0" collapsed="false">
      <c r="A830" s="22" t="n">
        <v>46309</v>
      </c>
      <c r="B830" s="0" t="n">
        <v>4</v>
      </c>
      <c r="C830" s="0" t="n">
        <v>5566</v>
      </c>
      <c r="D830" s="0" t="n">
        <v>205</v>
      </c>
      <c r="E830" s="0" t="n">
        <v>1</v>
      </c>
      <c r="F830" s="23" t="s">
        <v>632</v>
      </c>
      <c r="G830" s="0" t="n">
        <v>48.9</v>
      </c>
      <c r="H830" s="0" t="n">
        <v>48</v>
      </c>
      <c r="I830" s="23" t="s">
        <v>97</v>
      </c>
      <c r="J830" s="0" t="n">
        <v>205</v>
      </c>
      <c r="K830" s="0" t="n">
        <v>65</v>
      </c>
      <c r="P830" s="0" t="n">
        <v>3.29</v>
      </c>
      <c r="Q830" s="0" t="n">
        <v>3.24</v>
      </c>
      <c r="R830" s="0" t="n">
        <v>4790</v>
      </c>
      <c r="S830" s="0" t="n">
        <v>9421</v>
      </c>
      <c r="T830" s="0" t="n">
        <v>55.2</v>
      </c>
      <c r="U830" s="0" t="n">
        <v>879</v>
      </c>
      <c r="V830" s="0" t="n">
        <v>4</v>
      </c>
      <c r="W830" s="0" t="str">
        <f aca="false">IF(OR(AND(B830&gt;=1,B830&lt;=6),B830=10),"Vaca em lactação",IF(I830="Male","Macho",IF(E830&gt;=1,"Vaca seca",IF(I830="Youngstock","Bezerra/recria","Novilha"))))</f>
        <v>Vaca em lactação</v>
      </c>
      <c r="X830" s="0" t="str">
        <f aca="false">IF(AND(B830&gt;=1,B830&lt;=6),"Tanque",IF(B830=10,"Descarte",""))</f>
        <v>Tanque</v>
      </c>
    </row>
    <row r="831" customFormat="false" ht="15" hidden="false" customHeight="false" outlineLevel="0" collapsed="false">
      <c r="A831" s="22" t="n">
        <v>46309</v>
      </c>
      <c r="B831" s="0" t="n">
        <v>4</v>
      </c>
      <c r="C831" s="0" t="n">
        <v>5565</v>
      </c>
      <c r="D831" s="0" t="n">
        <v>132</v>
      </c>
      <c r="E831" s="0" t="n">
        <v>1</v>
      </c>
      <c r="F831" s="23" t="s">
        <v>632</v>
      </c>
      <c r="G831" s="0" t="n">
        <v>52.6</v>
      </c>
      <c r="H831" s="0" t="n">
        <v>54</v>
      </c>
      <c r="I831" s="23" t="s">
        <v>97</v>
      </c>
      <c r="J831" s="0" t="n">
        <v>132</v>
      </c>
      <c r="K831" s="0" t="n">
        <v>69</v>
      </c>
      <c r="P831" s="0" t="n">
        <v>3.42</v>
      </c>
      <c r="Q831" s="0" t="n">
        <v>3.27</v>
      </c>
      <c r="R831" s="0" t="n">
        <v>4645</v>
      </c>
      <c r="S831" s="0" t="n">
        <v>9752</v>
      </c>
      <c r="T831" s="0" t="n">
        <v>47.5</v>
      </c>
      <c r="U831" s="0" t="n">
        <v>879</v>
      </c>
      <c r="V831" s="0" t="n">
        <v>2</v>
      </c>
      <c r="W831" s="0" t="str">
        <f aca="false">IF(OR(AND(B831&gt;=1,B831&lt;=6),B831=10),"Vaca em lactação",IF(I831="Male","Macho",IF(E831&gt;=1,"Vaca seca",IF(I831="Youngstock","Bezerra/recria","Novilha"))))</f>
        <v>Vaca em lactação</v>
      </c>
      <c r="X831" s="0" t="str">
        <f aca="false">IF(AND(B831&gt;=1,B831&lt;=6),"Tanque",IF(B831=10,"Descarte",""))</f>
        <v>Tanque</v>
      </c>
    </row>
    <row r="832" customFormat="false" ht="15" hidden="false" customHeight="false" outlineLevel="0" collapsed="false">
      <c r="A832" s="22" t="n">
        <v>46309</v>
      </c>
      <c r="B832" s="0" t="n">
        <v>4</v>
      </c>
      <c r="C832" s="0" t="n">
        <v>5564</v>
      </c>
      <c r="D832" s="0" t="n">
        <v>236</v>
      </c>
      <c r="E832" s="0" t="n">
        <v>1</v>
      </c>
      <c r="F832" s="23" t="s">
        <v>632</v>
      </c>
      <c r="G832" s="0" t="n">
        <v>42.1</v>
      </c>
      <c r="H832" s="0" t="n">
        <v>42</v>
      </c>
      <c r="I832" s="23" t="s">
        <v>92</v>
      </c>
      <c r="J832" s="0" t="n">
        <v>124</v>
      </c>
      <c r="K832" s="0" t="n">
        <v>68</v>
      </c>
      <c r="L832" s="0" t="n">
        <v>112</v>
      </c>
      <c r="P832" s="0" t="n">
        <v>3.08</v>
      </c>
      <c r="Q832" s="0" t="n">
        <v>3.43</v>
      </c>
      <c r="R832" s="0" t="n">
        <v>3221</v>
      </c>
      <c r="S832" s="0" t="n">
        <v>8498</v>
      </c>
      <c r="T832" s="0" t="n">
        <v>38.75</v>
      </c>
      <c r="U832" s="0" t="n">
        <v>879</v>
      </c>
      <c r="V832" s="0" t="n">
        <v>3</v>
      </c>
      <c r="W832" s="0" t="str">
        <f aca="false">IF(OR(AND(B832&gt;=1,B832&lt;=6),B832=10),"Vaca em lactação",IF(I832="Male","Macho",IF(E832&gt;=1,"Vaca seca",IF(I832="Youngstock","Bezerra/recria","Novilha"))))</f>
        <v>Vaca em lactação</v>
      </c>
      <c r="X832" s="0" t="str">
        <f aca="false">IF(AND(B832&gt;=1,B832&lt;=6),"Tanque",IF(B832=10,"Descarte",""))</f>
        <v>Tanque</v>
      </c>
    </row>
    <row r="833" customFormat="false" ht="15" hidden="false" customHeight="false" outlineLevel="0" collapsed="false">
      <c r="A833" s="22" t="n">
        <v>46309</v>
      </c>
      <c r="B833" s="0" t="n">
        <v>4</v>
      </c>
      <c r="C833" s="0" t="n">
        <v>5567</v>
      </c>
      <c r="D833" s="0" t="n">
        <v>235</v>
      </c>
      <c r="E833" s="0" t="n">
        <v>1</v>
      </c>
      <c r="F833" s="23" t="s">
        <v>632</v>
      </c>
      <c r="G833" s="0" t="n">
        <v>39.2</v>
      </c>
      <c r="H833" s="0" t="n">
        <v>44</v>
      </c>
      <c r="I833" s="23" t="s">
        <v>92</v>
      </c>
      <c r="J833" s="0" t="n">
        <v>67</v>
      </c>
      <c r="K833" s="0" t="n">
        <v>67</v>
      </c>
      <c r="L833" s="0" t="n">
        <v>168</v>
      </c>
      <c r="P833" s="0" t="n">
        <v>3.47</v>
      </c>
      <c r="Q833" s="0" t="n">
        <v>3.55</v>
      </c>
      <c r="R833" s="0" t="n">
        <v>4274</v>
      </c>
      <c r="S833" s="0" t="n">
        <v>9814</v>
      </c>
      <c r="T833" s="0" t="n">
        <v>44.85</v>
      </c>
      <c r="U833" s="0" t="n">
        <v>879</v>
      </c>
      <c r="V833" s="0" t="n">
        <v>1</v>
      </c>
      <c r="W833" s="0" t="str">
        <f aca="false">IF(OR(AND(B833&gt;=1,B833&lt;=6),B833=10),"Vaca em lactação",IF(I833="Male","Macho",IF(E833&gt;=1,"Vaca seca",IF(I833="Youngstock","Bezerra/recria","Novilha"))))</f>
        <v>Vaca em lactação</v>
      </c>
      <c r="X833" s="0" t="str">
        <f aca="false">IF(AND(B833&gt;=1,B833&lt;=6),"Tanque",IF(B833=10,"Descarte",""))</f>
        <v>Tanque</v>
      </c>
    </row>
    <row r="834" customFormat="false" ht="15" hidden="false" customHeight="false" outlineLevel="0" collapsed="false">
      <c r="A834" s="22" t="n">
        <v>46309</v>
      </c>
      <c r="B834" s="0" t="n">
        <v>4</v>
      </c>
      <c r="C834" s="0" t="n">
        <v>5569</v>
      </c>
      <c r="D834" s="0" t="n">
        <v>172</v>
      </c>
      <c r="E834" s="0" t="n">
        <v>1</v>
      </c>
      <c r="F834" s="23" t="s">
        <v>632</v>
      </c>
      <c r="G834" s="0" t="n">
        <v>46.1</v>
      </c>
      <c r="H834" s="0" t="n">
        <v>47</v>
      </c>
      <c r="I834" s="23" t="s">
        <v>92</v>
      </c>
      <c r="J834" s="0" t="n">
        <v>109</v>
      </c>
      <c r="K834" s="0" t="n">
        <v>67</v>
      </c>
      <c r="L834" s="0" t="n">
        <v>63</v>
      </c>
      <c r="P834" s="0" t="n">
        <v>3.73</v>
      </c>
      <c r="Q834" s="0" t="n">
        <v>3.45</v>
      </c>
      <c r="R834" s="0" t="n">
        <v>3596</v>
      </c>
      <c r="S834" s="0" t="n">
        <v>8077</v>
      </c>
      <c r="T834" s="0" t="n">
        <v>42</v>
      </c>
      <c r="U834" s="0" t="n">
        <v>879</v>
      </c>
      <c r="V834" s="0" t="n">
        <v>2</v>
      </c>
      <c r="W834" s="0" t="str">
        <f aca="false">IF(OR(AND(B834&gt;=1,B834&lt;=6),B834=10),"Vaca em lactação",IF(I834="Male","Macho",IF(E834&gt;=1,"Vaca seca",IF(I834="Youngstock","Bezerra/recria","Novilha"))))</f>
        <v>Vaca em lactação</v>
      </c>
      <c r="X834" s="0" t="str">
        <f aca="false">IF(AND(B834&gt;=1,B834&lt;=6),"Tanque",IF(B834=10,"Descarte",""))</f>
        <v>Tanque</v>
      </c>
    </row>
    <row r="835" customFormat="false" ht="15" hidden="false" customHeight="false" outlineLevel="0" collapsed="false">
      <c r="A835" s="22" t="n">
        <v>46309</v>
      </c>
      <c r="B835" s="0" t="n">
        <v>4</v>
      </c>
      <c r="C835" s="0" t="n">
        <v>5535</v>
      </c>
      <c r="D835" s="0" t="n">
        <v>213</v>
      </c>
      <c r="E835" s="0" t="n">
        <v>1</v>
      </c>
      <c r="F835" s="23" t="s">
        <v>633</v>
      </c>
      <c r="G835" s="0" t="n">
        <v>40.6</v>
      </c>
      <c r="H835" s="0" t="n">
        <v>43</v>
      </c>
      <c r="I835" s="23" t="s">
        <v>92</v>
      </c>
      <c r="J835" s="0" t="n">
        <v>122</v>
      </c>
      <c r="K835" s="0" t="n">
        <v>66</v>
      </c>
      <c r="L835" s="0" t="n">
        <v>91</v>
      </c>
      <c r="P835" s="0" t="n">
        <v>4.78</v>
      </c>
      <c r="Q835" s="0" t="n">
        <v>3.4</v>
      </c>
      <c r="R835" s="0" t="n">
        <v>3855</v>
      </c>
      <c r="S835" s="0" t="n">
        <v>8403</v>
      </c>
      <c r="T835" s="0" t="n">
        <v>42.35</v>
      </c>
      <c r="U835" s="0" t="n">
        <v>889</v>
      </c>
      <c r="V835" s="0" t="n">
        <v>3</v>
      </c>
      <c r="W835" s="0" t="str">
        <f aca="false">IF(OR(AND(B835&gt;=1,B835&lt;=6),B835=10),"Vaca em lactação",IF(I835="Male","Macho",IF(E835&gt;=1,"Vaca seca",IF(I835="Youngstock","Bezerra/recria","Novilha"))))</f>
        <v>Vaca em lactação</v>
      </c>
      <c r="X835" s="0" t="str">
        <f aca="false">IF(AND(B835&gt;=1,B835&lt;=6),"Tanque",IF(B835=10,"Descarte",""))</f>
        <v>Tanque</v>
      </c>
    </row>
    <row r="836" customFormat="false" ht="15" hidden="false" customHeight="false" outlineLevel="0" collapsed="false">
      <c r="A836" s="22" t="n">
        <v>46309</v>
      </c>
      <c r="B836" s="0" t="n">
        <v>4</v>
      </c>
      <c r="C836" s="0" t="n">
        <v>5537</v>
      </c>
      <c r="D836" s="0" t="n">
        <v>205</v>
      </c>
      <c r="E836" s="0" t="n">
        <v>1</v>
      </c>
      <c r="F836" s="23" t="s">
        <v>634</v>
      </c>
      <c r="G836" s="0" t="n">
        <v>39.6</v>
      </c>
      <c r="H836" s="0" t="n">
        <v>41</v>
      </c>
      <c r="I836" s="23" t="s">
        <v>92</v>
      </c>
      <c r="J836" s="0" t="n">
        <v>118</v>
      </c>
      <c r="K836" s="0" t="n">
        <v>65</v>
      </c>
      <c r="L836" s="0" t="n">
        <v>87</v>
      </c>
      <c r="P836" s="0" t="n">
        <v>3.61</v>
      </c>
      <c r="Q836" s="0" t="n">
        <v>3.64</v>
      </c>
      <c r="R836" s="0" t="n">
        <v>3250</v>
      </c>
      <c r="S836" s="0" t="n">
        <v>7267</v>
      </c>
      <c r="T836" s="0" t="n">
        <v>36.65</v>
      </c>
      <c r="U836" s="0" t="n">
        <v>888</v>
      </c>
      <c r="V836" s="0" t="n">
        <v>4</v>
      </c>
      <c r="W836" s="0" t="str">
        <f aca="false">IF(OR(AND(B836&gt;=1,B836&lt;=6),B836=10),"Vaca em lactação",IF(I836="Male","Macho",IF(E836&gt;=1,"Vaca seca",IF(I836="Youngstock","Bezerra/recria","Novilha"))))</f>
        <v>Vaca em lactação</v>
      </c>
      <c r="X836" s="0" t="str">
        <f aca="false">IF(AND(B836&gt;=1,B836&lt;=6),"Tanque",IF(B836=10,"Descarte",""))</f>
        <v>Tanque</v>
      </c>
    </row>
    <row r="837" customFormat="false" ht="15" hidden="false" customHeight="false" outlineLevel="0" collapsed="false">
      <c r="A837" s="22" t="n">
        <v>46309</v>
      </c>
      <c r="B837" s="0" t="n">
        <v>4</v>
      </c>
      <c r="C837" s="0" t="n">
        <v>5536</v>
      </c>
      <c r="D837" s="0" t="n">
        <v>224</v>
      </c>
      <c r="E837" s="0" t="n">
        <v>1</v>
      </c>
      <c r="F837" s="23" t="s">
        <v>634</v>
      </c>
      <c r="G837" s="0" t="n">
        <v>45.7</v>
      </c>
      <c r="H837" s="0" t="n">
        <v>41</v>
      </c>
      <c r="I837" s="23" t="s">
        <v>97</v>
      </c>
      <c r="J837" s="0" t="n">
        <v>224</v>
      </c>
      <c r="K837" s="0" t="n">
        <v>63</v>
      </c>
      <c r="P837" s="0" t="n">
        <v>3.55</v>
      </c>
      <c r="Q837" s="0" t="n">
        <v>3.61</v>
      </c>
      <c r="R837" s="0" t="n">
        <v>4607</v>
      </c>
      <c r="S837" s="0" t="n">
        <v>10206</v>
      </c>
      <c r="T837" s="0" t="n">
        <v>50.35</v>
      </c>
      <c r="U837" s="0" t="n">
        <v>888</v>
      </c>
      <c r="V837" s="0" t="n">
        <v>5</v>
      </c>
      <c r="W837" s="0" t="str">
        <f aca="false">IF(OR(AND(B837&gt;=1,B837&lt;=6),B837=10),"Vaca em lactação",IF(I837="Male","Macho",IF(E837&gt;=1,"Vaca seca",IF(I837="Youngstock","Bezerra/recria","Novilha"))))</f>
        <v>Vaca em lactação</v>
      </c>
      <c r="X837" s="0" t="str">
        <f aca="false">IF(AND(B837&gt;=1,B837&lt;=6),"Tanque",IF(B837=10,"Descarte",""))</f>
        <v>Tanque</v>
      </c>
    </row>
    <row r="838" customFormat="false" ht="15" hidden="false" customHeight="false" outlineLevel="0" collapsed="false">
      <c r="A838" s="22" t="n">
        <v>46309</v>
      </c>
      <c r="B838" s="0" t="n">
        <v>4</v>
      </c>
      <c r="C838" s="0" t="n">
        <v>5543</v>
      </c>
      <c r="D838" s="0" t="n">
        <v>172</v>
      </c>
      <c r="E838" s="0" t="n">
        <v>1</v>
      </c>
      <c r="F838" s="23" t="s">
        <v>635</v>
      </c>
      <c r="G838" s="0" t="n">
        <v>25.3</v>
      </c>
      <c r="H838" s="0" t="n">
        <v>24</v>
      </c>
      <c r="I838" s="23" t="s">
        <v>92</v>
      </c>
      <c r="J838" s="0" t="n">
        <v>102</v>
      </c>
      <c r="K838" s="0" t="n">
        <v>67</v>
      </c>
      <c r="L838" s="0" t="n">
        <v>70</v>
      </c>
      <c r="P838" s="0" t="n">
        <v>3.68</v>
      </c>
      <c r="Q838" s="0" t="n">
        <v>3.6</v>
      </c>
      <c r="R838" s="0" t="n">
        <v>3747</v>
      </c>
      <c r="S838" s="0" t="n">
        <v>7986</v>
      </c>
      <c r="T838" s="0" t="n">
        <v>41.15</v>
      </c>
      <c r="U838" s="0" t="n">
        <v>885</v>
      </c>
      <c r="V838" s="0" t="n">
        <v>2</v>
      </c>
      <c r="W838" s="0" t="str">
        <f aca="false">IF(OR(AND(B838&gt;=1,B838&lt;=6),B838=10),"Vaca em lactação",IF(I838="Male","Macho",IF(E838&gt;=1,"Vaca seca",IF(I838="Youngstock","Bezerra/recria","Novilha"))))</f>
        <v>Vaca em lactação</v>
      </c>
      <c r="X838" s="0" t="str">
        <f aca="false">IF(AND(B838&gt;=1,B838&lt;=6),"Tanque",IF(B838=10,"Descarte",""))</f>
        <v>Tanque</v>
      </c>
    </row>
    <row r="839" customFormat="false" ht="15" hidden="false" customHeight="false" outlineLevel="0" collapsed="false">
      <c r="A839" s="22" t="n">
        <v>46309</v>
      </c>
      <c r="B839" s="0" t="n">
        <v>4</v>
      </c>
      <c r="C839" s="0" t="n">
        <v>5542</v>
      </c>
      <c r="D839" s="0" t="n">
        <v>160</v>
      </c>
      <c r="E839" s="0" t="n">
        <v>1</v>
      </c>
      <c r="F839" s="23" t="s">
        <v>636</v>
      </c>
      <c r="G839" s="0" t="n">
        <v>43.9</v>
      </c>
      <c r="H839" s="0" t="n">
        <v>48</v>
      </c>
      <c r="I839" s="23" t="s">
        <v>92</v>
      </c>
      <c r="J839" s="0" t="n">
        <v>125</v>
      </c>
      <c r="K839" s="0" t="n">
        <v>69</v>
      </c>
      <c r="L839" s="0" t="n">
        <v>35</v>
      </c>
      <c r="P839" s="0" t="n">
        <v>3.9</v>
      </c>
      <c r="Q839" s="0" t="n">
        <v>3.07</v>
      </c>
      <c r="R839" s="0" t="n">
        <v>4387</v>
      </c>
      <c r="S839" s="0" t="n">
        <v>9379</v>
      </c>
      <c r="T839" s="0" t="n">
        <v>48</v>
      </c>
      <c r="U839" s="0" t="n">
        <v>886</v>
      </c>
      <c r="V839" s="0" t="n">
        <v>3</v>
      </c>
      <c r="W839" s="0" t="str">
        <f aca="false">IF(OR(AND(B839&gt;=1,B839&lt;=6),B839=10),"Vaca em lactação",IF(I839="Male","Macho",IF(E839&gt;=1,"Vaca seca",IF(I839="Youngstock","Bezerra/recria","Novilha"))))</f>
        <v>Vaca em lactação</v>
      </c>
      <c r="X839" s="0" t="str">
        <f aca="false">IF(AND(B839&gt;=1,B839&lt;=6),"Tanque",IF(B839=10,"Descarte",""))</f>
        <v>Tanque</v>
      </c>
    </row>
    <row r="840" customFormat="false" ht="15" hidden="false" customHeight="false" outlineLevel="0" collapsed="false">
      <c r="A840" s="22" t="n">
        <v>46309</v>
      </c>
      <c r="B840" s="0" t="n">
        <v>4</v>
      </c>
      <c r="C840" s="0" t="n">
        <v>5541</v>
      </c>
      <c r="D840" s="0" t="n">
        <v>125</v>
      </c>
      <c r="E840" s="0" t="n">
        <v>1</v>
      </c>
      <c r="F840" s="23" t="s">
        <v>636</v>
      </c>
      <c r="G840" s="0" t="n">
        <v>52.5</v>
      </c>
      <c r="H840" s="0" t="n">
        <v>51</v>
      </c>
      <c r="I840" s="23" t="s">
        <v>97</v>
      </c>
      <c r="J840" s="0" t="n">
        <v>125</v>
      </c>
      <c r="K840" s="0" t="n">
        <v>77</v>
      </c>
      <c r="P840" s="0" t="n">
        <v>3.83</v>
      </c>
      <c r="Q840" s="0" t="n">
        <v>3.33</v>
      </c>
      <c r="R840" s="0" t="n">
        <v>4739</v>
      </c>
      <c r="S840" s="0" t="n">
        <v>9728</v>
      </c>
      <c r="T840" s="0" t="n">
        <v>48.3</v>
      </c>
      <c r="U840" s="0" t="n">
        <v>886</v>
      </c>
      <c r="V840" s="0" t="n">
        <v>2</v>
      </c>
      <c r="W840" s="0" t="str">
        <f aca="false">IF(OR(AND(B840&gt;=1,B840&lt;=6),B840=10),"Vaca em lactação",IF(I840="Male","Macho",IF(E840&gt;=1,"Vaca seca",IF(I840="Youngstock","Bezerra/recria","Novilha"))))</f>
        <v>Vaca em lactação</v>
      </c>
      <c r="X840" s="0" t="str">
        <f aca="false">IF(AND(B840&gt;=1,B840&lt;=6),"Tanque",IF(B840=10,"Descarte",""))</f>
        <v>Tanque</v>
      </c>
    </row>
    <row r="841" customFormat="false" ht="15" hidden="false" customHeight="false" outlineLevel="0" collapsed="false">
      <c r="A841" s="22" t="n">
        <v>46309</v>
      </c>
      <c r="B841" s="0" t="n">
        <v>4</v>
      </c>
      <c r="C841" s="0" t="n">
        <v>5549</v>
      </c>
      <c r="D841" s="0" t="n">
        <v>170</v>
      </c>
      <c r="E841" s="0" t="n">
        <v>1</v>
      </c>
      <c r="F841" s="23" t="s">
        <v>637</v>
      </c>
      <c r="G841" s="0" t="n">
        <v>46.9</v>
      </c>
      <c r="H841" s="0" t="n">
        <v>47</v>
      </c>
      <c r="I841" s="23" t="s">
        <v>92</v>
      </c>
      <c r="J841" s="0" t="n">
        <v>135</v>
      </c>
      <c r="K841" s="0" t="n">
        <v>65</v>
      </c>
      <c r="L841" s="0" t="n">
        <v>35</v>
      </c>
      <c r="P841" s="0" t="n">
        <v>3.21</v>
      </c>
      <c r="Q841" s="0" t="n">
        <v>3.39</v>
      </c>
      <c r="R841" s="0" t="n">
        <v>4004</v>
      </c>
      <c r="S841" s="0" t="n">
        <v>8899</v>
      </c>
      <c r="T841" s="0" t="n">
        <v>43.6</v>
      </c>
      <c r="U841" s="0" t="n">
        <v>884</v>
      </c>
      <c r="V841" s="0" t="n">
        <v>3</v>
      </c>
      <c r="W841" s="0" t="str">
        <f aca="false">IF(OR(AND(B841&gt;=1,B841&lt;=6),B841=10),"Vaca em lactação",IF(I841="Male","Macho",IF(E841&gt;=1,"Vaca seca",IF(I841="Youngstock","Bezerra/recria","Novilha"))))</f>
        <v>Vaca em lactação</v>
      </c>
      <c r="X841" s="0" t="str">
        <f aca="false">IF(AND(B841&gt;=1,B841&lt;=6),"Tanque",IF(B841=10,"Descarte",""))</f>
        <v>Tanque</v>
      </c>
    </row>
    <row r="842" customFormat="false" ht="15" hidden="false" customHeight="false" outlineLevel="0" collapsed="false">
      <c r="A842" s="22" t="n">
        <v>46309</v>
      </c>
      <c r="B842" s="0" t="n">
        <v>4</v>
      </c>
      <c r="C842" s="0" t="n">
        <v>5550</v>
      </c>
      <c r="D842" s="0" t="n">
        <v>221</v>
      </c>
      <c r="E842" s="0" t="n">
        <v>1</v>
      </c>
      <c r="F842" s="23" t="s">
        <v>637</v>
      </c>
      <c r="G842" s="0" t="n">
        <v>54.8</v>
      </c>
      <c r="H842" s="0" t="n">
        <v>55</v>
      </c>
      <c r="I842" s="23" t="s">
        <v>92</v>
      </c>
      <c r="J842" s="0" t="n">
        <v>165</v>
      </c>
      <c r="K842" s="0" t="n">
        <v>67</v>
      </c>
      <c r="L842" s="0" t="n">
        <v>56</v>
      </c>
      <c r="P842" s="0" t="n">
        <v>3.41</v>
      </c>
      <c r="Q842" s="0" t="n">
        <v>3.5</v>
      </c>
      <c r="R842" s="0" t="n">
        <v>4402</v>
      </c>
      <c r="S842" s="0" t="n">
        <v>10023</v>
      </c>
      <c r="T842" s="0" t="n">
        <v>47.45</v>
      </c>
      <c r="U842" s="0" t="n">
        <v>884</v>
      </c>
      <c r="V842" s="0" t="n">
        <v>4</v>
      </c>
      <c r="W842" s="0" t="str">
        <f aca="false">IF(OR(AND(B842&gt;=1,B842&lt;=6),B842=10),"Vaca em lactação",IF(I842="Male","Macho",IF(E842&gt;=1,"Vaca seca",IF(I842="Youngstock","Bezerra/recria","Novilha"))))</f>
        <v>Vaca em lactação</v>
      </c>
      <c r="X842" s="0" t="str">
        <f aca="false">IF(AND(B842&gt;=1,B842&lt;=6),"Tanque",IF(B842=10,"Descarte",""))</f>
        <v>Tanque</v>
      </c>
    </row>
    <row r="843" customFormat="false" ht="15" hidden="false" customHeight="false" outlineLevel="0" collapsed="false">
      <c r="A843" s="22" t="n">
        <v>46309</v>
      </c>
      <c r="B843" s="0" t="n">
        <v>4</v>
      </c>
      <c r="C843" s="0" t="n">
        <v>5552</v>
      </c>
      <c r="D843" s="0" t="n">
        <v>242</v>
      </c>
      <c r="E843" s="0" t="n">
        <v>1</v>
      </c>
      <c r="F843" s="23" t="s">
        <v>630</v>
      </c>
      <c r="G843" s="0" t="n">
        <v>48.5</v>
      </c>
      <c r="H843" s="0" t="n">
        <v>49</v>
      </c>
      <c r="I843" s="23" t="s">
        <v>92</v>
      </c>
      <c r="J843" s="0" t="n">
        <v>67</v>
      </c>
      <c r="K843" s="0" t="n">
        <v>67</v>
      </c>
      <c r="L843" s="0" t="n">
        <v>175</v>
      </c>
      <c r="P843" s="0" t="n">
        <v>3.53</v>
      </c>
      <c r="Q843" s="0" t="n">
        <v>3.61</v>
      </c>
      <c r="R843" s="0" t="n">
        <v>4270</v>
      </c>
      <c r="S843" s="0" t="n">
        <v>9932</v>
      </c>
      <c r="T843" s="0" t="n">
        <v>44.2</v>
      </c>
      <c r="U843" s="0" t="n">
        <v>883</v>
      </c>
      <c r="V843" s="0" t="n">
        <v>1</v>
      </c>
      <c r="W843" s="0" t="str">
        <f aca="false">IF(OR(AND(B843&gt;=1,B843&lt;=6),B843=10),"Vaca em lactação",IF(I843="Male","Macho",IF(E843&gt;=1,"Vaca seca",IF(I843="Youngstock","Bezerra/recria","Novilha"))))</f>
        <v>Vaca em lactação</v>
      </c>
      <c r="X843" s="0" t="str">
        <f aca="false">IF(AND(B843&gt;=1,B843&lt;=6),"Tanque",IF(B843=10,"Descarte",""))</f>
        <v>Tanque</v>
      </c>
    </row>
    <row r="844" customFormat="false" ht="15" hidden="false" customHeight="false" outlineLevel="0" collapsed="false">
      <c r="A844" s="22" t="n">
        <v>46309</v>
      </c>
      <c r="B844" s="0" t="n">
        <v>4</v>
      </c>
      <c r="C844" s="0" t="n">
        <v>5551</v>
      </c>
      <c r="D844" s="0" t="n">
        <v>237</v>
      </c>
      <c r="E844" s="0" t="n">
        <v>1</v>
      </c>
      <c r="F844" s="23" t="s">
        <v>630</v>
      </c>
      <c r="G844" s="0" t="n">
        <v>48.5</v>
      </c>
      <c r="H844" s="0" t="n">
        <v>49</v>
      </c>
      <c r="I844" s="23" t="s">
        <v>92</v>
      </c>
      <c r="J844" s="0" t="n">
        <v>69</v>
      </c>
      <c r="K844" s="0" t="n">
        <v>69</v>
      </c>
      <c r="L844" s="0" t="n">
        <v>168</v>
      </c>
      <c r="P844" s="0" t="n">
        <v>4.19</v>
      </c>
      <c r="Q844" s="0" t="n">
        <v>3.42</v>
      </c>
      <c r="R844" s="0" t="n">
        <v>3702</v>
      </c>
      <c r="S844" s="0" t="n">
        <v>8541</v>
      </c>
      <c r="T844" s="0" t="n">
        <v>40.6</v>
      </c>
      <c r="U844" s="0" t="n">
        <v>883</v>
      </c>
      <c r="V844" s="0" t="n">
        <v>1</v>
      </c>
      <c r="W844" s="0" t="str">
        <f aca="false">IF(OR(AND(B844&gt;=1,B844&lt;=6),B844=10),"Vaca em lactação",IF(I844="Male","Macho",IF(E844&gt;=1,"Vaca seca",IF(I844="Youngstock","Bezerra/recria","Novilha"))))</f>
        <v>Vaca em lactação</v>
      </c>
      <c r="X844" s="0" t="str">
        <f aca="false">IF(AND(B844&gt;=1,B844&lt;=6),"Tanque",IF(B844=10,"Descarte",""))</f>
        <v>Tanque</v>
      </c>
    </row>
    <row r="845" customFormat="false" ht="15" hidden="false" customHeight="false" outlineLevel="0" collapsed="false">
      <c r="A845" s="22" t="n">
        <v>46309</v>
      </c>
      <c r="B845" s="0" t="n">
        <v>4</v>
      </c>
      <c r="C845" s="0" t="n">
        <v>5525</v>
      </c>
      <c r="D845" s="0" t="n">
        <v>253</v>
      </c>
      <c r="E845" s="0" t="n">
        <v>1</v>
      </c>
      <c r="F845" s="23" t="s">
        <v>638</v>
      </c>
      <c r="G845" s="0" t="n">
        <v>42.5</v>
      </c>
      <c r="H845" s="0" t="n">
        <v>42</v>
      </c>
      <c r="I845" s="23" t="s">
        <v>92</v>
      </c>
      <c r="J845" s="0" t="n">
        <v>87</v>
      </c>
      <c r="K845" s="0" t="n">
        <v>64</v>
      </c>
      <c r="L845" s="0" t="n">
        <v>166</v>
      </c>
      <c r="M845" s="0" t="n">
        <v>345.04</v>
      </c>
      <c r="N845" s="0" t="n">
        <v>45.72</v>
      </c>
      <c r="O845" s="0" t="n">
        <v>45.8</v>
      </c>
      <c r="P845" s="0" t="n">
        <v>4.11</v>
      </c>
      <c r="Q845" s="0" t="n">
        <v>3.67</v>
      </c>
      <c r="R845" s="0" t="n">
        <v>4064</v>
      </c>
      <c r="S845" s="0" t="n">
        <v>9155</v>
      </c>
      <c r="T845" s="0" t="n">
        <v>41.75</v>
      </c>
      <c r="U845" s="0" t="n">
        <v>892</v>
      </c>
      <c r="V845" s="0" t="n">
        <v>2</v>
      </c>
      <c r="W845" s="0" t="str">
        <f aca="false">IF(OR(AND(B845&gt;=1,B845&lt;=6),B845=10),"Vaca em lactação",IF(I845="Male","Macho",IF(E845&gt;=1,"Vaca seca",IF(I845="Youngstock","Bezerra/recria","Novilha"))))</f>
        <v>Vaca em lactação</v>
      </c>
      <c r="X845" s="0" t="str">
        <f aca="false">IF(AND(B845&gt;=1,B845&lt;=6),"Tanque",IF(B845=10,"Descarte",""))</f>
        <v>Tanque</v>
      </c>
    </row>
    <row r="846" customFormat="false" ht="15" hidden="false" customHeight="false" outlineLevel="0" collapsed="false">
      <c r="A846" s="22" t="n">
        <v>46309</v>
      </c>
      <c r="B846" s="0" t="n">
        <v>4</v>
      </c>
      <c r="C846" s="0" t="n">
        <v>5534</v>
      </c>
      <c r="D846" s="0" t="n">
        <v>203</v>
      </c>
      <c r="E846" s="0" t="n">
        <v>1</v>
      </c>
      <c r="F846" s="23" t="s">
        <v>638</v>
      </c>
      <c r="G846" s="0" t="n">
        <v>49.3</v>
      </c>
      <c r="H846" s="0" t="n">
        <v>48</v>
      </c>
      <c r="I846" s="23" t="s">
        <v>92</v>
      </c>
      <c r="J846" s="0" t="n">
        <v>63</v>
      </c>
      <c r="K846" s="0" t="n">
        <v>63</v>
      </c>
      <c r="L846" s="0" t="n">
        <v>140</v>
      </c>
      <c r="P846" s="0" t="n">
        <v>5.03</v>
      </c>
      <c r="Q846" s="0" t="n">
        <v>3.67</v>
      </c>
      <c r="R846" s="0" t="n">
        <v>4065</v>
      </c>
      <c r="S846" s="0" t="n">
        <v>8814</v>
      </c>
      <c r="T846" s="0" t="n">
        <v>45.1</v>
      </c>
      <c r="U846" s="0" t="n">
        <v>892</v>
      </c>
      <c r="V846" s="0" t="n">
        <v>1</v>
      </c>
      <c r="W846" s="0" t="str">
        <f aca="false">IF(OR(AND(B846&gt;=1,B846&lt;=6),B846=10),"Vaca em lactação",IF(I846="Male","Macho",IF(E846&gt;=1,"Vaca seca",IF(I846="Youngstock","Bezerra/recria","Novilha"))))</f>
        <v>Vaca em lactação</v>
      </c>
      <c r="X846" s="0" t="str">
        <f aca="false">IF(AND(B846&gt;=1,B846&lt;=6),"Tanque",IF(B846=10,"Descarte",""))</f>
        <v>Tanque</v>
      </c>
    </row>
    <row r="847" customFormat="false" ht="15" hidden="false" customHeight="false" outlineLevel="0" collapsed="false">
      <c r="A847" s="22" t="n">
        <v>46309</v>
      </c>
      <c r="B847" s="0" t="n">
        <v>4</v>
      </c>
      <c r="C847" s="0" t="n">
        <v>5533</v>
      </c>
      <c r="D847" s="0" t="n">
        <v>241</v>
      </c>
      <c r="E847" s="0" t="n">
        <v>1</v>
      </c>
      <c r="F847" s="23" t="s">
        <v>638</v>
      </c>
      <c r="G847" s="0" t="n">
        <v>49.5</v>
      </c>
      <c r="H847" s="0" t="n">
        <v>49</v>
      </c>
      <c r="I847" s="23" t="s">
        <v>92</v>
      </c>
      <c r="J847" s="0" t="n">
        <v>66</v>
      </c>
      <c r="K847" s="0" t="n">
        <v>66</v>
      </c>
      <c r="L847" s="0" t="n">
        <v>175</v>
      </c>
      <c r="P847" s="0" t="n">
        <v>4.24</v>
      </c>
      <c r="Q847" s="0" t="n">
        <v>3.28</v>
      </c>
      <c r="R847" s="0" t="n">
        <v>4835</v>
      </c>
      <c r="S847" s="0" t="n">
        <v>10672</v>
      </c>
      <c r="T847" s="0" t="n">
        <v>50.4</v>
      </c>
      <c r="U847" s="0" t="n">
        <v>892</v>
      </c>
      <c r="V847" s="0" t="n">
        <v>1</v>
      </c>
      <c r="W847" s="0" t="str">
        <f aca="false">IF(OR(AND(B847&gt;=1,B847&lt;=6),B847=10),"Vaca em lactação",IF(I847="Male","Macho",IF(E847&gt;=1,"Vaca seca",IF(I847="Youngstock","Bezerra/recria","Novilha"))))</f>
        <v>Vaca em lactação</v>
      </c>
      <c r="X847" s="0" t="str">
        <f aca="false">IF(AND(B847&gt;=1,B847&lt;=6),"Tanque",IF(B847=10,"Descarte",""))</f>
        <v>Tanque</v>
      </c>
    </row>
    <row r="848" customFormat="false" ht="15" hidden="false" customHeight="false" outlineLevel="0" collapsed="false">
      <c r="A848" s="22" t="n">
        <v>46309</v>
      </c>
      <c r="B848" s="0" t="n">
        <v>4</v>
      </c>
      <c r="C848" s="0" t="n">
        <v>5529</v>
      </c>
      <c r="D848" s="0" t="n">
        <v>217</v>
      </c>
      <c r="E848" s="0" t="n">
        <v>1</v>
      </c>
      <c r="F848" s="23" t="s">
        <v>622</v>
      </c>
      <c r="G848" s="0" t="n">
        <v>44.9</v>
      </c>
      <c r="H848" s="0" t="n">
        <v>49</v>
      </c>
      <c r="I848" s="23" t="s">
        <v>92</v>
      </c>
      <c r="J848" s="0" t="n">
        <v>63</v>
      </c>
      <c r="K848" s="0" t="n">
        <v>63</v>
      </c>
      <c r="L848" s="0" t="n">
        <v>154</v>
      </c>
      <c r="P848" s="0" t="n">
        <v>2.62</v>
      </c>
      <c r="Q848" s="0" t="n">
        <v>3.22</v>
      </c>
      <c r="R848" s="0" t="n">
        <v>4233</v>
      </c>
      <c r="S848" s="0" t="n">
        <v>9849</v>
      </c>
      <c r="T848" s="0" t="n">
        <v>50.35</v>
      </c>
      <c r="U848" s="0" t="n">
        <v>894</v>
      </c>
      <c r="V848" s="0" t="n">
        <v>1</v>
      </c>
      <c r="W848" s="0" t="str">
        <f aca="false">IF(OR(AND(B848&gt;=1,B848&lt;=6),B848=10),"Vaca em lactação",IF(I848="Male","Macho",IF(E848&gt;=1,"Vaca seca",IF(I848="Youngstock","Bezerra/recria","Novilha"))))</f>
        <v>Vaca em lactação</v>
      </c>
      <c r="X848" s="0" t="str">
        <f aca="false">IF(AND(B848&gt;=1,B848&lt;=6),"Tanque",IF(B848=10,"Descarte",""))</f>
        <v>Tanque</v>
      </c>
    </row>
    <row r="849" customFormat="false" ht="15" hidden="false" customHeight="false" outlineLevel="0" collapsed="false">
      <c r="A849" s="22" t="n">
        <v>46309</v>
      </c>
      <c r="B849" s="0" t="n">
        <v>4</v>
      </c>
      <c r="C849" s="0" t="n">
        <v>5630</v>
      </c>
      <c r="D849" s="0" t="n">
        <v>204</v>
      </c>
      <c r="E849" s="0" t="n">
        <v>1</v>
      </c>
      <c r="F849" s="23" t="s">
        <v>639</v>
      </c>
      <c r="G849" s="0" t="n">
        <v>43.1</v>
      </c>
      <c r="H849" s="0" t="n">
        <v>42</v>
      </c>
      <c r="I849" s="23" t="s">
        <v>92</v>
      </c>
      <c r="J849" s="0" t="n">
        <v>71</v>
      </c>
      <c r="K849" s="0" t="n">
        <v>71</v>
      </c>
      <c r="L849" s="0" t="n">
        <v>133</v>
      </c>
      <c r="P849" s="0" t="n">
        <v>5.45</v>
      </c>
      <c r="Q849" s="0" t="n">
        <v>4.02</v>
      </c>
      <c r="R849" s="0" t="n">
        <v>3259</v>
      </c>
      <c r="S849" s="0" t="n">
        <v>7394</v>
      </c>
      <c r="T849" s="0" t="n">
        <v>38.7</v>
      </c>
      <c r="U849" s="0" t="n">
        <v>859</v>
      </c>
      <c r="V849" s="0" t="n">
        <v>1</v>
      </c>
      <c r="W849" s="0" t="str">
        <f aca="false">IF(OR(AND(B849&gt;=1,B849&lt;=6),B849=10),"Vaca em lactação",IF(I849="Male","Macho",IF(E849&gt;=1,"Vaca seca",IF(I849="Youngstock","Bezerra/recria","Novilha"))))</f>
        <v>Vaca em lactação</v>
      </c>
      <c r="X849" s="0" t="str">
        <f aca="false">IF(AND(B849&gt;=1,B849&lt;=6),"Tanque",IF(B849=10,"Descarte",""))</f>
        <v>Tanque</v>
      </c>
    </row>
    <row r="850" customFormat="false" ht="15" hidden="false" customHeight="false" outlineLevel="0" collapsed="false">
      <c r="A850" s="22" t="n">
        <v>46309</v>
      </c>
      <c r="B850" s="0" t="n">
        <v>4</v>
      </c>
      <c r="C850" s="0" t="n">
        <v>5632</v>
      </c>
      <c r="D850" s="0" t="n">
        <v>232</v>
      </c>
      <c r="E850" s="0" t="n">
        <v>1</v>
      </c>
      <c r="F850" s="23" t="s">
        <v>640</v>
      </c>
      <c r="G850" s="0" t="n">
        <v>38.5</v>
      </c>
      <c r="H850" s="0" t="n">
        <v>41</v>
      </c>
      <c r="I850" s="23" t="s">
        <v>92</v>
      </c>
      <c r="J850" s="0" t="n">
        <v>64</v>
      </c>
      <c r="K850" s="0" t="n">
        <v>64</v>
      </c>
      <c r="L850" s="0" t="n">
        <v>168</v>
      </c>
      <c r="P850" s="0" t="n">
        <v>3.89</v>
      </c>
      <c r="Q850" s="0" t="n">
        <v>3.38</v>
      </c>
      <c r="R850" s="0" t="n">
        <v>3920</v>
      </c>
      <c r="S850" s="0" t="n">
        <v>8969</v>
      </c>
      <c r="T850" s="0" t="n">
        <v>43.5</v>
      </c>
      <c r="U850" s="0" t="n">
        <v>858</v>
      </c>
      <c r="V850" s="0" t="n">
        <v>1</v>
      </c>
      <c r="W850" s="0" t="str">
        <f aca="false">IF(OR(AND(B850&gt;=1,B850&lt;=6),B850=10),"Vaca em lactação",IF(I850="Male","Macho",IF(E850&gt;=1,"Vaca seca",IF(I850="Youngstock","Bezerra/recria","Novilha"))))</f>
        <v>Vaca em lactação</v>
      </c>
      <c r="X850" s="0" t="str">
        <f aca="false">IF(AND(B850&gt;=1,B850&lt;=6),"Tanque",IF(B850=10,"Descarte",""))</f>
        <v>Tanque</v>
      </c>
    </row>
    <row r="851" customFormat="false" ht="15" hidden="false" customHeight="false" outlineLevel="0" collapsed="false">
      <c r="A851" s="22" t="n">
        <v>46309</v>
      </c>
      <c r="B851" s="0" t="n">
        <v>4</v>
      </c>
      <c r="C851" s="0" t="n">
        <v>5635</v>
      </c>
      <c r="D851" s="0" t="n">
        <v>210</v>
      </c>
      <c r="E851" s="0" t="n">
        <v>1</v>
      </c>
      <c r="F851" s="23" t="s">
        <v>641</v>
      </c>
      <c r="G851" s="0" t="n">
        <v>33.8</v>
      </c>
      <c r="H851" s="0" t="n">
        <v>34</v>
      </c>
      <c r="I851" s="23" t="s">
        <v>97</v>
      </c>
      <c r="J851" s="0" t="n">
        <v>210</v>
      </c>
      <c r="K851" s="0" t="n">
        <v>63</v>
      </c>
      <c r="P851" s="0" t="n">
        <v>3.44</v>
      </c>
      <c r="Q851" s="0" t="n">
        <v>3.59</v>
      </c>
      <c r="R851" s="0" t="n">
        <v>3032</v>
      </c>
      <c r="S851" s="0" t="n">
        <v>6661</v>
      </c>
      <c r="T851" s="0" t="n">
        <v>35.65</v>
      </c>
      <c r="U851" s="0" t="n">
        <v>857</v>
      </c>
      <c r="V851" s="0" t="n">
        <v>4</v>
      </c>
      <c r="W851" s="0" t="str">
        <f aca="false">IF(OR(AND(B851&gt;=1,B851&lt;=6),B851=10),"Vaca em lactação",IF(I851="Male","Macho",IF(E851&gt;=1,"Vaca seca",IF(I851="Youngstock","Bezerra/recria","Novilha"))))</f>
        <v>Vaca em lactação</v>
      </c>
      <c r="X851" s="0" t="str">
        <f aca="false">IF(AND(B851&gt;=1,B851&lt;=6),"Tanque",IF(B851=10,"Descarte",""))</f>
        <v>Tanque</v>
      </c>
    </row>
    <row r="852" customFormat="false" ht="15" hidden="false" customHeight="false" outlineLevel="0" collapsed="false">
      <c r="A852" s="22" t="n">
        <v>46309</v>
      </c>
      <c r="B852" s="0" t="n">
        <v>4</v>
      </c>
      <c r="C852" s="0" t="n">
        <v>5634</v>
      </c>
      <c r="D852" s="0" t="n">
        <v>174</v>
      </c>
      <c r="E852" s="0" t="n">
        <v>1</v>
      </c>
      <c r="F852" s="23" t="s">
        <v>641</v>
      </c>
      <c r="G852" s="0" t="n">
        <v>36.7</v>
      </c>
      <c r="H852" s="0" t="n">
        <v>38</v>
      </c>
      <c r="I852" s="23" t="s">
        <v>109</v>
      </c>
      <c r="J852" s="0" t="n">
        <v>174</v>
      </c>
      <c r="K852" s="0" t="n">
        <v>62</v>
      </c>
      <c r="P852" s="0" t="n">
        <v>4.86</v>
      </c>
      <c r="Q852" s="0" t="n">
        <v>3.67</v>
      </c>
      <c r="R852" s="0" t="n">
        <v>2579</v>
      </c>
      <c r="S852" s="0" t="n">
        <v>6029</v>
      </c>
      <c r="T852" s="0" t="n">
        <v>28.4</v>
      </c>
      <c r="U852" s="0" t="n">
        <v>857</v>
      </c>
      <c r="V852" s="0" t="n">
        <v>3</v>
      </c>
      <c r="W852" s="0" t="str">
        <f aca="false">IF(OR(AND(B852&gt;=1,B852&lt;=6),B852=10),"Vaca em lactação",IF(I852="Male","Macho",IF(E852&gt;=1,"Vaca seca",IF(I852="Youngstock","Bezerra/recria","Novilha"))))</f>
        <v>Vaca em lactação</v>
      </c>
      <c r="X852" s="0" t="str">
        <f aca="false">IF(AND(B852&gt;=1,B852&lt;=6),"Tanque",IF(B852=10,"Descarte",""))</f>
        <v>Tanque</v>
      </c>
    </row>
    <row r="853" customFormat="false" ht="15" hidden="false" customHeight="false" outlineLevel="0" collapsed="false">
      <c r="A853" s="22" t="n">
        <v>46309</v>
      </c>
      <c r="B853" s="0" t="n">
        <v>4</v>
      </c>
      <c r="C853" s="0" t="n">
        <v>5639</v>
      </c>
      <c r="D853" s="0" t="n">
        <v>129</v>
      </c>
      <c r="E853" s="0" t="n">
        <v>1</v>
      </c>
      <c r="F853" s="23" t="s">
        <v>642</v>
      </c>
      <c r="G853" s="0" t="n">
        <v>54.8</v>
      </c>
      <c r="H853" s="0" t="n">
        <v>53</v>
      </c>
      <c r="I853" s="23" t="s">
        <v>92</v>
      </c>
      <c r="J853" s="0" t="n">
        <v>66</v>
      </c>
      <c r="K853" s="0" t="n">
        <v>66</v>
      </c>
      <c r="L853" s="0" t="n">
        <v>63</v>
      </c>
      <c r="P853" s="0" t="n">
        <v>4.5</v>
      </c>
      <c r="Q853" s="0" t="n">
        <v>2.81</v>
      </c>
      <c r="R853" s="0" t="n">
        <v>4057</v>
      </c>
      <c r="S853" s="0" t="n">
        <v>8670</v>
      </c>
      <c r="T853" s="0" t="n">
        <v>41.95</v>
      </c>
      <c r="U853" s="0" t="n">
        <v>855</v>
      </c>
      <c r="V853" s="0" t="n">
        <v>1</v>
      </c>
      <c r="W853" s="0" t="str">
        <f aca="false">IF(OR(AND(B853&gt;=1,B853&lt;=6),B853=10),"Vaca em lactação",IF(I853="Male","Macho",IF(E853&gt;=1,"Vaca seca",IF(I853="Youngstock","Bezerra/recria","Novilha"))))</f>
        <v>Vaca em lactação</v>
      </c>
      <c r="X853" s="0" t="str">
        <f aca="false">IF(AND(B853&gt;=1,B853&lt;=6),"Tanque",IF(B853=10,"Descarte",""))</f>
        <v>Tanque</v>
      </c>
    </row>
    <row r="854" customFormat="false" ht="15" hidden="false" customHeight="false" outlineLevel="0" collapsed="false">
      <c r="A854" s="22" t="n">
        <v>46309</v>
      </c>
      <c r="B854" s="0" t="n">
        <v>4</v>
      </c>
      <c r="C854" s="0" t="n">
        <v>5637</v>
      </c>
      <c r="D854" s="0" t="n">
        <v>185</v>
      </c>
      <c r="E854" s="0" t="n">
        <v>1</v>
      </c>
      <c r="F854" s="23" t="s">
        <v>642</v>
      </c>
      <c r="G854" s="0" t="n">
        <v>57.5</v>
      </c>
      <c r="H854" s="0" t="n">
        <v>56</v>
      </c>
      <c r="I854" s="23" t="s">
        <v>92</v>
      </c>
      <c r="J854" s="0" t="n">
        <v>89</v>
      </c>
      <c r="K854" s="0" t="n">
        <v>66</v>
      </c>
      <c r="L854" s="0" t="n">
        <v>96</v>
      </c>
      <c r="P854" s="0" t="n">
        <v>2.8</v>
      </c>
      <c r="Q854" s="0" t="n">
        <v>3.15</v>
      </c>
      <c r="R854" s="0" t="n">
        <v>4598</v>
      </c>
      <c r="S854" s="0" t="n">
        <v>10157</v>
      </c>
      <c r="T854" s="0" t="n">
        <v>48.15</v>
      </c>
      <c r="U854" s="0" t="n">
        <v>855</v>
      </c>
      <c r="V854" s="0" t="n">
        <v>2</v>
      </c>
      <c r="W854" s="0" t="str">
        <f aca="false">IF(OR(AND(B854&gt;=1,B854&lt;=6),B854=10),"Vaca em lactação",IF(I854="Male","Macho",IF(E854&gt;=1,"Vaca seca",IF(I854="Youngstock","Bezerra/recria","Novilha"))))</f>
        <v>Vaca em lactação</v>
      </c>
      <c r="X854" s="0" t="str">
        <f aca="false">IF(AND(B854&gt;=1,B854&lt;=6),"Tanque",IF(B854=10,"Descarte",""))</f>
        <v>Tanque</v>
      </c>
    </row>
    <row r="855" customFormat="false" ht="15" hidden="false" customHeight="false" outlineLevel="0" collapsed="false">
      <c r="A855" s="22" t="n">
        <v>46309</v>
      </c>
      <c r="B855" s="0" t="n">
        <v>4</v>
      </c>
      <c r="C855" s="0" t="n">
        <v>5636</v>
      </c>
      <c r="D855" s="0" t="n">
        <v>148</v>
      </c>
      <c r="E855" s="0" t="n">
        <v>1</v>
      </c>
      <c r="F855" s="23" t="s">
        <v>642</v>
      </c>
      <c r="G855" s="0" t="n">
        <v>46.5</v>
      </c>
      <c r="H855" s="0" t="n">
        <v>44</v>
      </c>
      <c r="I855" s="23" t="s">
        <v>109</v>
      </c>
      <c r="J855" s="0" t="n">
        <v>148</v>
      </c>
      <c r="K855" s="0" t="n">
        <v>64</v>
      </c>
      <c r="P855" s="0" t="n">
        <v>2.78</v>
      </c>
      <c r="Q855" s="0" t="n">
        <v>3.25</v>
      </c>
      <c r="R855" s="0" t="n">
        <v>4016</v>
      </c>
      <c r="S855" s="0" t="n">
        <v>8506</v>
      </c>
      <c r="T855" s="0" t="n">
        <v>48.5</v>
      </c>
      <c r="U855" s="0" t="n">
        <v>855</v>
      </c>
      <c r="V855" s="0" t="n">
        <v>2</v>
      </c>
      <c r="W855" s="0" t="str">
        <f aca="false">IF(OR(AND(B855&gt;=1,B855&lt;=6),B855=10),"Vaca em lactação",IF(I855="Male","Macho",IF(E855&gt;=1,"Vaca seca",IF(I855="Youngstock","Bezerra/recria","Novilha"))))</f>
        <v>Vaca em lactação</v>
      </c>
      <c r="X855" s="0" t="str">
        <f aca="false">IF(AND(B855&gt;=1,B855&lt;=6),"Tanque",IF(B855=10,"Descarte",""))</f>
        <v>Tanque</v>
      </c>
    </row>
    <row r="856" customFormat="false" ht="15" hidden="false" customHeight="false" outlineLevel="0" collapsed="false">
      <c r="A856" s="22" t="n">
        <v>46309</v>
      </c>
      <c r="B856" s="0" t="n">
        <v>4</v>
      </c>
      <c r="C856" s="0" t="n">
        <v>5641</v>
      </c>
      <c r="D856" s="0" t="n">
        <v>122</v>
      </c>
      <c r="E856" s="0" t="n">
        <v>1</v>
      </c>
      <c r="F856" s="23" t="s">
        <v>99</v>
      </c>
      <c r="G856" s="0" t="n">
        <v>52.4</v>
      </c>
      <c r="H856" s="0" t="n">
        <v>51</v>
      </c>
      <c r="I856" s="23" t="s">
        <v>97</v>
      </c>
      <c r="J856" s="0" t="n">
        <v>122</v>
      </c>
      <c r="K856" s="0" t="n">
        <v>66</v>
      </c>
      <c r="P856" s="0" t="n">
        <v>3.97</v>
      </c>
      <c r="Q856" s="0" t="n">
        <v>3.13</v>
      </c>
      <c r="R856" s="0" t="n">
        <v>4445</v>
      </c>
      <c r="S856" s="0" t="n">
        <v>9208</v>
      </c>
      <c r="T856" s="0" t="n">
        <v>44.65</v>
      </c>
      <c r="U856" s="0" t="n">
        <v>854</v>
      </c>
      <c r="V856" s="0" t="n">
        <v>2</v>
      </c>
      <c r="W856" s="0" t="str">
        <f aca="false">IF(OR(AND(B856&gt;=1,B856&lt;=6),B856=10),"Vaca em lactação",IF(I856="Male","Macho",IF(E856&gt;=1,"Vaca seca",IF(I856="Youngstock","Bezerra/recria","Novilha"))))</f>
        <v>Vaca em lactação</v>
      </c>
      <c r="X856" s="0" t="str">
        <f aca="false">IF(AND(B856&gt;=1,B856&lt;=6),"Tanque",IF(B856=10,"Descarte",""))</f>
        <v>Tanque</v>
      </c>
    </row>
    <row r="857" customFormat="false" ht="15" hidden="false" customHeight="false" outlineLevel="0" collapsed="false">
      <c r="A857" s="22" t="n">
        <v>46309</v>
      </c>
      <c r="B857" s="0" t="n">
        <v>4</v>
      </c>
      <c r="C857" s="0" t="n">
        <v>5640</v>
      </c>
      <c r="D857" s="0" t="n">
        <v>208</v>
      </c>
      <c r="E857" s="0" t="n">
        <v>1</v>
      </c>
      <c r="F857" s="23" t="s">
        <v>99</v>
      </c>
      <c r="G857" s="0" t="n">
        <v>27.9</v>
      </c>
      <c r="H857" s="0" t="n">
        <v>28</v>
      </c>
      <c r="I857" s="23" t="s">
        <v>97</v>
      </c>
      <c r="J857" s="0" t="n">
        <v>208</v>
      </c>
      <c r="K857" s="0" t="n">
        <v>68</v>
      </c>
      <c r="P857" s="0" t="n">
        <v>4.72</v>
      </c>
      <c r="Q857" s="0" t="n">
        <v>3.54</v>
      </c>
      <c r="R857" s="0" t="n">
        <v>3136</v>
      </c>
      <c r="S857" s="0" t="n">
        <v>6637</v>
      </c>
      <c r="T857" s="0" t="n">
        <v>31.85</v>
      </c>
      <c r="U857" s="0" t="n">
        <v>854</v>
      </c>
      <c r="V857" s="0" t="n">
        <v>5</v>
      </c>
      <c r="W857" s="0" t="str">
        <f aca="false">IF(OR(AND(B857&gt;=1,B857&lt;=6),B857=10),"Vaca em lactação",IF(I857="Male","Macho",IF(E857&gt;=1,"Vaca seca",IF(I857="Youngstock","Bezerra/recria","Novilha"))))</f>
        <v>Vaca em lactação</v>
      </c>
      <c r="X857" s="0" t="str">
        <f aca="false">IF(AND(B857&gt;=1,B857&lt;=6),"Tanque",IF(B857=10,"Descarte",""))</f>
        <v>Tanque</v>
      </c>
    </row>
    <row r="858" customFormat="false" ht="15" hidden="false" customHeight="false" outlineLevel="0" collapsed="false">
      <c r="A858" s="22" t="n">
        <v>46309</v>
      </c>
      <c r="B858" s="0" t="n">
        <v>4</v>
      </c>
      <c r="C858" s="0" t="n">
        <v>5610</v>
      </c>
      <c r="D858" s="0" t="n">
        <v>221</v>
      </c>
      <c r="E858" s="0" t="n">
        <v>1</v>
      </c>
      <c r="F858" s="23" t="s">
        <v>643</v>
      </c>
      <c r="G858" s="0" t="n">
        <v>52.4</v>
      </c>
      <c r="H858" s="0" t="n">
        <v>54</v>
      </c>
      <c r="I858" s="23" t="s">
        <v>92</v>
      </c>
      <c r="J858" s="0" t="n">
        <v>67</v>
      </c>
      <c r="K858" s="0" t="n">
        <v>67</v>
      </c>
      <c r="L858" s="0" t="n">
        <v>154</v>
      </c>
      <c r="P858" s="0" t="n">
        <v>1.89</v>
      </c>
      <c r="Q858" s="0" t="n">
        <v>3.37</v>
      </c>
      <c r="R858" s="0" t="n">
        <v>5482</v>
      </c>
      <c r="S858" s="0" t="n">
        <v>11926</v>
      </c>
      <c r="T858" s="0" t="n">
        <v>60.9</v>
      </c>
      <c r="U858" s="0" t="n">
        <v>864</v>
      </c>
      <c r="V858" s="0" t="n">
        <v>1</v>
      </c>
      <c r="W858" s="0" t="str">
        <f aca="false">IF(OR(AND(B858&gt;=1,B858&lt;=6),B858=10),"Vaca em lactação",IF(I858="Male","Macho",IF(E858&gt;=1,"Vaca seca",IF(I858="Youngstock","Bezerra/recria","Novilha"))))</f>
        <v>Vaca em lactação</v>
      </c>
      <c r="X858" s="0" t="str">
        <f aca="false">IF(AND(B858&gt;=1,B858&lt;=6),"Tanque",IF(B858=10,"Descarte",""))</f>
        <v>Tanque</v>
      </c>
    </row>
    <row r="859" customFormat="false" ht="15" hidden="false" customHeight="false" outlineLevel="0" collapsed="false">
      <c r="A859" s="22" t="n">
        <v>46309</v>
      </c>
      <c r="B859" s="0" t="n">
        <v>4</v>
      </c>
      <c r="C859" s="0" t="n">
        <v>5609</v>
      </c>
      <c r="D859" s="0" t="n">
        <v>177</v>
      </c>
      <c r="E859" s="0" t="n">
        <v>1</v>
      </c>
      <c r="F859" s="23" t="s">
        <v>643</v>
      </c>
      <c r="G859" s="0" t="n">
        <v>49.5</v>
      </c>
      <c r="H859" s="0" t="n">
        <v>48</v>
      </c>
      <c r="I859" s="23" t="s">
        <v>92</v>
      </c>
      <c r="J859" s="0" t="n">
        <v>88</v>
      </c>
      <c r="K859" s="0" t="n">
        <v>65</v>
      </c>
      <c r="L859" s="0" t="n">
        <v>89</v>
      </c>
      <c r="P859" s="0" t="n">
        <v>3.46</v>
      </c>
      <c r="Q859" s="0" t="n">
        <v>3.3</v>
      </c>
      <c r="R859" s="0" t="n">
        <v>4042</v>
      </c>
      <c r="S859" s="0" t="n">
        <v>8806</v>
      </c>
      <c r="T859" s="0" t="n">
        <v>44.65</v>
      </c>
      <c r="U859" s="0" t="n">
        <v>864</v>
      </c>
      <c r="V859" s="0" t="n">
        <v>2</v>
      </c>
      <c r="W859" s="0" t="str">
        <f aca="false">IF(OR(AND(B859&gt;=1,B859&lt;=6),B859=10),"Vaca em lactação",IF(I859="Male","Macho",IF(E859&gt;=1,"Vaca seca",IF(I859="Youngstock","Bezerra/recria","Novilha"))))</f>
        <v>Vaca em lactação</v>
      </c>
      <c r="X859" s="0" t="str">
        <f aca="false">IF(AND(B859&gt;=1,B859&lt;=6),"Tanque",IF(B859=10,"Descarte",""))</f>
        <v>Tanque</v>
      </c>
    </row>
    <row r="860" customFormat="false" ht="15" hidden="false" customHeight="false" outlineLevel="0" collapsed="false">
      <c r="A860" s="22" t="n">
        <v>46309</v>
      </c>
      <c r="B860" s="0" t="n">
        <v>4</v>
      </c>
      <c r="C860" s="0" t="n">
        <v>5608</v>
      </c>
      <c r="D860" s="0" t="n">
        <v>224</v>
      </c>
      <c r="E860" s="0" t="n">
        <v>1</v>
      </c>
      <c r="F860" s="23" t="s">
        <v>643</v>
      </c>
      <c r="G860" s="0" t="n">
        <v>38</v>
      </c>
      <c r="H860" s="0" t="n">
        <v>41</v>
      </c>
      <c r="I860" s="23" t="s">
        <v>92</v>
      </c>
      <c r="J860" s="0" t="n">
        <v>84</v>
      </c>
      <c r="K860" s="0" t="n">
        <v>63</v>
      </c>
      <c r="L860" s="0" t="n">
        <v>140</v>
      </c>
      <c r="P860" s="0" t="n">
        <v>4.2</v>
      </c>
      <c r="Q860" s="0" t="n">
        <v>3.91</v>
      </c>
      <c r="R860" s="0" t="n">
        <v>4530</v>
      </c>
      <c r="S860" s="0" t="n">
        <v>9637</v>
      </c>
      <c r="T860" s="0" t="n">
        <v>52.6</v>
      </c>
      <c r="U860" s="0" t="n">
        <v>864</v>
      </c>
      <c r="V860" s="0" t="n">
        <v>2</v>
      </c>
      <c r="W860" s="0" t="str">
        <f aca="false">IF(OR(AND(B860&gt;=1,B860&lt;=6),B860=10),"Vaca em lactação",IF(I860="Male","Macho",IF(E860&gt;=1,"Vaca seca",IF(I860="Youngstock","Bezerra/recria","Novilha"))))</f>
        <v>Vaca em lactação</v>
      </c>
      <c r="X860" s="0" t="str">
        <f aca="false">IF(AND(B860&gt;=1,B860&lt;=6),"Tanque",IF(B860=10,"Descarte",""))</f>
        <v>Tanque</v>
      </c>
    </row>
    <row r="861" customFormat="false" ht="15" hidden="false" customHeight="false" outlineLevel="0" collapsed="false">
      <c r="A861" s="22" t="n">
        <v>46309</v>
      </c>
      <c r="B861" s="0" t="n">
        <v>4</v>
      </c>
      <c r="C861" s="0" t="n">
        <v>5607</v>
      </c>
      <c r="D861" s="0" t="n">
        <v>198</v>
      </c>
      <c r="E861" s="0" t="n">
        <v>1</v>
      </c>
      <c r="F861" s="23" t="s">
        <v>643</v>
      </c>
      <c r="G861" s="0" t="n">
        <v>48.4</v>
      </c>
      <c r="H861" s="0" t="n">
        <v>52</v>
      </c>
      <c r="I861" s="23" t="s">
        <v>92</v>
      </c>
      <c r="J861" s="0" t="n">
        <v>65</v>
      </c>
      <c r="K861" s="0" t="n">
        <v>65</v>
      </c>
      <c r="L861" s="0" t="n">
        <v>133</v>
      </c>
      <c r="P861" s="0" t="n">
        <v>3.63</v>
      </c>
      <c r="Q861" s="0" t="n">
        <v>3.74</v>
      </c>
      <c r="R861" s="0" t="n">
        <v>4525</v>
      </c>
      <c r="S861" s="0" t="n">
        <v>9680</v>
      </c>
      <c r="T861" s="0" t="n">
        <v>46.05</v>
      </c>
      <c r="U861" s="0" t="n">
        <v>864</v>
      </c>
      <c r="V861" s="0" t="n">
        <v>1</v>
      </c>
      <c r="W861" s="0" t="str">
        <f aca="false">IF(OR(AND(B861&gt;=1,B861&lt;=6),B861=10),"Vaca em lactação",IF(I861="Male","Macho",IF(E861&gt;=1,"Vaca seca",IF(I861="Youngstock","Bezerra/recria","Novilha"))))</f>
        <v>Vaca em lactação</v>
      </c>
      <c r="X861" s="0" t="str">
        <f aca="false">IF(AND(B861&gt;=1,B861&lt;=6),"Tanque",IF(B861=10,"Descarte",""))</f>
        <v>Tanque</v>
      </c>
    </row>
    <row r="862" customFormat="false" ht="15" hidden="false" customHeight="false" outlineLevel="0" collapsed="false">
      <c r="A862" s="22" t="n">
        <v>46309</v>
      </c>
      <c r="B862" s="0" t="n">
        <v>4</v>
      </c>
      <c r="C862" s="0" t="n">
        <v>5616</v>
      </c>
      <c r="D862" s="0" t="n">
        <v>209</v>
      </c>
      <c r="E862" s="0" t="n">
        <v>1</v>
      </c>
      <c r="F862" s="23" t="s">
        <v>100</v>
      </c>
      <c r="G862" s="0" t="n">
        <v>50.1</v>
      </c>
      <c r="H862" s="0" t="n">
        <v>51</v>
      </c>
      <c r="I862" s="23" t="s">
        <v>92</v>
      </c>
      <c r="J862" s="0" t="n">
        <v>62</v>
      </c>
      <c r="K862" s="0" t="n">
        <v>62</v>
      </c>
      <c r="L862" s="0" t="n">
        <v>147</v>
      </c>
      <c r="P862" s="0" t="n">
        <v>3.31</v>
      </c>
      <c r="Q862" s="0" t="n">
        <v>3.37</v>
      </c>
      <c r="R862" s="0" t="n">
        <v>3798</v>
      </c>
      <c r="S862" s="0" t="n">
        <v>9007</v>
      </c>
      <c r="T862" s="0" t="n">
        <v>46.8</v>
      </c>
      <c r="U862" s="0" t="n">
        <v>863</v>
      </c>
      <c r="V862" s="0" t="n">
        <v>1</v>
      </c>
      <c r="W862" s="0" t="str">
        <f aca="false">IF(OR(AND(B862&gt;=1,B862&lt;=6),B862=10),"Vaca em lactação",IF(I862="Male","Macho",IF(E862&gt;=1,"Vaca seca",IF(I862="Youngstock","Bezerra/recria","Novilha"))))</f>
        <v>Vaca em lactação</v>
      </c>
      <c r="X862" s="0" t="str">
        <f aca="false">IF(AND(B862&gt;=1,B862&lt;=6),"Tanque",IF(B862=10,"Descarte",""))</f>
        <v>Tanque</v>
      </c>
    </row>
    <row r="863" customFormat="false" ht="15" hidden="false" customHeight="false" outlineLevel="0" collapsed="false">
      <c r="A863" s="22" t="n">
        <v>46309</v>
      </c>
      <c r="B863" s="0" t="n">
        <v>4</v>
      </c>
      <c r="C863" s="0" t="n">
        <v>5611</v>
      </c>
      <c r="D863" s="0" t="n">
        <v>153</v>
      </c>
      <c r="E863" s="0" t="n">
        <v>1</v>
      </c>
      <c r="F863" s="23" t="s">
        <v>100</v>
      </c>
      <c r="G863" s="0" t="n">
        <v>35.2</v>
      </c>
      <c r="H863" s="0" t="n">
        <v>36</v>
      </c>
      <c r="I863" s="23" t="s">
        <v>92</v>
      </c>
      <c r="J863" s="0" t="n">
        <v>98</v>
      </c>
      <c r="K863" s="0" t="n">
        <v>62</v>
      </c>
      <c r="L863" s="0" t="n">
        <v>55</v>
      </c>
      <c r="P863" s="0" t="n">
        <v>4.05</v>
      </c>
      <c r="Q863" s="0" t="n">
        <v>3.19</v>
      </c>
      <c r="R863" s="0" t="n">
        <v>2919</v>
      </c>
      <c r="S863" s="0" t="n">
        <v>6739</v>
      </c>
      <c r="T863" s="0" t="n">
        <v>26.6</v>
      </c>
      <c r="U863" s="0" t="n">
        <v>863</v>
      </c>
      <c r="V863" s="0" t="n">
        <v>2</v>
      </c>
      <c r="W863" s="0" t="str">
        <f aca="false">IF(OR(AND(B863&gt;=1,B863&lt;=6),B863=10),"Vaca em lactação",IF(I863="Male","Macho",IF(E863&gt;=1,"Vaca seca",IF(I863="Youngstock","Bezerra/recria","Novilha"))))</f>
        <v>Vaca em lactação</v>
      </c>
      <c r="X863" s="0" t="str">
        <f aca="false">IF(AND(B863&gt;=1,B863&lt;=6),"Tanque",IF(B863=10,"Descarte",""))</f>
        <v>Tanque</v>
      </c>
    </row>
    <row r="864" customFormat="false" ht="15" hidden="false" customHeight="false" outlineLevel="0" collapsed="false">
      <c r="A864" s="22" t="n">
        <v>46309</v>
      </c>
      <c r="B864" s="0" t="n">
        <v>4</v>
      </c>
      <c r="C864" s="0" t="n">
        <v>5619</v>
      </c>
      <c r="D864" s="0" t="n">
        <v>204</v>
      </c>
      <c r="E864" s="0" t="n">
        <v>1</v>
      </c>
      <c r="F864" s="23" t="s">
        <v>644</v>
      </c>
      <c r="G864" s="0" t="n">
        <v>46.6</v>
      </c>
      <c r="H864" s="0" t="n">
        <v>47</v>
      </c>
      <c r="I864" s="23" t="s">
        <v>92</v>
      </c>
      <c r="J864" s="0" t="n">
        <v>64</v>
      </c>
      <c r="K864" s="0" t="n">
        <v>64</v>
      </c>
      <c r="L864" s="0" t="n">
        <v>140</v>
      </c>
      <c r="P864" s="0" t="n">
        <v>3.28</v>
      </c>
      <c r="Q864" s="0" t="n">
        <v>3.67</v>
      </c>
      <c r="R864" s="0" t="n">
        <v>3617</v>
      </c>
      <c r="S864" s="0" t="n">
        <v>8524</v>
      </c>
      <c r="T864" s="0" t="n">
        <v>43</v>
      </c>
      <c r="U864" s="0" t="n">
        <v>862</v>
      </c>
      <c r="V864" s="0" t="n">
        <v>1</v>
      </c>
      <c r="W864" s="0" t="str">
        <f aca="false">IF(OR(AND(B864&gt;=1,B864&lt;=6),B864=10),"Vaca em lactação",IF(I864="Male","Macho",IF(E864&gt;=1,"Vaca seca",IF(I864="Youngstock","Bezerra/recria","Novilha"))))</f>
        <v>Vaca em lactação</v>
      </c>
      <c r="X864" s="0" t="str">
        <f aca="false">IF(AND(B864&gt;=1,B864&lt;=6),"Tanque",IF(B864=10,"Descarte",""))</f>
        <v>Tanque</v>
      </c>
    </row>
    <row r="865" customFormat="false" ht="15" hidden="false" customHeight="false" outlineLevel="0" collapsed="false">
      <c r="A865" s="22" t="n">
        <v>46309</v>
      </c>
      <c r="B865" s="0" t="n">
        <v>4</v>
      </c>
      <c r="C865" s="0" t="n">
        <v>5618</v>
      </c>
      <c r="D865" s="0" t="n">
        <v>155</v>
      </c>
      <c r="E865" s="0" t="n">
        <v>1</v>
      </c>
      <c r="F865" s="23" t="s">
        <v>644</v>
      </c>
      <c r="G865" s="0" t="n">
        <v>59.3</v>
      </c>
      <c r="H865" s="0" t="n">
        <v>57</v>
      </c>
      <c r="I865" s="23" t="s">
        <v>97</v>
      </c>
      <c r="J865" s="0" t="n">
        <v>155</v>
      </c>
      <c r="K865" s="0" t="n">
        <v>64</v>
      </c>
      <c r="P865" s="0" t="n">
        <v>3.39</v>
      </c>
      <c r="Q865" s="0" t="n">
        <v>2.96</v>
      </c>
      <c r="R865" s="0" t="n">
        <v>5356</v>
      </c>
      <c r="S865" s="0" t="n">
        <v>11241</v>
      </c>
      <c r="T865" s="0" t="n">
        <v>59.45</v>
      </c>
      <c r="U865" s="0" t="n">
        <v>862</v>
      </c>
      <c r="V865" s="0" t="n">
        <v>4</v>
      </c>
      <c r="W865" s="0" t="str">
        <f aca="false">IF(OR(AND(B865&gt;=1,B865&lt;=6),B865=10),"Vaca em lactação",IF(I865="Male","Macho",IF(E865&gt;=1,"Vaca seca",IF(I865="Youngstock","Bezerra/recria","Novilha"))))</f>
        <v>Vaca em lactação</v>
      </c>
      <c r="X865" s="0" t="str">
        <f aca="false">IF(AND(B865&gt;=1,B865&lt;=6),"Tanque",IF(B865=10,"Descarte",""))</f>
        <v>Tanque</v>
      </c>
    </row>
    <row r="866" customFormat="false" ht="15" hidden="false" customHeight="false" outlineLevel="0" collapsed="false">
      <c r="A866" s="22" t="n">
        <v>46309</v>
      </c>
      <c r="B866" s="0" t="n">
        <v>4</v>
      </c>
      <c r="C866" s="0" t="n">
        <v>5617</v>
      </c>
      <c r="D866" s="0" t="n">
        <v>216</v>
      </c>
      <c r="E866" s="0" t="n">
        <v>1</v>
      </c>
      <c r="F866" s="23" t="s">
        <v>644</v>
      </c>
      <c r="G866" s="0" t="n">
        <v>42.3</v>
      </c>
      <c r="H866" s="0" t="n">
        <v>46</v>
      </c>
      <c r="I866" s="23" t="s">
        <v>92</v>
      </c>
      <c r="J866" s="0" t="n">
        <v>63</v>
      </c>
      <c r="K866" s="0" t="n">
        <v>63</v>
      </c>
      <c r="L866" s="0" t="n">
        <v>153</v>
      </c>
      <c r="P866" s="0" t="n">
        <v>4.13</v>
      </c>
      <c r="Q866" s="0" t="n">
        <v>3.45</v>
      </c>
      <c r="R866" s="0" t="n">
        <v>4137</v>
      </c>
      <c r="S866" s="0" t="n">
        <v>8968</v>
      </c>
      <c r="T866" s="0" t="n">
        <v>48.15</v>
      </c>
      <c r="U866" s="0" t="n">
        <v>862</v>
      </c>
      <c r="V866" s="0" t="n">
        <v>1</v>
      </c>
      <c r="W866" s="0" t="str">
        <f aca="false">IF(OR(AND(B866&gt;=1,B866&lt;=6),B866=10),"Vaca em lactação",IF(I866="Male","Macho",IF(E866&gt;=1,"Vaca seca",IF(I866="Youngstock","Bezerra/recria","Novilha"))))</f>
        <v>Vaca em lactação</v>
      </c>
      <c r="X866" s="0" t="str">
        <f aca="false">IF(AND(B866&gt;=1,B866&lt;=6),"Tanque",IF(B866=10,"Descarte",""))</f>
        <v>Tanque</v>
      </c>
    </row>
    <row r="867" customFormat="false" ht="15" hidden="false" customHeight="false" outlineLevel="0" collapsed="false">
      <c r="A867" s="22" t="n">
        <v>46309</v>
      </c>
      <c r="B867" s="0" t="n">
        <v>4</v>
      </c>
      <c r="C867" s="0" t="n">
        <v>5615</v>
      </c>
      <c r="D867" s="0" t="n">
        <v>138</v>
      </c>
      <c r="E867" s="0" t="n">
        <v>1</v>
      </c>
      <c r="F867" s="23" t="s">
        <v>644</v>
      </c>
      <c r="G867" s="0" t="n">
        <v>48.9</v>
      </c>
      <c r="H867" s="0" t="n">
        <v>50</v>
      </c>
      <c r="I867" s="23" t="s">
        <v>109</v>
      </c>
      <c r="J867" s="0" t="n">
        <v>138</v>
      </c>
      <c r="K867" s="0" t="n">
        <v>68</v>
      </c>
      <c r="P867" s="0" t="n">
        <v>3.61</v>
      </c>
      <c r="Q867" s="0" t="n">
        <v>3.42</v>
      </c>
      <c r="R867" s="0" t="n">
        <v>4797</v>
      </c>
      <c r="S867" s="0" t="n">
        <v>9877</v>
      </c>
      <c r="T867" s="0" t="n">
        <v>53.6</v>
      </c>
      <c r="U867" s="0" t="n">
        <v>862</v>
      </c>
      <c r="V867" s="0" t="n">
        <v>2</v>
      </c>
      <c r="W867" s="0" t="str">
        <f aca="false">IF(OR(AND(B867&gt;=1,B867&lt;=6),B867=10),"Vaca em lactação",IF(I867="Male","Macho",IF(E867&gt;=1,"Vaca seca",IF(I867="Youngstock","Bezerra/recria","Novilha"))))</f>
        <v>Vaca em lactação</v>
      </c>
      <c r="X867" s="0" t="str">
        <f aca="false">IF(AND(B867&gt;=1,B867&lt;=6),"Tanque",IF(B867=10,"Descarte",""))</f>
        <v>Tanque</v>
      </c>
    </row>
    <row r="868" customFormat="false" ht="15" hidden="false" customHeight="false" outlineLevel="0" collapsed="false">
      <c r="A868" s="22" t="n">
        <v>46309</v>
      </c>
      <c r="B868" s="0" t="n">
        <v>4</v>
      </c>
      <c r="C868" s="0" t="n">
        <v>5614</v>
      </c>
      <c r="D868" s="0" t="n">
        <v>131</v>
      </c>
      <c r="E868" s="0" t="n">
        <v>1</v>
      </c>
      <c r="F868" s="23" t="s">
        <v>644</v>
      </c>
      <c r="G868" s="0" t="n">
        <v>35.7</v>
      </c>
      <c r="H868" s="0" t="n">
        <v>39</v>
      </c>
      <c r="I868" s="23" t="s">
        <v>92</v>
      </c>
      <c r="J868" s="0" t="n">
        <v>89</v>
      </c>
      <c r="K868" s="0" t="n">
        <v>68</v>
      </c>
      <c r="L868" s="0" t="n">
        <v>42</v>
      </c>
      <c r="P868" s="0" t="n">
        <v>3.04</v>
      </c>
      <c r="Q868" s="0" t="n">
        <v>3.14</v>
      </c>
      <c r="R868" s="0" t="n">
        <v>3318</v>
      </c>
      <c r="S868" s="0" t="n">
        <v>7139</v>
      </c>
      <c r="T868" s="0" t="n">
        <v>34.05</v>
      </c>
      <c r="U868" s="0" t="n">
        <v>862</v>
      </c>
      <c r="V868" s="0" t="n">
        <v>2</v>
      </c>
      <c r="W868" s="0" t="str">
        <f aca="false">IF(OR(AND(B868&gt;=1,B868&lt;=6),B868=10),"Vaca em lactação",IF(I868="Male","Macho",IF(E868&gt;=1,"Vaca seca",IF(I868="Youngstock","Bezerra/recria","Novilha"))))</f>
        <v>Vaca em lactação</v>
      </c>
      <c r="X868" s="0" t="str">
        <f aca="false">IF(AND(B868&gt;=1,B868&lt;=6),"Tanque",IF(B868=10,"Descarte",""))</f>
        <v>Tanque</v>
      </c>
    </row>
    <row r="869" customFormat="false" ht="15" hidden="false" customHeight="false" outlineLevel="0" collapsed="false">
      <c r="A869" s="22" t="n">
        <v>46309</v>
      </c>
      <c r="B869" s="0" t="n">
        <v>4</v>
      </c>
      <c r="C869" s="0" t="n">
        <v>5621</v>
      </c>
      <c r="D869" s="0" t="n">
        <v>202</v>
      </c>
      <c r="E869" s="0" t="n">
        <v>1</v>
      </c>
      <c r="F869" s="23" t="s">
        <v>644</v>
      </c>
      <c r="G869" s="0" t="n">
        <v>51</v>
      </c>
      <c r="H869" s="0" t="n">
        <v>50</v>
      </c>
      <c r="I869" s="23" t="s">
        <v>97</v>
      </c>
      <c r="J869" s="0" t="n">
        <v>202</v>
      </c>
      <c r="K869" s="0" t="n">
        <v>62</v>
      </c>
      <c r="P869" s="0" t="n">
        <v>3.56</v>
      </c>
      <c r="Q869" s="0" t="n">
        <v>3.18</v>
      </c>
      <c r="R869" s="0" t="n">
        <v>3857</v>
      </c>
      <c r="S869" s="0" t="n">
        <v>8807</v>
      </c>
      <c r="T869" s="0" t="n">
        <v>42.55</v>
      </c>
      <c r="U869" s="0" t="n">
        <v>862</v>
      </c>
      <c r="V869" s="0" t="n">
        <v>5</v>
      </c>
      <c r="W869" s="0" t="str">
        <f aca="false">IF(OR(AND(B869&gt;=1,B869&lt;=6),B869=10),"Vaca em lactação",IF(I869="Male","Macho",IF(E869&gt;=1,"Vaca seca",IF(I869="Youngstock","Bezerra/recria","Novilha"))))</f>
        <v>Vaca em lactação</v>
      </c>
      <c r="X869" s="0" t="str">
        <f aca="false">IF(AND(B869&gt;=1,B869&lt;=6),"Tanque",IF(B869=10,"Descarte",""))</f>
        <v>Tanque</v>
      </c>
    </row>
    <row r="870" customFormat="false" ht="15" hidden="false" customHeight="false" outlineLevel="0" collapsed="false">
      <c r="A870" s="22" t="n">
        <v>46309</v>
      </c>
      <c r="B870" s="0" t="n">
        <v>4</v>
      </c>
      <c r="C870" s="0" t="n">
        <v>5620</v>
      </c>
      <c r="D870" s="0" t="n">
        <v>217</v>
      </c>
      <c r="E870" s="0" t="n">
        <v>1</v>
      </c>
      <c r="F870" s="23" t="s">
        <v>644</v>
      </c>
      <c r="G870" s="0" t="n">
        <v>25.5</v>
      </c>
      <c r="H870" s="0" t="n">
        <v>37</v>
      </c>
      <c r="I870" s="23" t="s">
        <v>109</v>
      </c>
      <c r="J870" s="0" t="n">
        <v>217</v>
      </c>
      <c r="K870" s="0" t="n">
        <v>63</v>
      </c>
      <c r="P870" s="0" t="n">
        <v>3.96</v>
      </c>
      <c r="Q870" s="0" t="n">
        <v>3.64</v>
      </c>
      <c r="R870" s="0" t="n">
        <v>3666</v>
      </c>
      <c r="S870" s="0" t="n">
        <v>7693</v>
      </c>
      <c r="T870" s="0" t="n">
        <v>37.75</v>
      </c>
      <c r="U870" s="0" t="n">
        <v>862</v>
      </c>
      <c r="V870" s="0" t="n">
        <v>5</v>
      </c>
      <c r="W870" s="0" t="str">
        <f aca="false">IF(OR(AND(B870&gt;=1,B870&lt;=6),B870=10),"Vaca em lactação",IF(I870="Male","Macho",IF(E870&gt;=1,"Vaca seca",IF(I870="Youngstock","Bezerra/recria","Novilha"))))</f>
        <v>Vaca em lactação</v>
      </c>
      <c r="X870" s="0" t="str">
        <f aca="false">IF(AND(B870&gt;=1,B870&lt;=6),"Tanque",IF(B870=10,"Descarte",""))</f>
        <v>Tanque</v>
      </c>
    </row>
    <row r="871" customFormat="false" ht="15" hidden="false" customHeight="false" outlineLevel="0" collapsed="false">
      <c r="A871" s="22" t="n">
        <v>46309</v>
      </c>
      <c r="B871" s="0" t="n">
        <v>4</v>
      </c>
      <c r="C871" s="0" t="n">
        <v>5624</v>
      </c>
      <c r="D871" s="0" t="n">
        <v>218</v>
      </c>
      <c r="E871" s="0" t="n">
        <v>1</v>
      </c>
      <c r="F871" s="23" t="s">
        <v>645</v>
      </c>
      <c r="G871" s="0" t="n">
        <v>35</v>
      </c>
      <c r="H871" s="0" t="n">
        <v>31</v>
      </c>
      <c r="I871" s="23" t="s">
        <v>92</v>
      </c>
      <c r="J871" s="0" t="n">
        <v>64</v>
      </c>
      <c r="K871" s="0" t="n">
        <v>64</v>
      </c>
      <c r="L871" s="0" t="n">
        <v>154</v>
      </c>
      <c r="P871" s="0" t="n">
        <v>4.52</v>
      </c>
      <c r="Q871" s="0" t="n">
        <v>3.54</v>
      </c>
      <c r="R871" s="0" t="n">
        <v>4010</v>
      </c>
      <c r="S871" s="0" t="n">
        <v>8561</v>
      </c>
      <c r="T871" s="0" t="n">
        <v>44</v>
      </c>
      <c r="U871" s="0" t="n">
        <v>861</v>
      </c>
      <c r="V871" s="0" t="n">
        <v>1</v>
      </c>
      <c r="W871" s="0" t="str">
        <f aca="false">IF(OR(AND(B871&gt;=1,B871&lt;=6),B871=10),"Vaca em lactação",IF(I871="Male","Macho",IF(E871&gt;=1,"Vaca seca",IF(I871="Youngstock","Bezerra/recria","Novilha"))))</f>
        <v>Vaca em lactação</v>
      </c>
      <c r="X871" s="0" t="str">
        <f aca="false">IF(AND(B871&gt;=1,B871&lt;=6),"Tanque",IF(B871=10,"Descarte",""))</f>
        <v>Tanque</v>
      </c>
    </row>
    <row r="872" customFormat="false" ht="15" hidden="false" customHeight="false" outlineLevel="0" collapsed="false">
      <c r="A872" s="22" t="n">
        <v>46309</v>
      </c>
      <c r="B872" s="0" t="n">
        <v>4</v>
      </c>
      <c r="C872" s="0" t="n">
        <v>5622</v>
      </c>
      <c r="D872" s="0" t="n">
        <v>215</v>
      </c>
      <c r="E872" s="0" t="n">
        <v>1</v>
      </c>
      <c r="F872" s="23" t="s">
        <v>645</v>
      </c>
      <c r="G872" s="0" t="n">
        <v>52.2</v>
      </c>
      <c r="H872" s="0" t="n">
        <v>54</v>
      </c>
      <c r="I872" s="23" t="s">
        <v>92</v>
      </c>
      <c r="J872" s="0" t="n">
        <v>89</v>
      </c>
      <c r="K872" s="0" t="n">
        <v>68</v>
      </c>
      <c r="L872" s="0" t="n">
        <v>126</v>
      </c>
      <c r="P872" s="0" t="n">
        <v>4.01</v>
      </c>
      <c r="Q872" s="0" t="n">
        <v>3.27</v>
      </c>
      <c r="R872" s="0" t="n">
        <v>4701</v>
      </c>
      <c r="S872" s="0" t="n">
        <v>9926</v>
      </c>
      <c r="T872" s="0" t="n">
        <v>54.6</v>
      </c>
      <c r="U872" s="0" t="n">
        <v>861</v>
      </c>
      <c r="V872" s="0" t="n">
        <v>2</v>
      </c>
      <c r="W872" s="0" t="str">
        <f aca="false">IF(OR(AND(B872&gt;=1,B872&lt;=6),B872=10),"Vaca em lactação",IF(I872="Male","Macho",IF(E872&gt;=1,"Vaca seca",IF(I872="Youngstock","Bezerra/recria","Novilha"))))</f>
        <v>Vaca em lactação</v>
      </c>
      <c r="X872" s="0" t="str">
        <f aca="false">IF(AND(B872&gt;=1,B872&lt;=6),"Tanque",IF(B872=10,"Descarte",""))</f>
        <v>Tanque</v>
      </c>
    </row>
    <row r="873" customFormat="false" ht="15" hidden="false" customHeight="false" outlineLevel="0" collapsed="false">
      <c r="A873" s="22" t="n">
        <v>46309</v>
      </c>
      <c r="B873" s="0" t="n">
        <v>4</v>
      </c>
      <c r="C873" s="0" t="n">
        <v>5626</v>
      </c>
      <c r="D873" s="0" t="n">
        <v>155</v>
      </c>
      <c r="E873" s="0" t="n">
        <v>1</v>
      </c>
      <c r="F873" s="23" t="s">
        <v>646</v>
      </c>
      <c r="G873" s="0" t="n">
        <v>53.7</v>
      </c>
      <c r="H873" s="0" t="n">
        <v>54</v>
      </c>
      <c r="I873" s="23" t="s">
        <v>92</v>
      </c>
      <c r="J873" s="0" t="n">
        <v>113</v>
      </c>
      <c r="K873" s="0" t="n">
        <v>71</v>
      </c>
      <c r="L873" s="0" t="n">
        <v>42</v>
      </c>
      <c r="P873" s="0" t="n">
        <v>3.28</v>
      </c>
      <c r="Q873" s="0" t="n">
        <v>3.32</v>
      </c>
      <c r="R873" s="0" t="n">
        <v>4346</v>
      </c>
      <c r="S873" s="0" t="n">
        <v>9641</v>
      </c>
      <c r="T873" s="0" t="n">
        <v>45.7</v>
      </c>
      <c r="U873" s="0" t="n">
        <v>860</v>
      </c>
      <c r="V873" s="0" t="n">
        <v>2</v>
      </c>
      <c r="W873" s="0" t="str">
        <f aca="false">IF(OR(AND(B873&gt;=1,B873&lt;=6),B873=10),"Vaca em lactação",IF(I873="Male","Macho",IF(E873&gt;=1,"Vaca seca",IF(I873="Youngstock","Bezerra/recria","Novilha"))))</f>
        <v>Vaca em lactação</v>
      </c>
      <c r="X873" s="0" t="str">
        <f aca="false">IF(AND(B873&gt;=1,B873&lt;=6),"Tanque",IF(B873=10,"Descarte",""))</f>
        <v>Tanque</v>
      </c>
    </row>
    <row r="874" customFormat="false" ht="15" hidden="false" customHeight="false" outlineLevel="0" collapsed="false">
      <c r="A874" s="22" t="n">
        <v>46309</v>
      </c>
      <c r="B874" s="0" t="n">
        <v>4</v>
      </c>
      <c r="C874" s="0" t="n">
        <v>5625</v>
      </c>
      <c r="D874" s="0" t="n">
        <v>174</v>
      </c>
      <c r="E874" s="0" t="n">
        <v>1</v>
      </c>
      <c r="F874" s="23" t="s">
        <v>646</v>
      </c>
      <c r="G874" s="0" t="n">
        <v>41.8</v>
      </c>
      <c r="H874" s="0" t="n">
        <v>43</v>
      </c>
      <c r="I874" s="23" t="s">
        <v>109</v>
      </c>
      <c r="J874" s="0" t="n">
        <v>174</v>
      </c>
      <c r="K874" s="0" t="n">
        <v>69</v>
      </c>
      <c r="P874" s="0" t="n">
        <v>3.98</v>
      </c>
      <c r="Q874" s="0" t="n">
        <v>3.5</v>
      </c>
      <c r="R874" s="0" t="n">
        <v>4176</v>
      </c>
      <c r="S874" s="0" t="n">
        <v>8761</v>
      </c>
      <c r="T874" s="0" t="n">
        <v>44.65</v>
      </c>
      <c r="U874" s="0" t="n">
        <v>860</v>
      </c>
      <c r="V874" s="0" t="n">
        <v>3</v>
      </c>
      <c r="W874" s="0" t="str">
        <f aca="false">IF(OR(AND(B874&gt;=1,B874&lt;=6),B874=10),"Vaca em lactação",IF(I874="Male","Macho",IF(E874&gt;=1,"Vaca seca",IF(I874="Youngstock","Bezerra/recria","Novilha"))))</f>
        <v>Vaca em lactação</v>
      </c>
      <c r="X874" s="0" t="str">
        <f aca="false">IF(AND(B874&gt;=1,B874&lt;=6),"Tanque",IF(B874=10,"Descarte",""))</f>
        <v>Tanque</v>
      </c>
    </row>
    <row r="875" customFormat="false" ht="15" hidden="false" customHeight="false" outlineLevel="0" collapsed="false">
      <c r="A875" s="22" t="n">
        <v>46309</v>
      </c>
      <c r="B875" s="0" t="n">
        <v>4</v>
      </c>
      <c r="C875" s="0" t="n">
        <v>5623</v>
      </c>
      <c r="D875" s="0" t="n">
        <v>224</v>
      </c>
      <c r="E875" s="0" t="n">
        <v>1</v>
      </c>
      <c r="F875" s="23" t="s">
        <v>645</v>
      </c>
      <c r="G875" s="0" t="n">
        <v>45.1</v>
      </c>
      <c r="H875" s="0" t="n">
        <v>44</v>
      </c>
      <c r="I875" s="23" t="s">
        <v>92</v>
      </c>
      <c r="J875" s="0" t="n">
        <v>63</v>
      </c>
      <c r="K875" s="0" t="n">
        <v>63</v>
      </c>
      <c r="L875" s="0" t="n">
        <v>161</v>
      </c>
      <c r="P875" s="0" t="n">
        <v>2.52</v>
      </c>
      <c r="Q875" s="0" t="n">
        <v>3.51</v>
      </c>
      <c r="R875" s="0" t="n">
        <v>4409</v>
      </c>
      <c r="S875" s="0" t="n">
        <v>9254</v>
      </c>
      <c r="T875" s="0" t="n">
        <v>49.6</v>
      </c>
      <c r="U875" s="0" t="n">
        <v>861</v>
      </c>
      <c r="V875" s="0" t="n">
        <v>1</v>
      </c>
      <c r="W875" s="0" t="str">
        <f aca="false">IF(OR(AND(B875&gt;=1,B875&lt;=6),B875=10),"Vaca em lactação",IF(I875="Male","Macho",IF(E875&gt;=1,"Vaca seca",IF(I875="Youngstock","Bezerra/recria","Novilha"))))</f>
        <v>Vaca em lactação</v>
      </c>
      <c r="X875" s="0" t="str">
        <f aca="false">IF(AND(B875&gt;=1,B875&lt;=6),"Tanque",IF(B875=10,"Descarte",""))</f>
        <v>Tanque</v>
      </c>
    </row>
    <row r="876" customFormat="false" ht="15" hidden="false" customHeight="false" outlineLevel="0" collapsed="false">
      <c r="A876" s="22" t="n">
        <v>46309</v>
      </c>
      <c r="B876" s="0" t="n">
        <v>4</v>
      </c>
      <c r="C876" s="0" t="n">
        <v>5629</v>
      </c>
      <c r="D876" s="0" t="n">
        <v>149</v>
      </c>
      <c r="E876" s="0" t="n">
        <v>1</v>
      </c>
      <c r="F876" s="23" t="s">
        <v>646</v>
      </c>
      <c r="G876" s="0" t="n">
        <v>45.5</v>
      </c>
      <c r="H876" s="0" t="n">
        <v>46</v>
      </c>
      <c r="I876" s="23" t="s">
        <v>92</v>
      </c>
      <c r="J876" s="0" t="n">
        <v>100</v>
      </c>
      <c r="K876" s="0" t="n">
        <v>65</v>
      </c>
      <c r="L876" s="0" t="n">
        <v>49</v>
      </c>
      <c r="P876" s="0" t="n">
        <v>3.52</v>
      </c>
      <c r="Q876" s="0" t="n">
        <v>3.29</v>
      </c>
      <c r="R876" s="0" t="n">
        <v>3970</v>
      </c>
      <c r="S876" s="0" t="n">
        <v>8441</v>
      </c>
      <c r="T876" s="0" t="n">
        <v>42.35</v>
      </c>
      <c r="U876" s="0" t="n">
        <v>860</v>
      </c>
      <c r="V876" s="0" t="n">
        <v>2</v>
      </c>
      <c r="W876" s="0" t="str">
        <f aca="false">IF(OR(AND(B876&gt;=1,B876&lt;=6),B876=10),"Vaca em lactação",IF(I876="Male","Macho",IF(E876&gt;=1,"Vaca seca",IF(I876="Youngstock","Bezerra/recria","Novilha"))))</f>
        <v>Vaca em lactação</v>
      </c>
      <c r="X876" s="0" t="str">
        <f aca="false">IF(AND(B876&gt;=1,B876&lt;=6),"Tanque",IF(B876=10,"Descarte",""))</f>
        <v>Tanque</v>
      </c>
    </row>
    <row r="877" customFormat="false" ht="15" hidden="false" customHeight="false" outlineLevel="0" collapsed="false">
      <c r="A877" s="22" t="n">
        <v>46309</v>
      </c>
      <c r="B877" s="0" t="n">
        <v>4</v>
      </c>
      <c r="C877" s="0" t="n">
        <v>5628</v>
      </c>
      <c r="D877" s="0" t="n">
        <v>216</v>
      </c>
      <c r="E877" s="0" t="n">
        <v>1</v>
      </c>
      <c r="F877" s="23" t="s">
        <v>646</v>
      </c>
      <c r="G877" s="0" t="n">
        <v>44.9</v>
      </c>
      <c r="H877" s="0" t="n">
        <v>45</v>
      </c>
      <c r="I877" s="23" t="s">
        <v>92</v>
      </c>
      <c r="J877" s="0" t="n">
        <v>62</v>
      </c>
      <c r="K877" s="0" t="n">
        <v>62</v>
      </c>
      <c r="L877" s="0" t="n">
        <v>154</v>
      </c>
      <c r="P877" s="0" t="n">
        <v>3.7</v>
      </c>
      <c r="Q877" s="0" t="n">
        <v>3.54</v>
      </c>
      <c r="R877" s="0" t="n">
        <v>4092</v>
      </c>
      <c r="S877" s="0" t="n">
        <v>9072</v>
      </c>
      <c r="T877" s="0" t="n">
        <v>48.95</v>
      </c>
      <c r="U877" s="0" t="n">
        <v>860</v>
      </c>
      <c r="V877" s="0" t="n">
        <v>1</v>
      </c>
      <c r="W877" s="0" t="str">
        <f aca="false">IF(OR(AND(B877&gt;=1,B877&lt;=6),B877=10),"Vaca em lactação",IF(I877="Male","Macho",IF(E877&gt;=1,"Vaca seca",IF(I877="Youngstock","Bezerra/recria","Novilha"))))</f>
        <v>Vaca em lactação</v>
      </c>
      <c r="X877" s="0" t="str">
        <f aca="false">IF(AND(B877&gt;=1,B877&lt;=6),"Tanque",IF(B877=10,"Descarte",""))</f>
        <v>Tanque</v>
      </c>
    </row>
    <row r="878" customFormat="false" ht="15" hidden="false" customHeight="false" outlineLevel="0" collapsed="false">
      <c r="A878" s="22" t="n">
        <v>46309</v>
      </c>
      <c r="B878" s="0" t="n">
        <v>4</v>
      </c>
      <c r="C878" s="0" t="n">
        <v>5598</v>
      </c>
      <c r="D878" s="0" t="n">
        <v>144</v>
      </c>
      <c r="E878" s="0" t="n">
        <v>1</v>
      </c>
      <c r="F878" s="23" t="s">
        <v>647</v>
      </c>
      <c r="G878" s="0" t="n">
        <v>45.4</v>
      </c>
      <c r="H878" s="0" t="n">
        <v>46</v>
      </c>
      <c r="I878" s="23" t="s">
        <v>97</v>
      </c>
      <c r="J878" s="0" t="n">
        <v>144</v>
      </c>
      <c r="K878" s="0" t="n">
        <v>67</v>
      </c>
      <c r="P878" s="0" t="n">
        <v>3.47</v>
      </c>
      <c r="Q878" s="0" t="n">
        <v>3.43</v>
      </c>
      <c r="R878" s="0" t="n">
        <v>3233</v>
      </c>
      <c r="S878" s="0" t="n">
        <v>7289</v>
      </c>
      <c r="T878" s="0" t="n">
        <v>38.25</v>
      </c>
      <c r="U878" s="0" t="n">
        <v>868</v>
      </c>
      <c r="V878" s="0" t="n">
        <v>4</v>
      </c>
      <c r="W878" s="0" t="str">
        <f aca="false">IF(OR(AND(B878&gt;=1,B878&lt;=6),B878=10),"Vaca em lactação",IF(I878="Male","Macho",IF(E878&gt;=1,"Vaca seca",IF(I878="Youngstock","Bezerra/recria","Novilha"))))</f>
        <v>Vaca em lactação</v>
      </c>
      <c r="X878" s="0" t="str">
        <f aca="false">IF(AND(B878&gt;=1,B878&lt;=6),"Tanque",IF(B878=10,"Descarte",""))</f>
        <v>Tanque</v>
      </c>
    </row>
    <row r="879" customFormat="false" ht="15" hidden="false" customHeight="false" outlineLevel="0" collapsed="false">
      <c r="A879" s="22" t="n">
        <v>46309</v>
      </c>
      <c r="B879" s="0" t="n">
        <v>4</v>
      </c>
      <c r="C879" s="0" t="n">
        <v>5597</v>
      </c>
      <c r="D879" s="0" t="n">
        <v>201</v>
      </c>
      <c r="E879" s="0" t="n">
        <v>1</v>
      </c>
      <c r="F879" s="23" t="s">
        <v>647</v>
      </c>
      <c r="G879" s="0" t="n">
        <v>48.7</v>
      </c>
      <c r="H879" s="0" t="n">
        <v>48</v>
      </c>
      <c r="I879" s="23" t="s">
        <v>92</v>
      </c>
      <c r="J879" s="0" t="n">
        <v>90</v>
      </c>
      <c r="K879" s="0" t="n">
        <v>68</v>
      </c>
      <c r="L879" s="0" t="n">
        <v>111</v>
      </c>
      <c r="P879" s="0" t="n">
        <v>3.92</v>
      </c>
      <c r="Q879" s="0" t="n">
        <v>3.76</v>
      </c>
      <c r="R879" s="0" t="n">
        <v>4472</v>
      </c>
      <c r="S879" s="0" t="n">
        <v>9583</v>
      </c>
      <c r="T879" s="0" t="n">
        <v>48.9</v>
      </c>
      <c r="U879" s="0" t="n">
        <v>868</v>
      </c>
      <c r="V879" s="0" t="n">
        <v>2</v>
      </c>
      <c r="W879" s="0" t="str">
        <f aca="false">IF(OR(AND(B879&gt;=1,B879&lt;=6),B879=10),"Vaca em lactação",IF(I879="Male","Macho",IF(E879&gt;=1,"Vaca seca",IF(I879="Youngstock","Bezerra/recria","Novilha"))))</f>
        <v>Vaca em lactação</v>
      </c>
      <c r="X879" s="0" t="str">
        <f aca="false">IF(AND(B879&gt;=1,B879&lt;=6),"Tanque",IF(B879=10,"Descarte",""))</f>
        <v>Tanque</v>
      </c>
    </row>
    <row r="880" customFormat="false" ht="15" hidden="false" customHeight="false" outlineLevel="0" collapsed="false">
      <c r="A880" s="22" t="n">
        <v>46309</v>
      </c>
      <c r="B880" s="0" t="n">
        <v>4</v>
      </c>
      <c r="C880" s="0" t="n">
        <v>5599</v>
      </c>
      <c r="D880" s="0" t="n">
        <v>136</v>
      </c>
      <c r="E880" s="0" t="n">
        <v>1</v>
      </c>
      <c r="F880" s="23" t="s">
        <v>648</v>
      </c>
      <c r="G880" s="0" t="n">
        <v>43.4</v>
      </c>
      <c r="H880" s="0" t="n">
        <v>44</v>
      </c>
      <c r="I880" s="23" t="s">
        <v>506</v>
      </c>
      <c r="J880" s="0" t="n">
        <v>136</v>
      </c>
      <c r="K880" s="0" t="n">
        <v>66</v>
      </c>
      <c r="P880" s="0" t="n">
        <v>4.75</v>
      </c>
      <c r="Q880" s="0" t="n">
        <v>3.41</v>
      </c>
      <c r="R880" s="0" t="n">
        <v>3420</v>
      </c>
      <c r="S880" s="0" t="n">
        <v>7584</v>
      </c>
      <c r="T880" s="0" t="n">
        <v>35.9</v>
      </c>
      <c r="U880" s="0" t="n">
        <v>867</v>
      </c>
      <c r="V880" s="0" t="n">
        <v>2</v>
      </c>
      <c r="W880" s="0" t="str">
        <f aca="false">IF(OR(AND(B880&gt;=1,B880&lt;=6),B880=10),"Vaca em lactação",IF(I880="Male","Macho",IF(E880&gt;=1,"Vaca seca",IF(I880="Youngstock","Bezerra/recria","Novilha"))))</f>
        <v>Vaca em lactação</v>
      </c>
      <c r="X880" s="0" t="str">
        <f aca="false">IF(AND(B880&gt;=1,B880&lt;=6),"Tanque",IF(B880=10,"Descarte",""))</f>
        <v>Tanque</v>
      </c>
    </row>
    <row r="881" customFormat="false" ht="15" hidden="false" customHeight="false" outlineLevel="0" collapsed="false">
      <c r="A881" s="22" t="n">
        <v>46309</v>
      </c>
      <c r="B881" s="0" t="n">
        <v>4</v>
      </c>
      <c r="C881" s="0" t="n">
        <v>5603</v>
      </c>
      <c r="D881" s="0" t="n">
        <v>193</v>
      </c>
      <c r="E881" s="0" t="n">
        <v>1</v>
      </c>
      <c r="F881" s="23" t="s">
        <v>101</v>
      </c>
      <c r="G881" s="0" t="n">
        <v>53.1</v>
      </c>
      <c r="H881" s="0" t="n">
        <v>51</v>
      </c>
      <c r="I881" s="23" t="s">
        <v>92</v>
      </c>
      <c r="J881" s="0" t="n">
        <v>67</v>
      </c>
      <c r="K881" s="0" t="n">
        <v>67</v>
      </c>
      <c r="L881" s="0" t="n">
        <v>126</v>
      </c>
      <c r="P881" s="0" t="n">
        <v>3.17</v>
      </c>
      <c r="Q881" s="0" t="n">
        <v>3.12</v>
      </c>
      <c r="R881" s="0" t="n">
        <v>4538</v>
      </c>
      <c r="S881" s="0" t="n">
        <v>9955</v>
      </c>
      <c r="T881" s="0" t="n">
        <v>48.75</v>
      </c>
      <c r="U881" s="0" t="n">
        <v>866</v>
      </c>
      <c r="V881" s="0" t="n">
        <v>1</v>
      </c>
      <c r="W881" s="0" t="str">
        <f aca="false">IF(OR(AND(B881&gt;=1,B881&lt;=6),B881=10),"Vaca em lactação",IF(I881="Male","Macho",IF(E881&gt;=1,"Vaca seca",IF(I881="Youngstock","Bezerra/recria","Novilha"))))</f>
        <v>Vaca em lactação</v>
      </c>
      <c r="X881" s="0" t="str">
        <f aca="false">IF(AND(B881&gt;=1,B881&lt;=6),"Tanque",IF(B881=10,"Descarte",""))</f>
        <v>Tanque</v>
      </c>
    </row>
    <row r="882" customFormat="false" ht="15" hidden="false" customHeight="false" outlineLevel="0" collapsed="false">
      <c r="A882" s="22" t="n">
        <v>46309</v>
      </c>
      <c r="B882" s="0" t="n">
        <v>4</v>
      </c>
      <c r="C882" s="0" t="n">
        <v>5601</v>
      </c>
      <c r="D882" s="0" t="n">
        <v>172</v>
      </c>
      <c r="E882" s="0" t="n">
        <v>1</v>
      </c>
      <c r="F882" s="23" t="s">
        <v>101</v>
      </c>
      <c r="G882" s="0" t="n">
        <v>55.9</v>
      </c>
      <c r="H882" s="0" t="n">
        <v>55</v>
      </c>
      <c r="I882" s="23" t="s">
        <v>92</v>
      </c>
      <c r="J882" s="0" t="n">
        <v>123</v>
      </c>
      <c r="K882" s="0" t="n">
        <v>67</v>
      </c>
      <c r="L882" s="0" t="n">
        <v>49</v>
      </c>
      <c r="P882" s="0" t="n">
        <v>2.93</v>
      </c>
      <c r="Q882" s="0" t="n">
        <v>3.28</v>
      </c>
      <c r="R882" s="0" t="n">
        <v>4619</v>
      </c>
      <c r="S882" s="0" t="n">
        <v>10151</v>
      </c>
      <c r="T882" s="0" t="n">
        <v>53.9</v>
      </c>
      <c r="U882" s="0" t="n">
        <v>866</v>
      </c>
      <c r="V882" s="0" t="n">
        <v>2</v>
      </c>
      <c r="W882" s="0" t="str">
        <f aca="false">IF(OR(AND(B882&gt;=1,B882&lt;=6),B882=10),"Vaca em lactação",IF(I882="Male","Macho",IF(E882&gt;=1,"Vaca seca",IF(I882="Youngstock","Bezerra/recria","Novilha"))))</f>
        <v>Vaca em lactação</v>
      </c>
      <c r="X882" s="0" t="str">
        <f aca="false">IF(AND(B882&gt;=1,B882&lt;=6),"Tanque",IF(B882=10,"Descarte",""))</f>
        <v>Tanque</v>
      </c>
    </row>
    <row r="883" customFormat="false" ht="15" hidden="false" customHeight="false" outlineLevel="0" collapsed="false">
      <c r="A883" s="22" t="n">
        <v>46309</v>
      </c>
      <c r="B883" s="0" t="n">
        <v>4</v>
      </c>
      <c r="C883" s="0" t="n">
        <v>5605</v>
      </c>
      <c r="D883" s="0" t="n">
        <v>181</v>
      </c>
      <c r="E883" s="0" t="n">
        <v>1</v>
      </c>
      <c r="F883" s="23" t="s">
        <v>649</v>
      </c>
      <c r="G883" s="0" t="n">
        <v>52.3</v>
      </c>
      <c r="H883" s="0" t="n">
        <v>51</v>
      </c>
      <c r="I883" s="23" t="s">
        <v>92</v>
      </c>
      <c r="J883" s="0" t="n">
        <v>69</v>
      </c>
      <c r="K883" s="0" t="n">
        <v>69</v>
      </c>
      <c r="L883" s="0" t="n">
        <v>112</v>
      </c>
      <c r="P883" s="0" t="n">
        <v>3.73</v>
      </c>
      <c r="Q883" s="0" t="n">
        <v>3.1</v>
      </c>
      <c r="R883" s="0" t="n">
        <v>3781</v>
      </c>
      <c r="S883" s="0" t="n">
        <v>9065</v>
      </c>
      <c r="T883" s="0" t="n">
        <v>38.5</v>
      </c>
      <c r="U883" s="0" t="n">
        <v>865</v>
      </c>
      <c r="V883" s="0" t="n">
        <v>1</v>
      </c>
      <c r="W883" s="0" t="str">
        <f aca="false">IF(OR(AND(B883&gt;=1,B883&lt;=6),B883=10),"Vaca em lactação",IF(I883="Male","Macho",IF(E883&gt;=1,"Vaca seca",IF(I883="Youngstock","Bezerra/recria","Novilha"))))</f>
        <v>Vaca em lactação</v>
      </c>
      <c r="X883" s="0" t="str">
        <f aca="false">IF(AND(B883&gt;=1,B883&lt;=6),"Tanque",IF(B883=10,"Descarte",""))</f>
        <v>Tanque</v>
      </c>
    </row>
    <row r="884" customFormat="false" ht="15" hidden="false" customHeight="false" outlineLevel="0" collapsed="false">
      <c r="A884" s="22" t="n">
        <v>46309</v>
      </c>
      <c r="B884" s="0" t="n">
        <v>4</v>
      </c>
      <c r="C884" s="0" t="n">
        <v>5575</v>
      </c>
      <c r="D884" s="0" t="n">
        <v>160</v>
      </c>
      <c r="E884" s="0" t="n">
        <v>1</v>
      </c>
      <c r="F884" s="23" t="s">
        <v>650</v>
      </c>
      <c r="G884" s="0" t="n">
        <v>51.3</v>
      </c>
      <c r="H884" s="0" t="n">
        <v>48</v>
      </c>
      <c r="I884" s="23" t="s">
        <v>97</v>
      </c>
      <c r="J884" s="0" t="n">
        <v>160</v>
      </c>
      <c r="K884" s="0" t="n">
        <v>76</v>
      </c>
      <c r="P884" s="0" t="n">
        <v>3.51</v>
      </c>
      <c r="Q884" s="0" t="n">
        <v>3.28</v>
      </c>
      <c r="R884" s="0" t="n">
        <v>3538</v>
      </c>
      <c r="S884" s="0" t="n">
        <v>8254</v>
      </c>
      <c r="T884" s="0" t="n">
        <v>45.3</v>
      </c>
      <c r="U884" s="0" t="n">
        <v>877</v>
      </c>
      <c r="V884" s="0" t="n">
        <v>3</v>
      </c>
      <c r="W884" s="0" t="str">
        <f aca="false">IF(OR(AND(B884&gt;=1,B884&lt;=6),B884=10),"Vaca em lactação",IF(I884="Male","Macho",IF(E884&gt;=1,"Vaca seca",IF(I884="Youngstock","Bezerra/recria","Novilha"))))</f>
        <v>Vaca em lactação</v>
      </c>
      <c r="X884" s="0" t="str">
        <f aca="false">IF(AND(B884&gt;=1,B884&lt;=6),"Tanque",IF(B884=10,"Descarte",""))</f>
        <v>Tanque</v>
      </c>
    </row>
    <row r="885" customFormat="false" ht="15" hidden="false" customHeight="false" outlineLevel="0" collapsed="false">
      <c r="A885" s="22" t="n">
        <v>46309</v>
      </c>
      <c r="B885" s="0" t="n">
        <v>4</v>
      </c>
      <c r="C885" s="0" t="n">
        <v>5574</v>
      </c>
      <c r="D885" s="0" t="n">
        <v>184</v>
      </c>
      <c r="E885" s="0" t="n">
        <v>1</v>
      </c>
      <c r="F885" s="23" t="s">
        <v>650</v>
      </c>
      <c r="G885" s="0" t="n">
        <v>51.5</v>
      </c>
      <c r="H885" s="0" t="n">
        <v>54</v>
      </c>
      <c r="I885" s="23" t="s">
        <v>92</v>
      </c>
      <c r="J885" s="0" t="n">
        <v>87</v>
      </c>
      <c r="K885" s="0" t="n">
        <v>65</v>
      </c>
      <c r="L885" s="0" t="n">
        <v>97</v>
      </c>
      <c r="P885" s="0" t="n">
        <v>3.84</v>
      </c>
      <c r="Q885" s="0" t="n">
        <v>3.23</v>
      </c>
      <c r="R885" s="0" t="n">
        <v>4695</v>
      </c>
      <c r="S885" s="0" t="n">
        <v>10389</v>
      </c>
      <c r="T885" s="0" t="n">
        <v>48.65</v>
      </c>
      <c r="U885" s="0" t="n">
        <v>877</v>
      </c>
      <c r="V885" s="0" t="n">
        <v>2</v>
      </c>
      <c r="W885" s="0" t="str">
        <f aca="false">IF(OR(AND(B885&gt;=1,B885&lt;=6),B885=10),"Vaca em lactação",IF(I885="Male","Macho",IF(E885&gt;=1,"Vaca seca",IF(I885="Youngstock","Bezerra/recria","Novilha"))))</f>
        <v>Vaca em lactação</v>
      </c>
      <c r="X885" s="0" t="str">
        <f aca="false">IF(AND(B885&gt;=1,B885&lt;=6),"Tanque",IF(B885=10,"Descarte",""))</f>
        <v>Tanque</v>
      </c>
    </row>
    <row r="886" customFormat="false" ht="15" hidden="false" customHeight="false" outlineLevel="0" collapsed="false">
      <c r="A886" s="22" t="n">
        <v>46309</v>
      </c>
      <c r="B886" s="0" t="n">
        <v>4</v>
      </c>
      <c r="C886" s="0" t="n">
        <v>5573</v>
      </c>
      <c r="D886" s="0" t="n">
        <v>232</v>
      </c>
      <c r="E886" s="0" t="n">
        <v>1</v>
      </c>
      <c r="F886" s="23" t="s">
        <v>650</v>
      </c>
      <c r="G886" s="0" t="n">
        <v>39.8</v>
      </c>
      <c r="H886" s="0" t="n">
        <v>39</v>
      </c>
      <c r="I886" s="23" t="s">
        <v>92</v>
      </c>
      <c r="J886" s="0" t="n">
        <v>85</v>
      </c>
      <c r="K886" s="0" t="n">
        <v>64</v>
      </c>
      <c r="L886" s="0" t="n">
        <v>147</v>
      </c>
      <c r="P886" s="0" t="n">
        <v>3.51</v>
      </c>
      <c r="Q886" s="0" t="n">
        <v>3.74</v>
      </c>
      <c r="R886" s="0" t="n">
        <v>3490</v>
      </c>
      <c r="S886" s="0" t="n">
        <v>7427</v>
      </c>
      <c r="T886" s="0" t="n">
        <v>36.9</v>
      </c>
      <c r="U886" s="0" t="n">
        <v>877</v>
      </c>
      <c r="V886" s="0" t="n">
        <v>2</v>
      </c>
      <c r="W886" s="0" t="str">
        <f aca="false">IF(OR(AND(B886&gt;=1,B886&lt;=6),B886=10),"Vaca em lactação",IF(I886="Male","Macho",IF(E886&gt;=1,"Vaca seca",IF(I886="Youngstock","Bezerra/recria","Novilha"))))</f>
        <v>Vaca em lactação</v>
      </c>
      <c r="X886" s="0" t="str">
        <f aca="false">IF(AND(B886&gt;=1,B886&lt;=6),"Tanque",IF(B886=10,"Descarte",""))</f>
        <v>Tanque</v>
      </c>
    </row>
    <row r="887" customFormat="false" ht="15" hidden="false" customHeight="false" outlineLevel="0" collapsed="false">
      <c r="A887" s="22" t="n">
        <v>46309</v>
      </c>
      <c r="B887" s="0" t="n">
        <v>4</v>
      </c>
      <c r="C887" s="0" t="n">
        <v>5571</v>
      </c>
      <c r="D887" s="0" t="n">
        <v>164</v>
      </c>
      <c r="E887" s="0" t="n">
        <v>1</v>
      </c>
      <c r="F887" s="23" t="s">
        <v>650</v>
      </c>
      <c r="G887" s="0" t="n">
        <v>50.9</v>
      </c>
      <c r="H887" s="0" t="n">
        <v>48</v>
      </c>
      <c r="I887" s="23" t="s">
        <v>92</v>
      </c>
      <c r="J887" s="0" t="n">
        <v>66</v>
      </c>
      <c r="K887" s="0" t="n">
        <v>66</v>
      </c>
      <c r="L887" s="0" t="n">
        <v>98</v>
      </c>
      <c r="P887" s="0" t="n">
        <v>4.41</v>
      </c>
      <c r="Q887" s="0" t="n">
        <v>3.77</v>
      </c>
      <c r="R887" s="0" t="n">
        <v>4047</v>
      </c>
      <c r="S887" s="0" t="n">
        <v>8764</v>
      </c>
      <c r="T887" s="0" t="n">
        <v>43.05</v>
      </c>
      <c r="U887" s="0" t="n">
        <v>877</v>
      </c>
      <c r="V887" s="0" t="n">
        <v>1</v>
      </c>
      <c r="W887" s="0" t="str">
        <f aca="false">IF(OR(AND(B887&gt;=1,B887&lt;=6),B887=10),"Vaca em lactação",IF(I887="Male","Macho",IF(E887&gt;=1,"Vaca seca",IF(I887="Youngstock","Bezerra/recria","Novilha"))))</f>
        <v>Vaca em lactação</v>
      </c>
      <c r="X887" s="0" t="str">
        <f aca="false">IF(AND(B887&gt;=1,B887&lt;=6),"Tanque",IF(B887=10,"Descarte",""))</f>
        <v>Tanque</v>
      </c>
    </row>
    <row r="888" customFormat="false" ht="15" hidden="false" customHeight="false" outlineLevel="0" collapsed="false">
      <c r="A888" s="22" t="n">
        <v>46309</v>
      </c>
      <c r="B888" s="0" t="n">
        <v>4</v>
      </c>
      <c r="C888" s="0" t="n">
        <v>5570</v>
      </c>
      <c r="D888" s="0" t="n">
        <v>206</v>
      </c>
      <c r="E888" s="0" t="n">
        <v>1</v>
      </c>
      <c r="F888" s="23" t="s">
        <v>650</v>
      </c>
      <c r="G888" s="0" t="n">
        <v>44</v>
      </c>
      <c r="H888" s="0" t="n">
        <v>42</v>
      </c>
      <c r="I888" s="23" t="s">
        <v>92</v>
      </c>
      <c r="J888" s="0" t="n">
        <v>66</v>
      </c>
      <c r="K888" s="0" t="n">
        <v>73</v>
      </c>
      <c r="L888" s="0" t="n">
        <v>140</v>
      </c>
      <c r="P888" s="0" t="n">
        <v>3.87</v>
      </c>
      <c r="Q888" s="0" t="n">
        <v>3.57</v>
      </c>
      <c r="R888" s="0" t="n">
        <v>4075</v>
      </c>
      <c r="S888" s="0" t="n">
        <v>9173</v>
      </c>
      <c r="T888" s="0" t="n">
        <v>48.8</v>
      </c>
      <c r="U888" s="0" t="n">
        <v>877</v>
      </c>
      <c r="V888" s="0" t="n">
        <v>1</v>
      </c>
      <c r="W888" s="0" t="str">
        <f aca="false">IF(OR(AND(B888&gt;=1,B888&lt;=6),B888=10),"Vaca em lactação",IF(I888="Male","Macho",IF(E888&gt;=1,"Vaca seca",IF(I888="Youngstock","Bezerra/recria","Novilha"))))</f>
        <v>Vaca em lactação</v>
      </c>
      <c r="X888" s="0" t="str">
        <f aca="false">IF(AND(B888&gt;=1,B888&lt;=6),"Tanque",IF(B888=10,"Descarte",""))</f>
        <v>Tanque</v>
      </c>
    </row>
    <row r="889" customFormat="false" ht="15" hidden="false" customHeight="false" outlineLevel="0" collapsed="false">
      <c r="A889" s="22" t="n">
        <v>46309</v>
      </c>
      <c r="B889" s="0" t="n">
        <v>4</v>
      </c>
      <c r="C889" s="0" t="n">
        <v>5578</v>
      </c>
      <c r="D889" s="0" t="n">
        <v>196</v>
      </c>
      <c r="E889" s="0" t="n">
        <v>1</v>
      </c>
      <c r="F889" s="23" t="s">
        <v>651</v>
      </c>
      <c r="G889" s="0" t="n">
        <v>47.4</v>
      </c>
      <c r="H889" s="0" t="n">
        <v>48</v>
      </c>
      <c r="I889" s="23" t="s">
        <v>92</v>
      </c>
      <c r="J889" s="0" t="n">
        <v>98</v>
      </c>
      <c r="K889" s="0" t="n">
        <v>63</v>
      </c>
      <c r="L889" s="0" t="n">
        <v>98</v>
      </c>
      <c r="P889" s="0" t="n">
        <v>2.52</v>
      </c>
      <c r="Q889" s="0" t="n">
        <v>3.7</v>
      </c>
      <c r="R889" s="0" t="n">
        <v>4700</v>
      </c>
      <c r="S889" s="0" t="n">
        <v>10276</v>
      </c>
      <c r="T889" s="0" t="n">
        <v>49.85</v>
      </c>
      <c r="U889" s="0" t="n">
        <v>876</v>
      </c>
      <c r="V889" s="0" t="n">
        <v>2</v>
      </c>
      <c r="W889" s="0" t="str">
        <f aca="false">IF(OR(AND(B889&gt;=1,B889&lt;=6),B889=10),"Vaca em lactação",IF(I889="Male","Macho",IF(E889&gt;=1,"Vaca seca",IF(I889="Youngstock","Bezerra/recria","Novilha"))))</f>
        <v>Vaca em lactação</v>
      </c>
      <c r="X889" s="0" t="str">
        <f aca="false">IF(AND(B889&gt;=1,B889&lt;=6),"Tanque",IF(B889=10,"Descarte",""))</f>
        <v>Tanque</v>
      </c>
    </row>
    <row r="890" customFormat="false" ht="15" hidden="false" customHeight="false" outlineLevel="0" collapsed="false">
      <c r="A890" s="22" t="n">
        <v>46309</v>
      </c>
      <c r="B890" s="0" t="n">
        <v>4</v>
      </c>
      <c r="C890" s="0" t="n">
        <v>5579</v>
      </c>
      <c r="D890" s="0" t="n">
        <v>205</v>
      </c>
      <c r="E890" s="0" t="n">
        <v>1</v>
      </c>
      <c r="F890" s="23" t="s">
        <v>651</v>
      </c>
      <c r="G890" s="0" t="n">
        <v>43.1</v>
      </c>
      <c r="H890" s="0" t="n">
        <v>43</v>
      </c>
      <c r="I890" s="23" t="s">
        <v>92</v>
      </c>
      <c r="J890" s="0" t="n">
        <v>89</v>
      </c>
      <c r="K890" s="0" t="n">
        <v>65</v>
      </c>
      <c r="L890" s="0" t="n">
        <v>116</v>
      </c>
      <c r="P890" s="0" t="n">
        <v>3.26</v>
      </c>
      <c r="Q890" s="0" t="n">
        <v>3.42</v>
      </c>
      <c r="R890" s="0" t="n">
        <v>3317</v>
      </c>
      <c r="S890" s="0" t="n">
        <v>8331</v>
      </c>
      <c r="T890" s="0" t="n">
        <v>37.8</v>
      </c>
      <c r="U890" s="0" t="n">
        <v>876</v>
      </c>
      <c r="V890" s="0" t="n">
        <v>2</v>
      </c>
      <c r="W890" s="0" t="str">
        <f aca="false">IF(OR(AND(B890&gt;=1,B890&lt;=6),B890=10),"Vaca em lactação",IF(I890="Male","Macho",IF(E890&gt;=1,"Vaca seca",IF(I890="Youngstock","Bezerra/recria","Novilha"))))</f>
        <v>Vaca em lactação</v>
      </c>
      <c r="X890" s="0" t="str">
        <f aca="false">IF(AND(B890&gt;=1,B890&lt;=6),"Tanque",IF(B890=10,"Descarte",""))</f>
        <v>Tanque</v>
      </c>
    </row>
    <row r="891" customFormat="false" ht="15" hidden="false" customHeight="false" outlineLevel="0" collapsed="false">
      <c r="A891" s="22" t="n">
        <v>46309</v>
      </c>
      <c r="B891" s="0" t="n">
        <v>4</v>
      </c>
      <c r="C891" s="0" t="n">
        <v>5576</v>
      </c>
      <c r="D891" s="0" t="n">
        <v>213</v>
      </c>
      <c r="E891" s="0" t="n">
        <v>1</v>
      </c>
      <c r="F891" s="23" t="s">
        <v>651</v>
      </c>
      <c r="G891" s="0" t="n">
        <v>32.6</v>
      </c>
      <c r="H891" s="0" t="n">
        <v>32</v>
      </c>
      <c r="I891" s="23" t="s">
        <v>92</v>
      </c>
      <c r="J891" s="0" t="n">
        <v>136</v>
      </c>
      <c r="K891" s="0" t="n">
        <v>66</v>
      </c>
      <c r="L891" s="0" t="n">
        <v>77</v>
      </c>
      <c r="P891" s="0" t="n">
        <v>4.24</v>
      </c>
      <c r="Q891" s="0" t="n">
        <v>3.52</v>
      </c>
      <c r="R891" s="0" t="n">
        <v>3326</v>
      </c>
      <c r="S891" s="0" t="n">
        <v>7062</v>
      </c>
      <c r="T891" s="0" t="n">
        <v>37.6</v>
      </c>
      <c r="U891" s="0" t="n">
        <v>876</v>
      </c>
      <c r="V891" s="0" t="n">
        <v>3</v>
      </c>
      <c r="W891" s="0" t="str">
        <f aca="false">IF(OR(AND(B891&gt;=1,B891&lt;=6),B891=10),"Vaca em lactação",IF(I891="Male","Macho",IF(E891&gt;=1,"Vaca seca",IF(I891="Youngstock","Bezerra/recria","Novilha"))))</f>
        <v>Vaca em lactação</v>
      </c>
      <c r="X891" s="0" t="str">
        <f aca="false">IF(AND(B891&gt;=1,B891&lt;=6),"Tanque",IF(B891=10,"Descarte",""))</f>
        <v>Tanque</v>
      </c>
    </row>
    <row r="892" customFormat="false" ht="15" hidden="false" customHeight="false" outlineLevel="0" collapsed="false">
      <c r="A892" s="22" t="n">
        <v>46309</v>
      </c>
      <c r="B892" s="0" t="n">
        <v>4</v>
      </c>
      <c r="C892" s="0" t="n">
        <v>5581</v>
      </c>
      <c r="D892" s="0" t="n">
        <v>171</v>
      </c>
      <c r="E892" s="0" t="n">
        <v>1</v>
      </c>
      <c r="F892" s="23" t="s">
        <v>102</v>
      </c>
      <c r="G892" s="0" t="n">
        <v>53</v>
      </c>
      <c r="H892" s="0" t="n">
        <v>51</v>
      </c>
      <c r="I892" s="23" t="s">
        <v>92</v>
      </c>
      <c r="J892" s="0" t="n">
        <v>66</v>
      </c>
      <c r="K892" s="0" t="n">
        <v>66</v>
      </c>
      <c r="L892" s="0" t="n">
        <v>105</v>
      </c>
      <c r="P892" s="0" t="n">
        <v>3.83</v>
      </c>
      <c r="Q892" s="0" t="n">
        <v>3.42</v>
      </c>
      <c r="R892" s="0" t="n">
        <v>4356</v>
      </c>
      <c r="S892" s="0" t="n">
        <v>9607</v>
      </c>
      <c r="T892" s="0" t="n">
        <v>47.35</v>
      </c>
      <c r="U892" s="0" t="n">
        <v>875</v>
      </c>
      <c r="V892" s="0" t="n">
        <v>1</v>
      </c>
      <c r="W892" s="0" t="str">
        <f aca="false">IF(OR(AND(B892&gt;=1,B892&lt;=6),B892=10),"Vaca em lactação",IF(I892="Male","Macho",IF(E892&gt;=1,"Vaca seca",IF(I892="Youngstock","Bezerra/recria","Novilha"))))</f>
        <v>Vaca em lactação</v>
      </c>
      <c r="X892" s="0" t="str">
        <f aca="false">IF(AND(B892&gt;=1,B892&lt;=6),"Tanque",IF(B892=10,"Descarte",""))</f>
        <v>Tanque</v>
      </c>
    </row>
    <row r="893" customFormat="false" ht="15" hidden="false" customHeight="false" outlineLevel="0" collapsed="false">
      <c r="A893" s="22" t="n">
        <v>46309</v>
      </c>
      <c r="B893" s="0" t="n">
        <v>4</v>
      </c>
      <c r="C893" s="0" t="n">
        <v>5580</v>
      </c>
      <c r="D893" s="0" t="n">
        <v>184</v>
      </c>
      <c r="E893" s="0" t="n">
        <v>1</v>
      </c>
      <c r="F893" s="23" t="s">
        <v>102</v>
      </c>
      <c r="G893" s="0" t="n">
        <v>53.5</v>
      </c>
      <c r="H893" s="0" t="n">
        <v>51</v>
      </c>
      <c r="I893" s="23" t="s">
        <v>92</v>
      </c>
      <c r="J893" s="0" t="n">
        <v>65</v>
      </c>
      <c r="K893" s="0" t="n">
        <v>65</v>
      </c>
      <c r="L893" s="0" t="n">
        <v>119</v>
      </c>
      <c r="P893" s="0" t="n">
        <v>4.34</v>
      </c>
      <c r="Q893" s="0" t="n">
        <v>3.55</v>
      </c>
      <c r="R893" s="0" t="n">
        <v>4020</v>
      </c>
      <c r="S893" s="0" t="n">
        <v>8903</v>
      </c>
      <c r="T893" s="0" t="n">
        <v>42.25</v>
      </c>
      <c r="U893" s="0" t="n">
        <v>875</v>
      </c>
      <c r="V893" s="0" t="n">
        <v>1</v>
      </c>
      <c r="W893" s="0" t="str">
        <f aca="false">IF(OR(AND(B893&gt;=1,B893&lt;=6),B893=10),"Vaca em lactação",IF(I893="Male","Macho",IF(E893&gt;=1,"Vaca seca",IF(I893="Youngstock","Bezerra/recria","Novilha"))))</f>
        <v>Vaca em lactação</v>
      </c>
      <c r="X893" s="0" t="str">
        <f aca="false">IF(AND(B893&gt;=1,B893&lt;=6),"Tanque",IF(B893=10,"Descarte",""))</f>
        <v>Tanque</v>
      </c>
    </row>
    <row r="894" customFormat="false" ht="15" hidden="false" customHeight="false" outlineLevel="0" collapsed="false">
      <c r="A894" s="22" t="n">
        <v>46309</v>
      </c>
      <c r="B894" s="0" t="n">
        <v>4</v>
      </c>
      <c r="C894" s="0" t="n">
        <v>5585</v>
      </c>
      <c r="D894" s="0" t="n">
        <v>234</v>
      </c>
      <c r="E894" s="0" t="n">
        <v>1</v>
      </c>
      <c r="F894" s="23" t="s">
        <v>102</v>
      </c>
      <c r="G894" s="0" t="n">
        <v>34.4</v>
      </c>
      <c r="H894" s="0" t="n">
        <v>33</v>
      </c>
      <c r="I894" s="23" t="s">
        <v>92</v>
      </c>
      <c r="J894" s="0" t="n">
        <v>103</v>
      </c>
      <c r="K894" s="0" t="n">
        <v>80</v>
      </c>
      <c r="L894" s="0" t="n">
        <v>131</v>
      </c>
      <c r="P894" s="0" t="n">
        <v>3.26</v>
      </c>
      <c r="Q894" s="0" t="n">
        <v>3.9</v>
      </c>
      <c r="R894" s="0" t="n">
        <v>3323</v>
      </c>
      <c r="S894" s="0" t="n">
        <v>7783</v>
      </c>
      <c r="T894" s="0" t="n">
        <v>35</v>
      </c>
      <c r="U894" s="0" t="n">
        <v>875</v>
      </c>
      <c r="V894" s="0" t="n">
        <v>2</v>
      </c>
      <c r="W894" s="0" t="str">
        <f aca="false">IF(OR(AND(B894&gt;=1,B894&lt;=6),B894=10),"Vaca em lactação",IF(I894="Male","Macho",IF(E894&gt;=1,"Vaca seca",IF(I894="Youngstock","Bezerra/recria","Novilha"))))</f>
        <v>Vaca em lactação</v>
      </c>
      <c r="X894" s="0" t="str">
        <f aca="false">IF(AND(B894&gt;=1,B894&lt;=6),"Tanque",IF(B894=10,"Descarte",""))</f>
        <v>Tanque</v>
      </c>
    </row>
    <row r="895" customFormat="false" ht="15" hidden="false" customHeight="false" outlineLevel="0" collapsed="false">
      <c r="A895" s="22" t="n">
        <v>46309</v>
      </c>
      <c r="B895" s="0" t="n">
        <v>4</v>
      </c>
      <c r="C895" s="0" t="n">
        <v>5582</v>
      </c>
      <c r="D895" s="0" t="n">
        <v>124</v>
      </c>
      <c r="E895" s="0" t="n">
        <v>1</v>
      </c>
      <c r="F895" s="23" t="s">
        <v>102</v>
      </c>
      <c r="G895" s="0" t="n">
        <v>49.8</v>
      </c>
      <c r="H895" s="0" t="n">
        <v>50</v>
      </c>
      <c r="I895" s="23" t="s">
        <v>92</v>
      </c>
      <c r="J895" s="0" t="n">
        <v>75</v>
      </c>
      <c r="K895" s="0" t="n">
        <v>75</v>
      </c>
      <c r="L895" s="0" t="n">
        <v>49</v>
      </c>
      <c r="P895" s="0" t="n">
        <v>2.83</v>
      </c>
      <c r="Q895" s="0" t="n">
        <v>3.27</v>
      </c>
      <c r="R895" s="0" t="n">
        <v>4106</v>
      </c>
      <c r="S895" s="0" t="n">
        <v>8642</v>
      </c>
      <c r="T895" s="0" t="n">
        <v>46.85</v>
      </c>
      <c r="U895" s="0" t="n">
        <v>875</v>
      </c>
      <c r="V895" s="0" t="n">
        <v>1</v>
      </c>
      <c r="W895" s="0" t="str">
        <f aca="false">IF(OR(AND(B895&gt;=1,B895&lt;=6),B895=10),"Vaca em lactação",IF(I895="Male","Macho",IF(E895&gt;=1,"Vaca seca",IF(I895="Youngstock","Bezerra/recria","Novilha"))))</f>
        <v>Vaca em lactação</v>
      </c>
      <c r="X895" s="0" t="str">
        <f aca="false">IF(AND(B895&gt;=1,B895&lt;=6),"Tanque",IF(B895=10,"Descarte",""))</f>
        <v>Tanque</v>
      </c>
    </row>
    <row r="896" customFormat="false" ht="15" hidden="false" customHeight="false" outlineLevel="0" collapsed="false">
      <c r="A896" s="22" t="n">
        <v>46309</v>
      </c>
      <c r="B896" s="0" t="n">
        <v>4</v>
      </c>
      <c r="C896" s="0" t="n">
        <v>5583</v>
      </c>
      <c r="D896" s="0" t="n">
        <v>191</v>
      </c>
      <c r="E896" s="0" t="n">
        <v>1</v>
      </c>
      <c r="F896" s="23" t="s">
        <v>102</v>
      </c>
      <c r="G896" s="0" t="n">
        <v>38.7</v>
      </c>
      <c r="H896" s="0" t="n">
        <v>39</v>
      </c>
      <c r="I896" s="23" t="s">
        <v>92</v>
      </c>
      <c r="J896" s="0" t="n">
        <v>65</v>
      </c>
      <c r="K896" s="0" t="n">
        <v>65</v>
      </c>
      <c r="L896" s="0" t="n">
        <v>126</v>
      </c>
      <c r="P896" s="0" t="n">
        <v>3.45</v>
      </c>
      <c r="Q896" s="0" t="n">
        <v>3.73</v>
      </c>
      <c r="R896" s="0" t="n">
        <v>3982</v>
      </c>
      <c r="S896" s="0" t="n">
        <v>8455</v>
      </c>
      <c r="T896" s="0" t="n">
        <v>45.6</v>
      </c>
      <c r="U896" s="0" t="n">
        <v>875</v>
      </c>
      <c r="V896" s="0" t="n">
        <v>1</v>
      </c>
      <c r="W896" s="0" t="str">
        <f aca="false">IF(OR(AND(B896&gt;=1,B896&lt;=6),B896=10),"Vaca em lactação",IF(I896="Male","Macho",IF(E896&gt;=1,"Vaca seca",IF(I896="Youngstock","Bezerra/recria","Novilha"))))</f>
        <v>Vaca em lactação</v>
      </c>
      <c r="X896" s="0" t="str">
        <f aca="false">IF(AND(B896&gt;=1,B896&lt;=6),"Tanque",IF(B896=10,"Descarte",""))</f>
        <v>Tanque</v>
      </c>
    </row>
    <row r="897" customFormat="false" ht="15" hidden="false" customHeight="false" outlineLevel="0" collapsed="false">
      <c r="A897" s="22" t="n">
        <v>46309</v>
      </c>
      <c r="B897" s="0" t="n">
        <v>4</v>
      </c>
      <c r="C897" s="0" t="n">
        <v>5587</v>
      </c>
      <c r="D897" s="0" t="n">
        <v>223</v>
      </c>
      <c r="E897" s="0" t="n">
        <v>1</v>
      </c>
      <c r="F897" s="23" t="s">
        <v>652</v>
      </c>
      <c r="G897" s="0" t="n">
        <v>37.7</v>
      </c>
      <c r="H897" s="0" t="n">
        <v>38</v>
      </c>
      <c r="I897" s="23" t="s">
        <v>92</v>
      </c>
      <c r="J897" s="0" t="n">
        <v>113</v>
      </c>
      <c r="K897" s="0" t="n">
        <v>69</v>
      </c>
      <c r="L897" s="0" t="n">
        <v>110</v>
      </c>
      <c r="P897" s="0" t="n">
        <v>3.79</v>
      </c>
      <c r="Q897" s="0" t="n">
        <v>3.81</v>
      </c>
      <c r="R897" s="0" t="n">
        <v>3667</v>
      </c>
      <c r="S897" s="0" t="n">
        <v>8518</v>
      </c>
      <c r="T897" s="0" t="n">
        <v>39</v>
      </c>
      <c r="U897" s="0" t="n">
        <v>873</v>
      </c>
      <c r="V897" s="0" t="n">
        <v>3</v>
      </c>
      <c r="W897" s="0" t="str">
        <f aca="false">IF(OR(AND(B897&gt;=1,B897&lt;=6),B897=10),"Vaca em lactação",IF(I897="Male","Macho",IF(E897&gt;=1,"Vaca seca",IF(I897="Youngstock","Bezerra/recria","Novilha"))))</f>
        <v>Vaca em lactação</v>
      </c>
      <c r="X897" s="0" t="str">
        <f aca="false">IF(AND(B897&gt;=1,B897&lt;=6),"Tanque",IF(B897=10,"Descarte",""))</f>
        <v>Tanque</v>
      </c>
    </row>
    <row r="898" customFormat="false" ht="15" hidden="false" customHeight="false" outlineLevel="0" collapsed="false">
      <c r="A898" s="22" t="n">
        <v>46309</v>
      </c>
      <c r="B898" s="0" t="n">
        <v>4</v>
      </c>
      <c r="C898" s="0" t="n">
        <v>5591</v>
      </c>
      <c r="D898" s="0" t="n">
        <v>120</v>
      </c>
      <c r="E898" s="0" t="n">
        <v>1</v>
      </c>
      <c r="F898" s="23" t="s">
        <v>653</v>
      </c>
      <c r="G898" s="0" t="n">
        <v>33.8</v>
      </c>
      <c r="H898" s="0" t="n">
        <v>33</v>
      </c>
      <c r="I898" s="23" t="s">
        <v>97</v>
      </c>
      <c r="J898" s="0" t="n">
        <v>120</v>
      </c>
      <c r="K898" s="0" t="n">
        <v>64</v>
      </c>
      <c r="P898" s="0" t="n">
        <v>4.37</v>
      </c>
      <c r="Q898" s="0" t="n">
        <v>3.44</v>
      </c>
      <c r="R898" s="0" t="n">
        <v>2651</v>
      </c>
      <c r="S898" s="0" t="n">
        <v>5533</v>
      </c>
      <c r="T898" s="0" t="n">
        <v>29</v>
      </c>
      <c r="U898" s="0" t="n">
        <v>872</v>
      </c>
      <c r="V898" s="0" t="n">
        <v>2</v>
      </c>
      <c r="W898" s="0" t="str">
        <f aca="false">IF(OR(AND(B898&gt;=1,B898&lt;=6),B898=10),"Vaca em lactação",IF(I898="Male","Macho",IF(E898&gt;=1,"Vaca seca",IF(I898="Youngstock","Bezerra/recria","Novilha"))))</f>
        <v>Vaca em lactação</v>
      </c>
      <c r="X898" s="0" t="str">
        <f aca="false">IF(AND(B898&gt;=1,B898&lt;=6),"Tanque",IF(B898=10,"Descarte",""))</f>
        <v>Tanque</v>
      </c>
    </row>
    <row r="899" customFormat="false" ht="15" hidden="false" customHeight="false" outlineLevel="0" collapsed="false">
      <c r="A899" s="22" t="n">
        <v>46309</v>
      </c>
      <c r="B899" s="0" t="n">
        <v>4</v>
      </c>
      <c r="C899" s="0" t="n">
        <v>5590</v>
      </c>
      <c r="D899" s="0" t="n">
        <v>228</v>
      </c>
      <c r="E899" s="0" t="n">
        <v>1</v>
      </c>
      <c r="F899" s="23" t="s">
        <v>653</v>
      </c>
      <c r="G899" s="0" t="n">
        <v>36.2</v>
      </c>
      <c r="H899" s="0" t="n">
        <v>37</v>
      </c>
      <c r="I899" s="23" t="s">
        <v>92</v>
      </c>
      <c r="J899" s="0" t="n">
        <v>67</v>
      </c>
      <c r="K899" s="0" t="n">
        <v>67</v>
      </c>
      <c r="L899" s="0" t="n">
        <v>161</v>
      </c>
      <c r="P899" s="0" t="n">
        <v>3.43</v>
      </c>
      <c r="Q899" s="0" t="n">
        <v>3.55</v>
      </c>
      <c r="R899" s="0" t="n">
        <v>3107</v>
      </c>
      <c r="S899" s="0" t="n">
        <v>7643</v>
      </c>
      <c r="T899" s="0" t="n">
        <v>39.5</v>
      </c>
      <c r="U899" s="0" t="n">
        <v>872</v>
      </c>
      <c r="V899" s="0" t="n">
        <v>1</v>
      </c>
      <c r="W899" s="0" t="str">
        <f aca="false">IF(OR(AND(B899&gt;=1,B899&lt;=6),B899=10),"Vaca em lactação",IF(I899="Male","Macho",IF(E899&gt;=1,"Vaca seca",IF(I899="Youngstock","Bezerra/recria","Novilha"))))</f>
        <v>Vaca em lactação</v>
      </c>
      <c r="X899" s="0" t="str">
        <f aca="false">IF(AND(B899&gt;=1,B899&lt;=6),"Tanque",IF(B899=10,"Descarte",""))</f>
        <v>Tanque</v>
      </c>
    </row>
    <row r="900" customFormat="false" ht="15" hidden="false" customHeight="false" outlineLevel="0" collapsed="false">
      <c r="A900" s="22" t="n">
        <v>46309</v>
      </c>
      <c r="B900" s="0" t="n">
        <v>4</v>
      </c>
      <c r="C900" s="0" t="n">
        <v>5589</v>
      </c>
      <c r="D900" s="0" t="n">
        <v>210</v>
      </c>
      <c r="E900" s="0" t="n">
        <v>1</v>
      </c>
      <c r="F900" s="23" t="s">
        <v>652</v>
      </c>
      <c r="G900" s="0" t="n">
        <v>46.1</v>
      </c>
      <c r="H900" s="0" t="n">
        <v>46</v>
      </c>
      <c r="I900" s="23" t="s">
        <v>92</v>
      </c>
      <c r="J900" s="0" t="n">
        <v>98</v>
      </c>
      <c r="K900" s="0" t="n">
        <v>63</v>
      </c>
      <c r="L900" s="0" t="n">
        <v>112</v>
      </c>
      <c r="P900" s="0" t="n">
        <v>4.55</v>
      </c>
      <c r="Q900" s="0" t="n">
        <v>3.65</v>
      </c>
      <c r="R900" s="0" t="n">
        <v>3989</v>
      </c>
      <c r="S900" s="0" t="n">
        <v>8587</v>
      </c>
      <c r="T900" s="0" t="n">
        <v>47.4</v>
      </c>
      <c r="U900" s="0" t="n">
        <v>873</v>
      </c>
      <c r="V900" s="0" t="n">
        <v>2</v>
      </c>
      <c r="W900" s="0" t="str">
        <f aca="false">IF(OR(AND(B900&gt;=1,B900&lt;=6),B900=10),"Vaca em lactação",IF(I900="Male","Macho",IF(E900&gt;=1,"Vaca seca",IF(I900="Youngstock","Bezerra/recria","Novilha"))))</f>
        <v>Vaca em lactação</v>
      </c>
      <c r="X900" s="0" t="str">
        <f aca="false">IF(AND(B900&gt;=1,B900&lt;=6),"Tanque",IF(B900=10,"Descarte",""))</f>
        <v>Tanque</v>
      </c>
    </row>
    <row r="901" customFormat="false" ht="15" hidden="false" customHeight="false" outlineLevel="0" collapsed="false">
      <c r="A901" s="22" t="n">
        <v>46309</v>
      </c>
      <c r="B901" s="0" t="n">
        <v>4</v>
      </c>
      <c r="C901" s="0" t="n">
        <v>5594</v>
      </c>
      <c r="D901" s="0" t="n">
        <v>186</v>
      </c>
      <c r="E901" s="0" t="n">
        <v>1</v>
      </c>
      <c r="F901" s="23" t="s">
        <v>654</v>
      </c>
      <c r="G901" s="0" t="n">
        <v>53.4</v>
      </c>
      <c r="H901" s="0" t="n">
        <v>53</v>
      </c>
      <c r="I901" s="23" t="s">
        <v>92</v>
      </c>
      <c r="J901" s="0" t="n">
        <v>67</v>
      </c>
      <c r="K901" s="0" t="n">
        <v>67</v>
      </c>
      <c r="L901" s="0" t="n">
        <v>119</v>
      </c>
      <c r="P901" s="0" t="n">
        <v>3.3</v>
      </c>
      <c r="Q901" s="0" t="n">
        <v>2.97</v>
      </c>
      <c r="R901" s="0" t="n">
        <v>4938</v>
      </c>
      <c r="S901" s="0" t="n">
        <v>9500</v>
      </c>
      <c r="T901" s="0" t="n">
        <v>51.95</v>
      </c>
      <c r="U901" s="0" t="n">
        <v>871</v>
      </c>
      <c r="V901" s="0" t="n">
        <v>1</v>
      </c>
      <c r="W901" s="0" t="str">
        <f aca="false">IF(OR(AND(B901&gt;=1,B901&lt;=6),B901=10),"Vaca em lactação",IF(I901="Male","Macho",IF(E901&gt;=1,"Vaca seca",IF(I901="Youngstock","Bezerra/recria","Novilha"))))</f>
        <v>Vaca em lactação</v>
      </c>
      <c r="X901" s="0" t="str">
        <f aca="false">IF(AND(B901&gt;=1,B901&lt;=6),"Tanque",IF(B901=10,"Descarte",""))</f>
        <v>Tanque</v>
      </c>
    </row>
    <row r="902" customFormat="false" ht="15" hidden="false" customHeight="false" outlineLevel="0" collapsed="false">
      <c r="A902" s="22" t="n">
        <v>46309</v>
      </c>
      <c r="B902" s="0" t="n">
        <v>4</v>
      </c>
      <c r="C902" s="0" t="n">
        <v>5592</v>
      </c>
      <c r="D902" s="0" t="n">
        <v>209</v>
      </c>
      <c r="E902" s="0" t="n">
        <v>1</v>
      </c>
      <c r="F902" s="23" t="s">
        <v>654</v>
      </c>
      <c r="G902" s="0" t="n">
        <v>46.9</v>
      </c>
      <c r="H902" s="0" t="n">
        <v>46</v>
      </c>
      <c r="I902" s="23" t="s">
        <v>92</v>
      </c>
      <c r="J902" s="0" t="n">
        <v>104</v>
      </c>
      <c r="K902" s="0" t="n">
        <v>69</v>
      </c>
      <c r="L902" s="0" t="n">
        <v>105</v>
      </c>
      <c r="P902" s="0" t="n">
        <v>4.1</v>
      </c>
      <c r="Q902" s="0" t="n">
        <v>3.53</v>
      </c>
      <c r="R902" s="0" t="n">
        <v>3831</v>
      </c>
      <c r="S902" s="0" t="n">
        <v>8548</v>
      </c>
      <c r="T902" s="0" t="n">
        <v>44.7</v>
      </c>
      <c r="U902" s="0" t="n">
        <v>871</v>
      </c>
      <c r="V902" s="0" t="n">
        <v>2</v>
      </c>
      <c r="W902" s="0" t="str">
        <f aca="false">IF(OR(AND(B902&gt;=1,B902&lt;=6),B902=10),"Vaca em lactação",IF(I902="Male","Macho",IF(E902&gt;=1,"Vaca seca",IF(I902="Youngstock","Bezerra/recria","Novilha"))))</f>
        <v>Vaca em lactação</v>
      </c>
      <c r="X902" s="0" t="str">
        <f aca="false">IF(AND(B902&gt;=1,B902&lt;=6),"Tanque",IF(B902=10,"Descarte",""))</f>
        <v>Tanque</v>
      </c>
    </row>
    <row r="903" customFormat="false" ht="15" hidden="false" customHeight="false" outlineLevel="0" collapsed="false">
      <c r="A903" s="22" t="n">
        <v>46309</v>
      </c>
      <c r="B903" s="0" t="n">
        <v>4</v>
      </c>
      <c r="C903" s="0" t="n">
        <v>5595</v>
      </c>
      <c r="D903" s="0" t="n">
        <v>240</v>
      </c>
      <c r="E903" s="0" t="n">
        <v>1</v>
      </c>
      <c r="F903" s="23" t="s">
        <v>655</v>
      </c>
      <c r="G903" s="0" t="n">
        <v>45.4</v>
      </c>
      <c r="H903" s="0" t="n">
        <v>46</v>
      </c>
      <c r="I903" s="23" t="s">
        <v>92</v>
      </c>
      <c r="J903" s="0" t="n">
        <v>65</v>
      </c>
      <c r="K903" s="0" t="n">
        <v>65</v>
      </c>
      <c r="L903" s="0" t="n">
        <v>175</v>
      </c>
      <c r="P903" s="0" t="n">
        <v>3.82</v>
      </c>
      <c r="Q903" s="0" t="n">
        <v>3.37</v>
      </c>
      <c r="R903" s="0" t="n">
        <v>4005</v>
      </c>
      <c r="S903" s="0" t="n">
        <v>9052</v>
      </c>
      <c r="T903" s="0" t="n">
        <v>44.75</v>
      </c>
      <c r="U903" s="0" t="n">
        <v>870</v>
      </c>
      <c r="V903" s="0" t="n">
        <v>1</v>
      </c>
      <c r="W903" s="0" t="str">
        <f aca="false">IF(OR(AND(B903&gt;=1,B903&lt;=6),B903=10),"Vaca em lactação",IF(I903="Male","Macho",IF(E903&gt;=1,"Vaca seca",IF(I903="Youngstock","Bezerra/recria","Novilha"))))</f>
        <v>Vaca em lactação</v>
      </c>
      <c r="X903" s="0" t="str">
        <f aca="false">IF(AND(B903&gt;=1,B903&lt;=6),"Tanque",IF(B903=10,"Descarte",""))</f>
        <v>Tanque</v>
      </c>
    </row>
    <row r="904" customFormat="false" ht="15" hidden="false" customHeight="false" outlineLevel="0" collapsed="false">
      <c r="A904" s="22" t="n">
        <v>46309</v>
      </c>
      <c r="B904" s="0" t="n">
        <v>4</v>
      </c>
      <c r="C904" s="0" t="n">
        <v>5596</v>
      </c>
      <c r="D904" s="0" t="n">
        <v>220</v>
      </c>
      <c r="E904" s="0" t="n">
        <v>1</v>
      </c>
      <c r="F904" s="23" t="s">
        <v>655</v>
      </c>
      <c r="G904" s="0" t="n">
        <v>33.4</v>
      </c>
      <c r="H904" s="0" t="n">
        <v>35</v>
      </c>
      <c r="I904" s="23" t="s">
        <v>92</v>
      </c>
      <c r="J904" s="0" t="n">
        <v>164</v>
      </c>
      <c r="K904" s="0" t="n">
        <v>66</v>
      </c>
      <c r="L904" s="0" t="n">
        <v>56</v>
      </c>
      <c r="P904" s="0" t="n">
        <v>4.75</v>
      </c>
      <c r="Q904" s="0" t="n">
        <v>4.01</v>
      </c>
      <c r="R904" s="0" t="n">
        <v>4777</v>
      </c>
      <c r="S904" s="0" t="n">
        <v>8690</v>
      </c>
      <c r="T904" s="0" t="n">
        <v>51.2</v>
      </c>
      <c r="U904" s="0" t="n">
        <v>870</v>
      </c>
      <c r="V904" s="0" t="n">
        <v>4</v>
      </c>
      <c r="W904" s="0" t="str">
        <f aca="false">IF(OR(AND(B904&gt;=1,B904&lt;=6),B904=10),"Vaca em lactação",IF(I904="Male","Macho",IF(E904&gt;=1,"Vaca seca",IF(I904="Youngstock","Bezerra/recria","Novilha"))))</f>
        <v>Vaca em lactação</v>
      </c>
      <c r="X904" s="0" t="str">
        <f aca="false">IF(AND(B904&gt;=1,B904&lt;=6),"Tanque",IF(B904=10,"Descarte",""))</f>
        <v>Tanque</v>
      </c>
    </row>
    <row r="905" customFormat="false" ht="15" hidden="false" customHeight="false" outlineLevel="0" collapsed="false">
      <c r="A905" s="22" t="n">
        <v>46309</v>
      </c>
      <c r="B905" s="0" t="n">
        <v>4</v>
      </c>
      <c r="C905" s="0" t="n">
        <v>5726</v>
      </c>
      <c r="D905" s="0" t="n">
        <v>186</v>
      </c>
      <c r="E905" s="0" t="n">
        <v>1</v>
      </c>
      <c r="F905" s="23" t="s">
        <v>103</v>
      </c>
      <c r="G905" s="0" t="n">
        <v>34.8</v>
      </c>
      <c r="H905" s="0" t="n">
        <v>41</v>
      </c>
      <c r="I905" s="23" t="s">
        <v>92</v>
      </c>
      <c r="J905" s="0" t="n">
        <v>67</v>
      </c>
      <c r="K905" s="0" t="n">
        <v>67</v>
      </c>
      <c r="L905" s="0" t="n">
        <v>119</v>
      </c>
      <c r="P905" s="0" t="n">
        <v>3.3</v>
      </c>
      <c r="Q905" s="0" t="n">
        <v>3.15</v>
      </c>
      <c r="R905" s="0" t="n">
        <v>3555</v>
      </c>
      <c r="S905" s="0" t="n">
        <v>7843</v>
      </c>
      <c r="T905" s="0" t="n">
        <v>39.4</v>
      </c>
      <c r="U905" s="0" t="n">
        <v>821</v>
      </c>
      <c r="V905" s="0" t="n">
        <v>1</v>
      </c>
      <c r="W905" s="0" t="str">
        <f aca="false">IF(OR(AND(B905&gt;=1,B905&lt;=6),B905=10),"Vaca em lactação",IF(I905="Male","Macho",IF(E905&gt;=1,"Vaca seca",IF(I905="Youngstock","Bezerra/recria","Novilha"))))</f>
        <v>Vaca em lactação</v>
      </c>
      <c r="X905" s="0" t="str">
        <f aca="false">IF(AND(B905&gt;=1,B905&lt;=6),"Tanque",IF(B905=10,"Descarte",""))</f>
        <v>Tanque</v>
      </c>
    </row>
    <row r="906" customFormat="false" ht="15" hidden="false" customHeight="false" outlineLevel="0" collapsed="false">
      <c r="A906" s="22" t="n">
        <v>46309</v>
      </c>
      <c r="B906" s="0" t="n">
        <v>4</v>
      </c>
      <c r="C906" s="0" t="n">
        <v>5727</v>
      </c>
      <c r="D906" s="0" t="n">
        <v>154</v>
      </c>
      <c r="E906" s="0" t="n">
        <v>1</v>
      </c>
      <c r="F906" s="23" t="s">
        <v>103</v>
      </c>
      <c r="G906" s="0" t="n">
        <v>45.2</v>
      </c>
      <c r="H906" s="0" t="n">
        <v>45</v>
      </c>
      <c r="I906" s="23" t="s">
        <v>109</v>
      </c>
      <c r="J906" s="0" t="n">
        <v>154</v>
      </c>
      <c r="K906" s="0" t="n">
        <v>63</v>
      </c>
      <c r="P906" s="0" t="n">
        <v>4.95</v>
      </c>
      <c r="Q906" s="0" t="n">
        <v>3.43</v>
      </c>
      <c r="R906" s="0" t="n">
        <v>3383</v>
      </c>
      <c r="S906" s="0" t="n">
        <v>7469</v>
      </c>
      <c r="T906" s="0" t="n">
        <v>35.2</v>
      </c>
      <c r="U906" s="0" t="n">
        <v>821</v>
      </c>
      <c r="V906" s="0" t="n">
        <v>2</v>
      </c>
      <c r="W906" s="0" t="str">
        <f aca="false">IF(OR(AND(B906&gt;=1,B906&lt;=6),B906=10),"Vaca em lactação",IF(I906="Male","Macho",IF(E906&gt;=1,"Vaca seca",IF(I906="Youngstock","Bezerra/recria","Novilha"))))</f>
        <v>Vaca em lactação</v>
      </c>
      <c r="X906" s="0" t="str">
        <f aca="false">IF(AND(B906&gt;=1,B906&lt;=6),"Tanque",IF(B906=10,"Descarte",""))</f>
        <v>Tanque</v>
      </c>
    </row>
    <row r="907" customFormat="false" ht="15" hidden="false" customHeight="false" outlineLevel="0" collapsed="false">
      <c r="A907" s="22" t="n">
        <v>46309</v>
      </c>
      <c r="B907" s="0" t="n">
        <v>4</v>
      </c>
      <c r="C907" s="0" t="n">
        <v>5729</v>
      </c>
      <c r="D907" s="0" t="n">
        <v>160</v>
      </c>
      <c r="E907" s="0" t="n">
        <v>1</v>
      </c>
      <c r="F907" s="23" t="s">
        <v>656</v>
      </c>
      <c r="G907" s="0" t="n">
        <v>25.2</v>
      </c>
      <c r="H907" s="0" t="n">
        <v>25</v>
      </c>
      <c r="I907" s="23" t="s">
        <v>97</v>
      </c>
      <c r="J907" s="0" t="n">
        <v>160</v>
      </c>
      <c r="K907" s="0" t="n">
        <v>69</v>
      </c>
      <c r="P907" s="0" t="n">
        <v>6.36</v>
      </c>
      <c r="Q907" s="0" t="n">
        <v>3.36</v>
      </c>
      <c r="R907" s="0" t="n">
        <v>4268</v>
      </c>
      <c r="S907" s="0" t="n">
        <v>8203</v>
      </c>
      <c r="T907" s="0" t="n">
        <v>48.2</v>
      </c>
      <c r="U907" s="0" t="n">
        <v>820</v>
      </c>
      <c r="V907" s="0" t="n">
        <v>3</v>
      </c>
      <c r="W907" s="0" t="str">
        <f aca="false">IF(OR(AND(B907&gt;=1,B907&lt;=6),B907=10),"Vaca em lactação",IF(I907="Male","Macho",IF(E907&gt;=1,"Vaca seca",IF(I907="Youngstock","Bezerra/recria","Novilha"))))</f>
        <v>Vaca em lactação</v>
      </c>
      <c r="X907" s="0" t="str">
        <f aca="false">IF(AND(B907&gt;=1,B907&lt;=6),"Tanque",IF(B907=10,"Descarte",""))</f>
        <v>Tanque</v>
      </c>
    </row>
    <row r="908" customFormat="false" ht="15" hidden="false" customHeight="false" outlineLevel="0" collapsed="false">
      <c r="A908" s="22" t="n">
        <v>46309</v>
      </c>
      <c r="B908" s="0" t="n">
        <v>4</v>
      </c>
      <c r="C908" s="0" t="n">
        <v>5728</v>
      </c>
      <c r="D908" s="0" t="n">
        <v>176</v>
      </c>
      <c r="E908" s="0" t="n">
        <v>1</v>
      </c>
      <c r="F908" s="23" t="s">
        <v>656</v>
      </c>
      <c r="G908" s="0" t="n">
        <v>49.4</v>
      </c>
      <c r="H908" s="0" t="n">
        <v>53</v>
      </c>
      <c r="I908" s="23" t="s">
        <v>97</v>
      </c>
      <c r="J908" s="0" t="n">
        <v>176</v>
      </c>
      <c r="K908" s="0" t="n">
        <v>64</v>
      </c>
      <c r="P908" s="0" t="n">
        <v>2.2</v>
      </c>
      <c r="Q908" s="0" t="n">
        <v>3.17</v>
      </c>
      <c r="R908" s="0" t="n">
        <v>4707</v>
      </c>
      <c r="S908" s="0" t="n">
        <v>10075</v>
      </c>
      <c r="T908" s="0" t="n">
        <v>55.65</v>
      </c>
      <c r="U908" s="0" t="n">
        <v>820</v>
      </c>
      <c r="V908" s="0" t="n">
        <v>3</v>
      </c>
      <c r="W908" s="0" t="str">
        <f aca="false">IF(OR(AND(B908&gt;=1,B908&lt;=6),B908=10),"Vaca em lactação",IF(I908="Male","Macho",IF(E908&gt;=1,"Vaca seca",IF(I908="Youngstock","Bezerra/recria","Novilha"))))</f>
        <v>Vaca em lactação</v>
      </c>
      <c r="X908" s="0" t="str">
        <f aca="false">IF(AND(B908&gt;=1,B908&lt;=6),"Tanque",IF(B908=10,"Descarte",""))</f>
        <v>Tanque</v>
      </c>
    </row>
    <row r="909" customFormat="false" ht="15" hidden="false" customHeight="false" outlineLevel="0" collapsed="false">
      <c r="A909" s="22" t="n">
        <v>46309</v>
      </c>
      <c r="B909" s="0" t="n">
        <v>4</v>
      </c>
      <c r="C909" s="0" t="n">
        <v>5731</v>
      </c>
      <c r="D909" s="0" t="n">
        <v>140</v>
      </c>
      <c r="E909" s="0" t="n">
        <v>1</v>
      </c>
      <c r="F909" s="23" t="s">
        <v>657</v>
      </c>
      <c r="G909" s="0" t="n">
        <v>54.9</v>
      </c>
      <c r="H909" s="0" t="n">
        <v>54</v>
      </c>
      <c r="I909" s="23" t="s">
        <v>92</v>
      </c>
      <c r="J909" s="0" t="n">
        <v>63</v>
      </c>
      <c r="K909" s="0" t="n">
        <v>63</v>
      </c>
      <c r="L909" s="0" t="n">
        <v>77</v>
      </c>
      <c r="P909" s="0" t="n">
        <v>3.75</v>
      </c>
      <c r="Q909" s="0" t="n">
        <v>3.2</v>
      </c>
      <c r="R909" s="0" t="n">
        <v>5023</v>
      </c>
      <c r="S909" s="0" t="n">
        <v>10380</v>
      </c>
      <c r="T909" s="0" t="n">
        <v>53.45</v>
      </c>
      <c r="U909" s="0" t="n">
        <v>819</v>
      </c>
      <c r="V909" s="0" t="n">
        <v>1</v>
      </c>
      <c r="W909" s="0" t="str">
        <f aca="false">IF(OR(AND(B909&gt;=1,B909&lt;=6),B909=10),"Vaca em lactação",IF(I909="Male","Macho",IF(E909&gt;=1,"Vaca seca",IF(I909="Youngstock","Bezerra/recria","Novilha"))))</f>
        <v>Vaca em lactação</v>
      </c>
      <c r="X909" s="0" t="str">
        <f aca="false">IF(AND(B909&gt;=1,B909&lt;=6),"Tanque",IF(B909=10,"Descarte",""))</f>
        <v>Tanque</v>
      </c>
    </row>
    <row r="910" customFormat="false" ht="15" hidden="false" customHeight="false" outlineLevel="0" collapsed="false">
      <c r="A910" s="22" t="n">
        <v>46309</v>
      </c>
      <c r="B910" s="0" t="n">
        <v>4</v>
      </c>
      <c r="C910" s="0" t="n">
        <v>5730</v>
      </c>
      <c r="D910" s="0" t="n">
        <v>185</v>
      </c>
      <c r="E910" s="0" t="n">
        <v>1</v>
      </c>
      <c r="F910" s="23" t="s">
        <v>657</v>
      </c>
      <c r="G910" s="0" t="n">
        <v>47.9</v>
      </c>
      <c r="H910" s="0" t="n">
        <v>48</v>
      </c>
      <c r="I910" s="23" t="s">
        <v>97</v>
      </c>
      <c r="J910" s="0" t="n">
        <v>185</v>
      </c>
      <c r="K910" s="0" t="n">
        <v>66</v>
      </c>
      <c r="P910" s="0" t="n">
        <v>3.09</v>
      </c>
      <c r="Q910" s="0" t="n">
        <v>3.55</v>
      </c>
      <c r="R910" s="0" t="n">
        <v>4687</v>
      </c>
      <c r="S910" s="0" t="n">
        <v>9995</v>
      </c>
      <c r="T910" s="0" t="n">
        <v>47.4</v>
      </c>
      <c r="U910" s="0" t="n">
        <v>819</v>
      </c>
      <c r="V910" s="0" t="n">
        <v>4</v>
      </c>
      <c r="W910" s="0" t="str">
        <f aca="false">IF(OR(AND(B910&gt;=1,B910&lt;=6),B910=10),"Vaca em lactação",IF(I910="Male","Macho",IF(E910&gt;=1,"Vaca seca",IF(I910="Youngstock","Bezerra/recria","Novilha"))))</f>
        <v>Vaca em lactação</v>
      </c>
      <c r="X910" s="0" t="str">
        <f aca="false">IF(AND(B910&gt;=1,B910&lt;=6),"Tanque",IF(B910=10,"Descarte",""))</f>
        <v>Tanque</v>
      </c>
    </row>
    <row r="911" customFormat="false" ht="15" hidden="false" customHeight="false" outlineLevel="0" collapsed="false">
      <c r="A911" s="22" t="n">
        <v>46309</v>
      </c>
      <c r="B911" s="0" t="n">
        <v>4</v>
      </c>
      <c r="C911" s="0" t="n">
        <v>5740</v>
      </c>
      <c r="D911" s="0" t="n">
        <v>170</v>
      </c>
      <c r="E911" s="0" t="n">
        <v>1</v>
      </c>
      <c r="F911" s="23" t="s">
        <v>658</v>
      </c>
      <c r="G911" s="0" t="n">
        <v>53.4</v>
      </c>
      <c r="H911" s="0" t="n">
        <v>52</v>
      </c>
      <c r="I911" s="23" t="s">
        <v>92</v>
      </c>
      <c r="J911" s="0" t="n">
        <v>89</v>
      </c>
      <c r="K911" s="0" t="n">
        <v>65</v>
      </c>
      <c r="L911" s="0" t="n">
        <v>81</v>
      </c>
      <c r="P911" s="0" t="n">
        <v>3.38</v>
      </c>
      <c r="Q911" s="0" t="n">
        <v>3.35</v>
      </c>
      <c r="R911" s="0" t="n">
        <v>4552</v>
      </c>
      <c r="S911" s="0" t="n">
        <v>9537</v>
      </c>
      <c r="T911" s="0" t="n">
        <v>52.75</v>
      </c>
      <c r="U911" s="0" t="n">
        <v>815</v>
      </c>
      <c r="V911" s="0" t="n">
        <v>2</v>
      </c>
      <c r="W911" s="0" t="str">
        <f aca="false">IF(OR(AND(B911&gt;=1,B911&lt;=6),B911=10),"Vaca em lactação",IF(I911="Male","Macho",IF(E911&gt;=1,"Vaca seca",IF(I911="Youngstock","Bezerra/recria","Novilha"))))</f>
        <v>Vaca em lactação</v>
      </c>
      <c r="X911" s="0" t="str">
        <f aca="false">IF(AND(B911&gt;=1,B911&lt;=6),"Tanque",IF(B911=10,"Descarte",""))</f>
        <v>Tanque</v>
      </c>
    </row>
    <row r="912" customFormat="false" ht="15" hidden="false" customHeight="false" outlineLevel="0" collapsed="false">
      <c r="A912" s="22" t="n">
        <v>46309</v>
      </c>
      <c r="B912" s="0" t="n">
        <v>4</v>
      </c>
      <c r="C912" s="0" t="n">
        <v>5739</v>
      </c>
      <c r="D912" s="0" t="n">
        <v>153</v>
      </c>
      <c r="E912" s="0" t="n">
        <v>1</v>
      </c>
      <c r="F912" s="23" t="s">
        <v>658</v>
      </c>
      <c r="G912" s="0" t="n">
        <v>51</v>
      </c>
      <c r="H912" s="0" t="n">
        <v>50</v>
      </c>
      <c r="I912" s="23" t="s">
        <v>92</v>
      </c>
      <c r="J912" s="0" t="n">
        <v>97</v>
      </c>
      <c r="K912" s="0" t="n">
        <v>64</v>
      </c>
      <c r="L912" s="0" t="n">
        <v>56</v>
      </c>
      <c r="P912" s="0" t="n">
        <v>2.61</v>
      </c>
      <c r="Q912" s="0" t="n">
        <v>3.31</v>
      </c>
      <c r="R912" s="0" t="n">
        <v>4608</v>
      </c>
      <c r="S912" s="0" t="n">
        <v>9695</v>
      </c>
      <c r="T912" s="0" t="n">
        <v>44.6</v>
      </c>
      <c r="U912" s="0" t="n">
        <v>815</v>
      </c>
      <c r="V912" s="0" t="n">
        <v>2</v>
      </c>
      <c r="W912" s="0" t="str">
        <f aca="false">IF(OR(AND(B912&gt;=1,B912&lt;=6),B912=10),"Vaca em lactação",IF(I912="Male","Macho",IF(E912&gt;=1,"Vaca seca",IF(I912="Youngstock","Bezerra/recria","Novilha"))))</f>
        <v>Vaca em lactação</v>
      </c>
      <c r="X912" s="0" t="str">
        <f aca="false">IF(AND(B912&gt;=1,B912&lt;=6),"Tanque",IF(B912=10,"Descarte",""))</f>
        <v>Tanque</v>
      </c>
    </row>
    <row r="913" customFormat="false" ht="15" hidden="false" customHeight="false" outlineLevel="0" collapsed="false">
      <c r="A913" s="22" t="n">
        <v>46309</v>
      </c>
      <c r="B913" s="0" t="n">
        <v>4</v>
      </c>
      <c r="C913" s="0" t="n">
        <v>5738</v>
      </c>
      <c r="D913" s="0" t="n">
        <v>163</v>
      </c>
      <c r="E913" s="0" t="n">
        <v>1</v>
      </c>
      <c r="F913" s="23" t="s">
        <v>658</v>
      </c>
      <c r="G913" s="0" t="n">
        <v>46.9</v>
      </c>
      <c r="H913" s="0" t="n">
        <v>46</v>
      </c>
      <c r="I913" s="23" t="s">
        <v>92</v>
      </c>
      <c r="J913" s="0" t="n">
        <v>87</v>
      </c>
      <c r="K913" s="0" t="n">
        <v>65</v>
      </c>
      <c r="L913" s="0" t="n">
        <v>76</v>
      </c>
      <c r="P913" s="0" t="n">
        <v>3.2</v>
      </c>
      <c r="Q913" s="0" t="n">
        <v>3.29</v>
      </c>
      <c r="R913" s="0" t="n">
        <v>4171</v>
      </c>
      <c r="S913" s="0" t="n">
        <v>9003</v>
      </c>
      <c r="T913" s="0" t="n">
        <v>48.75</v>
      </c>
      <c r="U913" s="0" t="n">
        <v>815</v>
      </c>
      <c r="V913" s="0" t="n">
        <v>2</v>
      </c>
      <c r="W913" s="0" t="str">
        <f aca="false">IF(OR(AND(B913&gt;=1,B913&lt;=6),B913=10),"Vaca em lactação",IF(I913="Male","Macho",IF(E913&gt;=1,"Vaca seca",IF(I913="Youngstock","Bezerra/recria","Novilha"))))</f>
        <v>Vaca em lactação</v>
      </c>
      <c r="X913" s="0" t="str">
        <f aca="false">IF(AND(B913&gt;=1,B913&lt;=6),"Tanque",IF(B913=10,"Descarte",""))</f>
        <v>Tanque</v>
      </c>
    </row>
    <row r="914" customFormat="false" ht="15" hidden="false" customHeight="false" outlineLevel="0" collapsed="false">
      <c r="A914" s="22" t="n">
        <v>46309</v>
      </c>
      <c r="B914" s="0" t="n">
        <v>4</v>
      </c>
      <c r="C914" s="0" t="n">
        <v>5736</v>
      </c>
      <c r="D914" s="0" t="n">
        <v>174</v>
      </c>
      <c r="E914" s="0" t="n">
        <v>1</v>
      </c>
      <c r="F914" s="23" t="s">
        <v>658</v>
      </c>
      <c r="G914" s="0" t="n">
        <v>44.3</v>
      </c>
      <c r="H914" s="0" t="n">
        <v>42</v>
      </c>
      <c r="I914" s="23" t="s">
        <v>92</v>
      </c>
      <c r="J914" s="0" t="n">
        <v>85</v>
      </c>
      <c r="K914" s="0" t="n">
        <v>62</v>
      </c>
      <c r="L914" s="0" t="n">
        <v>89</v>
      </c>
      <c r="P914" s="0" t="n">
        <v>3.32</v>
      </c>
      <c r="Q914" s="0" t="n">
        <v>3.33</v>
      </c>
      <c r="R914" s="0" t="n">
        <v>4179</v>
      </c>
      <c r="S914" s="0" t="n">
        <v>8815</v>
      </c>
      <c r="T914" s="0" t="n">
        <v>46.35</v>
      </c>
      <c r="U914" s="0" t="n">
        <v>815</v>
      </c>
      <c r="V914" s="0" t="n">
        <v>2</v>
      </c>
      <c r="W914" s="0" t="str">
        <f aca="false">IF(OR(AND(B914&gt;=1,B914&lt;=6),B914=10),"Vaca em lactação",IF(I914="Male","Macho",IF(E914&gt;=1,"Vaca seca",IF(I914="Youngstock","Bezerra/recria","Novilha"))))</f>
        <v>Vaca em lactação</v>
      </c>
      <c r="X914" s="0" t="str">
        <f aca="false">IF(AND(B914&gt;=1,B914&lt;=6),"Tanque",IF(B914=10,"Descarte",""))</f>
        <v>Tanque</v>
      </c>
    </row>
    <row r="915" customFormat="false" ht="15" hidden="false" customHeight="false" outlineLevel="0" collapsed="false">
      <c r="A915" s="22" t="n">
        <v>46309</v>
      </c>
      <c r="B915" s="0" t="n">
        <v>4</v>
      </c>
      <c r="C915" s="0" t="n">
        <v>5735</v>
      </c>
      <c r="D915" s="0" t="n">
        <v>167</v>
      </c>
      <c r="E915" s="0" t="n">
        <v>1</v>
      </c>
      <c r="F915" s="23" t="s">
        <v>659</v>
      </c>
      <c r="G915" s="0" t="n">
        <v>42.4</v>
      </c>
      <c r="H915" s="0" t="n">
        <v>40</v>
      </c>
      <c r="I915" s="23" t="s">
        <v>92</v>
      </c>
      <c r="J915" s="0" t="n">
        <v>106</v>
      </c>
      <c r="K915" s="0" t="n">
        <v>62</v>
      </c>
      <c r="L915" s="0" t="n">
        <v>61</v>
      </c>
      <c r="P915" s="0" t="n">
        <v>5.1</v>
      </c>
      <c r="Q915" s="0" t="n">
        <v>3.25</v>
      </c>
      <c r="R915" s="0" t="n">
        <v>3990</v>
      </c>
      <c r="S915" s="0" t="n">
        <v>8302</v>
      </c>
      <c r="T915" s="0" t="n">
        <v>40.9</v>
      </c>
      <c r="U915" s="0" t="n">
        <v>818</v>
      </c>
      <c r="V915" s="0" t="n">
        <v>3</v>
      </c>
      <c r="W915" s="0" t="str">
        <f aca="false">IF(OR(AND(B915&gt;=1,B915&lt;=6),B915=10),"Vaca em lactação",IF(I915="Male","Macho",IF(E915&gt;=1,"Vaca seca",IF(I915="Youngstock","Bezerra/recria","Novilha"))))</f>
        <v>Vaca em lactação</v>
      </c>
      <c r="X915" s="0" t="str">
        <f aca="false">IF(AND(B915&gt;=1,B915&lt;=6),"Tanque",IF(B915=10,"Descarte",""))</f>
        <v>Tanque</v>
      </c>
    </row>
    <row r="916" customFormat="false" ht="15" hidden="false" customHeight="false" outlineLevel="0" collapsed="false">
      <c r="A916" s="22" t="n">
        <v>46309</v>
      </c>
      <c r="B916" s="0" t="n">
        <v>4</v>
      </c>
      <c r="C916" s="0" t="n">
        <v>5733</v>
      </c>
      <c r="D916" s="0" t="n">
        <v>180</v>
      </c>
      <c r="E916" s="0" t="n">
        <v>1</v>
      </c>
      <c r="F916" s="23" t="s">
        <v>659</v>
      </c>
      <c r="G916" s="0" t="n">
        <v>30.1</v>
      </c>
      <c r="H916" s="0" t="n">
        <v>26</v>
      </c>
      <c r="I916" s="23" t="s">
        <v>109</v>
      </c>
      <c r="J916" s="0" t="n">
        <v>180</v>
      </c>
      <c r="K916" s="0" t="n">
        <v>68</v>
      </c>
      <c r="P916" s="0" t="n">
        <v>3.08</v>
      </c>
      <c r="Q916" s="0" t="n">
        <v>3.04</v>
      </c>
      <c r="R916" s="0" t="n">
        <v>4309</v>
      </c>
      <c r="S916" s="0" t="n">
        <v>8157</v>
      </c>
      <c r="T916" s="0" t="n">
        <v>49.5</v>
      </c>
      <c r="U916" s="0" t="n">
        <v>818</v>
      </c>
      <c r="V916" s="0" t="n">
        <v>5</v>
      </c>
      <c r="W916" s="0" t="str">
        <f aca="false">IF(OR(AND(B916&gt;=1,B916&lt;=6),B916=10),"Vaca em lactação",IF(I916="Male","Macho",IF(E916&gt;=1,"Vaca seca",IF(I916="Youngstock","Bezerra/recria","Novilha"))))</f>
        <v>Vaca em lactação</v>
      </c>
      <c r="X916" s="0" t="str">
        <f aca="false">IF(AND(B916&gt;=1,B916&lt;=6),"Tanque",IF(B916=10,"Descarte",""))</f>
        <v>Tanque</v>
      </c>
    </row>
    <row r="917" customFormat="false" ht="15" hidden="false" customHeight="false" outlineLevel="0" collapsed="false">
      <c r="A917" s="22" t="n">
        <v>46309</v>
      </c>
      <c r="B917" s="0" t="n">
        <v>4</v>
      </c>
      <c r="C917" s="0" t="n">
        <v>5732</v>
      </c>
      <c r="D917" s="0" t="n">
        <v>184</v>
      </c>
      <c r="E917" s="0" t="n">
        <v>1</v>
      </c>
      <c r="F917" s="23" t="s">
        <v>659</v>
      </c>
      <c r="G917" s="0" t="n">
        <v>43.1</v>
      </c>
      <c r="H917" s="0" t="n">
        <v>40</v>
      </c>
      <c r="I917" s="23" t="s">
        <v>97</v>
      </c>
      <c r="J917" s="0" t="n">
        <v>184</v>
      </c>
      <c r="K917" s="0" t="n">
        <v>65</v>
      </c>
      <c r="P917" s="0" t="n">
        <v>3.32</v>
      </c>
      <c r="Q917" s="0" t="n">
        <v>3.44</v>
      </c>
      <c r="R917" s="0" t="n">
        <v>4064</v>
      </c>
      <c r="S917" s="0" t="n">
        <v>8737</v>
      </c>
      <c r="T917" s="0" t="n">
        <v>44.1</v>
      </c>
      <c r="U917" s="0" t="n">
        <v>818</v>
      </c>
      <c r="V917" s="0" t="n">
        <v>4</v>
      </c>
      <c r="W917" s="0" t="str">
        <f aca="false">IF(OR(AND(B917&gt;=1,B917&lt;=6),B917=10),"Vaca em lactação",IF(I917="Male","Macho",IF(E917&gt;=1,"Vaca seca",IF(I917="Youngstock","Bezerra/recria","Novilha"))))</f>
        <v>Vaca em lactação</v>
      </c>
      <c r="X917" s="0" t="str">
        <f aca="false">IF(AND(B917&gt;=1,B917&lt;=6),"Tanque",IF(B917=10,"Descarte",""))</f>
        <v>Tanque</v>
      </c>
    </row>
    <row r="918" customFormat="false" ht="15" hidden="false" customHeight="false" outlineLevel="0" collapsed="false">
      <c r="A918" s="22" t="n">
        <v>46309</v>
      </c>
      <c r="B918" s="0" t="n">
        <v>4</v>
      </c>
      <c r="C918" s="0" t="n">
        <v>5743</v>
      </c>
      <c r="D918" s="0" t="n">
        <v>158</v>
      </c>
      <c r="E918" s="0" t="n">
        <v>1</v>
      </c>
      <c r="F918" s="23" t="s">
        <v>105</v>
      </c>
      <c r="G918" s="0" t="n">
        <v>45.1</v>
      </c>
      <c r="H918" s="0" t="n">
        <v>45</v>
      </c>
      <c r="I918" s="23" t="s">
        <v>92</v>
      </c>
      <c r="J918" s="0" t="n">
        <v>123</v>
      </c>
      <c r="K918" s="0" t="n">
        <v>67</v>
      </c>
      <c r="L918" s="0" t="n">
        <v>35</v>
      </c>
      <c r="P918" s="0" t="n">
        <v>3.09</v>
      </c>
      <c r="Q918" s="0" t="n">
        <v>3.38</v>
      </c>
      <c r="R918" s="0" t="n">
        <v>5116</v>
      </c>
      <c r="S918" s="0" t="n">
        <v>10312</v>
      </c>
      <c r="T918" s="0" t="n">
        <v>53</v>
      </c>
      <c r="U918" s="0" t="n">
        <v>813</v>
      </c>
      <c r="V918" s="0" t="n">
        <v>3</v>
      </c>
      <c r="W918" s="0" t="str">
        <f aca="false">IF(OR(AND(B918&gt;=1,B918&lt;=6),B918=10),"Vaca em lactação",IF(I918="Male","Macho",IF(E918&gt;=1,"Vaca seca",IF(I918="Youngstock","Bezerra/recria","Novilha"))))</f>
        <v>Vaca em lactação</v>
      </c>
      <c r="X918" s="0" t="str">
        <f aca="false">IF(AND(B918&gt;=1,B918&lt;=6),"Tanque",IF(B918=10,"Descarte",""))</f>
        <v>Tanque</v>
      </c>
    </row>
    <row r="919" customFormat="false" ht="15" hidden="false" customHeight="false" outlineLevel="0" collapsed="false">
      <c r="A919" s="22" t="n">
        <v>46309</v>
      </c>
      <c r="B919" s="0" t="n">
        <v>4</v>
      </c>
      <c r="C919" s="0" t="n">
        <v>5713</v>
      </c>
      <c r="D919" s="0" t="n">
        <v>190</v>
      </c>
      <c r="E919" s="0" t="n">
        <v>1</v>
      </c>
      <c r="F919" s="23" t="s">
        <v>660</v>
      </c>
      <c r="G919" s="0" t="n">
        <v>56.3</v>
      </c>
      <c r="H919" s="0" t="n">
        <v>56</v>
      </c>
      <c r="I919" s="23" t="s">
        <v>92</v>
      </c>
      <c r="J919" s="0" t="n">
        <v>64</v>
      </c>
      <c r="K919" s="0" t="n">
        <v>64</v>
      </c>
      <c r="L919" s="0" t="n">
        <v>126</v>
      </c>
      <c r="P919" s="0" t="n">
        <v>3.62</v>
      </c>
      <c r="Q919" s="0" t="n">
        <v>3.4</v>
      </c>
      <c r="R919" s="0" t="n">
        <v>5213</v>
      </c>
      <c r="S919" s="0" t="n">
        <v>11068</v>
      </c>
      <c r="T919" s="0" t="n">
        <v>54.55</v>
      </c>
      <c r="U919" s="0" t="n">
        <v>830</v>
      </c>
      <c r="V919" s="0" t="n">
        <v>1</v>
      </c>
      <c r="W919" s="0" t="str">
        <f aca="false">IF(OR(AND(B919&gt;=1,B919&lt;=6),B919=10),"Vaca em lactação",IF(I919="Male","Macho",IF(E919&gt;=1,"Vaca seca",IF(I919="Youngstock","Bezerra/recria","Novilha"))))</f>
        <v>Vaca em lactação</v>
      </c>
      <c r="X919" s="0" t="str">
        <f aca="false">IF(AND(B919&gt;=1,B919&lt;=6),"Tanque",IF(B919=10,"Descarte",""))</f>
        <v>Tanque</v>
      </c>
    </row>
    <row r="920" customFormat="false" ht="15" hidden="false" customHeight="false" outlineLevel="0" collapsed="false">
      <c r="A920" s="22" t="n">
        <v>46309</v>
      </c>
      <c r="B920" s="0" t="n">
        <v>4</v>
      </c>
      <c r="C920" s="0" t="n">
        <v>5715</v>
      </c>
      <c r="D920" s="0" t="n">
        <v>191</v>
      </c>
      <c r="E920" s="0" t="n">
        <v>1</v>
      </c>
      <c r="F920" s="23" t="s">
        <v>661</v>
      </c>
      <c r="G920" s="0" t="n">
        <v>44.2</v>
      </c>
      <c r="H920" s="0" t="n">
        <v>42</v>
      </c>
      <c r="I920" s="23" t="s">
        <v>92</v>
      </c>
      <c r="J920" s="0" t="n">
        <v>110</v>
      </c>
      <c r="K920" s="0" t="n">
        <v>65</v>
      </c>
      <c r="L920" s="0" t="n">
        <v>81</v>
      </c>
      <c r="P920" s="0" t="n">
        <v>2.91</v>
      </c>
      <c r="Q920" s="0" t="n">
        <v>3.56</v>
      </c>
      <c r="R920" s="0" t="n">
        <v>4127</v>
      </c>
      <c r="S920" s="0" t="n">
        <v>8373</v>
      </c>
      <c r="T920" s="0" t="n">
        <v>43.65</v>
      </c>
      <c r="U920" s="0" t="n">
        <v>829</v>
      </c>
      <c r="V920" s="0" t="n">
        <v>3</v>
      </c>
      <c r="W920" s="0" t="str">
        <f aca="false">IF(OR(AND(B920&gt;=1,B920&lt;=6),B920=10),"Vaca em lactação",IF(I920="Male","Macho",IF(E920&gt;=1,"Vaca seca",IF(I920="Youngstock","Bezerra/recria","Novilha"))))</f>
        <v>Vaca em lactação</v>
      </c>
      <c r="X920" s="0" t="str">
        <f aca="false">IF(AND(B920&gt;=1,B920&lt;=6),"Tanque",IF(B920=10,"Descarte",""))</f>
        <v>Tanque</v>
      </c>
    </row>
    <row r="921" customFormat="false" ht="15" hidden="false" customHeight="false" outlineLevel="0" collapsed="false">
      <c r="A921" s="22" t="n">
        <v>46309</v>
      </c>
      <c r="B921" s="0" t="n">
        <v>4</v>
      </c>
      <c r="C921" s="0" t="n">
        <v>5714</v>
      </c>
      <c r="D921" s="0" t="n">
        <v>160</v>
      </c>
      <c r="E921" s="0" t="n">
        <v>1</v>
      </c>
      <c r="F921" s="23" t="s">
        <v>660</v>
      </c>
      <c r="G921" s="0" t="n">
        <v>40.6</v>
      </c>
      <c r="H921" s="0" t="n">
        <v>41</v>
      </c>
      <c r="I921" s="23" t="s">
        <v>92</v>
      </c>
      <c r="J921" s="0" t="n">
        <v>118</v>
      </c>
      <c r="K921" s="0" t="n">
        <v>62</v>
      </c>
      <c r="L921" s="0" t="n">
        <v>42</v>
      </c>
      <c r="P921" s="0" t="n">
        <v>3.86</v>
      </c>
      <c r="Q921" s="0" t="n">
        <v>3.28</v>
      </c>
      <c r="R921" s="0" t="n">
        <v>2854</v>
      </c>
      <c r="S921" s="0" t="n">
        <v>6581</v>
      </c>
      <c r="T921" s="0" t="n">
        <v>28.7</v>
      </c>
      <c r="U921" s="0" t="n">
        <v>830</v>
      </c>
      <c r="V921" s="0" t="n">
        <v>4</v>
      </c>
      <c r="W921" s="0" t="str">
        <f aca="false">IF(OR(AND(B921&gt;=1,B921&lt;=6),B921=10),"Vaca em lactação",IF(I921="Male","Macho",IF(E921&gt;=1,"Vaca seca",IF(I921="Youngstock","Bezerra/recria","Novilha"))))</f>
        <v>Vaca em lactação</v>
      </c>
      <c r="X921" s="0" t="str">
        <f aca="false">IF(AND(B921&gt;=1,B921&lt;=6),"Tanque",IF(B921=10,"Descarte",""))</f>
        <v>Tanque</v>
      </c>
    </row>
    <row r="922" customFormat="false" ht="15" hidden="false" customHeight="false" outlineLevel="0" collapsed="false">
      <c r="A922" s="22" t="n">
        <v>46309</v>
      </c>
      <c r="B922" s="0" t="n">
        <v>4</v>
      </c>
      <c r="C922" s="0" t="n">
        <v>5718</v>
      </c>
      <c r="D922" s="0" t="n">
        <v>184</v>
      </c>
      <c r="E922" s="0" t="n">
        <v>1</v>
      </c>
      <c r="F922" s="23" t="s">
        <v>662</v>
      </c>
      <c r="G922" s="0" t="n">
        <v>44</v>
      </c>
      <c r="H922" s="0" t="n">
        <v>46</v>
      </c>
      <c r="I922" s="23" t="s">
        <v>92</v>
      </c>
      <c r="J922" s="0" t="n">
        <v>136</v>
      </c>
      <c r="K922" s="0" t="n">
        <v>65</v>
      </c>
      <c r="L922" s="0" t="n">
        <v>48</v>
      </c>
      <c r="P922" s="0" t="n">
        <v>4.5</v>
      </c>
      <c r="Q922" s="0" t="n">
        <v>3.66</v>
      </c>
      <c r="R922" s="0" t="n">
        <v>3697</v>
      </c>
      <c r="S922" s="0" t="n">
        <v>8246</v>
      </c>
      <c r="T922" s="0" t="n">
        <v>38.35</v>
      </c>
      <c r="U922" s="0" t="n">
        <v>828</v>
      </c>
      <c r="V922" s="0" t="n">
        <v>3</v>
      </c>
      <c r="W922" s="0" t="str">
        <f aca="false">IF(OR(AND(B922&gt;=1,B922&lt;=6),B922=10),"Vaca em lactação",IF(I922="Male","Macho",IF(E922&gt;=1,"Vaca seca",IF(I922="Youngstock","Bezerra/recria","Novilha"))))</f>
        <v>Vaca em lactação</v>
      </c>
      <c r="X922" s="0" t="str">
        <f aca="false">IF(AND(B922&gt;=1,B922&lt;=6),"Tanque",IF(B922=10,"Descarte",""))</f>
        <v>Tanque</v>
      </c>
    </row>
    <row r="923" customFormat="false" ht="15" hidden="false" customHeight="false" outlineLevel="0" collapsed="false">
      <c r="A923" s="22" t="n">
        <v>46309</v>
      </c>
      <c r="B923" s="0" t="n">
        <v>4</v>
      </c>
      <c r="C923" s="0" t="n">
        <v>5716</v>
      </c>
      <c r="D923" s="0" t="n">
        <v>182</v>
      </c>
      <c r="E923" s="0" t="n">
        <v>1</v>
      </c>
      <c r="F923" s="23" t="s">
        <v>662</v>
      </c>
      <c r="G923" s="0" t="n">
        <v>49.8</v>
      </c>
      <c r="H923" s="0" t="n">
        <v>49</v>
      </c>
      <c r="I923" s="23" t="s">
        <v>92</v>
      </c>
      <c r="J923" s="0" t="n">
        <v>84</v>
      </c>
      <c r="K923" s="0" t="n">
        <v>63</v>
      </c>
      <c r="L923" s="0" t="n">
        <v>98</v>
      </c>
      <c r="P923" s="0" t="n">
        <v>3.14</v>
      </c>
      <c r="Q923" s="0" t="n">
        <v>3.56</v>
      </c>
      <c r="R923" s="0" t="n">
        <v>4361</v>
      </c>
      <c r="S923" s="0" t="n">
        <v>9461</v>
      </c>
      <c r="T923" s="0" t="n">
        <v>46.5</v>
      </c>
      <c r="U923" s="0" t="n">
        <v>828</v>
      </c>
      <c r="V923" s="0" t="n">
        <v>2</v>
      </c>
      <c r="W923" s="0" t="str">
        <f aca="false">IF(OR(AND(B923&gt;=1,B923&lt;=6),B923=10),"Vaca em lactação",IF(I923="Male","Macho",IF(E923&gt;=1,"Vaca seca",IF(I923="Youngstock","Bezerra/recria","Novilha"))))</f>
        <v>Vaca em lactação</v>
      </c>
      <c r="X923" s="0" t="str">
        <f aca="false">IF(AND(B923&gt;=1,B923&lt;=6),"Tanque",IF(B923=10,"Descarte",""))</f>
        <v>Tanque</v>
      </c>
    </row>
    <row r="924" customFormat="false" ht="15" hidden="false" customHeight="false" outlineLevel="0" collapsed="false">
      <c r="A924" s="22" t="n">
        <v>46309</v>
      </c>
      <c r="B924" s="0" t="n">
        <v>4</v>
      </c>
      <c r="C924" s="0" t="n">
        <v>5719</v>
      </c>
      <c r="D924" s="0" t="n">
        <v>133</v>
      </c>
      <c r="E924" s="0" t="n">
        <v>1</v>
      </c>
      <c r="F924" s="23" t="s">
        <v>106</v>
      </c>
      <c r="G924" s="0" t="n">
        <v>44.5</v>
      </c>
      <c r="H924" s="0" t="n">
        <v>43</v>
      </c>
      <c r="I924" s="23" t="s">
        <v>109</v>
      </c>
      <c r="J924" s="0" t="n">
        <v>133</v>
      </c>
      <c r="K924" s="0" t="n">
        <v>63</v>
      </c>
      <c r="P924" s="0" t="n">
        <v>3.21</v>
      </c>
      <c r="Q924" s="0" t="n">
        <v>3.29</v>
      </c>
      <c r="R924" s="0" t="n">
        <v>3877</v>
      </c>
      <c r="S924" s="0" t="n">
        <v>8065</v>
      </c>
      <c r="T924" s="0" t="n">
        <v>44.85</v>
      </c>
      <c r="U924" s="0" t="n">
        <v>826</v>
      </c>
      <c r="V924" s="0" t="n">
        <v>2</v>
      </c>
      <c r="W924" s="0" t="str">
        <f aca="false">IF(OR(AND(B924&gt;=1,B924&lt;=6),B924=10),"Vaca em lactação",IF(I924="Male","Macho",IF(E924&gt;=1,"Vaca seca",IF(I924="Youngstock","Bezerra/recria","Novilha"))))</f>
        <v>Vaca em lactação</v>
      </c>
      <c r="X924" s="0" t="str">
        <f aca="false">IF(AND(B924&gt;=1,B924&lt;=6),"Tanque",IF(B924=10,"Descarte",""))</f>
        <v>Tanque</v>
      </c>
    </row>
    <row r="925" customFormat="false" ht="15" hidden="false" customHeight="false" outlineLevel="0" collapsed="false">
      <c r="A925" s="22" t="n">
        <v>46309</v>
      </c>
      <c r="B925" s="0" t="n">
        <v>4</v>
      </c>
      <c r="C925" s="0" t="n">
        <v>5723</v>
      </c>
      <c r="D925" s="0" t="n">
        <v>151</v>
      </c>
      <c r="E925" s="0" t="n">
        <v>1</v>
      </c>
      <c r="F925" s="23" t="s">
        <v>107</v>
      </c>
      <c r="G925" s="0" t="n">
        <v>48.8</v>
      </c>
      <c r="H925" s="0" t="n">
        <v>48</v>
      </c>
      <c r="I925" s="23" t="s">
        <v>109</v>
      </c>
      <c r="J925" s="0" t="n">
        <v>151</v>
      </c>
      <c r="K925" s="0" t="n">
        <v>67</v>
      </c>
      <c r="P925" s="0" t="n">
        <v>4.53</v>
      </c>
      <c r="Q925" s="0" t="n">
        <v>2.97</v>
      </c>
      <c r="R925" s="0" t="n">
        <v>5201</v>
      </c>
      <c r="S925" s="0" t="n">
        <v>10468</v>
      </c>
      <c r="T925" s="0" t="n">
        <v>53.75</v>
      </c>
      <c r="U925" s="0" t="n">
        <v>824</v>
      </c>
      <c r="V925" s="0" t="n">
        <v>2</v>
      </c>
      <c r="W925" s="0" t="str">
        <f aca="false">IF(OR(AND(B925&gt;=1,B925&lt;=6),B925=10),"Vaca em lactação",IF(I925="Male","Macho",IF(E925&gt;=1,"Vaca seca",IF(I925="Youngstock","Bezerra/recria","Novilha"))))</f>
        <v>Vaca em lactação</v>
      </c>
      <c r="X925" s="0" t="str">
        <f aca="false">IF(AND(B925&gt;=1,B925&lt;=6),"Tanque",IF(B925=10,"Descarte",""))</f>
        <v>Tanque</v>
      </c>
    </row>
    <row r="926" customFormat="false" ht="15" hidden="false" customHeight="false" outlineLevel="0" collapsed="false">
      <c r="A926" s="22" t="n">
        <v>46309</v>
      </c>
      <c r="B926" s="0" t="n">
        <v>4</v>
      </c>
      <c r="C926" s="0" t="n">
        <v>5722</v>
      </c>
      <c r="D926" s="0" t="n">
        <v>188</v>
      </c>
      <c r="E926" s="0" t="n">
        <v>1</v>
      </c>
      <c r="F926" s="23" t="s">
        <v>107</v>
      </c>
      <c r="G926" s="0" t="n">
        <v>49.7</v>
      </c>
      <c r="H926" s="0" t="n">
        <v>49</v>
      </c>
      <c r="I926" s="23" t="s">
        <v>92</v>
      </c>
      <c r="J926" s="0" t="n">
        <v>97</v>
      </c>
      <c r="K926" s="0" t="n">
        <v>62</v>
      </c>
      <c r="L926" s="0" t="n">
        <v>91</v>
      </c>
      <c r="P926" s="0" t="n">
        <v>3.21</v>
      </c>
      <c r="Q926" s="0" t="n">
        <v>3.59</v>
      </c>
      <c r="R926" s="0" t="n">
        <v>4515</v>
      </c>
      <c r="S926" s="0" t="n">
        <v>9684</v>
      </c>
      <c r="T926" s="0" t="n">
        <v>47.15</v>
      </c>
      <c r="U926" s="0" t="n">
        <v>824</v>
      </c>
      <c r="V926" s="0" t="n">
        <v>2</v>
      </c>
      <c r="W926" s="0" t="str">
        <f aca="false">IF(OR(AND(B926&gt;=1,B926&lt;=6),B926=10),"Vaca em lactação",IF(I926="Male","Macho",IF(E926&gt;=1,"Vaca seca",IF(I926="Youngstock","Bezerra/recria","Novilha"))))</f>
        <v>Vaca em lactação</v>
      </c>
      <c r="X926" s="0" t="str">
        <f aca="false">IF(AND(B926&gt;=1,B926&lt;=6),"Tanque",IF(B926=10,"Descarte",""))</f>
        <v>Tanque</v>
      </c>
    </row>
    <row r="927" customFormat="false" ht="15" hidden="false" customHeight="false" outlineLevel="0" collapsed="false">
      <c r="A927" s="22" t="n">
        <v>46309</v>
      </c>
      <c r="B927" s="0" t="n">
        <v>4</v>
      </c>
      <c r="C927" s="0" t="n">
        <v>5688</v>
      </c>
      <c r="D927" s="0" t="n">
        <v>192</v>
      </c>
      <c r="E927" s="0" t="n">
        <v>1</v>
      </c>
      <c r="F927" s="23" t="s">
        <v>108</v>
      </c>
      <c r="G927" s="0" t="n">
        <v>48.1</v>
      </c>
      <c r="H927" s="0" t="n">
        <v>49</v>
      </c>
      <c r="I927" s="23" t="s">
        <v>92</v>
      </c>
      <c r="J927" s="0" t="n">
        <v>66</v>
      </c>
      <c r="K927" s="0" t="n">
        <v>66</v>
      </c>
      <c r="L927" s="0" t="n">
        <v>126</v>
      </c>
      <c r="P927" s="0" t="n">
        <v>3.02</v>
      </c>
      <c r="Q927" s="0" t="n">
        <v>3.5</v>
      </c>
      <c r="R927" s="0" t="n">
        <v>4098</v>
      </c>
      <c r="S927" s="0" t="n">
        <v>9331</v>
      </c>
      <c r="T927" s="0" t="n">
        <v>45.05</v>
      </c>
      <c r="U927" s="0" t="n">
        <v>841</v>
      </c>
      <c r="V927" s="0" t="n">
        <v>1</v>
      </c>
      <c r="W927" s="0" t="str">
        <f aca="false">IF(OR(AND(B927&gt;=1,B927&lt;=6),B927=10),"Vaca em lactação",IF(I927="Male","Macho",IF(E927&gt;=1,"Vaca seca",IF(I927="Youngstock","Bezerra/recria","Novilha"))))</f>
        <v>Vaca em lactação</v>
      </c>
      <c r="X927" s="0" t="str">
        <f aca="false">IF(AND(B927&gt;=1,B927&lt;=6),"Tanque",IF(B927=10,"Descarte",""))</f>
        <v>Tanque</v>
      </c>
    </row>
    <row r="928" customFormat="false" ht="15" hidden="false" customHeight="false" outlineLevel="0" collapsed="false">
      <c r="A928" s="22" t="n">
        <v>46309</v>
      </c>
      <c r="B928" s="0" t="n">
        <v>4</v>
      </c>
      <c r="C928" s="0" t="n">
        <v>5690</v>
      </c>
      <c r="D928" s="0" t="n">
        <v>152</v>
      </c>
      <c r="E928" s="0" t="n">
        <v>1</v>
      </c>
      <c r="F928" s="23" t="s">
        <v>108</v>
      </c>
      <c r="G928" s="0" t="n">
        <v>51.5</v>
      </c>
      <c r="H928" s="0" t="n">
        <v>48</v>
      </c>
      <c r="I928" s="23" t="s">
        <v>97</v>
      </c>
      <c r="J928" s="0" t="n">
        <v>152</v>
      </c>
      <c r="K928" s="0" t="n">
        <v>68</v>
      </c>
      <c r="P928" s="0" t="n">
        <v>4.03</v>
      </c>
      <c r="Q928" s="0" t="n">
        <v>3.05</v>
      </c>
      <c r="R928" s="0" t="n">
        <v>4882</v>
      </c>
      <c r="S928" s="0" t="n">
        <v>10242</v>
      </c>
      <c r="T928" s="0" t="n">
        <v>51.3</v>
      </c>
      <c r="U928" s="0" t="n">
        <v>841</v>
      </c>
      <c r="V928" s="0" t="n">
        <v>4</v>
      </c>
      <c r="W928" s="0" t="str">
        <f aca="false">IF(OR(AND(B928&gt;=1,B928&lt;=6),B928=10),"Vaca em lactação",IF(I928="Male","Macho",IF(E928&gt;=1,"Vaca seca",IF(I928="Youngstock","Bezerra/recria","Novilha"))))</f>
        <v>Vaca em lactação</v>
      </c>
      <c r="X928" s="0" t="str">
        <f aca="false">IF(AND(B928&gt;=1,B928&lt;=6),"Tanque",IF(B928=10,"Descarte",""))</f>
        <v>Tanque</v>
      </c>
    </row>
    <row r="929" customFormat="false" ht="15" hidden="false" customHeight="false" outlineLevel="0" collapsed="false">
      <c r="A929" s="22" t="n">
        <v>46309</v>
      </c>
      <c r="B929" s="0" t="n">
        <v>4</v>
      </c>
      <c r="C929" s="0" t="n">
        <v>5692</v>
      </c>
      <c r="D929" s="0" t="n">
        <v>192</v>
      </c>
      <c r="E929" s="0" t="n">
        <v>1</v>
      </c>
      <c r="F929" s="23" t="s">
        <v>663</v>
      </c>
      <c r="G929" s="0" t="n">
        <v>41.7</v>
      </c>
      <c r="H929" s="0" t="n">
        <v>42</v>
      </c>
      <c r="I929" s="23" t="s">
        <v>92</v>
      </c>
      <c r="J929" s="0" t="n">
        <v>143</v>
      </c>
      <c r="K929" s="0" t="n">
        <v>66</v>
      </c>
      <c r="L929" s="0" t="n">
        <v>49</v>
      </c>
      <c r="P929" s="0" t="n">
        <v>4.01</v>
      </c>
      <c r="Q929" s="0" t="n">
        <v>3.34</v>
      </c>
      <c r="R929" s="0" t="n">
        <v>3517</v>
      </c>
      <c r="S929" s="0" t="n">
        <v>7952</v>
      </c>
      <c r="T929" s="0" t="n">
        <v>38.05</v>
      </c>
      <c r="U929" s="0" t="n">
        <v>840</v>
      </c>
      <c r="V929" s="0" t="n">
        <v>3</v>
      </c>
      <c r="W929" s="0" t="str">
        <f aca="false">IF(OR(AND(B929&gt;=1,B929&lt;=6),B929=10),"Vaca em lactação",IF(I929="Male","Macho",IF(E929&gt;=1,"Vaca seca",IF(I929="Youngstock","Bezerra/recria","Novilha"))))</f>
        <v>Vaca em lactação</v>
      </c>
      <c r="X929" s="0" t="str">
        <f aca="false">IF(AND(B929&gt;=1,B929&lt;=6),"Tanque",IF(B929=10,"Descarte",""))</f>
        <v>Tanque</v>
      </c>
    </row>
    <row r="930" customFormat="false" ht="15" hidden="false" customHeight="false" outlineLevel="0" collapsed="false">
      <c r="A930" s="22" t="n">
        <v>46309</v>
      </c>
      <c r="B930" s="0" t="n">
        <v>4</v>
      </c>
      <c r="C930" s="0" t="n">
        <v>5691</v>
      </c>
      <c r="D930" s="0" t="n">
        <v>201</v>
      </c>
      <c r="E930" s="0" t="n">
        <v>1</v>
      </c>
      <c r="F930" s="23" t="s">
        <v>663</v>
      </c>
      <c r="G930" s="0" t="n">
        <v>56.8</v>
      </c>
      <c r="H930" s="0" t="n">
        <v>54</v>
      </c>
      <c r="I930" s="23" t="s">
        <v>92</v>
      </c>
      <c r="J930" s="0" t="n">
        <v>89</v>
      </c>
      <c r="K930" s="0" t="n">
        <v>89</v>
      </c>
      <c r="L930" s="0" t="n">
        <v>112</v>
      </c>
      <c r="P930" s="0" t="n">
        <v>2.89</v>
      </c>
      <c r="Q930" s="0" t="n">
        <v>3.67</v>
      </c>
      <c r="R930" s="0" t="n">
        <v>4409</v>
      </c>
      <c r="S930" s="0" t="n">
        <v>10018</v>
      </c>
      <c r="T930" s="0" t="n">
        <v>50.6</v>
      </c>
      <c r="U930" s="0" t="n">
        <v>840</v>
      </c>
      <c r="V930" s="0" t="n">
        <v>1</v>
      </c>
      <c r="W930" s="0" t="str">
        <f aca="false">IF(OR(AND(B930&gt;=1,B930&lt;=6),B930=10),"Vaca em lactação",IF(I930="Male","Macho",IF(E930&gt;=1,"Vaca seca",IF(I930="Youngstock","Bezerra/recria","Novilha"))))</f>
        <v>Vaca em lactação</v>
      </c>
      <c r="X930" s="0" t="str">
        <f aca="false">IF(AND(B930&gt;=1,B930&lt;=6),"Tanque",IF(B930=10,"Descarte",""))</f>
        <v>Tanque</v>
      </c>
    </row>
    <row r="931" customFormat="false" ht="15" hidden="false" customHeight="false" outlineLevel="0" collapsed="false">
      <c r="A931" s="22" t="n">
        <v>46309</v>
      </c>
      <c r="B931" s="0" t="n">
        <v>4</v>
      </c>
      <c r="C931" s="0" t="n">
        <v>5694</v>
      </c>
      <c r="D931" s="0" t="n">
        <v>137</v>
      </c>
      <c r="E931" s="0" t="n">
        <v>1</v>
      </c>
      <c r="F931" s="23" t="s">
        <v>110</v>
      </c>
      <c r="G931" s="0" t="n">
        <v>43.9</v>
      </c>
      <c r="H931" s="0" t="n">
        <v>46</v>
      </c>
      <c r="I931" s="23" t="s">
        <v>97</v>
      </c>
      <c r="J931" s="0" t="n">
        <v>137</v>
      </c>
      <c r="K931" s="0" t="n">
        <v>67</v>
      </c>
      <c r="P931" s="0" t="n">
        <v>4.27</v>
      </c>
      <c r="Q931" s="0" t="n">
        <v>3.38</v>
      </c>
      <c r="R931" s="0" t="n">
        <v>3402</v>
      </c>
      <c r="S931" s="0" t="n">
        <v>7460</v>
      </c>
      <c r="T931" s="0" t="n">
        <v>38</v>
      </c>
      <c r="U931" s="0" t="n">
        <v>839</v>
      </c>
      <c r="V931" s="0" t="n">
        <v>2</v>
      </c>
      <c r="W931" s="0" t="str">
        <f aca="false">IF(OR(AND(B931&gt;=1,B931&lt;=6),B931=10),"Vaca em lactação",IF(I931="Male","Macho",IF(E931&gt;=1,"Vaca seca",IF(I931="Youngstock","Bezerra/recria","Novilha"))))</f>
        <v>Vaca em lactação</v>
      </c>
      <c r="X931" s="0" t="str">
        <f aca="false">IF(AND(B931&gt;=1,B931&lt;=6),"Tanque",IF(B931=10,"Descarte",""))</f>
        <v>Tanque</v>
      </c>
    </row>
    <row r="932" customFormat="false" ht="15" hidden="false" customHeight="false" outlineLevel="0" collapsed="false">
      <c r="A932" s="22" t="n">
        <v>46309</v>
      </c>
      <c r="B932" s="0" t="n">
        <v>4</v>
      </c>
      <c r="C932" s="0" t="n">
        <v>5695</v>
      </c>
      <c r="D932" s="0" t="n">
        <v>199</v>
      </c>
      <c r="E932" s="0" t="n">
        <v>1</v>
      </c>
      <c r="F932" s="23" t="s">
        <v>664</v>
      </c>
      <c r="G932" s="0" t="n">
        <v>49.5</v>
      </c>
      <c r="H932" s="0" t="n">
        <v>51</v>
      </c>
      <c r="I932" s="23" t="s">
        <v>92</v>
      </c>
      <c r="J932" s="0" t="n">
        <v>66</v>
      </c>
      <c r="K932" s="0" t="n">
        <v>66</v>
      </c>
      <c r="L932" s="0" t="n">
        <v>133</v>
      </c>
      <c r="P932" s="0" t="n">
        <v>3.5</v>
      </c>
      <c r="Q932" s="0" t="n">
        <v>3.33</v>
      </c>
      <c r="R932" s="0" t="n">
        <v>4271</v>
      </c>
      <c r="S932" s="0" t="n">
        <v>9621</v>
      </c>
      <c r="T932" s="0" t="n">
        <v>50.1</v>
      </c>
      <c r="U932" s="0" t="n">
        <v>838</v>
      </c>
      <c r="V932" s="0" t="n">
        <v>1</v>
      </c>
      <c r="W932" s="0" t="str">
        <f aca="false">IF(OR(AND(B932&gt;=1,B932&lt;=6),B932=10),"Vaca em lactação",IF(I932="Male","Macho",IF(E932&gt;=1,"Vaca seca",IF(I932="Youngstock","Bezerra/recria","Novilha"))))</f>
        <v>Vaca em lactação</v>
      </c>
      <c r="X932" s="0" t="str">
        <f aca="false">IF(AND(B932&gt;=1,B932&lt;=6),"Tanque",IF(B932=10,"Descarte",""))</f>
        <v>Tanque</v>
      </c>
    </row>
    <row r="933" customFormat="false" ht="15" hidden="false" customHeight="false" outlineLevel="0" collapsed="false">
      <c r="A933" s="22" t="n">
        <v>46309</v>
      </c>
      <c r="B933" s="0" t="n">
        <v>4</v>
      </c>
      <c r="C933" s="0" t="n">
        <v>5697</v>
      </c>
      <c r="D933" s="0" t="n">
        <v>202</v>
      </c>
      <c r="E933" s="0" t="n">
        <v>1</v>
      </c>
      <c r="F933" s="23" t="s">
        <v>111</v>
      </c>
      <c r="G933" s="0" t="n">
        <v>46.2</v>
      </c>
      <c r="H933" s="0" t="n">
        <v>45</v>
      </c>
      <c r="I933" s="23" t="s">
        <v>92</v>
      </c>
      <c r="J933" s="0" t="n">
        <v>69</v>
      </c>
      <c r="K933" s="0" t="n">
        <v>69</v>
      </c>
      <c r="L933" s="0" t="n">
        <v>133</v>
      </c>
      <c r="P933" s="0" t="n">
        <v>3.58</v>
      </c>
      <c r="Q933" s="0" t="n">
        <v>3.59</v>
      </c>
      <c r="R933" s="0" t="n">
        <v>3409</v>
      </c>
      <c r="S933" s="0" t="n">
        <v>7782</v>
      </c>
      <c r="T933" s="0" t="n">
        <v>38.9</v>
      </c>
      <c r="U933" s="0" t="n">
        <v>837</v>
      </c>
      <c r="V933" s="0" t="n">
        <v>1</v>
      </c>
      <c r="W933" s="0" t="str">
        <f aca="false">IF(OR(AND(B933&gt;=1,B933&lt;=6),B933=10),"Vaca em lactação",IF(I933="Male","Macho",IF(E933&gt;=1,"Vaca seca",IF(I933="Youngstock","Bezerra/recria","Novilha"))))</f>
        <v>Vaca em lactação</v>
      </c>
      <c r="X933" s="0" t="str">
        <f aca="false">IF(AND(B933&gt;=1,B933&lt;=6),"Tanque",IF(B933=10,"Descarte",""))</f>
        <v>Tanque</v>
      </c>
    </row>
    <row r="934" customFormat="false" ht="15" hidden="false" customHeight="false" outlineLevel="0" collapsed="false">
      <c r="A934" s="22" t="n">
        <v>46309</v>
      </c>
      <c r="B934" s="0" t="n">
        <v>4</v>
      </c>
      <c r="C934" s="0" t="n">
        <v>5700</v>
      </c>
      <c r="D934" s="0" t="n">
        <v>187</v>
      </c>
      <c r="E934" s="0" t="n">
        <v>1</v>
      </c>
      <c r="F934" s="23" t="s">
        <v>111</v>
      </c>
      <c r="G934" s="0" t="n">
        <v>52.4</v>
      </c>
      <c r="H934" s="0" t="n">
        <v>54</v>
      </c>
      <c r="I934" s="23" t="s">
        <v>92</v>
      </c>
      <c r="J934" s="0" t="n">
        <v>97</v>
      </c>
      <c r="K934" s="0" t="n">
        <v>75</v>
      </c>
      <c r="L934" s="0" t="n">
        <v>90</v>
      </c>
      <c r="P934" s="0" t="n">
        <v>3.04</v>
      </c>
      <c r="Q934" s="0" t="n">
        <v>3.35</v>
      </c>
      <c r="R934" s="0" t="n">
        <v>4058</v>
      </c>
      <c r="S934" s="0" t="n">
        <v>9490</v>
      </c>
      <c r="T934" s="0" t="n">
        <v>38.95</v>
      </c>
      <c r="U934" s="0" t="n">
        <v>837</v>
      </c>
      <c r="V934" s="0" t="n">
        <v>2</v>
      </c>
      <c r="W934" s="0" t="str">
        <f aca="false">IF(OR(AND(B934&gt;=1,B934&lt;=6),B934=10),"Vaca em lactação",IF(I934="Male","Macho",IF(E934&gt;=1,"Vaca seca",IF(I934="Youngstock","Bezerra/recria","Novilha"))))</f>
        <v>Vaca em lactação</v>
      </c>
      <c r="X934" s="0" t="str">
        <f aca="false">IF(AND(B934&gt;=1,B934&lt;=6),"Tanque",IF(B934=10,"Descarte",""))</f>
        <v>Tanque</v>
      </c>
    </row>
    <row r="935" customFormat="false" ht="15" hidden="false" customHeight="false" outlineLevel="0" collapsed="false">
      <c r="A935" s="22" t="n">
        <v>46309</v>
      </c>
      <c r="B935" s="0" t="n">
        <v>4</v>
      </c>
      <c r="C935" s="0" t="n">
        <v>5701</v>
      </c>
      <c r="D935" s="0" t="n">
        <v>167</v>
      </c>
      <c r="E935" s="0" t="n">
        <v>1</v>
      </c>
      <c r="F935" s="23" t="s">
        <v>665</v>
      </c>
      <c r="G935" s="0" t="n">
        <v>55.3</v>
      </c>
      <c r="H935" s="0" t="n">
        <v>53</v>
      </c>
      <c r="I935" s="23" t="s">
        <v>92</v>
      </c>
      <c r="J935" s="0" t="n">
        <v>62</v>
      </c>
      <c r="K935" s="0" t="n">
        <v>62</v>
      </c>
      <c r="L935" s="0" t="n">
        <v>105</v>
      </c>
      <c r="P935" s="0" t="n">
        <v>3.62</v>
      </c>
      <c r="Q935" s="0" t="n">
        <v>3.32</v>
      </c>
      <c r="R935" s="0" t="n">
        <v>4290</v>
      </c>
      <c r="S935" s="0" t="n">
        <v>9321</v>
      </c>
      <c r="T935" s="0" t="n">
        <v>48.8</v>
      </c>
      <c r="U935" s="0" t="n">
        <v>835</v>
      </c>
      <c r="V935" s="0" t="n">
        <v>1</v>
      </c>
      <c r="W935" s="0" t="str">
        <f aca="false">IF(OR(AND(B935&gt;=1,B935&lt;=6),B935=10),"Vaca em lactação",IF(I935="Male","Macho",IF(E935&gt;=1,"Vaca seca",IF(I935="Youngstock","Bezerra/recria","Novilha"))))</f>
        <v>Vaca em lactação</v>
      </c>
      <c r="X935" s="0" t="str">
        <f aca="false">IF(AND(B935&gt;=1,B935&lt;=6),"Tanque",IF(B935=10,"Descarte",""))</f>
        <v>Tanque</v>
      </c>
    </row>
    <row r="936" customFormat="false" ht="15" hidden="false" customHeight="false" outlineLevel="0" collapsed="false">
      <c r="A936" s="22" t="n">
        <v>46309</v>
      </c>
      <c r="B936" s="0" t="n">
        <v>4</v>
      </c>
      <c r="C936" s="0" t="n">
        <v>5707</v>
      </c>
      <c r="D936" s="0" t="n">
        <v>115</v>
      </c>
      <c r="E936" s="0" t="n">
        <v>1</v>
      </c>
      <c r="F936" s="23" t="s">
        <v>113</v>
      </c>
      <c r="G936" s="0" t="n">
        <v>52.6</v>
      </c>
      <c r="H936" s="0" t="n">
        <v>49</v>
      </c>
      <c r="I936" s="23" t="s">
        <v>92</v>
      </c>
      <c r="J936" s="0" t="n">
        <v>67</v>
      </c>
      <c r="K936" s="0" t="n">
        <v>67</v>
      </c>
      <c r="L936" s="0" t="n">
        <v>48</v>
      </c>
      <c r="P936" s="0" t="n">
        <v>4.68</v>
      </c>
      <c r="Q936" s="0" t="n">
        <v>2.98</v>
      </c>
      <c r="R936" s="0" t="n">
        <v>4176</v>
      </c>
      <c r="S936" s="0" t="n">
        <v>8662</v>
      </c>
      <c r="T936" s="0" t="n">
        <v>44.55</v>
      </c>
      <c r="U936" s="0" t="n">
        <v>833</v>
      </c>
      <c r="V936" s="0" t="n">
        <v>1</v>
      </c>
      <c r="W936" s="0" t="str">
        <f aca="false">IF(OR(AND(B936&gt;=1,B936&lt;=6),B936=10),"Vaca em lactação",IF(I936="Male","Macho",IF(E936&gt;=1,"Vaca seca",IF(I936="Youngstock","Bezerra/recria","Novilha"))))</f>
        <v>Vaca em lactação</v>
      </c>
      <c r="X936" s="0" t="str">
        <f aca="false">IF(AND(B936&gt;=1,B936&lt;=6),"Tanque",IF(B936=10,"Descarte",""))</f>
        <v>Tanque</v>
      </c>
    </row>
    <row r="937" customFormat="false" ht="15" hidden="false" customHeight="false" outlineLevel="0" collapsed="false">
      <c r="A937" s="22" t="n">
        <v>46309</v>
      </c>
      <c r="B937" s="0" t="n">
        <v>4</v>
      </c>
      <c r="C937" s="0" t="n">
        <v>5705</v>
      </c>
      <c r="D937" s="0" t="n">
        <v>192</v>
      </c>
      <c r="E937" s="0" t="n">
        <v>1</v>
      </c>
      <c r="F937" s="23" t="s">
        <v>113</v>
      </c>
      <c r="G937" s="0" t="n">
        <v>36.9</v>
      </c>
      <c r="H937" s="0" t="n">
        <v>36</v>
      </c>
      <c r="I937" s="23" t="s">
        <v>92</v>
      </c>
      <c r="J937" s="0" t="n">
        <v>136</v>
      </c>
      <c r="K937" s="0" t="n">
        <v>66</v>
      </c>
      <c r="L937" s="0" t="n">
        <v>56</v>
      </c>
      <c r="P937" s="0" t="n">
        <v>3.81</v>
      </c>
      <c r="Q937" s="0" t="n">
        <v>3.44</v>
      </c>
      <c r="R937" s="0" t="n">
        <v>3964</v>
      </c>
      <c r="S937" s="0" t="n">
        <v>7665</v>
      </c>
      <c r="T937" s="0" t="n">
        <v>42.1</v>
      </c>
      <c r="U937" s="0" t="n">
        <v>833</v>
      </c>
      <c r="V937" s="0" t="n">
        <v>3</v>
      </c>
      <c r="W937" s="0" t="str">
        <f aca="false">IF(OR(AND(B937&gt;=1,B937&lt;=6),B937=10),"Vaca em lactação",IF(I937="Male","Macho",IF(E937&gt;=1,"Vaca seca",IF(I937="Youngstock","Bezerra/recria","Novilha"))))</f>
        <v>Vaca em lactação</v>
      </c>
      <c r="X937" s="0" t="str">
        <f aca="false">IF(AND(B937&gt;=1,B937&lt;=6),"Tanque",IF(B937=10,"Descarte",""))</f>
        <v>Tanque</v>
      </c>
    </row>
    <row r="938" customFormat="false" ht="15" hidden="false" customHeight="false" outlineLevel="0" collapsed="false">
      <c r="A938" s="22" t="n">
        <v>46309</v>
      </c>
      <c r="B938" s="0" t="n">
        <v>4</v>
      </c>
      <c r="C938" s="0" t="n">
        <v>5710</v>
      </c>
      <c r="D938" s="0" t="n">
        <v>193</v>
      </c>
      <c r="E938" s="0" t="n">
        <v>1</v>
      </c>
      <c r="F938" s="23" t="s">
        <v>114</v>
      </c>
      <c r="G938" s="0" t="n">
        <v>47.4</v>
      </c>
      <c r="H938" s="0" t="n">
        <v>47</v>
      </c>
      <c r="I938" s="23" t="s">
        <v>92</v>
      </c>
      <c r="J938" s="0" t="n">
        <v>92</v>
      </c>
      <c r="K938" s="0" t="n">
        <v>67</v>
      </c>
      <c r="L938" s="0" t="n">
        <v>101</v>
      </c>
      <c r="P938" s="0" t="n">
        <v>4.33</v>
      </c>
      <c r="Q938" s="0" t="n">
        <v>3.27</v>
      </c>
      <c r="R938" s="0" t="n">
        <v>3702</v>
      </c>
      <c r="S938" s="0" t="n">
        <v>8464</v>
      </c>
      <c r="T938" s="0" t="n">
        <v>44.95</v>
      </c>
      <c r="U938" s="0" t="n">
        <v>832</v>
      </c>
      <c r="V938" s="0" t="n">
        <v>2</v>
      </c>
      <c r="W938" s="0" t="str">
        <f aca="false">IF(OR(AND(B938&gt;=1,B938&lt;=6),B938=10),"Vaca em lactação",IF(I938="Male","Macho",IF(E938&gt;=1,"Vaca seca",IF(I938="Youngstock","Bezerra/recria","Novilha"))))</f>
        <v>Vaca em lactação</v>
      </c>
      <c r="X938" s="0" t="str">
        <f aca="false">IF(AND(B938&gt;=1,B938&lt;=6),"Tanque",IF(B938=10,"Descarte",""))</f>
        <v>Tanque</v>
      </c>
    </row>
    <row r="939" customFormat="false" ht="15" hidden="false" customHeight="false" outlineLevel="0" collapsed="false">
      <c r="A939" s="22" t="n">
        <v>46309</v>
      </c>
      <c r="B939" s="0" t="n">
        <v>4</v>
      </c>
      <c r="C939" s="0" t="n">
        <v>5712</v>
      </c>
      <c r="D939" s="0" t="n">
        <v>112</v>
      </c>
      <c r="E939" s="0" t="n">
        <v>1</v>
      </c>
      <c r="F939" s="23" t="s">
        <v>666</v>
      </c>
      <c r="G939" s="0" t="n">
        <v>37.8</v>
      </c>
      <c r="H939" s="0" t="n">
        <v>37</v>
      </c>
      <c r="I939" s="23" t="s">
        <v>109</v>
      </c>
      <c r="J939" s="0" t="n">
        <v>112</v>
      </c>
      <c r="K939" s="0" t="n">
        <v>64</v>
      </c>
      <c r="P939" s="0" t="n">
        <v>2.92</v>
      </c>
      <c r="Q939" s="0" t="n">
        <v>3.27</v>
      </c>
      <c r="R939" s="0" t="n">
        <v>2441</v>
      </c>
      <c r="S939" s="0" t="n">
        <v>5275</v>
      </c>
      <c r="T939" s="0" t="n">
        <v>31</v>
      </c>
      <c r="U939" s="0" t="n">
        <v>831</v>
      </c>
      <c r="V939" s="0" t="n">
        <v>1</v>
      </c>
      <c r="W939" s="0" t="str">
        <f aca="false">IF(OR(AND(B939&gt;=1,B939&lt;=6),B939=10),"Vaca em lactação",IF(I939="Male","Macho",IF(E939&gt;=1,"Vaca seca",IF(I939="Youngstock","Bezerra/recria","Novilha"))))</f>
        <v>Vaca em lactação</v>
      </c>
      <c r="X939" s="0" t="str">
        <f aca="false">IF(AND(B939&gt;=1,B939&lt;=6),"Tanque",IF(B939=10,"Descarte",""))</f>
        <v>Tanque</v>
      </c>
    </row>
    <row r="940" customFormat="false" ht="15" hidden="false" customHeight="false" outlineLevel="0" collapsed="false">
      <c r="A940" s="22" t="n">
        <v>46309</v>
      </c>
      <c r="B940" s="0" t="n">
        <v>4</v>
      </c>
      <c r="C940" s="0" t="n">
        <v>5643</v>
      </c>
      <c r="D940" s="0" t="n">
        <v>197</v>
      </c>
      <c r="E940" s="0" t="n">
        <v>1</v>
      </c>
      <c r="F940" s="23" t="s">
        <v>667</v>
      </c>
      <c r="G940" s="0" t="n">
        <v>33.5</v>
      </c>
      <c r="H940" s="0" t="n">
        <v>31</v>
      </c>
      <c r="I940" s="23" t="s">
        <v>92</v>
      </c>
      <c r="J940" s="0" t="n">
        <v>64</v>
      </c>
      <c r="K940" s="0" t="n">
        <v>64</v>
      </c>
      <c r="L940" s="0" t="n">
        <v>133</v>
      </c>
      <c r="P940" s="0" t="n">
        <v>3.45</v>
      </c>
      <c r="Q940" s="0" t="n">
        <v>3.54</v>
      </c>
      <c r="R940" s="0" t="n">
        <v>3685</v>
      </c>
      <c r="S940" s="0" t="n">
        <v>7621</v>
      </c>
      <c r="T940" s="0" t="n">
        <v>41.45</v>
      </c>
      <c r="U940" s="0" t="n">
        <v>853</v>
      </c>
      <c r="V940" s="0" t="n">
        <v>1</v>
      </c>
      <c r="W940" s="0" t="str">
        <f aca="false">IF(OR(AND(B940&gt;=1,B940&lt;=6),B940=10),"Vaca em lactação",IF(I940="Male","Macho",IF(E940&gt;=1,"Vaca seca",IF(I940="Youngstock","Bezerra/recria","Novilha"))))</f>
        <v>Vaca em lactação</v>
      </c>
      <c r="X940" s="0" t="str">
        <f aca="false">IF(AND(B940&gt;=1,B940&lt;=6),"Tanque",IF(B940=10,"Descarte",""))</f>
        <v>Tanque</v>
      </c>
    </row>
    <row r="941" customFormat="false" ht="15" hidden="false" customHeight="false" outlineLevel="0" collapsed="false">
      <c r="A941" s="22" t="n">
        <v>46309</v>
      </c>
      <c r="B941" s="0" t="n">
        <v>4</v>
      </c>
      <c r="C941" s="0" t="n">
        <v>5647</v>
      </c>
      <c r="D941" s="0" t="n">
        <v>146</v>
      </c>
      <c r="E941" s="0" t="n">
        <v>1</v>
      </c>
      <c r="F941" s="23" t="s">
        <v>668</v>
      </c>
      <c r="G941" s="0" t="n">
        <v>40</v>
      </c>
      <c r="H941" s="0" t="n">
        <v>45</v>
      </c>
      <c r="I941" s="23" t="s">
        <v>92</v>
      </c>
      <c r="J941" s="0" t="n">
        <v>69</v>
      </c>
      <c r="K941" s="0" t="n">
        <v>69</v>
      </c>
      <c r="L941" s="0" t="n">
        <v>77</v>
      </c>
      <c r="P941" s="0" t="n">
        <v>2.91</v>
      </c>
      <c r="Q941" s="0" t="n">
        <v>3.05</v>
      </c>
      <c r="R941" s="0" t="n">
        <v>4513</v>
      </c>
      <c r="S941" s="0" t="n">
        <v>9509</v>
      </c>
      <c r="T941" s="0" t="n">
        <v>50.85</v>
      </c>
      <c r="U941" s="0" t="n">
        <v>852</v>
      </c>
      <c r="V941" s="0" t="n">
        <v>1</v>
      </c>
      <c r="W941" s="0" t="str">
        <f aca="false">IF(OR(AND(B941&gt;=1,B941&lt;=6),B941=10),"Vaca em lactação",IF(I941="Male","Macho",IF(E941&gt;=1,"Vaca seca",IF(I941="Youngstock","Bezerra/recria","Novilha"))))</f>
        <v>Vaca em lactação</v>
      </c>
      <c r="X941" s="0" t="str">
        <f aca="false">IF(AND(B941&gt;=1,B941&lt;=6),"Tanque",IF(B941=10,"Descarte",""))</f>
        <v>Tanque</v>
      </c>
    </row>
    <row r="942" customFormat="false" ht="15" hidden="false" customHeight="false" outlineLevel="0" collapsed="false">
      <c r="A942" s="22" t="n">
        <v>46309</v>
      </c>
      <c r="B942" s="0" t="n">
        <v>4</v>
      </c>
      <c r="C942" s="0" t="n">
        <v>5646</v>
      </c>
      <c r="D942" s="0" t="n">
        <v>205</v>
      </c>
      <c r="E942" s="0" t="n">
        <v>1</v>
      </c>
      <c r="F942" s="23" t="s">
        <v>668</v>
      </c>
      <c r="G942" s="0" t="n">
        <v>45.8</v>
      </c>
      <c r="H942" s="0" t="n">
        <v>42</v>
      </c>
      <c r="I942" s="23" t="s">
        <v>109</v>
      </c>
      <c r="J942" s="0" t="n">
        <v>205</v>
      </c>
      <c r="K942" s="0" t="n">
        <v>65</v>
      </c>
      <c r="P942" s="0" t="n">
        <v>4.43</v>
      </c>
      <c r="Q942" s="0" t="n">
        <v>3.63</v>
      </c>
      <c r="R942" s="0" t="n">
        <v>4720</v>
      </c>
      <c r="S942" s="0" t="n">
        <v>9704</v>
      </c>
      <c r="T942" s="0" t="n">
        <v>53.6</v>
      </c>
      <c r="U942" s="0" t="n">
        <v>852</v>
      </c>
      <c r="V942" s="0" t="n">
        <v>3</v>
      </c>
      <c r="W942" s="0" t="str">
        <f aca="false">IF(OR(AND(B942&gt;=1,B942&lt;=6),B942=10),"Vaca em lactação",IF(I942="Male","Macho",IF(E942&gt;=1,"Vaca seca",IF(I942="Youngstock","Bezerra/recria","Novilha"))))</f>
        <v>Vaca em lactação</v>
      </c>
      <c r="X942" s="0" t="str">
        <f aca="false">IF(AND(B942&gt;=1,B942&lt;=6),"Tanque",IF(B942=10,"Descarte",""))</f>
        <v>Tanque</v>
      </c>
    </row>
    <row r="943" customFormat="false" ht="15" hidden="false" customHeight="false" outlineLevel="0" collapsed="false">
      <c r="A943" s="22" t="n">
        <v>46309</v>
      </c>
      <c r="B943" s="0" t="n">
        <v>4</v>
      </c>
      <c r="C943" s="0" t="n">
        <v>5645</v>
      </c>
      <c r="D943" s="0" t="n">
        <v>198</v>
      </c>
      <c r="E943" s="0" t="n">
        <v>1</v>
      </c>
      <c r="F943" s="23" t="s">
        <v>668</v>
      </c>
      <c r="G943" s="0" t="n">
        <v>51.6</v>
      </c>
      <c r="H943" s="0" t="n">
        <v>53</v>
      </c>
      <c r="I943" s="23" t="s">
        <v>92</v>
      </c>
      <c r="J943" s="0" t="n">
        <v>65</v>
      </c>
      <c r="K943" s="0" t="n">
        <v>65</v>
      </c>
      <c r="L943" s="0" t="n">
        <v>133</v>
      </c>
      <c r="P943" s="0" t="n">
        <v>2.99</v>
      </c>
      <c r="Q943" s="0" t="n">
        <v>3.35</v>
      </c>
      <c r="R943" s="0" t="n">
        <v>4779</v>
      </c>
      <c r="S943" s="0" t="n">
        <v>10394</v>
      </c>
      <c r="T943" s="0" t="n">
        <v>48.8</v>
      </c>
      <c r="U943" s="0" t="n">
        <v>852</v>
      </c>
      <c r="V943" s="0" t="n">
        <v>1</v>
      </c>
      <c r="W943" s="0" t="str">
        <f aca="false">IF(OR(AND(B943&gt;=1,B943&lt;=6),B943=10),"Vaca em lactação",IF(I943="Male","Macho",IF(E943&gt;=1,"Vaca seca",IF(I943="Youngstock","Bezerra/recria","Novilha"))))</f>
        <v>Vaca em lactação</v>
      </c>
      <c r="X943" s="0" t="str">
        <f aca="false">IF(AND(B943&gt;=1,B943&lt;=6),"Tanque",IF(B943=10,"Descarte",""))</f>
        <v>Tanque</v>
      </c>
    </row>
    <row r="944" customFormat="false" ht="15" hidden="false" customHeight="false" outlineLevel="0" collapsed="false">
      <c r="A944" s="22" t="n">
        <v>46309</v>
      </c>
      <c r="B944" s="0" t="n">
        <v>4</v>
      </c>
      <c r="C944" s="0" t="n">
        <v>5650</v>
      </c>
      <c r="D944" s="0" t="n">
        <v>175</v>
      </c>
      <c r="E944" s="0" t="n">
        <v>1</v>
      </c>
      <c r="F944" s="23" t="s">
        <v>115</v>
      </c>
      <c r="G944" s="0" t="n">
        <v>37.6</v>
      </c>
      <c r="H944" s="0" t="n">
        <v>42</v>
      </c>
      <c r="I944" s="23" t="s">
        <v>92</v>
      </c>
      <c r="J944" s="0" t="n">
        <v>63</v>
      </c>
      <c r="K944" s="0" t="n">
        <v>63</v>
      </c>
      <c r="L944" s="0" t="n">
        <v>112</v>
      </c>
      <c r="P944" s="0" t="n">
        <v>3.65</v>
      </c>
      <c r="Q944" s="0" t="n">
        <v>3.54</v>
      </c>
      <c r="R944" s="0" t="n">
        <v>3474</v>
      </c>
      <c r="S944" s="0" t="n">
        <v>7700</v>
      </c>
      <c r="T944" s="0" t="n">
        <v>38.6</v>
      </c>
      <c r="U944" s="0" t="n">
        <v>851</v>
      </c>
      <c r="V944" s="0" t="n">
        <v>1</v>
      </c>
      <c r="W944" s="0" t="str">
        <f aca="false">IF(OR(AND(B944&gt;=1,B944&lt;=6),B944=10),"Vaca em lactação",IF(I944="Male","Macho",IF(E944&gt;=1,"Vaca seca",IF(I944="Youngstock","Bezerra/recria","Novilha"))))</f>
        <v>Vaca em lactação</v>
      </c>
      <c r="X944" s="0" t="str">
        <f aca="false">IF(AND(B944&gt;=1,B944&lt;=6),"Tanque",IF(B944=10,"Descarte",""))</f>
        <v>Tanque</v>
      </c>
    </row>
    <row r="945" customFormat="false" ht="15" hidden="false" customHeight="false" outlineLevel="0" collapsed="false">
      <c r="A945" s="22" t="n">
        <v>46309</v>
      </c>
      <c r="B945" s="0" t="n">
        <v>4</v>
      </c>
      <c r="C945" s="0" t="n">
        <v>5648</v>
      </c>
      <c r="D945" s="0" t="n">
        <v>155</v>
      </c>
      <c r="E945" s="0" t="n">
        <v>1</v>
      </c>
      <c r="F945" s="23" t="s">
        <v>668</v>
      </c>
      <c r="G945" s="0" t="n">
        <v>50.6</v>
      </c>
      <c r="H945" s="0" t="n">
        <v>52</v>
      </c>
      <c r="I945" s="23" t="s">
        <v>97</v>
      </c>
      <c r="J945" s="0" t="n">
        <v>155</v>
      </c>
      <c r="K945" s="0" t="n">
        <v>64</v>
      </c>
      <c r="P945" s="0" t="n">
        <v>4.47</v>
      </c>
      <c r="Q945" s="0" t="n">
        <v>3.47</v>
      </c>
      <c r="R945" s="0" t="n">
        <v>4488</v>
      </c>
      <c r="S945" s="0" t="n">
        <v>9639</v>
      </c>
      <c r="T945" s="0" t="n">
        <v>47.05</v>
      </c>
      <c r="U945" s="0" t="n">
        <v>852</v>
      </c>
      <c r="V945" s="0" t="n">
        <v>3</v>
      </c>
      <c r="W945" s="0" t="str">
        <f aca="false">IF(OR(AND(B945&gt;=1,B945&lt;=6),B945=10),"Vaca em lactação",IF(I945="Male","Macho",IF(E945&gt;=1,"Vaca seca",IF(I945="Youngstock","Bezerra/recria","Novilha"))))</f>
        <v>Vaca em lactação</v>
      </c>
      <c r="X945" s="0" t="str">
        <f aca="false">IF(AND(B945&gt;=1,B945&lt;=6),"Tanque",IF(B945=10,"Descarte",""))</f>
        <v>Tanque</v>
      </c>
    </row>
    <row r="946" customFormat="false" ht="15" hidden="false" customHeight="false" outlineLevel="0" collapsed="false">
      <c r="A946" s="22" t="n">
        <v>46309</v>
      </c>
      <c r="B946" s="0" t="n">
        <v>4</v>
      </c>
      <c r="C946" s="0" t="n">
        <v>5655</v>
      </c>
      <c r="D946" s="0" t="n">
        <v>193</v>
      </c>
      <c r="E946" s="0" t="n">
        <v>1</v>
      </c>
      <c r="F946" s="23" t="s">
        <v>116</v>
      </c>
      <c r="G946" s="0" t="n">
        <v>54.2</v>
      </c>
      <c r="H946" s="0" t="n">
        <v>54</v>
      </c>
      <c r="I946" s="23" t="s">
        <v>92</v>
      </c>
      <c r="J946" s="0" t="n">
        <v>67</v>
      </c>
      <c r="K946" s="0" t="n">
        <v>67</v>
      </c>
      <c r="L946" s="0" t="n">
        <v>126</v>
      </c>
      <c r="P946" s="0" t="n">
        <v>3.87</v>
      </c>
      <c r="Q946" s="0" t="n">
        <v>3.07</v>
      </c>
      <c r="R946" s="0" t="n">
        <v>3982</v>
      </c>
      <c r="S946" s="0" t="n">
        <v>9378</v>
      </c>
      <c r="T946" s="0" t="n">
        <v>44.65</v>
      </c>
      <c r="U946" s="0" t="n">
        <v>849</v>
      </c>
      <c r="V946" s="0" t="n">
        <v>1</v>
      </c>
      <c r="W946" s="0" t="str">
        <f aca="false">IF(OR(AND(B946&gt;=1,B946&lt;=6),B946=10),"Vaca em lactação",IF(I946="Male","Macho",IF(E946&gt;=1,"Vaca seca",IF(I946="Youngstock","Bezerra/recria","Novilha"))))</f>
        <v>Vaca em lactação</v>
      </c>
      <c r="X946" s="0" t="str">
        <f aca="false">IF(AND(B946&gt;=1,B946&lt;=6),"Tanque",IF(B946=10,"Descarte",""))</f>
        <v>Tanque</v>
      </c>
    </row>
    <row r="947" customFormat="false" ht="15" hidden="false" customHeight="false" outlineLevel="0" collapsed="false">
      <c r="A947" s="22" t="n">
        <v>46309</v>
      </c>
      <c r="B947" s="0" t="n">
        <v>4</v>
      </c>
      <c r="C947" s="0" t="n">
        <v>5656</v>
      </c>
      <c r="D947" s="0" t="n">
        <v>123</v>
      </c>
      <c r="E947" s="0" t="n">
        <v>1</v>
      </c>
      <c r="F947" s="23" t="s">
        <v>669</v>
      </c>
      <c r="G947" s="0" t="n">
        <v>66.8</v>
      </c>
      <c r="H947" s="0" t="n">
        <v>68</v>
      </c>
      <c r="I947" s="23" t="s">
        <v>109</v>
      </c>
      <c r="J947" s="0" t="n">
        <v>123</v>
      </c>
      <c r="K947" s="0" t="n">
        <v>67</v>
      </c>
      <c r="P947" s="0" t="n">
        <v>3.1</v>
      </c>
      <c r="Q947" s="0" t="n">
        <v>2.96</v>
      </c>
      <c r="R947" s="0" t="n">
        <v>4980</v>
      </c>
      <c r="S947" s="0" t="n">
        <v>10668</v>
      </c>
      <c r="T947" s="0" t="n">
        <v>56.25</v>
      </c>
      <c r="U947" s="0" t="n">
        <v>848</v>
      </c>
      <c r="V947" s="0" t="n">
        <v>2</v>
      </c>
      <c r="W947" s="0" t="str">
        <f aca="false">IF(OR(AND(B947&gt;=1,B947&lt;=6),B947=10),"Vaca em lactação",IF(I947="Male","Macho",IF(E947&gt;=1,"Vaca seca",IF(I947="Youngstock","Bezerra/recria","Novilha"))))</f>
        <v>Vaca em lactação</v>
      </c>
      <c r="X947" s="0" t="str">
        <f aca="false">IF(AND(B947&gt;=1,B947&lt;=6),"Tanque",IF(B947=10,"Descarte",""))</f>
        <v>Tanque</v>
      </c>
    </row>
    <row r="948" customFormat="false" ht="15" hidden="false" customHeight="false" outlineLevel="0" collapsed="false">
      <c r="A948" s="22" t="n">
        <v>46309</v>
      </c>
      <c r="B948" s="0" t="n">
        <v>4</v>
      </c>
      <c r="C948" s="0" t="n">
        <v>5653</v>
      </c>
      <c r="D948" s="0" t="n">
        <v>197</v>
      </c>
      <c r="E948" s="0" t="n">
        <v>1</v>
      </c>
      <c r="F948" s="23" t="s">
        <v>116</v>
      </c>
      <c r="G948" s="0" t="n">
        <v>44</v>
      </c>
      <c r="H948" s="0" t="n">
        <v>44</v>
      </c>
      <c r="I948" s="23" t="s">
        <v>92</v>
      </c>
      <c r="J948" s="0" t="n">
        <v>64</v>
      </c>
      <c r="K948" s="0" t="n">
        <v>64</v>
      </c>
      <c r="L948" s="0" t="n">
        <v>133</v>
      </c>
      <c r="P948" s="0" t="n">
        <v>3.35</v>
      </c>
      <c r="Q948" s="0" t="n">
        <v>3.16</v>
      </c>
      <c r="R948" s="0" t="n">
        <v>4574</v>
      </c>
      <c r="S948" s="0" t="n">
        <v>9649</v>
      </c>
      <c r="T948" s="0" t="n">
        <v>48.25</v>
      </c>
      <c r="U948" s="0" t="n">
        <v>849</v>
      </c>
      <c r="V948" s="0" t="n">
        <v>1</v>
      </c>
      <c r="W948" s="0" t="str">
        <f aca="false">IF(OR(AND(B948&gt;=1,B948&lt;=6),B948=10),"Vaca em lactação",IF(I948="Male","Macho",IF(E948&gt;=1,"Vaca seca",IF(I948="Youngstock","Bezerra/recria","Novilha"))))</f>
        <v>Vaca em lactação</v>
      </c>
      <c r="X948" s="0" t="str">
        <f aca="false">IF(AND(B948&gt;=1,B948&lt;=6),"Tanque",IF(B948=10,"Descarte",""))</f>
        <v>Tanque</v>
      </c>
    </row>
    <row r="949" customFormat="false" ht="15" hidden="false" customHeight="false" outlineLevel="0" collapsed="false">
      <c r="A949" s="22" t="n">
        <v>46309</v>
      </c>
      <c r="B949" s="0" t="n">
        <v>4</v>
      </c>
      <c r="C949" s="0" t="n">
        <v>5657</v>
      </c>
      <c r="D949" s="0" t="n">
        <v>235</v>
      </c>
      <c r="E949" s="0" t="n">
        <v>1</v>
      </c>
      <c r="F949" s="23" t="s">
        <v>669</v>
      </c>
      <c r="G949" s="0" t="n">
        <v>43.8</v>
      </c>
      <c r="H949" s="0" t="n">
        <v>47</v>
      </c>
      <c r="I949" s="23" t="s">
        <v>92</v>
      </c>
      <c r="J949" s="0" t="n">
        <v>88</v>
      </c>
      <c r="K949" s="0" t="n">
        <v>67</v>
      </c>
      <c r="L949" s="0" t="n">
        <v>147</v>
      </c>
      <c r="P949" s="0" t="n">
        <v>3.56</v>
      </c>
      <c r="Q949" s="0" t="n">
        <v>3.47</v>
      </c>
      <c r="R949" s="0" t="n">
        <v>3230</v>
      </c>
      <c r="S949" s="0" t="n">
        <v>8221</v>
      </c>
      <c r="T949" s="0" t="n">
        <v>39</v>
      </c>
      <c r="U949" s="0" t="n">
        <v>848</v>
      </c>
      <c r="V949" s="0" t="n">
        <v>2</v>
      </c>
      <c r="W949" s="0" t="str">
        <f aca="false">IF(OR(AND(B949&gt;=1,B949&lt;=6),B949=10),"Vaca em lactação",IF(I949="Male","Macho",IF(E949&gt;=1,"Vaca seca",IF(I949="Youngstock","Bezerra/recria","Novilha"))))</f>
        <v>Vaca em lactação</v>
      </c>
      <c r="X949" s="0" t="str">
        <f aca="false">IF(AND(B949&gt;=1,B949&lt;=6),"Tanque",IF(B949=10,"Descarte",""))</f>
        <v>Tanque</v>
      </c>
    </row>
    <row r="950" customFormat="false" ht="15" hidden="false" customHeight="false" outlineLevel="0" collapsed="false">
      <c r="A950" s="22" t="n">
        <v>46309</v>
      </c>
      <c r="B950" s="0" t="n">
        <v>4</v>
      </c>
      <c r="C950" s="0" t="n">
        <v>5659</v>
      </c>
      <c r="D950" s="0" t="n">
        <v>142</v>
      </c>
      <c r="E950" s="0" t="n">
        <v>1</v>
      </c>
      <c r="F950" s="23" t="s">
        <v>117</v>
      </c>
      <c r="G950" s="0" t="n">
        <v>54.5</v>
      </c>
      <c r="H950" s="0" t="n">
        <v>53</v>
      </c>
      <c r="I950" s="23" t="s">
        <v>92</v>
      </c>
      <c r="J950" s="0" t="n">
        <v>86</v>
      </c>
      <c r="K950" s="0" t="n">
        <v>65</v>
      </c>
      <c r="L950" s="0" t="n">
        <v>56</v>
      </c>
      <c r="P950" s="0" t="n">
        <v>2.92</v>
      </c>
      <c r="Q950" s="0" t="n">
        <v>3.34</v>
      </c>
      <c r="R950" s="0" t="n">
        <v>4573</v>
      </c>
      <c r="S950" s="0" t="n">
        <v>9921</v>
      </c>
      <c r="T950" s="0" t="n">
        <v>54.2</v>
      </c>
      <c r="U950" s="0" t="n">
        <v>847</v>
      </c>
      <c r="V950" s="0" t="n">
        <v>2</v>
      </c>
      <c r="W950" s="0" t="str">
        <f aca="false">IF(OR(AND(B950&gt;=1,B950&lt;=6),B950=10),"Vaca em lactação",IF(I950="Male","Macho",IF(E950&gt;=1,"Vaca seca",IF(I950="Youngstock","Bezerra/recria","Novilha"))))</f>
        <v>Vaca em lactação</v>
      </c>
      <c r="X950" s="0" t="str">
        <f aca="false">IF(AND(B950&gt;=1,B950&lt;=6),"Tanque",IF(B950=10,"Descarte",""))</f>
        <v>Tanque</v>
      </c>
    </row>
    <row r="951" customFormat="false" ht="15" hidden="false" customHeight="false" outlineLevel="0" collapsed="false">
      <c r="A951" s="22" t="n">
        <v>46309</v>
      </c>
      <c r="B951" s="0" t="n">
        <v>4</v>
      </c>
      <c r="C951" s="0" t="n">
        <v>5661</v>
      </c>
      <c r="D951" s="0" t="n">
        <v>171</v>
      </c>
      <c r="E951" s="0" t="n">
        <v>1</v>
      </c>
      <c r="F951" s="23" t="s">
        <v>117</v>
      </c>
      <c r="G951" s="0" t="n">
        <v>41.4</v>
      </c>
      <c r="H951" s="0" t="n">
        <v>44</v>
      </c>
      <c r="I951" s="23" t="s">
        <v>109</v>
      </c>
      <c r="J951" s="0" t="n">
        <v>171</v>
      </c>
      <c r="K951" s="0" t="n">
        <v>66</v>
      </c>
      <c r="P951" s="0" t="n">
        <v>3.89</v>
      </c>
      <c r="Q951" s="0" t="n">
        <v>3.4</v>
      </c>
      <c r="R951" s="0" t="n">
        <v>3829</v>
      </c>
      <c r="S951" s="0" t="n">
        <v>8252</v>
      </c>
      <c r="T951" s="0" t="n">
        <v>43.4</v>
      </c>
      <c r="U951" s="0" t="n">
        <v>847</v>
      </c>
      <c r="V951" s="0" t="n">
        <v>3</v>
      </c>
      <c r="W951" s="0" t="str">
        <f aca="false">IF(OR(AND(B951&gt;=1,B951&lt;=6),B951=10),"Vaca em lactação",IF(I951="Male","Macho",IF(E951&gt;=1,"Vaca seca",IF(I951="Youngstock","Bezerra/recria","Novilha"))))</f>
        <v>Vaca em lactação</v>
      </c>
      <c r="X951" s="0" t="str">
        <f aca="false">IF(AND(B951&gt;=1,B951&lt;=6),"Tanque",IF(B951=10,"Descarte",""))</f>
        <v>Tanque</v>
      </c>
    </row>
    <row r="952" customFormat="false" ht="15" hidden="false" customHeight="false" outlineLevel="0" collapsed="false">
      <c r="A952" s="22" t="n">
        <v>46309</v>
      </c>
      <c r="B952" s="0" t="n">
        <v>4</v>
      </c>
      <c r="C952" s="0" t="n">
        <v>5660</v>
      </c>
      <c r="D952" s="0" t="n">
        <v>206</v>
      </c>
      <c r="E952" s="0" t="n">
        <v>1</v>
      </c>
      <c r="F952" s="23" t="s">
        <v>117</v>
      </c>
      <c r="G952" s="0" t="n">
        <v>48.5</v>
      </c>
      <c r="H952" s="0" t="n">
        <v>48</v>
      </c>
      <c r="I952" s="23" t="s">
        <v>92</v>
      </c>
      <c r="J952" s="0" t="n">
        <v>66</v>
      </c>
      <c r="K952" s="0" t="n">
        <v>66</v>
      </c>
      <c r="L952" s="0" t="n">
        <v>140</v>
      </c>
      <c r="P952" s="0" t="n">
        <v>3.22</v>
      </c>
      <c r="Q952" s="0" t="n">
        <v>3.61</v>
      </c>
      <c r="R952" s="0" t="n">
        <v>4130</v>
      </c>
      <c r="S952" s="0" t="n">
        <v>9264</v>
      </c>
      <c r="T952" s="0" t="n">
        <v>47.9</v>
      </c>
      <c r="U952" s="0" t="n">
        <v>847</v>
      </c>
      <c r="V952" s="0" t="n">
        <v>1</v>
      </c>
      <c r="W952" s="0" t="str">
        <f aca="false">IF(OR(AND(B952&gt;=1,B952&lt;=6),B952=10),"Vaca em lactação",IF(I952="Male","Macho",IF(E952&gt;=1,"Vaca seca",IF(I952="Youngstock","Bezerra/recria","Novilha"))))</f>
        <v>Vaca em lactação</v>
      </c>
      <c r="X952" s="0" t="str">
        <f aca="false">IF(AND(B952&gt;=1,B952&lt;=6),"Tanque",IF(B952=10,"Descarte",""))</f>
        <v>Tanque</v>
      </c>
    </row>
    <row r="953" customFormat="false" ht="15" hidden="false" customHeight="false" outlineLevel="0" collapsed="false">
      <c r="A953" s="22" t="n">
        <v>46309</v>
      </c>
      <c r="B953" s="0" t="n">
        <v>4</v>
      </c>
      <c r="C953" s="0" t="n">
        <v>5664</v>
      </c>
      <c r="D953" s="0" t="n">
        <v>163</v>
      </c>
      <c r="E953" s="0" t="n">
        <v>1</v>
      </c>
      <c r="F953" s="23" t="s">
        <v>117</v>
      </c>
      <c r="G953" s="0" t="n">
        <v>45.9</v>
      </c>
      <c r="H953" s="0" t="n">
        <v>42</v>
      </c>
      <c r="I953" s="23" t="s">
        <v>92</v>
      </c>
      <c r="J953" s="0" t="n">
        <v>65</v>
      </c>
      <c r="K953" s="0" t="n">
        <v>65</v>
      </c>
      <c r="L953" s="0" t="n">
        <v>98</v>
      </c>
      <c r="P953" s="0" t="n">
        <v>3.43</v>
      </c>
      <c r="Q953" s="0" t="n">
        <v>3.27</v>
      </c>
      <c r="R953" s="0" t="n">
        <v>4053</v>
      </c>
      <c r="S953" s="0" t="n">
        <v>8502</v>
      </c>
      <c r="T953" s="0" t="n">
        <v>43.15</v>
      </c>
      <c r="U953" s="0" t="n">
        <v>847</v>
      </c>
      <c r="V953" s="0" t="n">
        <v>1</v>
      </c>
      <c r="W953" s="0" t="str">
        <f aca="false">IF(OR(AND(B953&gt;=1,B953&lt;=6),B953=10),"Vaca em lactação",IF(I953="Male","Macho",IF(E953&gt;=1,"Vaca seca",IF(I953="Youngstock","Bezerra/recria","Novilha"))))</f>
        <v>Vaca em lactação</v>
      </c>
      <c r="X953" s="0" t="str">
        <f aca="false">IF(AND(B953&gt;=1,B953&lt;=6),"Tanque",IF(B953=10,"Descarte",""))</f>
        <v>Tanque</v>
      </c>
    </row>
    <row r="954" customFormat="false" ht="15" hidden="false" customHeight="false" outlineLevel="0" collapsed="false">
      <c r="A954" s="22" t="n">
        <v>46309</v>
      </c>
      <c r="B954" s="0" t="n">
        <v>4</v>
      </c>
      <c r="C954" s="0" t="n">
        <v>5663</v>
      </c>
      <c r="D954" s="0" t="n">
        <v>136</v>
      </c>
      <c r="E954" s="0" t="n">
        <v>1</v>
      </c>
      <c r="F954" s="23" t="s">
        <v>117</v>
      </c>
      <c r="G954" s="0" t="n">
        <v>50.5</v>
      </c>
      <c r="H954" s="0" t="n">
        <v>50</v>
      </c>
      <c r="I954" s="23" t="s">
        <v>92</v>
      </c>
      <c r="J954" s="0" t="n">
        <v>66</v>
      </c>
      <c r="K954" s="0" t="n">
        <v>66</v>
      </c>
      <c r="L954" s="0" t="n">
        <v>70</v>
      </c>
      <c r="P954" s="0" t="n">
        <v>4.48</v>
      </c>
      <c r="Q954" s="0" t="n">
        <v>3.3</v>
      </c>
      <c r="R954" s="0" t="n">
        <v>4283</v>
      </c>
      <c r="S954" s="0" t="n">
        <v>9275</v>
      </c>
      <c r="T954" s="0" t="n">
        <v>46.65</v>
      </c>
      <c r="U954" s="0" t="n">
        <v>847</v>
      </c>
      <c r="V954" s="0" t="n">
        <v>1</v>
      </c>
      <c r="W954" s="0" t="str">
        <f aca="false">IF(OR(AND(B954&gt;=1,B954&lt;=6),B954=10),"Vaca em lactação",IF(I954="Male","Macho",IF(E954&gt;=1,"Vaca seca",IF(I954="Youngstock","Bezerra/recria","Novilha"))))</f>
        <v>Vaca em lactação</v>
      </c>
      <c r="X954" s="0" t="str">
        <f aca="false">IF(AND(B954&gt;=1,B954&lt;=6),"Tanque",IF(B954=10,"Descarte",""))</f>
        <v>Tanque</v>
      </c>
    </row>
    <row r="955" customFormat="false" ht="15" hidden="false" customHeight="false" outlineLevel="0" collapsed="false">
      <c r="A955" s="22" t="n">
        <v>46309</v>
      </c>
      <c r="B955" s="0" t="n">
        <v>4</v>
      </c>
      <c r="C955" s="0" t="n">
        <v>5666</v>
      </c>
      <c r="D955" s="0" t="n">
        <v>194</v>
      </c>
      <c r="E955" s="0" t="n">
        <v>1</v>
      </c>
      <c r="F955" s="23" t="s">
        <v>117</v>
      </c>
      <c r="G955" s="0" t="n">
        <v>44</v>
      </c>
      <c r="H955" s="0" t="n">
        <v>43</v>
      </c>
      <c r="I955" s="23" t="s">
        <v>92</v>
      </c>
      <c r="J955" s="0" t="n">
        <v>149</v>
      </c>
      <c r="K955" s="0" t="n">
        <v>68</v>
      </c>
      <c r="L955" s="0" t="n">
        <v>45</v>
      </c>
      <c r="P955" s="0" t="n">
        <v>3.34</v>
      </c>
      <c r="Q955" s="0" t="n">
        <v>3.62</v>
      </c>
      <c r="R955" s="0" t="n">
        <v>4217</v>
      </c>
      <c r="S955" s="0" t="n">
        <v>8803</v>
      </c>
      <c r="T955" s="0" t="n">
        <v>48.25</v>
      </c>
      <c r="U955" s="0" t="n">
        <v>847</v>
      </c>
      <c r="V955" s="0" t="n">
        <v>3</v>
      </c>
      <c r="W955" s="0" t="str">
        <f aca="false">IF(OR(AND(B955&gt;=1,B955&lt;=6),B955=10),"Vaca em lactação",IF(I955="Male","Macho",IF(E955&gt;=1,"Vaca seca",IF(I955="Youngstock","Bezerra/recria","Novilha"))))</f>
        <v>Vaca em lactação</v>
      </c>
      <c r="X955" s="0" t="str">
        <f aca="false">IF(AND(B955&gt;=1,B955&lt;=6),"Tanque",IF(B955=10,"Descarte",""))</f>
        <v>Tanque</v>
      </c>
    </row>
    <row r="956" customFormat="false" ht="15" hidden="false" customHeight="false" outlineLevel="0" collapsed="false">
      <c r="A956" s="22" t="n">
        <v>46309</v>
      </c>
      <c r="B956" s="0" t="n">
        <v>4</v>
      </c>
      <c r="C956" s="0" t="n">
        <v>5665</v>
      </c>
      <c r="D956" s="0" t="n">
        <v>254</v>
      </c>
      <c r="E956" s="0" t="n">
        <v>1</v>
      </c>
      <c r="F956" s="23" t="s">
        <v>117</v>
      </c>
      <c r="G956" s="0" t="n">
        <v>41.4</v>
      </c>
      <c r="H956" s="0" t="n">
        <v>41</v>
      </c>
      <c r="I956" s="23" t="s">
        <v>92</v>
      </c>
      <c r="J956" s="0" t="n">
        <v>65</v>
      </c>
      <c r="K956" s="0" t="n">
        <v>65</v>
      </c>
      <c r="L956" s="0" t="n">
        <v>189</v>
      </c>
      <c r="P956" s="0" t="n">
        <v>3.95</v>
      </c>
      <c r="Q956" s="0" t="n">
        <v>3.89</v>
      </c>
      <c r="R956" s="0" t="n">
        <v>3013</v>
      </c>
      <c r="S956" s="0" t="n">
        <v>7414</v>
      </c>
      <c r="T956" s="0" t="n">
        <v>32.2</v>
      </c>
      <c r="U956" s="0" t="n">
        <v>847</v>
      </c>
      <c r="V956" s="0" t="n">
        <v>1</v>
      </c>
      <c r="W956" s="0" t="str">
        <f aca="false">IF(OR(AND(B956&gt;=1,B956&lt;=6),B956=10),"Vaca em lactação",IF(I956="Male","Macho",IF(E956&gt;=1,"Vaca seca",IF(I956="Youngstock","Bezerra/recria","Novilha"))))</f>
        <v>Vaca em lactação</v>
      </c>
      <c r="X956" s="0" t="str">
        <f aca="false">IF(AND(B956&gt;=1,B956&lt;=6),"Tanque",IF(B956=10,"Descarte",""))</f>
        <v>Tanque</v>
      </c>
    </row>
    <row r="957" customFormat="false" ht="15" hidden="false" customHeight="false" outlineLevel="0" collapsed="false">
      <c r="A957" s="22" t="n">
        <v>46309</v>
      </c>
      <c r="B957" s="0" t="n">
        <v>4</v>
      </c>
      <c r="C957" s="0" t="n">
        <v>5672</v>
      </c>
      <c r="D957" s="0" t="n">
        <v>63</v>
      </c>
      <c r="E957" s="0" t="n">
        <v>1</v>
      </c>
      <c r="F957" s="23" t="s">
        <v>118</v>
      </c>
      <c r="G957" s="0" t="n">
        <v>44.2</v>
      </c>
      <c r="H957" s="0" t="n">
        <v>45</v>
      </c>
      <c r="I957" s="23" t="s">
        <v>94</v>
      </c>
      <c r="J957" s="0" t="n">
        <v>63</v>
      </c>
      <c r="P957" s="0" t="n">
        <v>3.85</v>
      </c>
      <c r="Q957" s="0" t="n">
        <v>2.93</v>
      </c>
      <c r="R957" s="0" t="n">
        <v>4375</v>
      </c>
      <c r="S957" s="0" t="n">
        <v>8794</v>
      </c>
      <c r="U957" s="0" t="n">
        <v>846</v>
      </c>
      <c r="V957" s="0" t="n">
        <v>0</v>
      </c>
      <c r="W957" s="0" t="str">
        <f aca="false">IF(OR(AND(B957&gt;=1,B957&lt;=6),B957=10),"Vaca em lactação",IF(I957="Male","Macho",IF(E957&gt;=1,"Vaca seca",IF(I957="Youngstock","Bezerra/recria","Novilha"))))</f>
        <v>Vaca em lactação</v>
      </c>
      <c r="X957" s="0" t="str">
        <f aca="false">IF(AND(B957&gt;=1,B957&lt;=6),"Tanque",IF(B957=10,"Descarte",""))</f>
        <v>Tanque</v>
      </c>
    </row>
    <row r="958" customFormat="false" ht="15" hidden="false" customHeight="false" outlineLevel="0" collapsed="false">
      <c r="A958" s="22" t="n">
        <v>46309</v>
      </c>
      <c r="B958" s="0" t="n">
        <v>4</v>
      </c>
      <c r="C958" s="0" t="n">
        <v>5668</v>
      </c>
      <c r="D958" s="0" t="n">
        <v>167</v>
      </c>
      <c r="E958" s="0" t="n">
        <v>1</v>
      </c>
      <c r="F958" s="23" t="s">
        <v>118</v>
      </c>
      <c r="G958" s="0" t="n">
        <v>47.6</v>
      </c>
      <c r="H958" s="0" t="n">
        <v>46</v>
      </c>
      <c r="I958" s="23" t="s">
        <v>92</v>
      </c>
      <c r="J958" s="0" t="n">
        <v>62</v>
      </c>
      <c r="K958" s="0" t="n">
        <v>62</v>
      </c>
      <c r="L958" s="0" t="n">
        <v>105</v>
      </c>
      <c r="P958" s="0" t="n">
        <v>3.83</v>
      </c>
      <c r="Q958" s="0" t="n">
        <v>3.31</v>
      </c>
      <c r="R958" s="0" t="n">
        <v>4445</v>
      </c>
      <c r="S958" s="0" t="n">
        <v>9135</v>
      </c>
      <c r="T958" s="0" t="n">
        <v>46.05</v>
      </c>
      <c r="U958" s="0" t="n">
        <v>846</v>
      </c>
      <c r="V958" s="0" t="n">
        <v>1</v>
      </c>
      <c r="W958" s="0" t="str">
        <f aca="false">IF(OR(AND(B958&gt;=1,B958&lt;=6),B958=10),"Vaca em lactação",IF(I958="Male","Macho",IF(E958&gt;=1,"Vaca seca",IF(I958="Youngstock","Bezerra/recria","Novilha"))))</f>
        <v>Vaca em lactação</v>
      </c>
      <c r="X958" s="0" t="str">
        <f aca="false">IF(AND(B958&gt;=1,B958&lt;=6),"Tanque",IF(B958=10,"Descarte",""))</f>
        <v>Tanque</v>
      </c>
    </row>
    <row r="959" customFormat="false" ht="15" hidden="false" customHeight="false" outlineLevel="0" collapsed="false">
      <c r="A959" s="22" t="n">
        <v>46309</v>
      </c>
      <c r="B959" s="0" t="n">
        <v>4</v>
      </c>
      <c r="C959" s="0" t="n">
        <v>5673</v>
      </c>
      <c r="D959" s="0" t="n">
        <v>164</v>
      </c>
      <c r="E959" s="0" t="n">
        <v>1</v>
      </c>
      <c r="F959" s="23" t="s">
        <v>670</v>
      </c>
      <c r="G959" s="0" t="n">
        <v>49.1</v>
      </c>
      <c r="H959" s="0" t="n">
        <v>48</v>
      </c>
      <c r="I959" s="23" t="s">
        <v>97</v>
      </c>
      <c r="J959" s="0" t="n">
        <v>164</v>
      </c>
      <c r="K959" s="0" t="n">
        <v>66</v>
      </c>
      <c r="P959" s="0" t="n">
        <v>3.5</v>
      </c>
      <c r="Q959" s="0" t="n">
        <v>3.19</v>
      </c>
      <c r="R959" s="0" t="n">
        <v>4339</v>
      </c>
      <c r="S959" s="0" t="n">
        <v>9266</v>
      </c>
      <c r="T959" s="0" t="n">
        <v>47.25</v>
      </c>
      <c r="U959" s="0" t="n">
        <v>845</v>
      </c>
      <c r="V959" s="0" t="n">
        <v>4</v>
      </c>
      <c r="W959" s="0" t="str">
        <f aca="false">IF(OR(AND(B959&gt;=1,B959&lt;=6),B959=10),"Vaca em lactação",IF(I959="Male","Macho",IF(E959&gt;=1,"Vaca seca",IF(I959="Youngstock","Bezerra/recria","Novilha"))))</f>
        <v>Vaca em lactação</v>
      </c>
      <c r="X959" s="0" t="str">
        <f aca="false">IF(AND(B959&gt;=1,B959&lt;=6),"Tanque",IF(B959=10,"Descarte",""))</f>
        <v>Tanque</v>
      </c>
    </row>
    <row r="960" customFormat="false" ht="15" hidden="false" customHeight="false" outlineLevel="0" collapsed="false">
      <c r="A960" s="22" t="n">
        <v>46309</v>
      </c>
      <c r="B960" s="0" t="n">
        <v>4</v>
      </c>
      <c r="C960" s="0" t="n">
        <v>5678</v>
      </c>
      <c r="D960" s="0" t="n">
        <v>210</v>
      </c>
      <c r="E960" s="0" t="n">
        <v>1</v>
      </c>
      <c r="F960" s="23" t="s">
        <v>670</v>
      </c>
      <c r="G960" s="0" t="n">
        <v>45.8</v>
      </c>
      <c r="H960" s="0" t="n">
        <v>47</v>
      </c>
      <c r="I960" s="23" t="s">
        <v>92</v>
      </c>
      <c r="J960" s="0" t="n">
        <v>154</v>
      </c>
      <c r="K960" s="0" t="n">
        <v>63</v>
      </c>
      <c r="L960" s="0" t="n">
        <v>56</v>
      </c>
      <c r="P960" s="0" t="n">
        <v>3.35</v>
      </c>
      <c r="Q960" s="0" t="n">
        <v>3.42</v>
      </c>
      <c r="R960" s="0" t="n">
        <v>4206</v>
      </c>
      <c r="S960" s="0" t="n">
        <v>9585</v>
      </c>
      <c r="T960" s="0" t="n">
        <v>50.15</v>
      </c>
      <c r="U960" s="0" t="n">
        <v>845</v>
      </c>
      <c r="V960" s="0" t="n">
        <v>3</v>
      </c>
      <c r="W960" s="0" t="str">
        <f aca="false">IF(OR(AND(B960&gt;=1,B960&lt;=6),B960=10),"Vaca em lactação",IF(I960="Male","Macho",IF(E960&gt;=1,"Vaca seca",IF(I960="Youngstock","Bezerra/recria","Novilha"))))</f>
        <v>Vaca em lactação</v>
      </c>
      <c r="X960" s="0" t="str">
        <f aca="false">IF(AND(B960&gt;=1,B960&lt;=6),"Tanque",IF(B960=10,"Descarte",""))</f>
        <v>Tanque</v>
      </c>
    </row>
    <row r="961" customFormat="false" ht="15" hidden="false" customHeight="false" outlineLevel="0" collapsed="false">
      <c r="A961" s="22" t="n">
        <v>46309</v>
      </c>
      <c r="B961" s="0" t="n">
        <v>4</v>
      </c>
      <c r="C961" s="0" t="n">
        <v>5677</v>
      </c>
      <c r="D961" s="0" t="n">
        <v>120</v>
      </c>
      <c r="E961" s="0" t="n">
        <v>1</v>
      </c>
      <c r="F961" s="23" t="s">
        <v>670</v>
      </c>
      <c r="G961" s="0" t="n">
        <v>49.7</v>
      </c>
      <c r="H961" s="0" t="n">
        <v>48</v>
      </c>
      <c r="I961" s="23" t="s">
        <v>92</v>
      </c>
      <c r="J961" s="0" t="n">
        <v>71</v>
      </c>
      <c r="K961" s="0" t="n">
        <v>64</v>
      </c>
      <c r="L961" s="0" t="n">
        <v>49</v>
      </c>
      <c r="P961" s="0" t="n">
        <v>3.59</v>
      </c>
      <c r="Q961" s="0" t="n">
        <v>2.81</v>
      </c>
      <c r="R961" s="0" t="n">
        <v>4626</v>
      </c>
      <c r="S961" s="0" t="n">
        <v>9530</v>
      </c>
      <c r="T961" s="0" t="n">
        <v>47.25</v>
      </c>
      <c r="U961" s="0" t="n">
        <v>845</v>
      </c>
      <c r="V961" s="0" t="n">
        <v>2</v>
      </c>
      <c r="W961" s="0" t="str">
        <f aca="false">IF(OR(AND(B961&gt;=1,B961&lt;=6),B961=10),"Vaca em lactação",IF(I961="Male","Macho",IF(E961&gt;=1,"Vaca seca",IF(I961="Youngstock","Bezerra/recria","Novilha"))))</f>
        <v>Vaca em lactação</v>
      </c>
      <c r="X961" s="0" t="str">
        <f aca="false">IF(AND(B961&gt;=1,B961&lt;=6),"Tanque",IF(B961=10,"Descarte",""))</f>
        <v>Tanque</v>
      </c>
    </row>
    <row r="962" customFormat="false" ht="15" hidden="false" customHeight="false" outlineLevel="0" collapsed="false">
      <c r="A962" s="22" t="n">
        <v>46309</v>
      </c>
      <c r="B962" s="0" t="n">
        <v>4</v>
      </c>
      <c r="C962" s="0" t="n">
        <v>5676</v>
      </c>
      <c r="D962" s="0" t="n">
        <v>207</v>
      </c>
      <c r="E962" s="0" t="n">
        <v>1</v>
      </c>
      <c r="F962" s="23" t="s">
        <v>670</v>
      </c>
      <c r="G962" s="0" t="n">
        <v>45.4</v>
      </c>
      <c r="H962" s="0" t="n">
        <v>44</v>
      </c>
      <c r="I962" s="23" t="s">
        <v>92</v>
      </c>
      <c r="J962" s="0" t="n">
        <v>88</v>
      </c>
      <c r="K962" s="0" t="n">
        <v>67</v>
      </c>
      <c r="L962" s="0" t="n">
        <v>119</v>
      </c>
      <c r="P962" s="0" t="n">
        <v>3.59</v>
      </c>
      <c r="Q962" s="0" t="n">
        <v>3.72</v>
      </c>
      <c r="R962" s="0" t="n">
        <v>3849</v>
      </c>
      <c r="S962" s="0" t="n">
        <v>8904</v>
      </c>
      <c r="T962" s="0" t="n">
        <v>44</v>
      </c>
      <c r="U962" s="0" t="n">
        <v>845</v>
      </c>
      <c r="V962" s="0" t="n">
        <v>2</v>
      </c>
      <c r="W962" s="0" t="str">
        <f aca="false">IF(OR(AND(B962&gt;=1,B962&lt;=6),B962=10),"Vaca em lactação",IF(I962="Male","Macho",IF(E962&gt;=1,"Vaca seca",IF(I962="Youngstock","Bezerra/recria","Novilha"))))</f>
        <v>Vaca em lactação</v>
      </c>
      <c r="X962" s="0" t="str">
        <f aca="false">IF(AND(B962&gt;=1,B962&lt;=6),"Tanque",IF(B962=10,"Descarte",""))</f>
        <v>Tanque</v>
      </c>
    </row>
    <row r="963" customFormat="false" ht="15" hidden="false" customHeight="false" outlineLevel="0" collapsed="false">
      <c r="A963" s="22" t="n">
        <v>46309</v>
      </c>
      <c r="B963" s="0" t="n">
        <v>4</v>
      </c>
      <c r="C963" s="0" t="n">
        <v>5674</v>
      </c>
      <c r="D963" s="0" t="n">
        <v>271</v>
      </c>
      <c r="E963" s="0" t="n">
        <v>1</v>
      </c>
      <c r="F963" s="23" t="s">
        <v>670</v>
      </c>
      <c r="G963" s="0" t="n">
        <v>30.8</v>
      </c>
      <c r="H963" s="0" t="n">
        <v>32</v>
      </c>
      <c r="I963" s="23" t="s">
        <v>92</v>
      </c>
      <c r="J963" s="0" t="n">
        <v>68</v>
      </c>
      <c r="K963" s="0" t="n">
        <v>75</v>
      </c>
      <c r="L963" s="0" t="n">
        <v>203</v>
      </c>
      <c r="P963" s="0" t="n">
        <v>3.98</v>
      </c>
      <c r="Q963" s="0" t="n">
        <v>3.84</v>
      </c>
      <c r="R963" s="0" t="n">
        <v>2149</v>
      </c>
      <c r="S963" s="0" t="n">
        <v>5177</v>
      </c>
      <c r="T963" s="0" t="n">
        <v>23.45</v>
      </c>
      <c r="U963" s="0" t="n">
        <v>845</v>
      </c>
      <c r="V963" s="0" t="n">
        <v>1</v>
      </c>
      <c r="W963" s="0" t="str">
        <f aca="false">IF(OR(AND(B963&gt;=1,B963&lt;=6),B963=10),"Vaca em lactação",IF(I963="Male","Macho",IF(E963&gt;=1,"Vaca seca",IF(I963="Youngstock","Bezerra/recria","Novilha"))))</f>
        <v>Vaca em lactação</v>
      </c>
      <c r="X963" s="0" t="str">
        <f aca="false">IF(AND(B963&gt;=1,B963&lt;=6),"Tanque",IF(B963=10,"Descarte",""))</f>
        <v>Tanque</v>
      </c>
    </row>
    <row r="964" customFormat="false" ht="15" hidden="false" customHeight="false" outlineLevel="0" collapsed="false">
      <c r="A964" s="22" t="n">
        <v>46309</v>
      </c>
      <c r="B964" s="0" t="n">
        <v>4</v>
      </c>
      <c r="C964" s="0" t="n">
        <v>5684</v>
      </c>
      <c r="D964" s="0" t="n">
        <v>188</v>
      </c>
      <c r="E964" s="0" t="n">
        <v>1</v>
      </c>
      <c r="F964" s="23" t="s">
        <v>671</v>
      </c>
      <c r="G964" s="0" t="n">
        <v>30.9</v>
      </c>
      <c r="H964" s="0" t="n">
        <v>29</v>
      </c>
      <c r="I964" s="23" t="s">
        <v>109</v>
      </c>
      <c r="J964" s="0" t="n">
        <v>188</v>
      </c>
      <c r="K964" s="0" t="n">
        <v>62</v>
      </c>
      <c r="P964" s="0" t="n">
        <v>4.81</v>
      </c>
      <c r="Q964" s="0" t="n">
        <v>3.33</v>
      </c>
      <c r="R964" s="0" t="n">
        <v>3586</v>
      </c>
      <c r="S964" s="0" t="n">
        <v>6486</v>
      </c>
      <c r="T964" s="0" t="n">
        <v>37.25</v>
      </c>
      <c r="U964" s="0" t="n">
        <v>842</v>
      </c>
      <c r="V964" s="0" t="n">
        <v>3</v>
      </c>
      <c r="W964" s="0" t="str">
        <f aca="false">IF(OR(AND(B964&gt;=1,B964&lt;=6),B964=10),"Vaca em lactação",IF(I964="Male","Macho",IF(E964&gt;=1,"Vaca seca",IF(I964="Youngstock","Bezerra/recria","Novilha"))))</f>
        <v>Vaca em lactação</v>
      </c>
      <c r="X964" s="0" t="str">
        <f aca="false">IF(AND(B964&gt;=1,B964&lt;=6),"Tanque",IF(B964=10,"Descarte",""))</f>
        <v>Tanque</v>
      </c>
    </row>
    <row r="965" customFormat="false" ht="15" hidden="false" customHeight="false" outlineLevel="0" collapsed="false">
      <c r="A965" s="22" t="n">
        <v>46309</v>
      </c>
      <c r="B965" s="0" t="n">
        <v>4</v>
      </c>
      <c r="C965" s="0" t="n">
        <v>5683</v>
      </c>
      <c r="D965" s="0" t="n">
        <v>172</v>
      </c>
      <c r="E965" s="0" t="n">
        <v>1</v>
      </c>
      <c r="F965" s="23" t="s">
        <v>671</v>
      </c>
      <c r="G965" s="0" t="n">
        <v>43.7</v>
      </c>
      <c r="H965" s="0" t="n">
        <v>39</v>
      </c>
      <c r="I965" s="23" t="s">
        <v>92</v>
      </c>
      <c r="J965" s="0" t="n">
        <v>123</v>
      </c>
      <c r="K965" s="0" t="n">
        <v>67</v>
      </c>
      <c r="L965" s="0" t="n">
        <v>49</v>
      </c>
      <c r="P965" s="0" t="n">
        <v>3.32</v>
      </c>
      <c r="Q965" s="0" t="n">
        <v>3.54</v>
      </c>
      <c r="R965" s="0" t="n">
        <v>4459</v>
      </c>
      <c r="S965" s="0" t="n">
        <v>9259</v>
      </c>
      <c r="T965" s="0" t="n">
        <v>48.85</v>
      </c>
      <c r="U965" s="0" t="n">
        <v>842</v>
      </c>
      <c r="V965" s="0" t="n">
        <v>3</v>
      </c>
      <c r="W965" s="0" t="str">
        <f aca="false">IF(OR(AND(B965&gt;=1,B965&lt;=6),B965=10),"Vaca em lactação",IF(I965="Male","Macho",IF(E965&gt;=1,"Vaca seca",IF(I965="Youngstock","Bezerra/recria","Novilha"))))</f>
        <v>Vaca em lactação</v>
      </c>
      <c r="X965" s="0" t="str">
        <f aca="false">IF(AND(B965&gt;=1,B965&lt;=6),"Tanque",IF(B965=10,"Descarte",""))</f>
        <v>Tanque</v>
      </c>
    </row>
    <row r="966" customFormat="false" ht="15" hidden="false" customHeight="false" outlineLevel="0" collapsed="false">
      <c r="A966" s="22" t="n">
        <v>46309</v>
      </c>
      <c r="B966" s="0" t="n">
        <v>4</v>
      </c>
      <c r="C966" s="0" t="n">
        <v>5682</v>
      </c>
      <c r="D966" s="0" t="n">
        <v>199</v>
      </c>
      <c r="E966" s="0" t="n">
        <v>1</v>
      </c>
      <c r="F966" s="23" t="s">
        <v>672</v>
      </c>
      <c r="G966" s="0" t="n">
        <v>51.5</v>
      </c>
      <c r="H966" s="0" t="n">
        <v>51</v>
      </c>
      <c r="I966" s="23" t="s">
        <v>92</v>
      </c>
      <c r="J966" s="0" t="n">
        <v>66</v>
      </c>
      <c r="K966" s="0" t="n">
        <v>66</v>
      </c>
      <c r="L966" s="0" t="n">
        <v>133</v>
      </c>
      <c r="P966" s="0" t="n">
        <v>3.31</v>
      </c>
      <c r="Q966" s="0" t="n">
        <v>3.42</v>
      </c>
      <c r="R966" s="0" t="n">
        <v>4068</v>
      </c>
      <c r="S966" s="0" t="n">
        <v>9228</v>
      </c>
      <c r="T966" s="0" t="n">
        <v>48.6</v>
      </c>
      <c r="U966" s="0" t="n">
        <v>843</v>
      </c>
      <c r="V966" s="0" t="n">
        <v>1</v>
      </c>
      <c r="W966" s="0" t="str">
        <f aca="false">IF(OR(AND(B966&gt;=1,B966&lt;=6),B966=10),"Vaca em lactação",IF(I966="Male","Macho",IF(E966&gt;=1,"Vaca seca",IF(I966="Youngstock","Bezerra/recria","Novilha"))))</f>
        <v>Vaca em lactação</v>
      </c>
      <c r="X966" s="0" t="str">
        <f aca="false">IF(AND(B966&gt;=1,B966&lt;=6),"Tanque",IF(B966=10,"Descarte",""))</f>
        <v>Tanque</v>
      </c>
    </row>
    <row r="967" customFormat="false" ht="15" hidden="false" customHeight="false" outlineLevel="0" collapsed="false">
      <c r="A967" s="22" t="n">
        <v>46309</v>
      </c>
      <c r="B967" s="0" t="n">
        <v>4</v>
      </c>
      <c r="C967" s="0" t="n">
        <v>5685</v>
      </c>
      <c r="D967" s="0" t="n">
        <v>192</v>
      </c>
      <c r="E967" s="0" t="n">
        <v>1</v>
      </c>
      <c r="F967" s="23" t="s">
        <v>671</v>
      </c>
      <c r="G967" s="0" t="n">
        <v>53.6</v>
      </c>
      <c r="H967" s="0" t="n">
        <v>55</v>
      </c>
      <c r="I967" s="23" t="s">
        <v>92</v>
      </c>
      <c r="J967" s="0" t="n">
        <v>66</v>
      </c>
      <c r="K967" s="0" t="n">
        <v>66</v>
      </c>
      <c r="L967" s="0" t="n">
        <v>126</v>
      </c>
      <c r="P967" s="0" t="n">
        <v>3.1</v>
      </c>
      <c r="Q967" s="0" t="n">
        <v>2.97</v>
      </c>
      <c r="R967" s="0" t="n">
        <v>4784</v>
      </c>
      <c r="S967" s="0" t="n">
        <v>10713</v>
      </c>
      <c r="T967" s="0" t="n">
        <v>51.55</v>
      </c>
      <c r="U967" s="0" t="n">
        <v>842</v>
      </c>
      <c r="V967" s="0" t="n">
        <v>1</v>
      </c>
      <c r="W967" s="0" t="str">
        <f aca="false">IF(OR(AND(B967&gt;=1,B967&lt;=6),B967=10),"Vaca em lactação",IF(I967="Male","Macho",IF(E967&gt;=1,"Vaca seca",IF(I967="Youngstock","Bezerra/recria","Novilha"))))</f>
        <v>Vaca em lactação</v>
      </c>
      <c r="X967" s="0" t="str">
        <f aca="false">IF(AND(B967&gt;=1,B967&lt;=6),"Tanque",IF(B967=10,"Descarte",""))</f>
        <v>Tanque</v>
      </c>
    </row>
    <row r="968" customFormat="false" ht="15" hidden="false" customHeight="false" outlineLevel="0" collapsed="false">
      <c r="A968" s="22" t="n">
        <v>46309</v>
      </c>
      <c r="B968" s="0" t="n">
        <v>4</v>
      </c>
      <c r="C968" s="0" t="n">
        <v>5686</v>
      </c>
      <c r="D968" s="0" t="n">
        <v>182</v>
      </c>
      <c r="E968" s="0" t="n">
        <v>1</v>
      </c>
      <c r="F968" s="23" t="s">
        <v>108</v>
      </c>
      <c r="G968" s="0" t="n">
        <v>59.7</v>
      </c>
      <c r="H968" s="0" t="n">
        <v>59</v>
      </c>
      <c r="I968" s="23" t="s">
        <v>97</v>
      </c>
      <c r="J968" s="0" t="n">
        <v>182</v>
      </c>
      <c r="K968" s="0" t="n">
        <v>63</v>
      </c>
      <c r="P968" s="0" t="n">
        <v>3.26</v>
      </c>
      <c r="Q968" s="0" t="n">
        <v>3.22</v>
      </c>
      <c r="R968" s="0" t="n">
        <v>5197</v>
      </c>
      <c r="S968" s="0" t="n">
        <v>11195</v>
      </c>
      <c r="T968" s="0" t="n">
        <v>60.5</v>
      </c>
      <c r="U968" s="0" t="n">
        <v>841</v>
      </c>
      <c r="V968" s="0" t="n">
        <v>6</v>
      </c>
      <c r="W968" s="0" t="str">
        <f aca="false">IF(OR(AND(B968&gt;=1,B968&lt;=6),B968=10),"Vaca em lactação",IF(I968="Male","Macho",IF(E968&gt;=1,"Vaca seca",IF(I968="Youngstock","Bezerra/recria","Novilha"))))</f>
        <v>Vaca em lactação</v>
      </c>
      <c r="X968" s="0" t="str">
        <f aca="false">IF(AND(B968&gt;=1,B968&lt;=6),"Tanque",IF(B968=10,"Descarte",""))</f>
        <v>Tanque</v>
      </c>
    </row>
    <row r="969" customFormat="false" ht="15" hidden="false" customHeight="false" outlineLevel="0" collapsed="false">
      <c r="A969" s="22" t="n">
        <v>46309</v>
      </c>
      <c r="B969" s="0" t="n">
        <v>4</v>
      </c>
      <c r="C969" s="0" t="n">
        <v>5810</v>
      </c>
      <c r="D969" s="0" t="n">
        <v>246</v>
      </c>
      <c r="E969" s="0" t="n">
        <v>1</v>
      </c>
      <c r="F969" s="23" t="s">
        <v>119</v>
      </c>
      <c r="G969" s="0" t="n">
        <v>46</v>
      </c>
      <c r="H969" s="0" t="n">
        <v>44</v>
      </c>
      <c r="I969" s="23" t="s">
        <v>92</v>
      </c>
      <c r="J969" s="0" t="n">
        <v>211</v>
      </c>
      <c r="K969" s="0" t="n">
        <v>64</v>
      </c>
      <c r="L969" s="0" t="n">
        <v>35</v>
      </c>
      <c r="P969" s="0" t="n">
        <v>4.68</v>
      </c>
      <c r="Q969" s="0" t="n">
        <v>3.27</v>
      </c>
      <c r="R969" s="0" t="n">
        <v>2706</v>
      </c>
      <c r="S969" s="0" t="n">
        <v>7165</v>
      </c>
      <c r="T969" s="0" t="n">
        <v>28.75</v>
      </c>
      <c r="U969" s="0" t="n">
        <v>790</v>
      </c>
      <c r="V969" s="0" t="n">
        <v>5</v>
      </c>
      <c r="W969" s="0" t="str">
        <f aca="false">IF(OR(AND(B969&gt;=1,B969&lt;=6),B969=10),"Vaca em lactação",IF(I969="Male","Macho",IF(E969&gt;=1,"Vaca seca",IF(I969="Youngstock","Bezerra/recria","Novilha"))))</f>
        <v>Vaca em lactação</v>
      </c>
      <c r="X969" s="0" t="str">
        <f aca="false">IF(AND(B969&gt;=1,B969&lt;=6),"Tanque",IF(B969=10,"Descarte",""))</f>
        <v>Tanque</v>
      </c>
    </row>
    <row r="970" customFormat="false" ht="15" hidden="false" customHeight="false" outlineLevel="0" collapsed="false">
      <c r="A970" s="22" t="n">
        <v>46309</v>
      </c>
      <c r="B970" s="0" t="n">
        <v>4</v>
      </c>
      <c r="C970" s="0" t="n">
        <v>5813</v>
      </c>
      <c r="D970" s="0" t="n">
        <v>131</v>
      </c>
      <c r="E970" s="0" t="n">
        <v>1</v>
      </c>
      <c r="F970" s="23" t="s">
        <v>119</v>
      </c>
      <c r="G970" s="0" t="n">
        <v>52.9</v>
      </c>
      <c r="H970" s="0" t="n">
        <v>54</v>
      </c>
      <c r="I970" s="23" t="s">
        <v>92</v>
      </c>
      <c r="J970" s="0" t="n">
        <v>68</v>
      </c>
      <c r="K970" s="0" t="n">
        <v>68</v>
      </c>
      <c r="L970" s="0" t="n">
        <v>63</v>
      </c>
      <c r="P970" s="0" t="n">
        <v>2.47</v>
      </c>
      <c r="Q970" s="0" t="n">
        <v>3.12</v>
      </c>
      <c r="R970" s="0" t="n">
        <v>4267</v>
      </c>
      <c r="S970" s="0" t="n">
        <v>9164</v>
      </c>
      <c r="T970" s="0" t="n">
        <v>43.85</v>
      </c>
      <c r="U970" s="0" t="n">
        <v>790</v>
      </c>
      <c r="V970" s="0" t="n">
        <v>1</v>
      </c>
      <c r="W970" s="0" t="str">
        <f aca="false">IF(OR(AND(B970&gt;=1,B970&lt;=6),B970=10),"Vaca em lactação",IF(I970="Male","Macho",IF(E970&gt;=1,"Vaca seca",IF(I970="Youngstock","Bezerra/recria","Novilha"))))</f>
        <v>Vaca em lactação</v>
      </c>
      <c r="X970" s="0" t="str">
        <f aca="false">IF(AND(B970&gt;=1,B970&lt;=6),"Tanque",IF(B970=10,"Descarte",""))</f>
        <v>Tanque</v>
      </c>
    </row>
    <row r="971" customFormat="false" ht="15" hidden="false" customHeight="false" outlineLevel="0" collapsed="false">
      <c r="A971" s="22" t="n">
        <v>46309</v>
      </c>
      <c r="B971" s="0" t="n">
        <v>4</v>
      </c>
      <c r="C971" s="0" t="n">
        <v>5822</v>
      </c>
      <c r="D971" s="0" t="n">
        <v>140</v>
      </c>
      <c r="E971" s="0" t="n">
        <v>1</v>
      </c>
      <c r="F971" s="23" t="s">
        <v>122</v>
      </c>
      <c r="G971" s="0" t="n">
        <v>47.7</v>
      </c>
      <c r="H971" s="0" t="n">
        <v>49</v>
      </c>
      <c r="I971" s="23" t="s">
        <v>97</v>
      </c>
      <c r="J971" s="0" t="n">
        <v>140</v>
      </c>
      <c r="K971" s="0" t="n">
        <v>63</v>
      </c>
      <c r="P971" s="0" t="n">
        <v>2.67</v>
      </c>
      <c r="Q971" s="0" t="n">
        <v>3.15</v>
      </c>
      <c r="R971" s="0" t="n">
        <v>4000</v>
      </c>
      <c r="S971" s="0" t="n">
        <v>8420</v>
      </c>
      <c r="T971" s="0" t="n">
        <v>43.1</v>
      </c>
      <c r="U971" s="0" t="n">
        <v>786</v>
      </c>
      <c r="V971" s="0" t="n">
        <v>3</v>
      </c>
      <c r="W971" s="0" t="str">
        <f aca="false">IF(OR(AND(B971&gt;=1,B971&lt;=6),B971=10),"Vaca em lactação",IF(I971="Male","Macho",IF(E971&gt;=1,"Vaca seca",IF(I971="Youngstock","Bezerra/recria","Novilha"))))</f>
        <v>Vaca em lactação</v>
      </c>
      <c r="X971" s="0" t="str">
        <f aca="false">IF(AND(B971&gt;=1,B971&lt;=6),"Tanque",IF(B971=10,"Descarte",""))</f>
        <v>Tanque</v>
      </c>
    </row>
    <row r="972" customFormat="false" ht="15" hidden="false" customHeight="false" outlineLevel="0" collapsed="false">
      <c r="A972" s="22" t="n">
        <v>46309</v>
      </c>
      <c r="B972" s="0" t="n">
        <v>4</v>
      </c>
      <c r="C972" s="0" t="n">
        <v>5794</v>
      </c>
      <c r="D972" s="0" t="n">
        <v>127</v>
      </c>
      <c r="E972" s="0" t="n">
        <v>1</v>
      </c>
      <c r="F972" s="23" t="s">
        <v>123</v>
      </c>
      <c r="G972" s="0" t="n">
        <v>50.3</v>
      </c>
      <c r="H972" s="0" t="n">
        <v>52</v>
      </c>
      <c r="I972" s="23" t="s">
        <v>109</v>
      </c>
      <c r="J972" s="0" t="n">
        <v>127</v>
      </c>
      <c r="K972" s="0" t="n">
        <v>64</v>
      </c>
      <c r="P972" s="0" t="n">
        <v>3.66</v>
      </c>
      <c r="Q972" s="0" t="n">
        <v>2.94</v>
      </c>
      <c r="R972" s="0" t="n">
        <v>4656</v>
      </c>
      <c r="S972" s="0" t="n">
        <v>9706</v>
      </c>
      <c r="T972" s="0" t="n">
        <v>50.3</v>
      </c>
      <c r="U972" s="0" t="n">
        <v>795</v>
      </c>
      <c r="V972" s="0" t="n">
        <v>2</v>
      </c>
      <c r="W972" s="0" t="str">
        <f aca="false">IF(OR(AND(B972&gt;=1,B972&lt;=6),B972=10),"Vaca em lactação",IF(I972="Male","Macho",IF(E972&gt;=1,"Vaca seca",IF(I972="Youngstock","Bezerra/recria","Novilha"))))</f>
        <v>Vaca em lactação</v>
      </c>
      <c r="X972" s="0" t="str">
        <f aca="false">IF(AND(B972&gt;=1,B972&lt;=6),"Tanque",IF(B972=10,"Descarte",""))</f>
        <v>Tanque</v>
      </c>
    </row>
    <row r="973" customFormat="false" ht="15" hidden="false" customHeight="false" outlineLevel="0" collapsed="false">
      <c r="A973" s="22" t="n">
        <v>46309</v>
      </c>
      <c r="B973" s="0" t="n">
        <v>4</v>
      </c>
      <c r="C973" s="0" t="n">
        <v>5793</v>
      </c>
      <c r="D973" s="0" t="n">
        <v>153</v>
      </c>
      <c r="E973" s="0" t="n">
        <v>1</v>
      </c>
      <c r="F973" s="23" t="s">
        <v>123</v>
      </c>
      <c r="G973" s="0" t="n">
        <v>58.1</v>
      </c>
      <c r="H973" s="0" t="n">
        <v>59</v>
      </c>
      <c r="I973" s="23" t="s">
        <v>109</v>
      </c>
      <c r="J973" s="0" t="n">
        <v>153</v>
      </c>
      <c r="K973" s="0" t="n">
        <v>62</v>
      </c>
      <c r="P973" s="0" t="n">
        <v>3.08</v>
      </c>
      <c r="Q973" s="0" t="n">
        <v>2.85</v>
      </c>
      <c r="R973" s="0" t="n">
        <v>5491</v>
      </c>
      <c r="S973" s="0" t="n">
        <v>11742</v>
      </c>
      <c r="T973" s="0" t="n">
        <v>53.65</v>
      </c>
      <c r="U973" s="0" t="n">
        <v>795</v>
      </c>
      <c r="V973" s="0" t="n">
        <v>4</v>
      </c>
      <c r="W973" s="0" t="str">
        <f aca="false">IF(OR(AND(B973&gt;=1,B973&lt;=6),B973=10),"Vaca em lactação",IF(I973="Male","Macho",IF(E973&gt;=1,"Vaca seca",IF(I973="Youngstock","Bezerra/recria","Novilha"))))</f>
        <v>Vaca em lactação</v>
      </c>
      <c r="X973" s="0" t="str">
        <f aca="false">IF(AND(B973&gt;=1,B973&lt;=6),"Tanque",IF(B973=10,"Descarte",""))</f>
        <v>Tanque</v>
      </c>
    </row>
    <row r="974" customFormat="false" ht="15" hidden="false" customHeight="false" outlineLevel="0" collapsed="false">
      <c r="A974" s="22" t="n">
        <v>46309</v>
      </c>
      <c r="B974" s="0" t="n">
        <v>4</v>
      </c>
      <c r="C974" s="0" t="n">
        <v>5803</v>
      </c>
      <c r="D974" s="0" t="n">
        <v>120</v>
      </c>
      <c r="E974" s="0" t="n">
        <v>1</v>
      </c>
      <c r="F974" s="23" t="s">
        <v>673</v>
      </c>
      <c r="G974" s="0" t="n">
        <v>58.1</v>
      </c>
      <c r="H974" s="0" t="n">
        <v>56</v>
      </c>
      <c r="I974" s="23" t="s">
        <v>97</v>
      </c>
      <c r="J974" s="0" t="n">
        <v>120</v>
      </c>
      <c r="K974" s="0" t="n">
        <v>64</v>
      </c>
      <c r="P974" s="0" t="n">
        <v>2.98</v>
      </c>
      <c r="Q974" s="0" t="n">
        <v>2.9</v>
      </c>
      <c r="R974" s="0" t="n">
        <v>4977</v>
      </c>
      <c r="S974" s="0" t="n">
        <v>10297</v>
      </c>
      <c r="T974" s="0" t="n">
        <v>54.05</v>
      </c>
      <c r="U974" s="0" t="n">
        <v>794</v>
      </c>
      <c r="V974" s="0" t="n">
        <v>3</v>
      </c>
      <c r="W974" s="0" t="str">
        <f aca="false">IF(OR(AND(B974&gt;=1,B974&lt;=6),B974=10),"Vaca em lactação",IF(I974="Male","Macho",IF(E974&gt;=1,"Vaca seca",IF(I974="Youngstock","Bezerra/recria","Novilha"))))</f>
        <v>Vaca em lactação</v>
      </c>
      <c r="X974" s="0" t="str">
        <f aca="false">IF(AND(B974&gt;=1,B974&lt;=6),"Tanque",IF(B974=10,"Descarte",""))</f>
        <v>Tanque</v>
      </c>
    </row>
    <row r="975" customFormat="false" ht="15" hidden="false" customHeight="false" outlineLevel="0" collapsed="false">
      <c r="A975" s="22" t="n">
        <v>46309</v>
      </c>
      <c r="B975" s="0" t="n">
        <v>4</v>
      </c>
      <c r="C975" s="0" t="n">
        <v>5789</v>
      </c>
      <c r="D975" s="0" t="n">
        <v>157</v>
      </c>
      <c r="E975" s="0" t="n">
        <v>1</v>
      </c>
      <c r="F975" s="23" t="s">
        <v>674</v>
      </c>
      <c r="G975" s="0" t="n">
        <v>43.2</v>
      </c>
      <c r="H975" s="0" t="n">
        <v>43</v>
      </c>
      <c r="I975" s="23" t="s">
        <v>92</v>
      </c>
      <c r="J975" s="0" t="n">
        <v>101</v>
      </c>
      <c r="K975" s="0" t="n">
        <v>73</v>
      </c>
      <c r="L975" s="0" t="n">
        <v>56</v>
      </c>
      <c r="P975" s="0" t="n">
        <v>3.45</v>
      </c>
      <c r="Q975" s="0" t="n">
        <v>3.21</v>
      </c>
      <c r="R975" s="0" t="n">
        <v>3474</v>
      </c>
      <c r="S975" s="0" t="n">
        <v>7563</v>
      </c>
      <c r="T975" s="0" t="n">
        <v>37.45</v>
      </c>
      <c r="U975" s="0" t="n">
        <v>797</v>
      </c>
      <c r="V975" s="0" t="n">
        <v>2</v>
      </c>
      <c r="W975" s="0" t="str">
        <f aca="false">IF(OR(AND(B975&gt;=1,B975&lt;=6),B975=10),"Vaca em lactação",IF(I975="Male","Macho",IF(E975&gt;=1,"Vaca seca",IF(I975="Youngstock","Bezerra/recria","Novilha"))))</f>
        <v>Vaca em lactação</v>
      </c>
      <c r="X975" s="0" t="str">
        <f aca="false">IF(AND(B975&gt;=1,B975&lt;=6),"Tanque",IF(B975=10,"Descarte",""))</f>
        <v>Tanque</v>
      </c>
    </row>
    <row r="976" customFormat="false" ht="15" hidden="false" customHeight="false" outlineLevel="0" collapsed="false">
      <c r="A976" s="22" t="n">
        <v>46309</v>
      </c>
      <c r="B976" s="0" t="n">
        <v>4</v>
      </c>
      <c r="C976" s="0" t="n">
        <v>5795</v>
      </c>
      <c r="D976" s="0" t="n">
        <v>133</v>
      </c>
      <c r="E976" s="0" t="n">
        <v>1</v>
      </c>
      <c r="F976" s="23" t="s">
        <v>123</v>
      </c>
      <c r="G976" s="0" t="n">
        <v>55.9</v>
      </c>
      <c r="H976" s="0" t="n">
        <v>54</v>
      </c>
      <c r="I976" s="23" t="s">
        <v>92</v>
      </c>
      <c r="J976" s="0" t="n">
        <v>63</v>
      </c>
      <c r="K976" s="0" t="n">
        <v>63</v>
      </c>
      <c r="L976" s="0" t="n">
        <v>70</v>
      </c>
      <c r="P976" s="0" t="n">
        <v>3.77</v>
      </c>
      <c r="Q976" s="0" t="n">
        <v>2.89</v>
      </c>
      <c r="R976" s="0" t="n">
        <v>4848</v>
      </c>
      <c r="S976" s="0" t="n">
        <v>10251</v>
      </c>
      <c r="T976" s="0" t="n">
        <v>49.85</v>
      </c>
      <c r="U976" s="0" t="n">
        <v>795</v>
      </c>
      <c r="V976" s="0" t="n">
        <v>1</v>
      </c>
      <c r="W976" s="0" t="str">
        <f aca="false">IF(OR(AND(B976&gt;=1,B976&lt;=6),B976=10),"Vaca em lactação",IF(I976="Male","Macho",IF(E976&gt;=1,"Vaca seca",IF(I976="Youngstock","Bezerra/recria","Novilha"))))</f>
        <v>Vaca em lactação</v>
      </c>
      <c r="X976" s="0" t="str">
        <f aca="false">IF(AND(B976&gt;=1,B976&lt;=6),"Tanque",IF(B976=10,"Descarte",""))</f>
        <v>Tanque</v>
      </c>
    </row>
    <row r="977" customFormat="false" ht="15" hidden="false" customHeight="false" outlineLevel="0" collapsed="false">
      <c r="A977" s="22" t="n">
        <v>46309</v>
      </c>
      <c r="B977" s="0" t="n">
        <v>4</v>
      </c>
      <c r="C977" s="0" t="n">
        <v>5798</v>
      </c>
      <c r="D977" s="0" t="n">
        <v>150</v>
      </c>
      <c r="E977" s="0" t="n">
        <v>1</v>
      </c>
      <c r="F977" s="23" t="s">
        <v>123</v>
      </c>
      <c r="G977" s="0" t="n">
        <v>57.9</v>
      </c>
      <c r="H977" s="0" t="n">
        <v>54</v>
      </c>
      <c r="I977" s="23" t="s">
        <v>97</v>
      </c>
      <c r="J977" s="0" t="n">
        <v>150</v>
      </c>
      <c r="K977" s="0" t="n">
        <v>66</v>
      </c>
      <c r="P977" s="0" t="n">
        <v>3.69</v>
      </c>
      <c r="Q977" s="0" t="n">
        <v>2.94</v>
      </c>
      <c r="R977" s="0" t="n">
        <v>4869</v>
      </c>
      <c r="S977" s="0" t="n">
        <v>10447</v>
      </c>
      <c r="T977" s="0" t="n">
        <v>51.4</v>
      </c>
      <c r="U977" s="0" t="n">
        <v>795</v>
      </c>
      <c r="V977" s="0" t="n">
        <v>3</v>
      </c>
      <c r="W977" s="0" t="str">
        <f aca="false">IF(OR(AND(B977&gt;=1,B977&lt;=6),B977=10),"Vaca em lactação",IF(I977="Male","Macho",IF(E977&gt;=1,"Vaca seca",IF(I977="Youngstock","Bezerra/recria","Novilha"))))</f>
        <v>Vaca em lactação</v>
      </c>
      <c r="X977" s="0" t="str">
        <f aca="false">IF(AND(B977&gt;=1,B977&lt;=6),"Tanque",IF(B977=10,"Descarte",""))</f>
        <v>Tanque</v>
      </c>
    </row>
    <row r="978" customFormat="false" ht="15" hidden="false" customHeight="false" outlineLevel="0" collapsed="false">
      <c r="A978" s="22" t="n">
        <v>46309</v>
      </c>
      <c r="B978" s="0" t="n">
        <v>4</v>
      </c>
      <c r="C978" s="0" t="n">
        <v>5796</v>
      </c>
      <c r="D978" s="0" t="n">
        <v>118</v>
      </c>
      <c r="E978" s="0" t="n">
        <v>1</v>
      </c>
      <c r="F978" s="23" t="s">
        <v>123</v>
      </c>
      <c r="G978" s="0" t="n">
        <v>49</v>
      </c>
      <c r="H978" s="0" t="n">
        <v>48</v>
      </c>
      <c r="I978" s="23" t="s">
        <v>97</v>
      </c>
      <c r="J978" s="0" t="n">
        <v>118</v>
      </c>
      <c r="K978" s="0" t="n">
        <v>69</v>
      </c>
      <c r="P978" s="0" t="n">
        <v>4.24</v>
      </c>
      <c r="Q978" s="0" t="n">
        <v>3.28</v>
      </c>
      <c r="R978" s="0" t="n">
        <v>4369</v>
      </c>
      <c r="S978" s="0" t="n">
        <v>9015</v>
      </c>
      <c r="T978" s="0" t="n">
        <v>49.5</v>
      </c>
      <c r="U978" s="0" t="n">
        <v>795</v>
      </c>
      <c r="V978" s="0" t="n">
        <v>2</v>
      </c>
      <c r="W978" s="0" t="str">
        <f aca="false">IF(OR(AND(B978&gt;=1,B978&lt;=6),B978=10),"Vaca em lactação",IF(I978="Male","Macho",IF(E978&gt;=1,"Vaca seca",IF(I978="Youngstock","Bezerra/recria","Novilha"))))</f>
        <v>Vaca em lactação</v>
      </c>
      <c r="X978" s="0" t="str">
        <f aca="false">IF(AND(B978&gt;=1,B978&lt;=6),"Tanque",IF(B978=10,"Descarte",""))</f>
        <v>Tanque</v>
      </c>
    </row>
    <row r="979" customFormat="false" ht="15" hidden="false" customHeight="false" outlineLevel="0" collapsed="false">
      <c r="A979" s="22" t="n">
        <v>46309</v>
      </c>
      <c r="B979" s="0" t="n">
        <v>4</v>
      </c>
      <c r="C979" s="0" t="n">
        <v>5800</v>
      </c>
      <c r="D979" s="0" t="n">
        <v>141</v>
      </c>
      <c r="E979" s="0" t="n">
        <v>1</v>
      </c>
      <c r="F979" s="23" t="s">
        <v>123</v>
      </c>
      <c r="G979" s="0" t="n">
        <v>53.2</v>
      </c>
      <c r="H979" s="0" t="n">
        <v>54</v>
      </c>
      <c r="I979" s="23" t="s">
        <v>109</v>
      </c>
      <c r="J979" s="0" t="n">
        <v>141</v>
      </c>
      <c r="K979" s="0" t="n">
        <v>64</v>
      </c>
      <c r="P979" s="0" t="n">
        <v>3.39</v>
      </c>
      <c r="Q979" s="0" t="n">
        <v>3.27</v>
      </c>
      <c r="R979" s="0" t="n">
        <v>5078</v>
      </c>
      <c r="S979" s="0" t="n">
        <v>10676</v>
      </c>
      <c r="T979" s="0" t="n">
        <v>54.3</v>
      </c>
      <c r="U979" s="0" t="n">
        <v>795</v>
      </c>
      <c r="V979" s="0" t="n">
        <v>2</v>
      </c>
      <c r="W979" s="0" t="str">
        <f aca="false">IF(OR(AND(B979&gt;=1,B979&lt;=6),B979=10),"Vaca em lactação",IF(I979="Male","Macho",IF(E979&gt;=1,"Vaca seca",IF(I979="Youngstock","Bezerra/recria","Novilha"))))</f>
        <v>Vaca em lactação</v>
      </c>
      <c r="X979" s="0" t="str">
        <f aca="false">IF(AND(B979&gt;=1,B979&lt;=6),"Tanque",IF(B979=10,"Descarte",""))</f>
        <v>Tanque</v>
      </c>
    </row>
    <row r="980" customFormat="false" ht="15" hidden="false" customHeight="false" outlineLevel="0" collapsed="false">
      <c r="A980" s="22" t="n">
        <v>46309</v>
      </c>
      <c r="B980" s="0" t="n">
        <v>4</v>
      </c>
      <c r="C980" s="0" t="n">
        <v>5806</v>
      </c>
      <c r="D980" s="0" t="n">
        <v>133</v>
      </c>
      <c r="E980" s="0" t="n">
        <v>1</v>
      </c>
      <c r="F980" s="23" t="s">
        <v>124</v>
      </c>
      <c r="G980" s="0" t="n">
        <v>24.9</v>
      </c>
      <c r="H980" s="0" t="n">
        <v>27</v>
      </c>
      <c r="I980" s="23" t="s">
        <v>97</v>
      </c>
      <c r="J980" s="0" t="n">
        <v>133</v>
      </c>
      <c r="K980" s="0" t="n">
        <v>63</v>
      </c>
      <c r="P980" s="0" t="n">
        <v>3.88</v>
      </c>
      <c r="Q980" s="0" t="n">
        <v>3.53</v>
      </c>
      <c r="R980" s="0" t="n">
        <v>1978</v>
      </c>
      <c r="S980" s="0" t="n">
        <v>4246</v>
      </c>
      <c r="T980" s="0" t="n">
        <v>22.6</v>
      </c>
      <c r="U980" s="0" t="n">
        <v>793</v>
      </c>
      <c r="V980" s="0" t="n">
        <v>4</v>
      </c>
      <c r="W980" s="0" t="str">
        <f aca="false">IF(OR(AND(B980&gt;=1,B980&lt;=6),B980=10),"Vaca em lactação",IF(I980="Male","Macho",IF(E980&gt;=1,"Vaca seca",IF(I980="Youngstock","Bezerra/recria","Novilha"))))</f>
        <v>Vaca em lactação</v>
      </c>
      <c r="X980" s="0" t="str">
        <f aca="false">IF(AND(B980&gt;=1,B980&lt;=6),"Tanque",IF(B980=10,"Descarte",""))</f>
        <v>Tanque</v>
      </c>
    </row>
    <row r="981" customFormat="false" ht="15" hidden="false" customHeight="false" outlineLevel="0" collapsed="false">
      <c r="A981" s="22" t="n">
        <v>46309</v>
      </c>
      <c r="B981" s="0" t="n">
        <v>4</v>
      </c>
      <c r="C981" s="0" t="n">
        <v>5804</v>
      </c>
      <c r="D981" s="0" t="n">
        <v>139</v>
      </c>
      <c r="E981" s="0" t="n">
        <v>1</v>
      </c>
      <c r="F981" s="23" t="s">
        <v>124</v>
      </c>
      <c r="G981" s="0" t="n">
        <v>44.5</v>
      </c>
      <c r="H981" s="0" t="n">
        <v>42</v>
      </c>
      <c r="I981" s="23" t="s">
        <v>92</v>
      </c>
      <c r="J981" s="0" t="n">
        <v>92</v>
      </c>
      <c r="K981" s="0" t="n">
        <v>69</v>
      </c>
      <c r="L981" s="0" t="n">
        <v>47</v>
      </c>
      <c r="P981" s="0" t="n">
        <v>4.43</v>
      </c>
      <c r="Q981" s="0" t="n">
        <v>3.2</v>
      </c>
      <c r="R981" s="0" t="n">
        <v>4143</v>
      </c>
      <c r="S981" s="0" t="n">
        <v>8782</v>
      </c>
      <c r="T981" s="0" t="n">
        <v>43.75</v>
      </c>
      <c r="U981" s="0" t="n">
        <v>793</v>
      </c>
      <c r="V981" s="0" t="n">
        <v>2</v>
      </c>
      <c r="W981" s="0" t="str">
        <f aca="false">IF(OR(AND(B981&gt;=1,B981&lt;=6),B981=10),"Vaca em lactação",IF(I981="Male","Macho",IF(E981&gt;=1,"Vaca seca",IF(I981="Youngstock","Bezerra/recria","Novilha"))))</f>
        <v>Vaca em lactação</v>
      </c>
      <c r="X981" s="0" t="str">
        <f aca="false">IF(AND(B981&gt;=1,B981&lt;=6),"Tanque",IF(B981=10,"Descarte",""))</f>
        <v>Tanque</v>
      </c>
    </row>
    <row r="982" customFormat="false" ht="15" hidden="false" customHeight="false" outlineLevel="0" collapsed="false">
      <c r="A982" s="22" t="n">
        <v>46309</v>
      </c>
      <c r="B982" s="0" t="n">
        <v>4</v>
      </c>
      <c r="C982" s="0" t="n">
        <v>5762</v>
      </c>
      <c r="D982" s="0" t="n">
        <v>119</v>
      </c>
      <c r="E982" s="0" t="n">
        <v>1</v>
      </c>
      <c r="F982" s="23" t="s">
        <v>675</v>
      </c>
      <c r="G982" s="0" t="n">
        <v>44.4</v>
      </c>
      <c r="H982" s="0" t="n">
        <v>44</v>
      </c>
      <c r="I982" s="23" t="s">
        <v>92</v>
      </c>
      <c r="J982" s="0" t="n">
        <v>84</v>
      </c>
      <c r="K982" s="0" t="n">
        <v>71</v>
      </c>
      <c r="L982" s="0" t="n">
        <v>35</v>
      </c>
      <c r="P982" s="0" t="n">
        <v>3.78</v>
      </c>
      <c r="Q982" s="0" t="n">
        <v>2.94</v>
      </c>
      <c r="R982" s="0" t="n">
        <v>4389</v>
      </c>
      <c r="S982" s="0" t="n">
        <v>8930</v>
      </c>
      <c r="T982" s="0" t="n">
        <v>47.2</v>
      </c>
      <c r="U982" s="0" t="n">
        <v>806</v>
      </c>
      <c r="V982" s="0" t="n">
        <v>2</v>
      </c>
      <c r="W982" s="0" t="str">
        <f aca="false">IF(OR(AND(B982&gt;=1,B982&lt;=6),B982=10),"Vaca em lactação",IF(I982="Male","Macho",IF(E982&gt;=1,"Vaca seca",IF(I982="Youngstock","Bezerra/recria","Novilha"))))</f>
        <v>Vaca em lactação</v>
      </c>
      <c r="X982" s="0" t="str">
        <f aca="false">IF(AND(B982&gt;=1,B982&lt;=6),"Tanque",IF(B982=10,"Descarte",""))</f>
        <v>Tanque</v>
      </c>
    </row>
    <row r="983" customFormat="false" ht="15" hidden="false" customHeight="false" outlineLevel="0" collapsed="false">
      <c r="A983" s="22" t="n">
        <v>46309</v>
      </c>
      <c r="B983" s="0" t="n">
        <v>4</v>
      </c>
      <c r="C983" s="0" t="n">
        <v>5764</v>
      </c>
      <c r="D983" s="0" t="n">
        <v>153</v>
      </c>
      <c r="E983" s="0" t="n">
        <v>1</v>
      </c>
      <c r="F983" s="23" t="s">
        <v>676</v>
      </c>
      <c r="G983" s="0" t="n">
        <v>41.6</v>
      </c>
      <c r="H983" s="0" t="n">
        <v>41</v>
      </c>
      <c r="I983" s="23" t="s">
        <v>92</v>
      </c>
      <c r="J983" s="0" t="n">
        <v>69</v>
      </c>
      <c r="K983" s="0" t="n">
        <v>69</v>
      </c>
      <c r="L983" s="0" t="n">
        <v>84</v>
      </c>
      <c r="P983" s="0" t="n">
        <v>3.52</v>
      </c>
      <c r="Q983" s="0" t="n">
        <v>2.99</v>
      </c>
      <c r="R983" s="0" t="n">
        <v>4299</v>
      </c>
      <c r="S983" s="0" t="n">
        <v>8323</v>
      </c>
      <c r="T983" s="0" t="n">
        <v>46.55</v>
      </c>
      <c r="U983" s="0" t="n">
        <v>805</v>
      </c>
      <c r="V983" s="0" t="n">
        <v>1</v>
      </c>
      <c r="W983" s="0" t="str">
        <f aca="false">IF(OR(AND(B983&gt;=1,B983&lt;=6),B983=10),"Vaca em lactação",IF(I983="Male","Macho",IF(E983&gt;=1,"Vaca seca",IF(I983="Youngstock","Bezerra/recria","Novilha"))))</f>
        <v>Vaca em lactação</v>
      </c>
      <c r="X983" s="0" t="str">
        <f aca="false">IF(AND(B983&gt;=1,B983&lt;=6),"Tanque",IF(B983=10,"Descarte",""))</f>
        <v>Tanque</v>
      </c>
    </row>
    <row r="984" customFormat="false" ht="15" hidden="false" customHeight="false" outlineLevel="0" collapsed="false">
      <c r="A984" s="22" t="n">
        <v>46309</v>
      </c>
      <c r="B984" s="0" t="n">
        <v>4</v>
      </c>
      <c r="C984" s="0" t="n">
        <v>5763</v>
      </c>
      <c r="D984" s="0" t="n">
        <v>161</v>
      </c>
      <c r="E984" s="0" t="n">
        <v>1</v>
      </c>
      <c r="F984" s="23" t="s">
        <v>676</v>
      </c>
      <c r="G984" s="0" t="n">
        <v>47.1</v>
      </c>
      <c r="H984" s="0" t="n">
        <v>47</v>
      </c>
      <c r="I984" s="23" t="s">
        <v>92</v>
      </c>
      <c r="J984" s="0" t="n">
        <v>63</v>
      </c>
      <c r="K984" s="0" t="n">
        <v>63</v>
      </c>
      <c r="L984" s="0" t="n">
        <v>98</v>
      </c>
      <c r="P984" s="0" t="n">
        <v>4.27</v>
      </c>
      <c r="Q984" s="0" t="n">
        <v>3.29</v>
      </c>
      <c r="R984" s="0" t="n">
        <v>4178</v>
      </c>
      <c r="S984" s="0" t="n">
        <v>8830</v>
      </c>
      <c r="T984" s="0" t="n">
        <v>38.9</v>
      </c>
      <c r="U984" s="0" t="n">
        <v>805</v>
      </c>
      <c r="V984" s="0" t="n">
        <v>1</v>
      </c>
      <c r="W984" s="0" t="str">
        <f aca="false">IF(OR(AND(B984&gt;=1,B984&lt;=6),B984=10),"Vaca em lactação",IF(I984="Male","Macho",IF(E984&gt;=1,"Vaca seca",IF(I984="Youngstock","Bezerra/recria","Novilha"))))</f>
        <v>Vaca em lactação</v>
      </c>
      <c r="X984" s="0" t="str">
        <f aca="false">IF(AND(B984&gt;=1,B984&lt;=6),"Tanque",IF(B984=10,"Descarte",""))</f>
        <v>Tanque</v>
      </c>
    </row>
    <row r="985" customFormat="false" ht="15" hidden="false" customHeight="false" outlineLevel="0" collapsed="false">
      <c r="A985" s="22" t="n">
        <v>46309</v>
      </c>
      <c r="B985" s="0" t="n">
        <v>4</v>
      </c>
      <c r="C985" s="0" t="n">
        <v>5767</v>
      </c>
      <c r="D985" s="0" t="n">
        <v>149</v>
      </c>
      <c r="E985" s="0" t="n">
        <v>1</v>
      </c>
      <c r="F985" s="23" t="s">
        <v>676</v>
      </c>
      <c r="G985" s="0" t="n">
        <v>41.9</v>
      </c>
      <c r="H985" s="0" t="n">
        <v>43</v>
      </c>
      <c r="I985" s="23" t="s">
        <v>97</v>
      </c>
      <c r="J985" s="0" t="n">
        <v>149</v>
      </c>
      <c r="K985" s="0" t="n">
        <v>65</v>
      </c>
      <c r="P985" s="0" t="n">
        <v>3.28</v>
      </c>
      <c r="Q985" s="0" t="n">
        <v>3.86</v>
      </c>
      <c r="R985" s="0" t="n">
        <v>4622</v>
      </c>
      <c r="S985" s="0" t="n">
        <v>9190</v>
      </c>
      <c r="T985" s="0" t="n">
        <v>51.4</v>
      </c>
      <c r="U985" s="0" t="n">
        <v>805</v>
      </c>
      <c r="V985" s="0" t="n">
        <v>3</v>
      </c>
      <c r="W985" s="0" t="str">
        <f aca="false">IF(OR(AND(B985&gt;=1,B985&lt;=6),B985=10),"Vaca em lactação",IF(I985="Male","Macho",IF(E985&gt;=1,"Vaca seca",IF(I985="Youngstock","Bezerra/recria","Novilha"))))</f>
        <v>Vaca em lactação</v>
      </c>
      <c r="X985" s="0" t="str">
        <f aca="false">IF(AND(B985&gt;=1,B985&lt;=6),"Tanque",IF(B985=10,"Descarte",""))</f>
        <v>Tanque</v>
      </c>
    </row>
    <row r="986" customFormat="false" ht="15" hidden="false" customHeight="false" outlineLevel="0" collapsed="false">
      <c r="A986" s="22" t="n">
        <v>46309</v>
      </c>
      <c r="B986" s="0" t="n">
        <v>4</v>
      </c>
      <c r="C986" s="0" t="n">
        <v>5765</v>
      </c>
      <c r="D986" s="0" t="n">
        <v>144</v>
      </c>
      <c r="E986" s="0" t="n">
        <v>1</v>
      </c>
      <c r="F986" s="23" t="s">
        <v>676</v>
      </c>
      <c r="G986" s="0" t="n">
        <v>31.5</v>
      </c>
      <c r="H986" s="0" t="n">
        <v>34</v>
      </c>
      <c r="I986" s="23" t="s">
        <v>109</v>
      </c>
      <c r="J986" s="0" t="n">
        <v>144</v>
      </c>
      <c r="K986" s="0" t="n">
        <v>67</v>
      </c>
      <c r="P986" s="0" t="n">
        <v>4.97</v>
      </c>
      <c r="Q986" s="0" t="n">
        <v>3.67</v>
      </c>
      <c r="R986" s="0" t="n">
        <v>3637</v>
      </c>
      <c r="S986" s="0" t="n">
        <v>7728</v>
      </c>
      <c r="T986" s="0" t="n">
        <v>41.6</v>
      </c>
      <c r="U986" s="0" t="n">
        <v>805</v>
      </c>
      <c r="V986" s="0" t="n">
        <v>2</v>
      </c>
      <c r="W986" s="0" t="str">
        <f aca="false">IF(OR(AND(B986&gt;=1,B986&lt;=6),B986=10),"Vaca em lactação",IF(I986="Male","Macho",IF(E986&gt;=1,"Vaca seca",IF(I986="Youngstock","Bezerra/recria","Novilha"))))</f>
        <v>Vaca em lactação</v>
      </c>
      <c r="X986" s="0" t="str">
        <f aca="false">IF(AND(B986&gt;=1,B986&lt;=6),"Tanque",IF(B986=10,"Descarte",""))</f>
        <v>Tanque</v>
      </c>
    </row>
    <row r="987" customFormat="false" ht="15" hidden="false" customHeight="false" outlineLevel="0" collapsed="false">
      <c r="A987" s="22" t="n">
        <v>46309</v>
      </c>
      <c r="B987" s="0" t="n">
        <v>4</v>
      </c>
      <c r="C987" s="0" t="n">
        <v>5769</v>
      </c>
      <c r="D987" s="0" t="n">
        <v>166</v>
      </c>
      <c r="E987" s="0" t="n">
        <v>1</v>
      </c>
      <c r="F987" s="23" t="s">
        <v>126</v>
      </c>
      <c r="G987" s="0" t="n">
        <v>44.1</v>
      </c>
      <c r="H987" s="0" t="n">
        <v>43</v>
      </c>
      <c r="I987" s="23" t="s">
        <v>92</v>
      </c>
      <c r="J987" s="0" t="n">
        <v>103</v>
      </c>
      <c r="K987" s="0" t="n">
        <v>68</v>
      </c>
      <c r="L987" s="0" t="n">
        <v>63</v>
      </c>
      <c r="P987" s="0" t="n">
        <v>4.31</v>
      </c>
      <c r="Q987" s="0" t="n">
        <v>3.58</v>
      </c>
      <c r="R987" s="0" t="n">
        <v>2914</v>
      </c>
      <c r="S987" s="0" t="n">
        <v>6810</v>
      </c>
      <c r="T987" s="0" t="n">
        <v>32.6</v>
      </c>
      <c r="U987" s="0" t="n">
        <v>803</v>
      </c>
      <c r="V987" s="0" t="n">
        <v>2</v>
      </c>
      <c r="W987" s="0" t="str">
        <f aca="false">IF(OR(AND(B987&gt;=1,B987&lt;=6),B987=10),"Vaca em lactação",IF(I987="Male","Macho",IF(E987&gt;=1,"Vaca seca",IF(I987="Youngstock","Bezerra/recria","Novilha"))))</f>
        <v>Vaca em lactação</v>
      </c>
      <c r="X987" s="0" t="str">
        <f aca="false">IF(AND(B987&gt;=1,B987&lt;=6),"Tanque",IF(B987=10,"Descarte",""))</f>
        <v>Tanque</v>
      </c>
    </row>
    <row r="988" customFormat="false" ht="15" hidden="false" customHeight="false" outlineLevel="0" collapsed="false">
      <c r="A988" s="22" t="n">
        <v>46309</v>
      </c>
      <c r="B988" s="0" t="n">
        <v>4</v>
      </c>
      <c r="C988" s="0" t="n">
        <v>5768</v>
      </c>
      <c r="D988" s="0" t="n">
        <v>142</v>
      </c>
      <c r="E988" s="0" t="n">
        <v>1</v>
      </c>
      <c r="F988" s="23" t="s">
        <v>126</v>
      </c>
      <c r="G988" s="0" t="n">
        <v>52.9</v>
      </c>
      <c r="H988" s="0" t="n">
        <v>47</v>
      </c>
      <c r="I988" s="23" t="s">
        <v>92</v>
      </c>
      <c r="J988" s="0" t="n">
        <v>107</v>
      </c>
      <c r="K988" s="0" t="n">
        <v>65</v>
      </c>
      <c r="L988" s="0" t="n">
        <v>35</v>
      </c>
      <c r="P988" s="0" t="n">
        <v>4.24</v>
      </c>
      <c r="Q988" s="0" t="n">
        <v>3.05</v>
      </c>
      <c r="R988" s="0" t="n">
        <v>4115</v>
      </c>
      <c r="S988" s="0" t="n">
        <v>8986</v>
      </c>
      <c r="T988" s="0" t="n">
        <v>46.95</v>
      </c>
      <c r="U988" s="0" t="n">
        <v>803</v>
      </c>
      <c r="V988" s="0" t="n">
        <v>2</v>
      </c>
      <c r="W988" s="0" t="str">
        <f aca="false">IF(OR(AND(B988&gt;=1,B988&lt;=6),B988=10),"Vaca em lactação",IF(I988="Male","Macho",IF(E988&gt;=1,"Vaca seca",IF(I988="Youngstock","Bezerra/recria","Novilha"))))</f>
        <v>Vaca em lactação</v>
      </c>
      <c r="X988" s="0" t="str">
        <f aca="false">IF(AND(B988&gt;=1,B988&lt;=6),"Tanque",IF(B988=10,"Descarte",""))</f>
        <v>Tanque</v>
      </c>
    </row>
    <row r="989" customFormat="false" ht="15" hidden="false" customHeight="false" outlineLevel="0" collapsed="false">
      <c r="A989" s="22" t="n">
        <v>46309</v>
      </c>
      <c r="B989" s="0" t="n">
        <v>4</v>
      </c>
      <c r="C989" s="0" t="n">
        <v>5779</v>
      </c>
      <c r="D989" s="0" t="n">
        <v>139</v>
      </c>
      <c r="E989" s="0" t="n">
        <v>1</v>
      </c>
      <c r="F989" s="23" t="s">
        <v>127</v>
      </c>
      <c r="G989" s="0" t="n">
        <v>53.7</v>
      </c>
      <c r="H989" s="0" t="n">
        <v>54</v>
      </c>
      <c r="I989" s="23" t="s">
        <v>97</v>
      </c>
      <c r="J989" s="0" t="n">
        <v>139</v>
      </c>
      <c r="K989" s="0" t="n">
        <v>69</v>
      </c>
      <c r="P989" s="0" t="n">
        <v>4.14</v>
      </c>
      <c r="Q989" s="0" t="n">
        <v>3.07</v>
      </c>
      <c r="R989" s="0" t="n">
        <v>4673</v>
      </c>
      <c r="S989" s="0" t="n">
        <v>9991</v>
      </c>
      <c r="T989" s="0" t="n">
        <v>50.3</v>
      </c>
      <c r="U989" s="0" t="n">
        <v>801</v>
      </c>
      <c r="V989" s="0" t="n">
        <v>3</v>
      </c>
      <c r="W989" s="0" t="str">
        <f aca="false">IF(OR(AND(B989&gt;=1,B989&lt;=6),B989=10),"Vaca em lactação",IF(I989="Male","Macho",IF(E989&gt;=1,"Vaca seca",IF(I989="Youngstock","Bezerra/recria","Novilha"))))</f>
        <v>Vaca em lactação</v>
      </c>
      <c r="X989" s="0" t="str">
        <f aca="false">IF(AND(B989&gt;=1,B989&lt;=6),"Tanque",IF(B989=10,"Descarte",""))</f>
        <v>Tanque</v>
      </c>
    </row>
    <row r="990" customFormat="false" ht="15" hidden="false" customHeight="false" outlineLevel="0" collapsed="false">
      <c r="A990" s="22" t="n">
        <v>46309</v>
      </c>
      <c r="B990" s="0" t="n">
        <v>4</v>
      </c>
      <c r="C990" s="0" t="n">
        <v>5778</v>
      </c>
      <c r="D990" s="0" t="n">
        <v>121</v>
      </c>
      <c r="E990" s="0" t="n">
        <v>1</v>
      </c>
      <c r="F990" s="23" t="s">
        <v>127</v>
      </c>
      <c r="G990" s="0" t="n">
        <v>60.6</v>
      </c>
      <c r="H990" s="0" t="n">
        <v>59</v>
      </c>
      <c r="I990" s="23" t="s">
        <v>92</v>
      </c>
      <c r="J990" s="0" t="n">
        <v>65</v>
      </c>
      <c r="K990" s="0" t="n">
        <v>65</v>
      </c>
      <c r="L990" s="0" t="n">
        <v>56</v>
      </c>
      <c r="P990" s="0" t="n">
        <v>2.87</v>
      </c>
      <c r="Q990" s="0" t="n">
        <v>3.04</v>
      </c>
      <c r="R990" s="0" t="n">
        <v>5303</v>
      </c>
      <c r="S990" s="0" t="n">
        <v>10857</v>
      </c>
      <c r="T990" s="0" t="n">
        <v>51.2</v>
      </c>
      <c r="U990" s="0" t="n">
        <v>801</v>
      </c>
      <c r="V990" s="0" t="n">
        <v>1</v>
      </c>
      <c r="W990" s="0" t="str">
        <f aca="false">IF(OR(AND(B990&gt;=1,B990&lt;=6),B990=10),"Vaca em lactação",IF(I990="Male","Macho",IF(E990&gt;=1,"Vaca seca",IF(I990="Youngstock","Bezerra/recria","Novilha"))))</f>
        <v>Vaca em lactação</v>
      </c>
      <c r="X990" s="0" t="str">
        <f aca="false">IF(AND(B990&gt;=1,B990&lt;=6),"Tanque",IF(B990=10,"Descarte",""))</f>
        <v>Tanque</v>
      </c>
    </row>
    <row r="991" customFormat="false" ht="15" hidden="false" customHeight="false" outlineLevel="0" collapsed="false">
      <c r="A991" s="22" t="n">
        <v>46309</v>
      </c>
      <c r="B991" s="0" t="n">
        <v>4</v>
      </c>
      <c r="C991" s="0" t="n">
        <v>5776</v>
      </c>
      <c r="D991" s="0" t="n">
        <v>149</v>
      </c>
      <c r="E991" s="0" t="n">
        <v>1</v>
      </c>
      <c r="F991" s="23" t="s">
        <v>127</v>
      </c>
      <c r="G991" s="0" t="n">
        <v>51.5</v>
      </c>
      <c r="H991" s="0" t="n">
        <v>52</v>
      </c>
      <c r="I991" s="23" t="s">
        <v>92</v>
      </c>
      <c r="J991" s="0" t="n">
        <v>86</v>
      </c>
      <c r="K991" s="0" t="n">
        <v>65</v>
      </c>
      <c r="L991" s="0" t="n">
        <v>63</v>
      </c>
      <c r="P991" s="0" t="n">
        <v>3.74</v>
      </c>
      <c r="Q991" s="0" t="n">
        <v>3.24</v>
      </c>
      <c r="R991" s="0" t="n">
        <v>4681</v>
      </c>
      <c r="S991" s="0" t="n">
        <v>9803</v>
      </c>
      <c r="T991" s="0" t="n">
        <v>49.8</v>
      </c>
      <c r="U991" s="0" t="n">
        <v>801</v>
      </c>
      <c r="V991" s="0" t="n">
        <v>2</v>
      </c>
      <c r="W991" s="0" t="str">
        <f aca="false">IF(OR(AND(B991&gt;=1,B991&lt;=6),B991=10),"Vaca em lactação",IF(I991="Male","Macho",IF(E991&gt;=1,"Vaca seca",IF(I991="Youngstock","Bezerra/recria","Novilha"))))</f>
        <v>Vaca em lactação</v>
      </c>
      <c r="X991" s="0" t="str">
        <f aca="false">IF(AND(B991&gt;=1,B991&lt;=6),"Tanque",IF(B991=10,"Descarte",""))</f>
        <v>Tanque</v>
      </c>
    </row>
    <row r="992" customFormat="false" ht="15" hidden="false" customHeight="false" outlineLevel="0" collapsed="false">
      <c r="A992" s="22" t="n">
        <v>46309</v>
      </c>
      <c r="B992" s="0" t="n">
        <v>4</v>
      </c>
      <c r="C992" s="0" t="n">
        <v>5775</v>
      </c>
      <c r="D992" s="0" t="n">
        <v>161</v>
      </c>
      <c r="E992" s="0" t="n">
        <v>1</v>
      </c>
      <c r="F992" s="23" t="s">
        <v>127</v>
      </c>
      <c r="G992" s="0" t="n">
        <v>50.6</v>
      </c>
      <c r="H992" s="0" t="n">
        <v>49</v>
      </c>
      <c r="I992" s="23" t="s">
        <v>92</v>
      </c>
      <c r="J992" s="0" t="n">
        <v>63</v>
      </c>
      <c r="K992" s="0" t="n">
        <v>63</v>
      </c>
      <c r="L992" s="0" t="n">
        <v>98</v>
      </c>
      <c r="P992" s="0" t="n">
        <v>4.4</v>
      </c>
      <c r="Q992" s="0" t="n">
        <v>3.35</v>
      </c>
      <c r="R992" s="0" t="n">
        <v>4165</v>
      </c>
      <c r="S992" s="0" t="n">
        <v>9111</v>
      </c>
      <c r="T992" s="0" t="n">
        <v>45.25</v>
      </c>
      <c r="U992" s="0" t="n">
        <v>801</v>
      </c>
      <c r="V992" s="0" t="n">
        <v>1</v>
      </c>
      <c r="W992" s="0" t="str">
        <f aca="false">IF(OR(AND(B992&gt;=1,B992&lt;=6),B992=10),"Vaca em lactação",IF(I992="Male","Macho",IF(E992&gt;=1,"Vaca seca",IF(I992="Youngstock","Bezerra/recria","Novilha"))))</f>
        <v>Vaca em lactação</v>
      </c>
      <c r="X992" s="0" t="str">
        <f aca="false">IF(AND(B992&gt;=1,B992&lt;=6),"Tanque",IF(B992=10,"Descarte",""))</f>
        <v>Tanque</v>
      </c>
    </row>
    <row r="993" customFormat="false" ht="15" hidden="false" customHeight="false" outlineLevel="0" collapsed="false">
      <c r="A993" s="22" t="n">
        <v>46309</v>
      </c>
      <c r="B993" s="0" t="n">
        <v>4</v>
      </c>
      <c r="C993" s="0" t="n">
        <v>5780</v>
      </c>
      <c r="D993" s="0" t="n">
        <v>154</v>
      </c>
      <c r="E993" s="0" t="n">
        <v>1</v>
      </c>
      <c r="F993" s="23" t="s">
        <v>127</v>
      </c>
      <c r="G993" s="0" t="n">
        <v>43.7</v>
      </c>
      <c r="H993" s="0" t="n">
        <v>41</v>
      </c>
      <c r="I993" s="23" t="s">
        <v>92</v>
      </c>
      <c r="J993" s="0" t="n">
        <v>119</v>
      </c>
      <c r="K993" s="0" t="n">
        <v>63</v>
      </c>
      <c r="L993" s="0" t="n">
        <v>35</v>
      </c>
      <c r="P993" s="0" t="n">
        <v>3.6</v>
      </c>
      <c r="Q993" s="0" t="n">
        <v>3.48</v>
      </c>
      <c r="R993" s="0" t="n">
        <v>3615</v>
      </c>
      <c r="S993" s="0" t="n">
        <v>7981</v>
      </c>
      <c r="T993" s="0" t="n">
        <v>37.7</v>
      </c>
      <c r="U993" s="0" t="n">
        <v>801</v>
      </c>
      <c r="V993" s="0" t="n">
        <v>3</v>
      </c>
      <c r="W993" s="0" t="str">
        <f aca="false">IF(OR(AND(B993&gt;=1,B993&lt;=6),B993=10),"Vaca em lactação",IF(I993="Male","Macho",IF(E993&gt;=1,"Vaca seca",IF(I993="Youngstock","Bezerra/recria","Novilha"))))</f>
        <v>Vaca em lactação</v>
      </c>
      <c r="X993" s="0" t="str">
        <f aca="false">IF(AND(B993&gt;=1,B993&lt;=6),"Tanque",IF(B993=10,"Descarte",""))</f>
        <v>Tanque</v>
      </c>
    </row>
    <row r="994" customFormat="false" ht="15" hidden="false" customHeight="false" outlineLevel="0" collapsed="false">
      <c r="A994" s="22" t="n">
        <v>46309</v>
      </c>
      <c r="B994" s="0" t="n">
        <v>4</v>
      </c>
      <c r="C994" s="0" t="n">
        <v>5784</v>
      </c>
      <c r="D994" s="0" t="n">
        <v>154</v>
      </c>
      <c r="E994" s="0" t="n">
        <v>1</v>
      </c>
      <c r="F994" s="23" t="s">
        <v>128</v>
      </c>
      <c r="G994" s="0" t="n">
        <v>47</v>
      </c>
      <c r="H994" s="0" t="n">
        <v>47</v>
      </c>
      <c r="I994" s="23" t="s">
        <v>92</v>
      </c>
      <c r="J994" s="0" t="n">
        <v>63</v>
      </c>
      <c r="K994" s="0" t="n">
        <v>63</v>
      </c>
      <c r="L994" s="0" t="n">
        <v>91</v>
      </c>
      <c r="P994" s="0" t="n">
        <v>3.47</v>
      </c>
      <c r="Q994" s="0" t="n">
        <v>3.61</v>
      </c>
      <c r="R994" s="0" t="n">
        <v>4813</v>
      </c>
      <c r="S994" s="0" t="n">
        <v>9589</v>
      </c>
      <c r="T994" s="0" t="n">
        <v>48.15</v>
      </c>
      <c r="U994" s="0" t="n">
        <v>798</v>
      </c>
      <c r="V994" s="0" t="n">
        <v>1</v>
      </c>
      <c r="W994" s="0" t="str">
        <f aca="false">IF(OR(AND(B994&gt;=1,B994&lt;=6),B994=10),"Vaca em lactação",IF(I994="Male","Macho",IF(E994&gt;=1,"Vaca seca",IF(I994="Youngstock","Bezerra/recria","Novilha"))))</f>
        <v>Vaca em lactação</v>
      </c>
      <c r="X994" s="0" t="str">
        <f aca="false">IF(AND(B994&gt;=1,B994&lt;=6),"Tanque",IF(B994=10,"Descarte",""))</f>
        <v>Tanque</v>
      </c>
    </row>
    <row r="995" customFormat="false" ht="15" hidden="false" customHeight="false" outlineLevel="0" collapsed="false">
      <c r="A995" s="22" t="n">
        <v>46309</v>
      </c>
      <c r="B995" s="0" t="n">
        <v>4</v>
      </c>
      <c r="C995" s="0" t="n">
        <v>5783</v>
      </c>
      <c r="D995" s="0" t="n">
        <v>125</v>
      </c>
      <c r="E995" s="0" t="n">
        <v>1</v>
      </c>
      <c r="F995" s="23" t="s">
        <v>128</v>
      </c>
      <c r="G995" s="0" t="n">
        <v>50</v>
      </c>
      <c r="H995" s="0" t="n">
        <v>51</v>
      </c>
      <c r="I995" s="23" t="s">
        <v>97</v>
      </c>
      <c r="J995" s="0" t="n">
        <v>125</v>
      </c>
      <c r="K995" s="0" t="n">
        <v>62</v>
      </c>
      <c r="P995" s="0" t="n">
        <v>3.78</v>
      </c>
      <c r="Q995" s="0" t="n">
        <v>3.15</v>
      </c>
      <c r="R995" s="0" t="n">
        <v>4341</v>
      </c>
      <c r="S995" s="0" t="n">
        <v>9165</v>
      </c>
      <c r="T995" s="0" t="n">
        <v>43.4</v>
      </c>
      <c r="U995" s="0" t="n">
        <v>798</v>
      </c>
      <c r="V995" s="0" t="n">
        <v>2</v>
      </c>
      <c r="W995" s="0" t="str">
        <f aca="false">IF(OR(AND(B995&gt;=1,B995&lt;=6),B995=10),"Vaca em lactação",IF(I995="Male","Macho",IF(E995&gt;=1,"Vaca seca",IF(I995="Youngstock","Bezerra/recria","Novilha"))))</f>
        <v>Vaca em lactação</v>
      </c>
      <c r="X995" s="0" t="str">
        <f aca="false">IF(AND(B995&gt;=1,B995&lt;=6),"Tanque",IF(B995=10,"Descarte",""))</f>
        <v>Tanque</v>
      </c>
    </row>
    <row r="996" customFormat="false" ht="15" hidden="false" customHeight="false" outlineLevel="0" collapsed="false">
      <c r="A996" s="22" t="n">
        <v>46309</v>
      </c>
      <c r="B996" s="0" t="n">
        <v>4</v>
      </c>
      <c r="C996" s="0" t="n">
        <v>5782</v>
      </c>
      <c r="D996" s="0" t="n">
        <v>153</v>
      </c>
      <c r="E996" s="0" t="n">
        <v>1</v>
      </c>
      <c r="F996" s="23" t="s">
        <v>677</v>
      </c>
      <c r="G996" s="0" t="n">
        <v>51.9</v>
      </c>
      <c r="H996" s="0" t="n">
        <v>51</v>
      </c>
      <c r="I996" s="23" t="s">
        <v>92</v>
      </c>
      <c r="J996" s="0" t="n">
        <v>76</v>
      </c>
      <c r="K996" s="0" t="n">
        <v>76</v>
      </c>
      <c r="L996" s="0" t="n">
        <v>77</v>
      </c>
      <c r="P996" s="0" t="n">
        <v>3.63</v>
      </c>
      <c r="Q996" s="0" t="n">
        <v>3.27</v>
      </c>
      <c r="R996" s="0" t="n">
        <v>4398</v>
      </c>
      <c r="S996" s="0" t="n">
        <v>9408</v>
      </c>
      <c r="T996" s="0" t="n">
        <v>52</v>
      </c>
      <c r="U996" s="0" t="n">
        <v>800</v>
      </c>
      <c r="V996" s="0" t="n">
        <v>1</v>
      </c>
      <c r="W996" s="0" t="str">
        <f aca="false">IF(OR(AND(B996&gt;=1,B996&lt;=6),B996=10),"Vaca em lactação",IF(I996="Male","Macho",IF(E996&gt;=1,"Vaca seca",IF(I996="Youngstock","Bezerra/recria","Novilha"))))</f>
        <v>Vaca em lactação</v>
      </c>
      <c r="X996" s="0" t="str">
        <f aca="false">IF(AND(B996&gt;=1,B996&lt;=6),"Tanque",IF(B996=10,"Descarte",""))</f>
        <v>Tanque</v>
      </c>
    </row>
    <row r="997" customFormat="false" ht="15" hidden="false" customHeight="false" outlineLevel="0" collapsed="false">
      <c r="A997" s="22" t="n">
        <v>46309</v>
      </c>
      <c r="B997" s="0" t="n">
        <v>4</v>
      </c>
      <c r="C997" s="0" t="n">
        <v>5781</v>
      </c>
      <c r="D997" s="0" t="n">
        <v>134</v>
      </c>
      <c r="E997" s="0" t="n">
        <v>1</v>
      </c>
      <c r="F997" s="23" t="s">
        <v>677</v>
      </c>
      <c r="G997" s="0" t="n">
        <v>48.8</v>
      </c>
      <c r="H997" s="0" t="n">
        <v>53</v>
      </c>
      <c r="I997" s="23" t="s">
        <v>92</v>
      </c>
      <c r="J997" s="0" t="n">
        <v>64</v>
      </c>
      <c r="K997" s="0" t="n">
        <v>64</v>
      </c>
      <c r="L997" s="0" t="n">
        <v>70</v>
      </c>
      <c r="P997" s="0" t="n">
        <v>3.26</v>
      </c>
      <c r="Q997" s="0" t="n">
        <v>3.06</v>
      </c>
      <c r="R997" s="0" t="n">
        <v>4534</v>
      </c>
      <c r="S997" s="0" t="n">
        <v>9546</v>
      </c>
      <c r="T997" s="0" t="n">
        <v>51.05</v>
      </c>
      <c r="U997" s="0" t="n">
        <v>800</v>
      </c>
      <c r="V997" s="0" t="n">
        <v>1</v>
      </c>
      <c r="W997" s="0" t="str">
        <f aca="false">IF(OR(AND(B997&gt;=1,B997&lt;=6),B997=10),"Vaca em lactação",IF(I997="Male","Macho",IF(E997&gt;=1,"Vaca seca",IF(I997="Youngstock","Bezerra/recria","Novilha"))))</f>
        <v>Vaca em lactação</v>
      </c>
      <c r="X997" s="0" t="str">
        <f aca="false">IF(AND(B997&gt;=1,B997&lt;=6),"Tanque",IF(B997=10,"Descarte",""))</f>
        <v>Tanque</v>
      </c>
    </row>
    <row r="998" customFormat="false" ht="15" hidden="false" customHeight="false" outlineLevel="0" collapsed="false">
      <c r="A998" s="22" t="n">
        <v>46309</v>
      </c>
      <c r="B998" s="0" t="n">
        <v>4</v>
      </c>
      <c r="C998" s="0" t="n">
        <v>5787</v>
      </c>
      <c r="D998" s="0" t="n">
        <v>211</v>
      </c>
      <c r="E998" s="0" t="n">
        <v>1</v>
      </c>
      <c r="F998" s="23" t="s">
        <v>128</v>
      </c>
      <c r="G998" s="0" t="n">
        <v>27.9</v>
      </c>
      <c r="H998" s="0" t="n">
        <v>32</v>
      </c>
      <c r="I998" s="23" t="s">
        <v>92</v>
      </c>
      <c r="J998" s="0" t="n">
        <v>64</v>
      </c>
      <c r="K998" s="0" t="n">
        <v>64</v>
      </c>
      <c r="L998" s="0" t="n">
        <v>147</v>
      </c>
      <c r="P998" s="0" t="n">
        <v>3.21</v>
      </c>
      <c r="Q998" s="0" t="n">
        <v>3.58</v>
      </c>
      <c r="R998" s="0" t="n">
        <v>2193</v>
      </c>
      <c r="S998" s="0" t="n">
        <v>5634</v>
      </c>
      <c r="T998" s="0" t="n">
        <v>26.9</v>
      </c>
      <c r="U998" s="0" t="n">
        <v>798</v>
      </c>
      <c r="V998" s="0" t="n">
        <v>1</v>
      </c>
      <c r="W998" s="0" t="str">
        <f aca="false">IF(OR(AND(B998&gt;=1,B998&lt;=6),B998=10),"Vaca em lactação",IF(I998="Male","Macho",IF(E998&gt;=1,"Vaca seca",IF(I998="Youngstock","Bezerra/recria","Novilha"))))</f>
        <v>Vaca em lactação</v>
      </c>
      <c r="X998" s="0" t="str">
        <f aca="false">IF(AND(B998&gt;=1,B998&lt;=6),"Tanque",IF(B998=10,"Descarte",""))</f>
        <v>Tanque</v>
      </c>
    </row>
    <row r="999" customFormat="false" ht="15" hidden="false" customHeight="false" outlineLevel="0" collapsed="false">
      <c r="A999" s="22" t="n">
        <v>46309</v>
      </c>
      <c r="B999" s="0" t="n">
        <v>4</v>
      </c>
      <c r="C999" s="0" t="n">
        <v>5745</v>
      </c>
      <c r="D999" s="0" t="n">
        <v>163</v>
      </c>
      <c r="E999" s="0" t="n">
        <v>1</v>
      </c>
      <c r="F999" s="23" t="s">
        <v>678</v>
      </c>
      <c r="G999" s="0" t="n">
        <v>27.9</v>
      </c>
      <c r="H999" s="0" t="n">
        <v>26</v>
      </c>
      <c r="I999" s="23" t="s">
        <v>97</v>
      </c>
      <c r="J999" s="0" t="n">
        <v>163</v>
      </c>
      <c r="K999" s="0" t="n">
        <v>67</v>
      </c>
      <c r="P999" s="0" t="n">
        <v>4.62</v>
      </c>
      <c r="Q999" s="0" t="n">
        <v>4.24</v>
      </c>
      <c r="R999" s="0" t="n">
        <v>2861</v>
      </c>
      <c r="S999" s="0" t="n">
        <v>5829</v>
      </c>
      <c r="T999" s="0" t="n">
        <v>32.2</v>
      </c>
      <c r="U999" s="0" t="n">
        <v>812</v>
      </c>
      <c r="V999" s="0" t="n">
        <v>3</v>
      </c>
      <c r="W999" s="0" t="str">
        <f aca="false">IF(OR(AND(B999&gt;=1,B999&lt;=6),B999=10),"Vaca em lactação",IF(I999="Male","Macho",IF(E999&gt;=1,"Vaca seca",IF(I999="Youngstock","Bezerra/recria","Novilha"))))</f>
        <v>Vaca em lactação</v>
      </c>
      <c r="X999" s="0" t="str">
        <f aca="false">IF(AND(B999&gt;=1,B999&lt;=6),"Tanque",IF(B999=10,"Descarte",""))</f>
        <v>Tanque</v>
      </c>
    </row>
    <row r="1000" customFormat="false" ht="15" hidden="false" customHeight="false" outlineLevel="0" collapsed="false">
      <c r="A1000" s="22" t="n">
        <v>46309</v>
      </c>
      <c r="B1000" s="0" t="n">
        <v>4</v>
      </c>
      <c r="C1000" s="0" t="n">
        <v>5744</v>
      </c>
      <c r="D1000" s="0" t="n">
        <v>170</v>
      </c>
      <c r="E1000" s="0" t="n">
        <v>1</v>
      </c>
      <c r="F1000" s="23" t="s">
        <v>678</v>
      </c>
      <c r="G1000" s="0" t="n">
        <v>40.5</v>
      </c>
      <c r="H1000" s="0" t="n">
        <v>41</v>
      </c>
      <c r="I1000" s="23" t="s">
        <v>92</v>
      </c>
      <c r="J1000" s="0" t="n">
        <v>128</v>
      </c>
      <c r="K1000" s="0" t="n">
        <v>65</v>
      </c>
      <c r="L1000" s="0" t="n">
        <v>42</v>
      </c>
      <c r="P1000" s="0" t="n">
        <v>4.06</v>
      </c>
      <c r="Q1000" s="0" t="n">
        <v>3.21</v>
      </c>
      <c r="R1000" s="0" t="n">
        <v>4105</v>
      </c>
      <c r="S1000" s="0" t="n">
        <v>8658</v>
      </c>
      <c r="T1000" s="0" t="n">
        <v>45.35</v>
      </c>
      <c r="U1000" s="0" t="n">
        <v>812</v>
      </c>
      <c r="V1000" s="0" t="n">
        <v>4</v>
      </c>
      <c r="W1000" s="0" t="str">
        <f aca="false">IF(OR(AND(B1000&gt;=1,B1000&lt;=6),B1000=10),"Vaca em lactação",IF(I1000="Male","Macho",IF(E1000&gt;=1,"Vaca seca",IF(I1000="Youngstock","Bezerra/recria","Novilha"))))</f>
        <v>Vaca em lactação</v>
      </c>
      <c r="X1000" s="0" t="str">
        <f aca="false">IF(AND(B1000&gt;=1,B1000&lt;=6),"Tanque",IF(B1000=10,"Descarte",""))</f>
        <v>Tanque</v>
      </c>
    </row>
    <row r="1001" customFormat="false" ht="15" hidden="false" customHeight="false" outlineLevel="0" collapsed="false">
      <c r="A1001" s="22" t="n">
        <v>46309</v>
      </c>
      <c r="B1001" s="0" t="n">
        <v>4</v>
      </c>
      <c r="C1001" s="0" t="n">
        <v>5746</v>
      </c>
      <c r="D1001" s="0" t="n">
        <v>169</v>
      </c>
      <c r="E1001" s="0" t="n">
        <v>1</v>
      </c>
      <c r="F1001" s="23" t="s">
        <v>679</v>
      </c>
      <c r="G1001" s="0" t="n">
        <v>53.1</v>
      </c>
      <c r="H1001" s="0" t="n">
        <v>54</v>
      </c>
      <c r="I1001" s="23" t="s">
        <v>92</v>
      </c>
      <c r="J1001" s="0" t="n">
        <v>64</v>
      </c>
      <c r="K1001" s="0" t="n">
        <v>64</v>
      </c>
      <c r="L1001" s="0" t="n">
        <v>105</v>
      </c>
      <c r="P1001" s="0" t="n">
        <v>3.01</v>
      </c>
      <c r="Q1001" s="0" t="n">
        <v>3.44</v>
      </c>
      <c r="R1001" s="0" t="n">
        <v>4296</v>
      </c>
      <c r="S1001" s="0" t="n">
        <v>9135</v>
      </c>
      <c r="T1001" s="0" t="n">
        <v>48.15</v>
      </c>
      <c r="U1001" s="0" t="n">
        <v>811</v>
      </c>
      <c r="V1001" s="0" t="n">
        <v>1</v>
      </c>
      <c r="W1001" s="0" t="str">
        <f aca="false">IF(OR(AND(B1001&gt;=1,B1001&lt;=6),B1001=10),"Vaca em lactação",IF(I1001="Male","Macho",IF(E1001&gt;=1,"Vaca seca",IF(I1001="Youngstock","Bezerra/recria","Novilha"))))</f>
        <v>Vaca em lactação</v>
      </c>
      <c r="X1001" s="0" t="str">
        <f aca="false">IF(AND(B1001&gt;=1,B1001&lt;=6),"Tanque",IF(B1001=10,"Descarte",""))</f>
        <v>Tanque</v>
      </c>
    </row>
    <row r="1002" customFormat="false" ht="15" hidden="false" customHeight="false" outlineLevel="0" collapsed="false">
      <c r="A1002" s="22" t="n">
        <v>46309</v>
      </c>
      <c r="B1002" s="0" t="n">
        <v>4</v>
      </c>
      <c r="C1002" s="0" t="n">
        <v>5748</v>
      </c>
      <c r="D1002" s="0" t="n">
        <v>154</v>
      </c>
      <c r="E1002" s="0" t="n">
        <v>1</v>
      </c>
      <c r="F1002" s="23" t="s">
        <v>679</v>
      </c>
      <c r="G1002" s="0" t="n">
        <v>51</v>
      </c>
      <c r="H1002" s="0" t="n">
        <v>52</v>
      </c>
      <c r="I1002" s="23" t="s">
        <v>92</v>
      </c>
      <c r="J1002" s="0" t="n">
        <v>101</v>
      </c>
      <c r="K1002" s="0" t="n">
        <v>63</v>
      </c>
      <c r="L1002" s="0" t="n">
        <v>53</v>
      </c>
      <c r="P1002" s="0" t="n">
        <v>3.62</v>
      </c>
      <c r="Q1002" s="0" t="n">
        <v>3.27</v>
      </c>
      <c r="R1002" s="0" t="n">
        <v>4767</v>
      </c>
      <c r="S1002" s="0" t="n">
        <v>10210</v>
      </c>
      <c r="T1002" s="0" t="n">
        <v>50.5</v>
      </c>
      <c r="U1002" s="0" t="n">
        <v>811</v>
      </c>
      <c r="V1002" s="0" t="n">
        <v>3</v>
      </c>
      <c r="W1002" s="0" t="str">
        <f aca="false">IF(OR(AND(B1002&gt;=1,B1002&lt;=6),B1002=10),"Vaca em lactação",IF(I1002="Male","Macho",IF(E1002&gt;=1,"Vaca seca",IF(I1002="Youngstock","Bezerra/recria","Novilha"))))</f>
        <v>Vaca em lactação</v>
      </c>
      <c r="X1002" s="0" t="str">
        <f aca="false">IF(AND(B1002&gt;=1,B1002&lt;=6),"Tanque",IF(B1002=10,"Descarte",""))</f>
        <v>Tanque</v>
      </c>
    </row>
    <row r="1003" customFormat="false" ht="15" hidden="false" customHeight="false" outlineLevel="0" collapsed="false">
      <c r="A1003" s="22" t="n">
        <v>46309</v>
      </c>
      <c r="B1003" s="0" t="n">
        <v>4</v>
      </c>
      <c r="C1003" s="0" t="n">
        <v>5752</v>
      </c>
      <c r="D1003" s="0" t="n">
        <v>144</v>
      </c>
      <c r="E1003" s="0" t="n">
        <v>1</v>
      </c>
      <c r="F1003" s="23" t="s">
        <v>129</v>
      </c>
      <c r="G1003" s="0" t="n">
        <v>48.9</v>
      </c>
      <c r="H1003" s="0" t="n">
        <v>49</v>
      </c>
      <c r="I1003" s="23" t="s">
        <v>97</v>
      </c>
      <c r="J1003" s="0" t="n">
        <v>144</v>
      </c>
      <c r="K1003" s="0" t="n">
        <v>67</v>
      </c>
      <c r="P1003" s="0" t="n">
        <v>3.97</v>
      </c>
      <c r="Q1003" s="0" t="n">
        <v>3.3</v>
      </c>
      <c r="R1003" s="0" t="n">
        <v>3981</v>
      </c>
      <c r="S1003" s="0" t="n">
        <v>8575</v>
      </c>
      <c r="T1003" s="0" t="n">
        <v>44.55</v>
      </c>
      <c r="U1003" s="0" t="n">
        <v>810</v>
      </c>
      <c r="V1003" s="0" t="n">
        <v>3</v>
      </c>
      <c r="W1003" s="0" t="str">
        <f aca="false">IF(OR(AND(B1003&gt;=1,B1003&lt;=6),B1003=10),"Vaca em lactação",IF(I1003="Male","Macho",IF(E1003&gt;=1,"Vaca seca",IF(I1003="Youngstock","Bezerra/recria","Novilha"))))</f>
        <v>Vaca em lactação</v>
      </c>
      <c r="X1003" s="0" t="str">
        <f aca="false">IF(AND(B1003&gt;=1,B1003&lt;=6),"Tanque",IF(B1003=10,"Descarte",""))</f>
        <v>Tanque</v>
      </c>
    </row>
    <row r="1004" customFormat="false" ht="15" hidden="false" customHeight="false" outlineLevel="0" collapsed="false">
      <c r="A1004" s="22" t="n">
        <v>46309</v>
      </c>
      <c r="B1004" s="0" t="n">
        <v>4</v>
      </c>
      <c r="C1004" s="0" t="n">
        <v>5751</v>
      </c>
      <c r="D1004" s="0" t="n">
        <v>126</v>
      </c>
      <c r="E1004" s="0" t="n">
        <v>1</v>
      </c>
      <c r="F1004" s="23" t="s">
        <v>679</v>
      </c>
      <c r="G1004" s="0" t="n">
        <v>50.1</v>
      </c>
      <c r="H1004" s="0" t="n">
        <v>52</v>
      </c>
      <c r="I1004" s="23" t="s">
        <v>97</v>
      </c>
      <c r="J1004" s="0" t="n">
        <v>126</v>
      </c>
      <c r="K1004" s="0" t="n">
        <v>63</v>
      </c>
      <c r="P1004" s="0" t="n">
        <v>3.59</v>
      </c>
      <c r="Q1004" s="0" t="n">
        <v>3.05</v>
      </c>
      <c r="R1004" s="0" t="n">
        <v>4358</v>
      </c>
      <c r="S1004" s="0" t="n">
        <v>9161</v>
      </c>
      <c r="T1004" s="0" t="n">
        <v>47.15</v>
      </c>
      <c r="U1004" s="0" t="n">
        <v>811</v>
      </c>
      <c r="V1004" s="0" t="n">
        <v>2</v>
      </c>
      <c r="W1004" s="0" t="str">
        <f aca="false">IF(OR(AND(B1004&gt;=1,B1004&lt;=6),B1004=10),"Vaca em lactação",IF(I1004="Male","Macho",IF(E1004&gt;=1,"Vaca seca",IF(I1004="Youngstock","Bezerra/recria","Novilha"))))</f>
        <v>Vaca em lactação</v>
      </c>
      <c r="X1004" s="0" t="str">
        <f aca="false">IF(AND(B1004&gt;=1,B1004&lt;=6),"Tanque",IF(B1004=10,"Descarte",""))</f>
        <v>Tanque</v>
      </c>
    </row>
    <row r="1005" customFormat="false" ht="15" hidden="false" customHeight="false" outlineLevel="0" collapsed="false">
      <c r="A1005" s="22" t="n">
        <v>46309</v>
      </c>
      <c r="B1005" s="0" t="n">
        <v>4</v>
      </c>
      <c r="C1005" s="0" t="n">
        <v>5750</v>
      </c>
      <c r="D1005" s="0" t="n">
        <v>121</v>
      </c>
      <c r="E1005" s="0" t="n">
        <v>1</v>
      </c>
      <c r="F1005" s="23" t="s">
        <v>679</v>
      </c>
      <c r="G1005" s="0" t="n">
        <v>43.4</v>
      </c>
      <c r="H1005" s="0" t="n">
        <v>45</v>
      </c>
      <c r="I1005" s="23" t="s">
        <v>92</v>
      </c>
      <c r="J1005" s="0" t="n">
        <v>65</v>
      </c>
      <c r="K1005" s="0" t="n">
        <v>65</v>
      </c>
      <c r="L1005" s="0" t="n">
        <v>56</v>
      </c>
      <c r="P1005" s="0" t="n">
        <v>4.18</v>
      </c>
      <c r="Q1005" s="0" t="n">
        <v>2.99</v>
      </c>
      <c r="R1005" s="0" t="n">
        <v>3691</v>
      </c>
      <c r="S1005" s="0" t="n">
        <v>7742</v>
      </c>
      <c r="T1005" s="0" t="n">
        <v>39.2</v>
      </c>
      <c r="U1005" s="0" t="n">
        <v>811</v>
      </c>
      <c r="V1005" s="0" t="n">
        <v>1</v>
      </c>
      <c r="W1005" s="0" t="str">
        <f aca="false">IF(OR(AND(B1005&gt;=1,B1005&lt;=6),B1005=10),"Vaca em lactação",IF(I1005="Male","Macho",IF(E1005&gt;=1,"Vaca seca",IF(I1005="Youngstock","Bezerra/recria","Novilha"))))</f>
        <v>Vaca em lactação</v>
      </c>
      <c r="X1005" s="0" t="str">
        <f aca="false">IF(AND(B1005&gt;=1,B1005&lt;=6),"Tanque",IF(B1005=10,"Descarte",""))</f>
        <v>Tanque</v>
      </c>
    </row>
    <row r="1006" customFormat="false" ht="15" hidden="false" customHeight="false" outlineLevel="0" collapsed="false">
      <c r="A1006" s="22" t="n">
        <v>46309</v>
      </c>
      <c r="B1006" s="0" t="n">
        <v>4</v>
      </c>
      <c r="C1006" s="0" t="n">
        <v>5754</v>
      </c>
      <c r="D1006" s="0" t="n">
        <v>137</v>
      </c>
      <c r="E1006" s="0" t="n">
        <v>1</v>
      </c>
      <c r="F1006" s="23" t="s">
        <v>130</v>
      </c>
      <c r="G1006" s="0" t="n">
        <v>46.6</v>
      </c>
      <c r="H1006" s="0" t="n">
        <v>49</v>
      </c>
      <c r="I1006" s="23" t="s">
        <v>92</v>
      </c>
      <c r="J1006" s="0" t="n">
        <v>87</v>
      </c>
      <c r="K1006" s="0" t="n">
        <v>67</v>
      </c>
      <c r="L1006" s="0" t="n">
        <v>50</v>
      </c>
      <c r="P1006" s="0" t="n">
        <v>3.35</v>
      </c>
      <c r="Q1006" s="0" t="n">
        <v>3.08</v>
      </c>
      <c r="R1006" s="0" t="n">
        <v>4343</v>
      </c>
      <c r="S1006" s="0" t="n">
        <v>9251</v>
      </c>
      <c r="T1006" s="0" t="n">
        <v>45.3</v>
      </c>
      <c r="U1006" s="0" t="n">
        <v>809</v>
      </c>
      <c r="V1006" s="0" t="n">
        <v>2</v>
      </c>
      <c r="W1006" s="0" t="str">
        <f aca="false">IF(OR(AND(B1006&gt;=1,B1006&lt;=6),B1006=10),"Vaca em lactação",IF(I1006="Male","Macho",IF(E1006&gt;=1,"Vaca seca",IF(I1006="Youngstock","Bezerra/recria","Novilha"))))</f>
        <v>Vaca em lactação</v>
      </c>
      <c r="X1006" s="0" t="str">
        <f aca="false">IF(AND(B1006&gt;=1,B1006&lt;=6),"Tanque",IF(B1006=10,"Descarte",""))</f>
        <v>Tanque</v>
      </c>
    </row>
    <row r="1007" customFormat="false" ht="15" hidden="false" customHeight="false" outlineLevel="0" collapsed="false">
      <c r="A1007" s="22" t="n">
        <v>46309</v>
      </c>
      <c r="B1007" s="0" t="n">
        <v>4</v>
      </c>
      <c r="C1007" s="0" t="n">
        <v>5759</v>
      </c>
      <c r="D1007" s="0" t="n">
        <v>126</v>
      </c>
      <c r="E1007" s="0" t="n">
        <v>1</v>
      </c>
      <c r="F1007" s="23" t="s">
        <v>680</v>
      </c>
      <c r="G1007" s="0" t="n">
        <v>45.8</v>
      </c>
      <c r="H1007" s="0" t="n">
        <v>47</v>
      </c>
      <c r="I1007" s="23" t="s">
        <v>92</v>
      </c>
      <c r="J1007" s="0" t="n">
        <v>84</v>
      </c>
      <c r="K1007" s="0" t="n">
        <v>63</v>
      </c>
      <c r="L1007" s="0" t="n">
        <v>42</v>
      </c>
      <c r="P1007" s="0" t="n">
        <v>4.41</v>
      </c>
      <c r="Q1007" s="0" t="n">
        <v>3.23</v>
      </c>
      <c r="R1007" s="0" t="n">
        <v>4014</v>
      </c>
      <c r="S1007" s="0" t="n">
        <v>8353</v>
      </c>
      <c r="T1007" s="0" t="n">
        <v>42.95</v>
      </c>
      <c r="U1007" s="0" t="n">
        <v>808</v>
      </c>
      <c r="V1007" s="0" t="n">
        <v>2</v>
      </c>
      <c r="W1007" s="0" t="str">
        <f aca="false">IF(OR(AND(B1007&gt;=1,B1007&lt;=6),B1007=10),"Vaca em lactação",IF(I1007="Male","Macho",IF(E1007&gt;=1,"Vaca seca",IF(I1007="Youngstock","Bezerra/recria","Novilha"))))</f>
        <v>Vaca em lactação</v>
      </c>
      <c r="X1007" s="0" t="str">
        <f aca="false">IF(AND(B1007&gt;=1,B1007&lt;=6),"Tanque",IF(B1007=10,"Descarte",""))</f>
        <v>Tanque</v>
      </c>
    </row>
    <row r="1008" customFormat="false" ht="15" hidden="false" customHeight="false" outlineLevel="0" collapsed="false">
      <c r="A1008" s="22" t="n">
        <v>46309</v>
      </c>
      <c r="B1008" s="0" t="n">
        <v>4</v>
      </c>
      <c r="C1008" s="0" t="n">
        <v>5758</v>
      </c>
      <c r="D1008" s="0" t="n">
        <v>167</v>
      </c>
      <c r="E1008" s="0" t="n">
        <v>1</v>
      </c>
      <c r="F1008" s="23" t="s">
        <v>680</v>
      </c>
      <c r="G1008" s="0" t="n">
        <v>47.5</v>
      </c>
      <c r="H1008" s="0" t="n">
        <v>49</v>
      </c>
      <c r="I1008" s="23" t="s">
        <v>97</v>
      </c>
      <c r="J1008" s="0" t="n">
        <v>167</v>
      </c>
      <c r="K1008" s="0" t="n">
        <v>69</v>
      </c>
      <c r="P1008" s="0" t="n">
        <v>3.25</v>
      </c>
      <c r="Q1008" s="0" t="n">
        <v>3.3</v>
      </c>
      <c r="R1008" s="0" t="n">
        <v>4459</v>
      </c>
      <c r="S1008" s="0" t="n">
        <v>9227</v>
      </c>
      <c r="T1008" s="0" t="n">
        <v>46.3</v>
      </c>
      <c r="U1008" s="0" t="n">
        <v>808</v>
      </c>
      <c r="V1008" s="0" t="n">
        <v>4</v>
      </c>
      <c r="W1008" s="0" t="str">
        <f aca="false">IF(OR(AND(B1008&gt;=1,B1008&lt;=6),B1008=10),"Vaca em lactação",IF(I1008="Male","Macho",IF(E1008&gt;=1,"Vaca seca",IF(I1008="Youngstock","Bezerra/recria","Novilha"))))</f>
        <v>Vaca em lactação</v>
      </c>
      <c r="X1008" s="0" t="str">
        <f aca="false">IF(AND(B1008&gt;=1,B1008&lt;=6),"Tanque",IF(B1008=10,"Descarte",""))</f>
        <v>Tanque</v>
      </c>
    </row>
    <row r="1009" customFormat="false" ht="15" hidden="false" customHeight="false" outlineLevel="0" collapsed="false">
      <c r="A1009" s="22" t="n">
        <v>46309</v>
      </c>
      <c r="B1009" s="0" t="n">
        <v>4</v>
      </c>
      <c r="C1009" s="0" t="n">
        <v>5757</v>
      </c>
      <c r="D1009" s="0" t="n">
        <v>166</v>
      </c>
      <c r="E1009" s="0" t="n">
        <v>1</v>
      </c>
      <c r="F1009" s="23" t="s">
        <v>680</v>
      </c>
      <c r="G1009" s="0" t="n">
        <v>59.9</v>
      </c>
      <c r="H1009" s="0" t="n">
        <v>58</v>
      </c>
      <c r="I1009" s="23" t="s">
        <v>92</v>
      </c>
      <c r="J1009" s="0" t="n">
        <v>128</v>
      </c>
      <c r="K1009" s="0" t="n">
        <v>68</v>
      </c>
      <c r="L1009" s="0" t="n">
        <v>38</v>
      </c>
      <c r="P1009" s="0" t="n">
        <v>4.44</v>
      </c>
      <c r="Q1009" s="0" t="n">
        <v>3.01</v>
      </c>
      <c r="R1009" s="0" t="n">
        <v>5352</v>
      </c>
      <c r="S1009" s="0" t="n">
        <v>11332</v>
      </c>
      <c r="T1009" s="0" t="n">
        <v>58.8</v>
      </c>
      <c r="U1009" s="0" t="n">
        <v>808</v>
      </c>
      <c r="V1009" s="0" t="n">
        <v>3</v>
      </c>
      <c r="W1009" s="0" t="str">
        <f aca="false">IF(OR(AND(B1009&gt;=1,B1009&lt;=6),B1009=10),"Vaca em lactação",IF(I1009="Male","Macho",IF(E1009&gt;=1,"Vaca seca",IF(I1009="Youngstock","Bezerra/recria","Novilha"))))</f>
        <v>Vaca em lactação</v>
      </c>
      <c r="X1009" s="0" t="str">
        <f aca="false">IF(AND(B1009&gt;=1,B1009&lt;=6),"Tanque",IF(B1009=10,"Descarte",""))</f>
        <v>Tanque</v>
      </c>
    </row>
    <row r="1010" customFormat="false" ht="15" hidden="false" customHeight="false" outlineLevel="0" collapsed="false">
      <c r="A1010" s="22" t="n">
        <v>46309</v>
      </c>
      <c r="B1010" s="0" t="n">
        <v>4</v>
      </c>
      <c r="C1010" s="0" t="n">
        <v>5760</v>
      </c>
      <c r="D1010" s="0" t="n">
        <v>165</v>
      </c>
      <c r="E1010" s="0" t="n">
        <v>1</v>
      </c>
      <c r="F1010" s="23" t="s">
        <v>131</v>
      </c>
      <c r="G1010" s="0" t="n">
        <v>37.1</v>
      </c>
      <c r="H1010" s="0" t="n">
        <v>36</v>
      </c>
      <c r="I1010" s="23" t="s">
        <v>92</v>
      </c>
      <c r="J1010" s="0" t="n">
        <v>81</v>
      </c>
      <c r="K1010" s="0" t="n">
        <v>81</v>
      </c>
      <c r="L1010" s="0" t="n">
        <v>84</v>
      </c>
      <c r="P1010" s="0" t="n">
        <v>3.62</v>
      </c>
      <c r="Q1010" s="0" t="n">
        <v>3.63</v>
      </c>
      <c r="R1010" s="0" t="n">
        <v>3998</v>
      </c>
      <c r="S1010" s="0" t="n">
        <v>8136</v>
      </c>
      <c r="T1010" s="0" t="n">
        <v>45.05</v>
      </c>
      <c r="U1010" s="0" t="n">
        <v>807</v>
      </c>
      <c r="V1010" s="0" t="n">
        <v>1</v>
      </c>
      <c r="W1010" s="0" t="str">
        <f aca="false">IF(OR(AND(B1010&gt;=1,B1010&lt;=6),B1010=10),"Vaca em lactação",IF(I1010="Male","Macho",IF(E1010&gt;=1,"Vaca seca",IF(I1010="Youngstock","Bezerra/recria","Novilha"))))</f>
        <v>Vaca em lactação</v>
      </c>
      <c r="X1010" s="0" t="str">
        <f aca="false">IF(AND(B1010&gt;=1,B1010&lt;=6),"Tanque",IF(B1010=10,"Descarte",""))</f>
        <v>Tanque</v>
      </c>
    </row>
    <row r="1011" customFormat="false" ht="15" hidden="false" customHeight="false" outlineLevel="0" collapsed="false">
      <c r="A1011" s="22" t="n">
        <v>46309</v>
      </c>
      <c r="B1011" s="0" t="n">
        <v>4</v>
      </c>
      <c r="C1011" s="0" t="n">
        <v>5877</v>
      </c>
      <c r="D1011" s="0" t="n">
        <v>113</v>
      </c>
      <c r="E1011" s="0" t="n">
        <v>1</v>
      </c>
      <c r="F1011" s="23" t="s">
        <v>132</v>
      </c>
      <c r="G1011" s="0" t="n">
        <v>76.6</v>
      </c>
      <c r="H1011" s="0" t="n">
        <v>71</v>
      </c>
      <c r="I1011" s="23" t="s">
        <v>97</v>
      </c>
      <c r="J1011" s="0" t="n">
        <v>113</v>
      </c>
      <c r="K1011" s="0" t="n">
        <v>64</v>
      </c>
      <c r="P1011" s="0" t="n">
        <v>3.41</v>
      </c>
      <c r="Q1011" s="0" t="n">
        <v>2.73</v>
      </c>
      <c r="R1011" s="0" t="n">
        <v>5666</v>
      </c>
      <c r="S1011" s="0" t="n">
        <v>11712</v>
      </c>
      <c r="T1011" s="0" t="n">
        <v>64.85</v>
      </c>
      <c r="U1011" s="0" t="n">
        <v>762</v>
      </c>
      <c r="V1011" s="0" t="n">
        <v>2</v>
      </c>
      <c r="W1011" s="0" t="str">
        <f aca="false">IF(OR(AND(B1011&gt;=1,B1011&lt;=6),B1011=10),"Vaca em lactação",IF(I1011="Male","Macho",IF(E1011&gt;=1,"Vaca seca",IF(I1011="Youngstock","Bezerra/recria","Novilha"))))</f>
        <v>Vaca em lactação</v>
      </c>
      <c r="X1011" s="0" t="str">
        <f aca="false">IF(AND(B1011&gt;=1,B1011&lt;=6),"Tanque",IF(B1011=10,"Descarte",""))</f>
        <v>Tanque</v>
      </c>
    </row>
    <row r="1012" customFormat="false" ht="15" hidden="false" customHeight="false" outlineLevel="0" collapsed="false">
      <c r="A1012" s="22" t="n">
        <v>46309</v>
      </c>
      <c r="B1012" s="0" t="n">
        <v>4</v>
      </c>
      <c r="C1012" s="0" t="n">
        <v>5882</v>
      </c>
      <c r="D1012" s="0" t="n">
        <v>132</v>
      </c>
      <c r="E1012" s="0" t="n">
        <v>1</v>
      </c>
      <c r="F1012" s="23" t="s">
        <v>134</v>
      </c>
      <c r="G1012" s="0" t="n">
        <v>38.4</v>
      </c>
      <c r="H1012" s="0" t="n">
        <v>38</v>
      </c>
      <c r="I1012" s="23" t="s">
        <v>97</v>
      </c>
      <c r="J1012" s="0" t="n">
        <v>132</v>
      </c>
      <c r="K1012" s="0" t="n">
        <v>69</v>
      </c>
      <c r="P1012" s="0" t="n">
        <v>4.27</v>
      </c>
      <c r="Q1012" s="0" t="n">
        <v>3.13</v>
      </c>
      <c r="R1012" s="0" t="n">
        <v>3762</v>
      </c>
      <c r="S1012" s="0" t="n">
        <v>7644</v>
      </c>
      <c r="T1012" s="0" t="n">
        <v>41.55</v>
      </c>
      <c r="U1012" s="0" t="n">
        <v>759</v>
      </c>
      <c r="V1012" s="0" t="n">
        <v>3</v>
      </c>
      <c r="W1012" s="0" t="str">
        <f aca="false">IF(OR(AND(B1012&gt;=1,B1012&lt;=6),B1012=10),"Vaca em lactação",IF(I1012="Male","Macho",IF(E1012&gt;=1,"Vaca seca",IF(I1012="Youngstock","Bezerra/recria","Novilha"))))</f>
        <v>Vaca em lactação</v>
      </c>
      <c r="X1012" s="0" t="str">
        <f aca="false">IF(AND(B1012&gt;=1,B1012&lt;=6),"Tanque",IF(B1012=10,"Descarte",""))</f>
        <v>Tanque</v>
      </c>
    </row>
    <row r="1013" customFormat="false" ht="15" hidden="false" customHeight="false" outlineLevel="0" collapsed="false">
      <c r="A1013" s="22" t="n">
        <v>46309</v>
      </c>
      <c r="B1013" s="0" t="n">
        <v>4</v>
      </c>
      <c r="C1013" s="0" t="n">
        <v>5884</v>
      </c>
      <c r="D1013" s="0" t="n">
        <v>119</v>
      </c>
      <c r="E1013" s="0" t="n">
        <v>1</v>
      </c>
      <c r="F1013" s="23" t="s">
        <v>134</v>
      </c>
      <c r="G1013" s="0" t="n">
        <v>42.6</v>
      </c>
      <c r="H1013" s="0" t="n">
        <v>42</v>
      </c>
      <c r="I1013" s="23" t="s">
        <v>92</v>
      </c>
      <c r="J1013" s="0" t="n">
        <v>63</v>
      </c>
      <c r="K1013" s="0" t="n">
        <v>63</v>
      </c>
      <c r="L1013" s="0" t="n">
        <v>56</v>
      </c>
      <c r="P1013" s="0" t="n">
        <v>3.35</v>
      </c>
      <c r="Q1013" s="0" t="n">
        <v>3.38</v>
      </c>
      <c r="R1013" s="0" t="n">
        <v>3873</v>
      </c>
      <c r="S1013" s="0" t="n">
        <v>7888</v>
      </c>
      <c r="T1013" s="0" t="n">
        <v>44.65</v>
      </c>
      <c r="U1013" s="0" t="n">
        <v>759</v>
      </c>
      <c r="V1013" s="0" t="n">
        <v>1</v>
      </c>
      <c r="W1013" s="0" t="str">
        <f aca="false">IF(OR(AND(B1013&gt;=1,B1013&lt;=6),B1013=10),"Vaca em lactação",IF(I1013="Male","Macho",IF(E1013&gt;=1,"Vaca seca",IF(I1013="Youngstock","Bezerra/recria","Novilha"))))</f>
        <v>Vaca em lactação</v>
      </c>
      <c r="X1013" s="0" t="str">
        <f aca="false">IF(AND(B1013&gt;=1,B1013&lt;=6),"Tanque",IF(B1013=10,"Descarte",""))</f>
        <v>Tanque</v>
      </c>
    </row>
    <row r="1014" customFormat="false" ht="15" hidden="false" customHeight="false" outlineLevel="0" collapsed="false">
      <c r="A1014" s="22" t="n">
        <v>46309</v>
      </c>
      <c r="B1014" s="0" t="n">
        <v>4</v>
      </c>
      <c r="C1014" s="0" t="n">
        <v>5883</v>
      </c>
      <c r="D1014" s="0" t="n">
        <v>130</v>
      </c>
      <c r="E1014" s="0" t="n">
        <v>1</v>
      </c>
      <c r="F1014" s="23" t="s">
        <v>134</v>
      </c>
      <c r="G1014" s="0" t="n">
        <v>40.7</v>
      </c>
      <c r="H1014" s="0" t="n">
        <v>41</v>
      </c>
      <c r="I1014" s="23" t="s">
        <v>92</v>
      </c>
      <c r="J1014" s="0" t="n">
        <v>67</v>
      </c>
      <c r="K1014" s="0" t="n">
        <v>67</v>
      </c>
      <c r="L1014" s="0" t="n">
        <v>63</v>
      </c>
      <c r="P1014" s="0" t="n">
        <v>3.18</v>
      </c>
      <c r="Q1014" s="0" t="n">
        <v>3.44</v>
      </c>
      <c r="R1014" s="0" t="n">
        <v>3466</v>
      </c>
      <c r="S1014" s="0" t="n">
        <v>7339</v>
      </c>
      <c r="T1014" s="0" t="n">
        <v>37.65</v>
      </c>
      <c r="U1014" s="0" t="n">
        <v>759</v>
      </c>
      <c r="V1014" s="0" t="n">
        <v>1</v>
      </c>
      <c r="W1014" s="0" t="str">
        <f aca="false">IF(OR(AND(B1014&gt;=1,B1014&lt;=6),B1014=10),"Vaca em lactação",IF(I1014="Male","Macho",IF(E1014&gt;=1,"Vaca seca",IF(I1014="Youngstock","Bezerra/recria","Novilha"))))</f>
        <v>Vaca em lactação</v>
      </c>
      <c r="X1014" s="0" t="str">
        <f aca="false">IF(AND(B1014&gt;=1,B1014&lt;=6),"Tanque",IF(B1014=10,"Descarte",""))</f>
        <v>Tanque</v>
      </c>
    </row>
    <row r="1015" customFormat="false" ht="15" hidden="false" customHeight="false" outlineLevel="0" collapsed="false">
      <c r="A1015" s="22" t="n">
        <v>46309</v>
      </c>
      <c r="B1015" s="0" t="n">
        <v>4</v>
      </c>
      <c r="C1015" s="0" t="n">
        <v>5892</v>
      </c>
      <c r="D1015" s="0" t="n">
        <v>117</v>
      </c>
      <c r="E1015" s="0" t="n">
        <v>1</v>
      </c>
      <c r="F1015" s="23" t="s">
        <v>137</v>
      </c>
      <c r="G1015" s="0" t="n">
        <v>18.5</v>
      </c>
      <c r="H1015" s="0" t="n">
        <v>19</v>
      </c>
      <c r="I1015" s="23" t="s">
        <v>97</v>
      </c>
      <c r="J1015" s="0" t="n">
        <v>117</v>
      </c>
      <c r="K1015" s="0" t="n">
        <v>89</v>
      </c>
      <c r="P1015" s="0" t="n">
        <v>5.35</v>
      </c>
      <c r="Q1015" s="0" t="n">
        <v>3.8</v>
      </c>
      <c r="R1015" s="0" t="n">
        <v>1793</v>
      </c>
      <c r="S1015" s="0" t="n">
        <v>3737</v>
      </c>
      <c r="T1015" s="0" t="n">
        <v>19.55</v>
      </c>
      <c r="U1015" s="0" t="n">
        <v>756</v>
      </c>
      <c r="V1015" s="0" t="n">
        <v>2</v>
      </c>
      <c r="W1015" s="0" t="str">
        <f aca="false">IF(OR(AND(B1015&gt;=1,B1015&lt;=6),B1015=10),"Vaca em lactação",IF(I1015="Male","Macho",IF(E1015&gt;=1,"Vaca seca",IF(I1015="Youngstock","Bezerra/recria","Novilha"))))</f>
        <v>Vaca em lactação</v>
      </c>
      <c r="X1015" s="0" t="str">
        <f aca="false">IF(AND(B1015&gt;=1,B1015&lt;=6),"Tanque",IF(B1015=10,"Descarte",""))</f>
        <v>Tanque</v>
      </c>
    </row>
    <row r="1016" customFormat="false" ht="15" hidden="false" customHeight="false" outlineLevel="0" collapsed="false">
      <c r="A1016" s="22" t="n">
        <v>46309</v>
      </c>
      <c r="B1016" s="0" t="n">
        <v>4</v>
      </c>
      <c r="C1016" s="0" t="n">
        <v>5863</v>
      </c>
      <c r="D1016" s="0" t="n">
        <v>131</v>
      </c>
      <c r="E1016" s="0" t="n">
        <v>1</v>
      </c>
      <c r="F1016" s="23" t="s">
        <v>681</v>
      </c>
      <c r="G1016" s="0" t="n">
        <v>51.6</v>
      </c>
      <c r="H1016" s="0" t="n">
        <v>50</v>
      </c>
      <c r="I1016" s="23" t="s">
        <v>92</v>
      </c>
      <c r="J1016" s="0" t="n">
        <v>88</v>
      </c>
      <c r="K1016" s="0" t="n">
        <v>68</v>
      </c>
      <c r="L1016" s="0" t="n">
        <v>43</v>
      </c>
      <c r="P1016" s="0" t="n">
        <v>4.15</v>
      </c>
      <c r="Q1016" s="0" t="n">
        <v>3.12</v>
      </c>
      <c r="R1016" s="0" t="n">
        <v>4101</v>
      </c>
      <c r="S1016" s="0" t="n">
        <v>8800</v>
      </c>
      <c r="T1016" s="0" t="n">
        <v>48.35</v>
      </c>
      <c r="U1016" s="0" t="n">
        <v>768</v>
      </c>
      <c r="V1016" s="0" t="n">
        <v>2</v>
      </c>
      <c r="W1016" s="0" t="str">
        <f aca="false">IF(OR(AND(B1016&gt;=1,B1016&lt;=6),B1016=10),"Vaca em lactação",IF(I1016="Male","Macho",IF(E1016&gt;=1,"Vaca seca",IF(I1016="Youngstock","Bezerra/recria","Novilha"))))</f>
        <v>Vaca em lactação</v>
      </c>
      <c r="X1016" s="0" t="str">
        <f aca="false">IF(AND(B1016&gt;=1,B1016&lt;=6),"Tanque",IF(B1016=10,"Descarte",""))</f>
        <v>Tanque</v>
      </c>
    </row>
    <row r="1017" customFormat="false" ht="15" hidden="false" customHeight="false" outlineLevel="0" collapsed="false">
      <c r="A1017" s="22" t="n">
        <v>46309</v>
      </c>
      <c r="B1017" s="0" t="n">
        <v>4</v>
      </c>
      <c r="C1017" s="0" t="n">
        <v>5867</v>
      </c>
      <c r="D1017" s="0" t="n">
        <v>63</v>
      </c>
      <c r="E1017" s="0" t="n">
        <v>1</v>
      </c>
      <c r="F1017" s="23" t="s">
        <v>138</v>
      </c>
      <c r="G1017" s="0" t="n">
        <v>44</v>
      </c>
      <c r="H1017" s="0" t="n">
        <v>43</v>
      </c>
      <c r="I1017" s="23" t="s">
        <v>94</v>
      </c>
      <c r="J1017" s="0" t="n">
        <v>63</v>
      </c>
      <c r="P1017" s="0" t="n">
        <v>2.82</v>
      </c>
      <c r="Q1017" s="0" t="n">
        <v>2.93</v>
      </c>
      <c r="R1017" s="0" t="n">
        <v>3748</v>
      </c>
      <c r="S1017" s="0" t="n">
        <v>7534</v>
      </c>
      <c r="U1017" s="0" t="n">
        <v>766</v>
      </c>
      <c r="V1017" s="0" t="n">
        <v>0</v>
      </c>
      <c r="W1017" s="0" t="str">
        <f aca="false">IF(OR(AND(B1017&gt;=1,B1017&lt;=6),B1017=10),"Vaca em lactação",IF(I1017="Male","Macho",IF(E1017&gt;=1,"Vaca seca",IF(I1017="Youngstock","Bezerra/recria","Novilha"))))</f>
        <v>Vaca em lactação</v>
      </c>
      <c r="X1017" s="0" t="str">
        <f aca="false">IF(AND(B1017&gt;=1,B1017&lt;=6),"Tanque",IF(B1017=10,"Descarte",""))</f>
        <v>Tanque</v>
      </c>
    </row>
    <row r="1018" customFormat="false" ht="15" hidden="false" customHeight="false" outlineLevel="0" collapsed="false">
      <c r="A1018" s="22" t="n">
        <v>46309</v>
      </c>
      <c r="B1018" s="0" t="n">
        <v>4</v>
      </c>
      <c r="C1018" s="0" t="n">
        <v>5841</v>
      </c>
      <c r="D1018" s="0" t="n">
        <v>116</v>
      </c>
      <c r="E1018" s="0" t="n">
        <v>1</v>
      </c>
      <c r="F1018" s="23" t="s">
        <v>140</v>
      </c>
      <c r="G1018" s="0" t="n">
        <v>53</v>
      </c>
      <c r="H1018" s="0" t="n">
        <v>59</v>
      </c>
      <c r="I1018" s="23" t="s">
        <v>97</v>
      </c>
      <c r="J1018" s="0" t="n">
        <v>116</v>
      </c>
      <c r="K1018" s="0" t="n">
        <v>67</v>
      </c>
      <c r="P1018" s="0" t="n">
        <v>3.47</v>
      </c>
      <c r="Q1018" s="0" t="n">
        <v>3.12</v>
      </c>
      <c r="R1018" s="0" t="n">
        <v>4627</v>
      </c>
      <c r="S1018" s="0" t="n">
        <v>9689</v>
      </c>
      <c r="T1018" s="0" t="n">
        <v>53.25</v>
      </c>
      <c r="U1018" s="0" t="n">
        <v>778</v>
      </c>
      <c r="V1018" s="0" t="n">
        <v>2</v>
      </c>
      <c r="W1018" s="0" t="str">
        <f aca="false">IF(OR(AND(B1018&gt;=1,B1018&lt;=6),B1018=10),"Vaca em lactação",IF(I1018="Male","Macho",IF(E1018&gt;=1,"Vaca seca",IF(I1018="Youngstock","Bezerra/recria","Novilha"))))</f>
        <v>Vaca em lactação</v>
      </c>
      <c r="X1018" s="0" t="str">
        <f aca="false">IF(AND(B1018&gt;=1,B1018&lt;=6),"Tanque",IF(B1018=10,"Descarte",""))</f>
        <v>Tanque</v>
      </c>
    </row>
    <row r="1019" customFormat="false" ht="15" hidden="false" customHeight="false" outlineLevel="0" collapsed="false">
      <c r="A1019" s="22" t="n">
        <v>46309</v>
      </c>
      <c r="B1019" s="0" t="n">
        <v>4</v>
      </c>
      <c r="C1019" s="0" t="n">
        <v>5838</v>
      </c>
      <c r="D1019" s="0" t="n">
        <v>142</v>
      </c>
      <c r="E1019" s="0" t="n">
        <v>1</v>
      </c>
      <c r="F1019" s="23" t="s">
        <v>140</v>
      </c>
      <c r="G1019" s="0" t="n">
        <v>62.6</v>
      </c>
      <c r="H1019" s="0" t="n">
        <v>62</v>
      </c>
      <c r="I1019" s="23" t="s">
        <v>97</v>
      </c>
      <c r="J1019" s="0" t="n">
        <v>142</v>
      </c>
      <c r="K1019" s="0" t="n">
        <v>65</v>
      </c>
      <c r="P1019" s="0" t="n">
        <v>3.6</v>
      </c>
      <c r="Q1019" s="0" t="n">
        <v>2.72</v>
      </c>
      <c r="R1019" s="0" t="n">
        <v>4615</v>
      </c>
      <c r="S1019" s="0" t="n">
        <v>10032</v>
      </c>
      <c r="T1019" s="0" t="n">
        <v>52.75</v>
      </c>
      <c r="U1019" s="0" t="n">
        <v>778</v>
      </c>
      <c r="V1019" s="0" t="n">
        <v>2</v>
      </c>
      <c r="W1019" s="0" t="str">
        <f aca="false">IF(OR(AND(B1019&gt;=1,B1019&lt;=6),B1019=10),"Vaca em lactação",IF(I1019="Male","Macho",IF(E1019&gt;=1,"Vaca seca",IF(I1019="Youngstock","Bezerra/recria","Novilha"))))</f>
        <v>Vaca em lactação</v>
      </c>
      <c r="X1019" s="0" t="str">
        <f aca="false">IF(AND(B1019&gt;=1,B1019&lt;=6),"Tanque",IF(B1019=10,"Descarte",""))</f>
        <v>Tanque</v>
      </c>
    </row>
    <row r="1020" customFormat="false" ht="15" hidden="false" customHeight="false" outlineLevel="0" collapsed="false">
      <c r="A1020" s="22" t="n">
        <v>46309</v>
      </c>
      <c r="B1020" s="0" t="n">
        <v>4</v>
      </c>
      <c r="C1020" s="0" t="n">
        <v>5847</v>
      </c>
      <c r="D1020" s="0" t="n">
        <v>132</v>
      </c>
      <c r="E1020" s="0" t="n">
        <v>1</v>
      </c>
      <c r="F1020" s="23" t="s">
        <v>141</v>
      </c>
      <c r="G1020" s="0" t="n">
        <v>45.6</v>
      </c>
      <c r="H1020" s="0" t="n">
        <v>44</v>
      </c>
      <c r="I1020" s="23" t="s">
        <v>97</v>
      </c>
      <c r="J1020" s="0" t="n">
        <v>132</v>
      </c>
      <c r="K1020" s="0" t="n">
        <v>62</v>
      </c>
      <c r="P1020" s="0" t="n">
        <v>3.27</v>
      </c>
      <c r="Q1020" s="0" t="n">
        <v>3.62</v>
      </c>
      <c r="R1020" s="0" t="n">
        <v>4152</v>
      </c>
      <c r="S1020" s="0" t="n">
        <v>8617</v>
      </c>
      <c r="T1020" s="0" t="n">
        <v>43.45</v>
      </c>
      <c r="U1020" s="0" t="n">
        <v>777</v>
      </c>
      <c r="V1020" s="0" t="n">
        <v>3</v>
      </c>
      <c r="W1020" s="0" t="str">
        <f aca="false">IF(OR(AND(B1020&gt;=1,B1020&lt;=6),B1020=10),"Vaca em lactação",IF(I1020="Male","Macho",IF(E1020&gt;=1,"Vaca seca",IF(I1020="Youngstock","Bezerra/recria","Novilha"))))</f>
        <v>Vaca em lactação</v>
      </c>
      <c r="X1020" s="0" t="str">
        <f aca="false">IF(AND(B1020&gt;=1,B1020&lt;=6),"Tanque",IF(B1020=10,"Descarte",""))</f>
        <v>Tanque</v>
      </c>
    </row>
    <row r="1021" customFormat="false" ht="15" hidden="false" customHeight="false" outlineLevel="0" collapsed="false">
      <c r="A1021" s="22" t="n">
        <v>46309</v>
      </c>
      <c r="B1021" s="0" t="n">
        <v>4</v>
      </c>
      <c r="C1021" s="0" t="n">
        <v>5843</v>
      </c>
      <c r="D1021" s="0" t="n">
        <v>115</v>
      </c>
      <c r="E1021" s="0" t="n">
        <v>1</v>
      </c>
      <c r="F1021" s="23" t="s">
        <v>141</v>
      </c>
      <c r="G1021" s="0" t="n">
        <v>50.3</v>
      </c>
      <c r="H1021" s="0" t="n">
        <v>50</v>
      </c>
      <c r="I1021" s="23" t="s">
        <v>92</v>
      </c>
      <c r="J1021" s="0" t="n">
        <v>66</v>
      </c>
      <c r="K1021" s="0" t="n">
        <v>66</v>
      </c>
      <c r="L1021" s="0" t="n">
        <v>49</v>
      </c>
      <c r="P1021" s="0" t="n">
        <v>2.72</v>
      </c>
      <c r="Q1021" s="0" t="n">
        <v>2.95</v>
      </c>
      <c r="R1021" s="0" t="n">
        <v>4111</v>
      </c>
      <c r="S1021" s="0" t="n">
        <v>8512</v>
      </c>
      <c r="T1021" s="0" t="n">
        <v>48.35</v>
      </c>
      <c r="U1021" s="0" t="n">
        <v>777</v>
      </c>
      <c r="V1021" s="0" t="n">
        <v>1</v>
      </c>
      <c r="W1021" s="0" t="str">
        <f aca="false">IF(OR(AND(B1021&gt;=1,B1021&lt;=6),B1021=10),"Vaca em lactação",IF(I1021="Male","Macho",IF(E1021&gt;=1,"Vaca seca",IF(I1021="Youngstock","Bezerra/recria","Novilha"))))</f>
        <v>Vaca em lactação</v>
      </c>
      <c r="X1021" s="0" t="str">
        <f aca="false">IF(AND(B1021&gt;=1,B1021&lt;=6),"Tanque",IF(B1021=10,"Descarte",""))</f>
        <v>Tanque</v>
      </c>
    </row>
    <row r="1022" customFormat="false" ht="15" hidden="false" customHeight="false" outlineLevel="0" collapsed="false">
      <c r="A1022" s="22" t="n">
        <v>46309</v>
      </c>
      <c r="B1022" s="0" t="n">
        <v>4</v>
      </c>
      <c r="C1022" s="0" t="n">
        <v>5842</v>
      </c>
      <c r="D1022" s="0" t="n">
        <v>111</v>
      </c>
      <c r="E1022" s="0" t="n">
        <v>1</v>
      </c>
      <c r="F1022" s="23" t="s">
        <v>141</v>
      </c>
      <c r="G1022" s="0" t="n">
        <v>38.9</v>
      </c>
      <c r="H1022" s="0" t="n">
        <v>46</v>
      </c>
      <c r="I1022" s="23" t="s">
        <v>109</v>
      </c>
      <c r="J1022" s="0" t="n">
        <v>111</v>
      </c>
      <c r="K1022" s="0" t="n">
        <v>69</v>
      </c>
      <c r="P1022" s="0" t="n">
        <v>4.53</v>
      </c>
      <c r="Q1022" s="0" t="n">
        <v>3.16</v>
      </c>
      <c r="R1022" s="0" t="n">
        <v>3834</v>
      </c>
      <c r="S1022" s="0" t="n">
        <v>7863</v>
      </c>
      <c r="T1022" s="0" t="n">
        <v>43.75</v>
      </c>
      <c r="U1022" s="0" t="n">
        <v>777</v>
      </c>
      <c r="V1022" s="0" t="n">
        <v>1</v>
      </c>
      <c r="W1022" s="0" t="str">
        <f aca="false">IF(OR(AND(B1022&gt;=1,B1022&lt;=6),B1022=10),"Vaca em lactação",IF(I1022="Male","Macho",IF(E1022&gt;=1,"Vaca seca",IF(I1022="Youngstock","Bezerra/recria","Novilha"))))</f>
        <v>Vaca em lactação</v>
      </c>
      <c r="X1022" s="0" t="str">
        <f aca="false">IF(AND(B1022&gt;=1,B1022&lt;=6),"Tanque",IF(B1022=10,"Descarte",""))</f>
        <v>Tanque</v>
      </c>
    </row>
    <row r="1023" customFormat="false" ht="15" hidden="false" customHeight="false" outlineLevel="0" collapsed="false">
      <c r="A1023" s="22" t="n">
        <v>46309</v>
      </c>
      <c r="B1023" s="0" t="n">
        <v>4</v>
      </c>
      <c r="C1023" s="0" t="n">
        <v>5848</v>
      </c>
      <c r="D1023" s="0" t="n">
        <v>141</v>
      </c>
      <c r="E1023" s="0" t="n">
        <v>1</v>
      </c>
      <c r="F1023" s="23" t="s">
        <v>682</v>
      </c>
      <c r="G1023" s="0" t="n">
        <v>57.8</v>
      </c>
      <c r="H1023" s="0" t="n">
        <v>56</v>
      </c>
      <c r="I1023" s="23" t="s">
        <v>92</v>
      </c>
      <c r="J1023" s="0" t="n">
        <v>109</v>
      </c>
      <c r="K1023" s="0" t="n">
        <v>64</v>
      </c>
      <c r="L1023" s="0" t="n">
        <v>32</v>
      </c>
      <c r="P1023" s="0" t="n">
        <v>2.37</v>
      </c>
      <c r="Q1023" s="0" t="n">
        <v>3.17</v>
      </c>
      <c r="R1023" s="0" t="n">
        <v>4943</v>
      </c>
      <c r="S1023" s="0" t="n">
        <v>10422</v>
      </c>
      <c r="T1023" s="0" t="n">
        <v>60.5</v>
      </c>
      <c r="U1023" s="0" t="n">
        <v>776</v>
      </c>
      <c r="V1023" s="0" t="n">
        <v>3</v>
      </c>
      <c r="W1023" s="0" t="str">
        <f aca="false">IF(OR(AND(B1023&gt;=1,B1023&lt;=6),B1023=10),"Vaca em lactação",IF(I1023="Male","Macho",IF(E1023&gt;=1,"Vaca seca",IF(I1023="Youngstock","Bezerra/recria","Novilha"))))</f>
        <v>Vaca em lactação</v>
      </c>
      <c r="X1023" s="0" t="str">
        <f aca="false">IF(AND(B1023&gt;=1,B1023&lt;=6),"Tanque",IF(B1023=10,"Descarte",""))</f>
        <v>Tanque</v>
      </c>
    </row>
    <row r="1024" customFormat="false" ht="15" hidden="false" customHeight="false" outlineLevel="0" collapsed="false">
      <c r="A1024" s="22" t="n">
        <v>46309</v>
      </c>
      <c r="B1024" s="0" t="n">
        <v>4</v>
      </c>
      <c r="C1024" s="0" t="n">
        <v>5849</v>
      </c>
      <c r="D1024" s="0" t="n">
        <v>136</v>
      </c>
      <c r="E1024" s="0" t="n">
        <v>1</v>
      </c>
      <c r="F1024" s="23" t="s">
        <v>142</v>
      </c>
      <c r="G1024" s="0" t="n">
        <v>46</v>
      </c>
      <c r="H1024" s="0" t="n">
        <v>48</v>
      </c>
      <c r="I1024" s="23" t="s">
        <v>109</v>
      </c>
      <c r="J1024" s="0" t="n">
        <v>136</v>
      </c>
      <c r="K1024" s="0" t="n">
        <v>66</v>
      </c>
      <c r="P1024" s="0" t="n">
        <v>3.26</v>
      </c>
      <c r="Q1024" s="0" t="n">
        <v>3.41</v>
      </c>
      <c r="R1024" s="0" t="n">
        <v>4887</v>
      </c>
      <c r="S1024" s="0" t="n">
        <v>9982</v>
      </c>
      <c r="T1024" s="0" t="n">
        <v>53.25</v>
      </c>
      <c r="U1024" s="0" t="n">
        <v>775</v>
      </c>
      <c r="V1024" s="0" t="n">
        <v>2</v>
      </c>
      <c r="W1024" s="0" t="str">
        <f aca="false">IF(OR(AND(B1024&gt;=1,B1024&lt;=6),B1024=10),"Vaca em lactação",IF(I1024="Male","Macho",IF(E1024&gt;=1,"Vaca seca",IF(I1024="Youngstock","Bezerra/recria","Novilha"))))</f>
        <v>Vaca em lactação</v>
      </c>
      <c r="X1024" s="0" t="str">
        <f aca="false">IF(AND(B1024&gt;=1,B1024&lt;=6),"Tanque",IF(B1024=10,"Descarte",""))</f>
        <v>Tanque</v>
      </c>
    </row>
    <row r="1025" customFormat="false" ht="15" hidden="false" customHeight="false" outlineLevel="0" collapsed="false">
      <c r="A1025" s="22" t="n">
        <v>46309</v>
      </c>
      <c r="B1025" s="0" t="n">
        <v>4</v>
      </c>
      <c r="C1025" s="0" t="n">
        <v>5855</v>
      </c>
      <c r="D1025" s="0" t="n">
        <v>135</v>
      </c>
      <c r="E1025" s="0" t="n">
        <v>1</v>
      </c>
      <c r="F1025" s="23" t="s">
        <v>143</v>
      </c>
      <c r="G1025" s="0" t="n">
        <v>54</v>
      </c>
      <c r="H1025" s="0" t="n">
        <v>51</v>
      </c>
      <c r="I1025" s="23" t="s">
        <v>92</v>
      </c>
      <c r="J1025" s="0" t="n">
        <v>65</v>
      </c>
      <c r="K1025" s="0" t="n">
        <v>65</v>
      </c>
      <c r="L1025" s="0" t="n">
        <v>70</v>
      </c>
      <c r="P1025" s="0" t="n">
        <v>4.03</v>
      </c>
      <c r="Q1025" s="0" t="n">
        <v>3.33</v>
      </c>
      <c r="R1025" s="0" t="n">
        <v>4249</v>
      </c>
      <c r="S1025" s="0" t="n">
        <v>9069</v>
      </c>
      <c r="T1025" s="0" t="n">
        <v>45.6</v>
      </c>
      <c r="U1025" s="0" t="n">
        <v>773</v>
      </c>
      <c r="V1025" s="0" t="n">
        <v>1</v>
      </c>
      <c r="W1025" s="0" t="str">
        <f aca="false">IF(OR(AND(B1025&gt;=1,B1025&lt;=6),B1025=10),"Vaca em lactação",IF(I1025="Male","Macho",IF(E1025&gt;=1,"Vaca seca",IF(I1025="Youngstock","Bezerra/recria","Novilha"))))</f>
        <v>Vaca em lactação</v>
      </c>
      <c r="X1025" s="0" t="str">
        <f aca="false">IF(AND(B1025&gt;=1,B1025&lt;=6),"Tanque",IF(B1025=10,"Descarte",""))</f>
        <v>Tanque</v>
      </c>
    </row>
    <row r="1026" customFormat="false" ht="15" hidden="false" customHeight="false" outlineLevel="0" collapsed="false">
      <c r="A1026" s="22" t="n">
        <v>46309</v>
      </c>
      <c r="B1026" s="0" t="n">
        <v>4</v>
      </c>
      <c r="C1026" s="0" t="n">
        <v>5853</v>
      </c>
      <c r="D1026" s="0" t="n">
        <v>118</v>
      </c>
      <c r="E1026" s="0" t="n">
        <v>1</v>
      </c>
      <c r="F1026" s="23" t="s">
        <v>143</v>
      </c>
      <c r="G1026" s="0" t="n">
        <v>42.6</v>
      </c>
      <c r="H1026" s="0" t="n">
        <v>37</v>
      </c>
      <c r="I1026" s="23" t="s">
        <v>92</v>
      </c>
      <c r="J1026" s="0" t="n">
        <v>62</v>
      </c>
      <c r="K1026" s="0" t="n">
        <v>62</v>
      </c>
      <c r="L1026" s="0" t="n">
        <v>56</v>
      </c>
      <c r="P1026" s="0" t="n">
        <v>3.6</v>
      </c>
      <c r="Q1026" s="0" t="n">
        <v>2.94</v>
      </c>
      <c r="R1026" s="0" t="n">
        <v>4106</v>
      </c>
      <c r="S1026" s="0" t="n">
        <v>8353</v>
      </c>
      <c r="T1026" s="0" t="n">
        <v>45.6</v>
      </c>
      <c r="U1026" s="0" t="n">
        <v>773</v>
      </c>
      <c r="V1026" s="0" t="n">
        <v>1</v>
      </c>
      <c r="W1026" s="0" t="str">
        <f aca="false">IF(OR(AND(B1026&gt;=1,B1026&lt;=6),B1026=10),"Vaca em lactação",IF(I1026="Male","Macho",IF(E1026&gt;=1,"Vaca seca",IF(I1026="Youngstock","Bezerra/recria","Novilha"))))</f>
        <v>Vaca em lactação</v>
      </c>
      <c r="X1026" s="0" t="str">
        <f aca="false">IF(AND(B1026&gt;=1,B1026&lt;=6),"Tanque",IF(B1026=10,"Descarte",""))</f>
        <v>Tanque</v>
      </c>
    </row>
    <row r="1027" customFormat="false" ht="15" hidden="false" customHeight="false" outlineLevel="0" collapsed="false">
      <c r="A1027" s="22" t="n">
        <v>46309</v>
      </c>
      <c r="B1027" s="0" t="n">
        <v>4</v>
      </c>
      <c r="C1027" s="0" t="n">
        <v>5856</v>
      </c>
      <c r="D1027" s="0" t="n">
        <v>136</v>
      </c>
      <c r="E1027" s="0" t="n">
        <v>1</v>
      </c>
      <c r="F1027" s="23" t="s">
        <v>683</v>
      </c>
      <c r="G1027" s="0" t="n">
        <v>57.3</v>
      </c>
      <c r="H1027" s="0" t="n">
        <v>55</v>
      </c>
      <c r="I1027" s="23" t="s">
        <v>92</v>
      </c>
      <c r="J1027" s="0" t="n">
        <v>66</v>
      </c>
      <c r="K1027" s="0" t="n">
        <v>66</v>
      </c>
      <c r="L1027" s="0" t="n">
        <v>70</v>
      </c>
      <c r="P1027" s="0" t="n">
        <v>3.34</v>
      </c>
      <c r="Q1027" s="0" t="n">
        <v>3.23</v>
      </c>
      <c r="R1027" s="0" t="n">
        <v>5251</v>
      </c>
      <c r="S1027" s="0" t="n">
        <v>10674</v>
      </c>
      <c r="T1027" s="0" t="n">
        <v>56.35</v>
      </c>
      <c r="U1027" s="0" t="n">
        <v>772</v>
      </c>
      <c r="V1027" s="0" t="n">
        <v>1</v>
      </c>
      <c r="W1027" s="0" t="str">
        <f aca="false">IF(OR(AND(B1027&gt;=1,B1027&lt;=6),B1027=10),"Vaca em lactação",IF(I1027="Male","Macho",IF(E1027&gt;=1,"Vaca seca",IF(I1027="Youngstock","Bezerra/recria","Novilha"))))</f>
        <v>Vaca em lactação</v>
      </c>
      <c r="X1027" s="0" t="str">
        <f aca="false">IF(AND(B1027&gt;=1,B1027&lt;=6),"Tanque",IF(B1027=10,"Descarte",""))</f>
        <v>Tanque</v>
      </c>
    </row>
    <row r="1028" customFormat="false" ht="15" hidden="false" customHeight="false" outlineLevel="0" collapsed="false">
      <c r="A1028" s="22" t="n">
        <v>46309</v>
      </c>
      <c r="B1028" s="0" t="n">
        <v>4</v>
      </c>
      <c r="C1028" s="0" t="n">
        <v>5857</v>
      </c>
      <c r="D1028" s="0" t="n">
        <v>111</v>
      </c>
      <c r="E1028" s="0" t="n">
        <v>1</v>
      </c>
      <c r="F1028" s="23" t="s">
        <v>683</v>
      </c>
      <c r="G1028" s="0" t="n">
        <v>51.5</v>
      </c>
      <c r="H1028" s="0" t="n">
        <v>51</v>
      </c>
      <c r="I1028" s="23" t="s">
        <v>92</v>
      </c>
      <c r="J1028" s="0" t="n">
        <v>69</v>
      </c>
      <c r="K1028" s="0" t="n">
        <v>69</v>
      </c>
      <c r="L1028" s="0" t="n">
        <v>42</v>
      </c>
      <c r="P1028" s="0" t="n">
        <v>3.63</v>
      </c>
      <c r="Q1028" s="0" t="n">
        <v>3.19</v>
      </c>
      <c r="R1028" s="0" t="n">
        <v>4852</v>
      </c>
      <c r="S1028" s="0" t="n">
        <v>9870</v>
      </c>
      <c r="T1028" s="0" t="n">
        <v>50.8</v>
      </c>
      <c r="U1028" s="0" t="n">
        <v>772</v>
      </c>
      <c r="V1028" s="0" t="n">
        <v>1</v>
      </c>
      <c r="W1028" s="0" t="str">
        <f aca="false">IF(OR(AND(B1028&gt;=1,B1028&lt;=6),B1028=10),"Vaca em lactação",IF(I1028="Male","Macho",IF(E1028&gt;=1,"Vaca seca",IF(I1028="Youngstock","Bezerra/recria","Novilha"))))</f>
        <v>Vaca em lactação</v>
      </c>
      <c r="X1028" s="0" t="str">
        <f aca="false">IF(AND(B1028&gt;=1,B1028&lt;=6),"Tanque",IF(B1028=10,"Descarte",""))</f>
        <v>Tanque</v>
      </c>
    </row>
    <row r="1029" customFormat="false" ht="15" hidden="false" customHeight="false" outlineLevel="0" collapsed="false">
      <c r="A1029" s="22" t="n">
        <v>46309</v>
      </c>
      <c r="B1029" s="0" t="n">
        <v>4</v>
      </c>
      <c r="C1029" s="0" t="n">
        <v>5826</v>
      </c>
      <c r="D1029" s="0" t="n">
        <v>179</v>
      </c>
      <c r="E1029" s="0" t="n">
        <v>1</v>
      </c>
      <c r="F1029" s="23" t="s">
        <v>684</v>
      </c>
      <c r="G1029" s="0" t="n">
        <v>47.7</v>
      </c>
      <c r="H1029" s="0" t="n">
        <v>49</v>
      </c>
      <c r="I1029" s="23" t="s">
        <v>92</v>
      </c>
      <c r="J1029" s="0" t="n">
        <v>67</v>
      </c>
      <c r="K1029" s="0" t="n">
        <v>67</v>
      </c>
      <c r="L1029" s="0" t="n">
        <v>112</v>
      </c>
      <c r="P1029" s="0" t="n">
        <v>3.61</v>
      </c>
      <c r="Q1029" s="0" t="n">
        <v>3.18</v>
      </c>
      <c r="R1029" s="0" t="n">
        <v>3656</v>
      </c>
      <c r="S1029" s="0" t="n">
        <v>8218</v>
      </c>
      <c r="T1029" s="0" t="n">
        <v>39.95</v>
      </c>
      <c r="U1029" s="0" t="n">
        <v>782</v>
      </c>
      <c r="V1029" s="0" t="n">
        <v>1</v>
      </c>
      <c r="W1029" s="0" t="str">
        <f aca="false">IF(OR(AND(B1029&gt;=1,B1029&lt;=6),B1029=10),"Vaca em lactação",IF(I1029="Male","Macho",IF(E1029&gt;=1,"Vaca seca",IF(I1029="Youngstock","Bezerra/recria","Novilha"))))</f>
        <v>Vaca em lactação</v>
      </c>
      <c r="X1029" s="0" t="str">
        <f aca="false">IF(AND(B1029&gt;=1,B1029&lt;=6),"Tanque",IF(B1029=10,"Descarte",""))</f>
        <v>Tanque</v>
      </c>
    </row>
    <row r="1030" customFormat="false" ht="15" hidden="false" customHeight="false" outlineLevel="0" collapsed="false">
      <c r="A1030" s="22" t="n">
        <v>46309</v>
      </c>
      <c r="B1030" s="0" t="n">
        <v>4</v>
      </c>
      <c r="C1030" s="0" t="n">
        <v>5837</v>
      </c>
      <c r="D1030" s="0" t="n">
        <v>114</v>
      </c>
      <c r="E1030" s="0" t="n">
        <v>1</v>
      </c>
      <c r="F1030" s="23" t="s">
        <v>685</v>
      </c>
      <c r="G1030" s="0" t="n">
        <v>59.5</v>
      </c>
      <c r="H1030" s="0" t="n">
        <v>58</v>
      </c>
      <c r="I1030" s="23" t="s">
        <v>92</v>
      </c>
      <c r="J1030" s="0" t="n">
        <v>65</v>
      </c>
      <c r="K1030" s="0" t="n">
        <v>65</v>
      </c>
      <c r="L1030" s="0" t="n">
        <v>49</v>
      </c>
      <c r="P1030" s="0" t="n">
        <v>2.93</v>
      </c>
      <c r="Q1030" s="0" t="n">
        <v>3.12</v>
      </c>
      <c r="R1030" s="0" t="n">
        <v>4597</v>
      </c>
      <c r="S1030" s="0" t="n">
        <v>9562</v>
      </c>
      <c r="T1030" s="0" t="n">
        <v>52.35</v>
      </c>
      <c r="U1030" s="0" t="n">
        <v>779</v>
      </c>
      <c r="V1030" s="0" t="n">
        <v>1</v>
      </c>
      <c r="W1030" s="0" t="str">
        <f aca="false">IF(OR(AND(B1030&gt;=1,B1030&lt;=6),B1030=10),"Vaca em lactação",IF(I1030="Male","Macho",IF(E1030&gt;=1,"Vaca seca",IF(I1030="Youngstock","Bezerra/recria","Novilha"))))</f>
        <v>Vaca em lactação</v>
      </c>
      <c r="X1030" s="0" t="str">
        <f aca="false">IF(AND(B1030&gt;=1,B1030&lt;=6),"Tanque",IF(B1030=10,"Descarte",""))</f>
        <v>Tanque</v>
      </c>
    </row>
    <row r="1031" customFormat="false" ht="15" hidden="false" customHeight="false" outlineLevel="0" collapsed="false">
      <c r="A1031" s="22" t="n">
        <v>46309</v>
      </c>
      <c r="B1031" s="0" t="n">
        <v>4</v>
      </c>
      <c r="C1031" s="0" t="n">
        <v>5836</v>
      </c>
      <c r="D1031" s="0" t="n">
        <v>135</v>
      </c>
      <c r="E1031" s="0" t="n">
        <v>1</v>
      </c>
      <c r="F1031" s="23" t="s">
        <v>686</v>
      </c>
      <c r="G1031" s="0" t="n">
        <v>43.7</v>
      </c>
      <c r="H1031" s="0" t="n">
        <v>45</v>
      </c>
      <c r="I1031" s="23" t="s">
        <v>109</v>
      </c>
      <c r="J1031" s="0" t="n">
        <v>135</v>
      </c>
      <c r="K1031" s="0" t="n">
        <v>65</v>
      </c>
      <c r="P1031" s="0" t="n">
        <v>3.75</v>
      </c>
      <c r="Q1031" s="0" t="n">
        <v>3.43</v>
      </c>
      <c r="R1031" s="0" t="n">
        <v>3510</v>
      </c>
      <c r="S1031" s="0" t="n">
        <v>7783</v>
      </c>
      <c r="T1031" s="0" t="n">
        <v>40.5</v>
      </c>
      <c r="U1031" s="0" t="n">
        <v>780</v>
      </c>
      <c r="V1031" s="0" t="n">
        <v>2</v>
      </c>
      <c r="W1031" s="0" t="str">
        <f aca="false">IF(OR(AND(B1031&gt;=1,B1031&lt;=6),B1031=10),"Vaca em lactação",IF(I1031="Male","Macho",IF(E1031&gt;=1,"Vaca seca",IF(I1031="Youngstock","Bezerra/recria","Novilha"))))</f>
        <v>Vaca em lactação</v>
      </c>
      <c r="X1031" s="0" t="str">
        <f aca="false">IF(AND(B1031&gt;=1,B1031&lt;=6),"Tanque",IF(B1031=10,"Descarte",""))</f>
        <v>Tanque</v>
      </c>
    </row>
    <row r="1032" customFormat="false" ht="15" hidden="false" customHeight="false" outlineLevel="0" collapsed="false">
      <c r="A1032" s="22" t="n">
        <v>46309</v>
      </c>
      <c r="B1032" s="0" t="n">
        <v>4</v>
      </c>
      <c r="C1032" s="0" t="n">
        <v>5829</v>
      </c>
      <c r="D1032" s="0" t="n">
        <v>142</v>
      </c>
      <c r="E1032" s="0" t="n">
        <v>1</v>
      </c>
      <c r="F1032" s="23" t="s">
        <v>147</v>
      </c>
      <c r="G1032" s="0" t="n">
        <v>32</v>
      </c>
      <c r="H1032" s="0" t="n">
        <v>38</v>
      </c>
      <c r="I1032" s="23" t="s">
        <v>109</v>
      </c>
      <c r="J1032" s="0" t="n">
        <v>142</v>
      </c>
      <c r="K1032" s="0" t="n">
        <v>66</v>
      </c>
      <c r="P1032" s="0" t="n">
        <v>4.2</v>
      </c>
      <c r="Q1032" s="0" t="n">
        <v>3.31</v>
      </c>
      <c r="R1032" s="0" t="n">
        <v>3016</v>
      </c>
      <c r="S1032" s="0" t="n">
        <v>6610</v>
      </c>
      <c r="T1032" s="0" t="n">
        <v>33.1</v>
      </c>
      <c r="U1032" s="0" t="n">
        <v>781</v>
      </c>
      <c r="V1032" s="0" t="n">
        <v>2</v>
      </c>
      <c r="W1032" s="0" t="str">
        <f aca="false">IF(OR(AND(B1032&gt;=1,B1032&lt;=6),B1032=10),"Vaca em lactação",IF(I1032="Male","Macho",IF(E1032&gt;=1,"Vaca seca",IF(I1032="Youngstock","Bezerra/recria","Novilha"))))</f>
        <v>Vaca em lactação</v>
      </c>
      <c r="X1032" s="0" t="str">
        <f aca="false">IF(AND(B1032&gt;=1,B1032&lt;=6),"Tanque",IF(B1032=10,"Descarte",""))</f>
        <v>Tanque</v>
      </c>
    </row>
    <row r="1033" customFormat="false" ht="15" hidden="false" customHeight="false" outlineLevel="0" collapsed="false">
      <c r="A1033" s="22" t="n">
        <v>46309</v>
      </c>
      <c r="B1033" s="0" t="n">
        <v>4</v>
      </c>
      <c r="C1033" s="0" t="n">
        <v>5925</v>
      </c>
      <c r="D1033" s="0" t="n">
        <v>121</v>
      </c>
      <c r="E1033" s="0" t="n">
        <v>1</v>
      </c>
      <c r="F1033" s="23" t="s">
        <v>161</v>
      </c>
      <c r="G1033" s="0" t="n">
        <v>33.6</v>
      </c>
      <c r="H1033" s="0" t="n">
        <v>33</v>
      </c>
      <c r="I1033" s="23" t="s">
        <v>92</v>
      </c>
      <c r="J1033" s="0" t="n">
        <v>65</v>
      </c>
      <c r="K1033" s="0" t="n">
        <v>65</v>
      </c>
      <c r="L1033" s="0" t="n">
        <v>56</v>
      </c>
      <c r="P1033" s="0" t="n">
        <v>6.32</v>
      </c>
      <c r="Q1033" s="0" t="n">
        <v>3.39</v>
      </c>
      <c r="R1033" s="0" t="n">
        <v>2043</v>
      </c>
      <c r="S1033" s="0" t="n">
        <v>4710</v>
      </c>
      <c r="U1033" s="0" t="n">
        <v>744</v>
      </c>
      <c r="V1033" s="0" t="n">
        <v>1</v>
      </c>
      <c r="W1033" s="0" t="str">
        <f aca="false">IF(OR(AND(B1033&gt;=1,B1033&lt;=6),B1033=10),"Vaca em lactação",IF(I1033="Male","Macho",IF(E1033&gt;=1,"Vaca seca",IF(I1033="Youngstock","Bezerra/recria","Novilha"))))</f>
        <v>Vaca em lactação</v>
      </c>
      <c r="X1033" s="0" t="str">
        <f aca="false">IF(AND(B1033&gt;=1,B1033&lt;=6),"Tanque",IF(B1033=10,"Descarte",""))</f>
        <v>Tanque</v>
      </c>
    </row>
    <row r="1034" customFormat="false" ht="15" hidden="false" customHeight="false" outlineLevel="0" collapsed="false">
      <c r="A1034" s="22" t="n">
        <v>46309</v>
      </c>
      <c r="B1034" s="0" t="n">
        <v>4</v>
      </c>
      <c r="C1034" s="0" t="n">
        <v>5904</v>
      </c>
      <c r="D1034" s="0" t="n">
        <v>112</v>
      </c>
      <c r="E1034" s="0" t="n">
        <v>1</v>
      </c>
      <c r="F1034" s="23" t="s">
        <v>169</v>
      </c>
      <c r="G1034" s="0" t="n">
        <v>45.4</v>
      </c>
      <c r="H1034" s="0" t="n">
        <v>40</v>
      </c>
      <c r="I1034" s="23" t="s">
        <v>97</v>
      </c>
      <c r="J1034" s="0" t="n">
        <v>112</v>
      </c>
      <c r="K1034" s="0" t="n">
        <v>63</v>
      </c>
      <c r="P1034" s="0" t="n">
        <v>3.76</v>
      </c>
      <c r="Q1034" s="0" t="n">
        <v>3.33</v>
      </c>
      <c r="R1034" s="0" t="n">
        <v>3740</v>
      </c>
      <c r="S1034" s="0" t="n">
        <v>7611</v>
      </c>
      <c r="T1034" s="0" t="n">
        <v>39.95</v>
      </c>
      <c r="U1034" s="0" t="n">
        <v>754</v>
      </c>
      <c r="V1034" s="0" t="n">
        <v>2</v>
      </c>
      <c r="W1034" s="0" t="str">
        <f aca="false">IF(OR(AND(B1034&gt;=1,B1034&lt;=6),B1034=10),"Vaca em lactação",IF(I1034="Male","Macho",IF(E1034&gt;=1,"Vaca seca",IF(I1034="Youngstock","Bezerra/recria","Novilha"))))</f>
        <v>Vaca em lactação</v>
      </c>
      <c r="X1034" s="0" t="str">
        <f aca="false">IF(AND(B1034&gt;=1,B1034&lt;=6),"Tanque",IF(B1034=10,"Descarte",""))</f>
        <v>Tanque</v>
      </c>
    </row>
    <row r="1035" customFormat="false" ht="15" hidden="false" customHeight="false" outlineLevel="0" collapsed="false">
      <c r="A1035" s="22" t="n">
        <v>46309</v>
      </c>
      <c r="B1035" s="0" t="n">
        <v>4</v>
      </c>
      <c r="C1035" s="0" t="n">
        <v>5908</v>
      </c>
      <c r="D1035" s="0" t="n">
        <v>117</v>
      </c>
      <c r="E1035" s="0" t="n">
        <v>1</v>
      </c>
      <c r="F1035" s="23" t="s">
        <v>170</v>
      </c>
      <c r="G1035" s="0" t="n">
        <v>30.8</v>
      </c>
      <c r="H1035" s="0" t="n">
        <v>36</v>
      </c>
      <c r="I1035" s="23" t="s">
        <v>92</v>
      </c>
      <c r="J1035" s="0" t="n">
        <v>68</v>
      </c>
      <c r="K1035" s="0" t="n">
        <v>68</v>
      </c>
      <c r="L1035" s="0" t="n">
        <v>49</v>
      </c>
      <c r="P1035" s="0" t="n">
        <v>3.21</v>
      </c>
      <c r="Q1035" s="0" t="n">
        <v>3.14</v>
      </c>
      <c r="R1035" s="0" t="n">
        <v>3454</v>
      </c>
      <c r="S1035" s="0" t="n">
        <v>7112</v>
      </c>
      <c r="T1035" s="0" t="n">
        <v>40.15</v>
      </c>
      <c r="U1035" s="0" t="n">
        <v>753</v>
      </c>
      <c r="V1035" s="0" t="n">
        <v>1</v>
      </c>
      <c r="W1035" s="0" t="str">
        <f aca="false">IF(OR(AND(B1035&gt;=1,B1035&lt;=6),B1035=10),"Vaca em lactação",IF(I1035="Male","Macho",IF(E1035&gt;=1,"Vaca seca",IF(I1035="Youngstock","Bezerra/recria","Novilha"))))</f>
        <v>Vaca em lactação</v>
      </c>
      <c r="X1035" s="0" t="str">
        <f aca="false">IF(AND(B1035&gt;=1,B1035&lt;=6),"Tanque",IF(B1035=10,"Descarte",""))</f>
        <v>Tanque</v>
      </c>
    </row>
    <row r="1036" customFormat="false" ht="15" hidden="false" customHeight="false" outlineLevel="0" collapsed="false">
      <c r="A1036" s="22" t="n">
        <v>46309</v>
      </c>
      <c r="B1036" s="0" t="n">
        <v>4</v>
      </c>
      <c r="C1036" s="0" t="n">
        <v>5917</v>
      </c>
      <c r="D1036" s="0" t="n">
        <v>111</v>
      </c>
      <c r="E1036" s="0" t="n">
        <v>1</v>
      </c>
      <c r="F1036" s="23" t="s">
        <v>172</v>
      </c>
      <c r="G1036" s="0" t="n">
        <v>42.7</v>
      </c>
      <c r="H1036" s="0" t="n">
        <v>42</v>
      </c>
      <c r="I1036" s="23" t="s">
        <v>97</v>
      </c>
      <c r="J1036" s="0" t="n">
        <v>111</v>
      </c>
      <c r="K1036" s="0" t="n">
        <v>62</v>
      </c>
      <c r="P1036" s="0" t="n">
        <v>4.14</v>
      </c>
      <c r="Q1036" s="0" t="n">
        <v>2.59</v>
      </c>
      <c r="R1036" s="0" t="n">
        <v>4202</v>
      </c>
      <c r="S1036" s="0" t="n">
        <v>8457</v>
      </c>
      <c r="T1036" s="0" t="n">
        <v>47.65</v>
      </c>
      <c r="U1036" s="0" t="n">
        <v>748</v>
      </c>
      <c r="V1036" s="0" t="n">
        <v>2</v>
      </c>
      <c r="W1036" s="0" t="str">
        <f aca="false">IF(OR(AND(B1036&gt;=1,B1036&lt;=6),B1036=10),"Vaca em lactação",IF(I1036="Male","Macho",IF(E1036&gt;=1,"Vaca seca",IF(I1036="Youngstock","Bezerra/recria","Novilha"))))</f>
        <v>Vaca em lactação</v>
      </c>
      <c r="X1036" s="0" t="str">
        <f aca="false">IF(AND(B1036&gt;=1,B1036&lt;=6),"Tanque",IF(B1036=10,"Descarte",""))</f>
        <v>Tanque</v>
      </c>
    </row>
    <row r="1037" customFormat="false" ht="15" hidden="false" customHeight="false" outlineLevel="0" collapsed="false">
      <c r="A1037" s="22" t="n">
        <v>46309</v>
      </c>
      <c r="B1037" s="0" t="n">
        <v>4</v>
      </c>
      <c r="C1037" s="0" t="n">
        <v>5327</v>
      </c>
      <c r="D1037" s="0" t="n">
        <v>325</v>
      </c>
      <c r="E1037" s="0" t="n">
        <v>1</v>
      </c>
      <c r="F1037" s="23" t="s">
        <v>572</v>
      </c>
      <c r="G1037" s="0" t="n">
        <v>39.6</v>
      </c>
      <c r="H1037" s="0" t="n">
        <v>39</v>
      </c>
      <c r="I1037" s="23" t="s">
        <v>92</v>
      </c>
      <c r="J1037" s="0" t="n">
        <v>199</v>
      </c>
      <c r="K1037" s="0" t="n">
        <v>66</v>
      </c>
      <c r="L1037" s="0" t="n">
        <v>126</v>
      </c>
      <c r="P1037" s="0" t="n">
        <v>3.75</v>
      </c>
      <c r="Q1037" s="0" t="n">
        <v>3.76</v>
      </c>
      <c r="R1037" s="0" t="n">
        <v>3169</v>
      </c>
      <c r="S1037" s="0" t="n">
        <v>6653</v>
      </c>
      <c r="T1037" s="0" t="n">
        <v>36.55</v>
      </c>
      <c r="U1037" s="0" t="n">
        <v>976</v>
      </c>
      <c r="V1037" s="0" t="n">
        <v>5</v>
      </c>
      <c r="W1037" s="0" t="str">
        <f aca="false">IF(OR(AND(B1037&gt;=1,B1037&lt;=6),B1037=10),"Vaca em lactação",IF(I1037="Male","Macho",IF(E1037&gt;=1,"Vaca seca",IF(I1037="Youngstock","Bezerra/recria","Novilha"))))</f>
        <v>Vaca em lactação</v>
      </c>
      <c r="X1037" s="0" t="str">
        <f aca="false">IF(AND(B1037&gt;=1,B1037&lt;=6),"Tanque",IF(B1037=10,"Descarte",""))</f>
        <v>Tanque</v>
      </c>
    </row>
    <row r="1038" customFormat="false" ht="15" hidden="false" customHeight="false" outlineLevel="0" collapsed="false">
      <c r="A1038" s="22" t="n">
        <v>46309</v>
      </c>
      <c r="B1038" s="0" t="n">
        <v>5</v>
      </c>
      <c r="C1038" s="0" t="n">
        <v>4613</v>
      </c>
      <c r="D1038" s="0" t="n">
        <v>309</v>
      </c>
      <c r="E1038" s="0" t="n">
        <v>2</v>
      </c>
      <c r="F1038" s="23" t="s">
        <v>687</v>
      </c>
      <c r="G1038" s="0" t="n">
        <v>31.1</v>
      </c>
      <c r="H1038" s="0" t="n">
        <v>29</v>
      </c>
      <c r="I1038" s="23" t="s">
        <v>92</v>
      </c>
      <c r="J1038" s="0" t="n">
        <v>87</v>
      </c>
      <c r="K1038" s="0" t="n">
        <v>64</v>
      </c>
      <c r="L1038" s="0" t="n">
        <v>222</v>
      </c>
      <c r="M1038" s="0" t="n">
        <v>-269.9</v>
      </c>
      <c r="N1038" s="0" t="n">
        <v>48.51</v>
      </c>
      <c r="O1038" s="0" t="n">
        <v>4.12</v>
      </c>
      <c r="P1038" s="0" t="n">
        <v>5.27</v>
      </c>
      <c r="Q1038" s="0" t="n">
        <v>3.81</v>
      </c>
      <c r="R1038" s="0" t="n">
        <v>4882</v>
      </c>
      <c r="S1038" s="0" t="n">
        <v>10097</v>
      </c>
      <c r="T1038" s="0" t="n">
        <v>50.25</v>
      </c>
      <c r="U1038" s="0" t="n">
        <v>1308</v>
      </c>
      <c r="V1038" s="0" t="n">
        <v>2</v>
      </c>
      <c r="W1038" s="0" t="str">
        <f aca="false">IF(OR(AND(B1038&gt;=1,B1038&lt;=6),B1038=10),"Vaca em lactação",IF(I1038="Male","Macho",IF(E1038&gt;=1,"Vaca seca",IF(I1038="Youngstock","Bezerra/recria","Novilha"))))</f>
        <v>Vaca em lactação</v>
      </c>
      <c r="X1038" s="0" t="str">
        <f aca="false">IF(AND(B1038&gt;=1,B1038&lt;=6),"Tanque",IF(B1038=10,"Descarte",""))</f>
        <v>Tanque</v>
      </c>
    </row>
    <row r="1039" customFormat="false" ht="15" hidden="false" customHeight="false" outlineLevel="0" collapsed="false">
      <c r="A1039" s="22" t="n">
        <v>46309</v>
      </c>
      <c r="B1039" s="0" t="n">
        <v>5</v>
      </c>
      <c r="C1039" s="0" t="n">
        <v>892</v>
      </c>
      <c r="D1039" s="0" t="n">
        <v>47</v>
      </c>
      <c r="E1039" s="0" t="n">
        <v>7</v>
      </c>
      <c r="F1039" s="23" t="s">
        <v>688</v>
      </c>
      <c r="G1039" s="0" t="n">
        <v>32.8</v>
      </c>
      <c r="H1039" s="0" t="n">
        <v>38</v>
      </c>
      <c r="I1039" s="23" t="s">
        <v>94</v>
      </c>
      <c r="J1039" s="0" t="n">
        <v>47</v>
      </c>
      <c r="P1039" s="0" t="n">
        <v>3.26</v>
      </c>
      <c r="Q1039" s="0" t="n">
        <v>3.4</v>
      </c>
      <c r="R1039" s="0" t="n">
        <v>3183</v>
      </c>
      <c r="S1039" s="0" t="n">
        <v>6398</v>
      </c>
      <c r="U1039" s="0" t="n">
        <v>3796</v>
      </c>
      <c r="V1039" s="0" t="n">
        <v>0</v>
      </c>
      <c r="W1039" s="0" t="str">
        <f aca="false">IF(OR(AND(B1039&gt;=1,B1039&lt;=6),B1039=10),"Vaca em lactação",IF(I1039="Male","Macho",IF(E1039&gt;=1,"Vaca seca",IF(I1039="Youngstock","Bezerra/recria","Novilha"))))</f>
        <v>Vaca em lactação</v>
      </c>
      <c r="X1039" s="0" t="str">
        <f aca="false">IF(AND(B1039&gt;=1,B1039&lt;=6),"Tanque",IF(B1039=10,"Descarte",""))</f>
        <v>Tanque</v>
      </c>
    </row>
    <row r="1040" customFormat="false" ht="15" hidden="false" customHeight="false" outlineLevel="0" collapsed="false">
      <c r="A1040" s="22" t="n">
        <v>46309</v>
      </c>
      <c r="B1040" s="0" t="n">
        <v>5</v>
      </c>
      <c r="C1040" s="0" t="n">
        <v>3754</v>
      </c>
      <c r="D1040" s="0" t="n">
        <v>320</v>
      </c>
      <c r="E1040" s="0" t="n">
        <v>3</v>
      </c>
      <c r="F1040" s="23" t="s">
        <v>689</v>
      </c>
      <c r="G1040" s="0" t="n">
        <v>35.6</v>
      </c>
      <c r="H1040" s="0" t="n">
        <v>42</v>
      </c>
      <c r="I1040" s="23" t="s">
        <v>97</v>
      </c>
      <c r="J1040" s="0" t="n">
        <v>320</v>
      </c>
      <c r="K1040" s="0" t="n">
        <v>68</v>
      </c>
      <c r="M1040" s="0" t="n">
        <v>1012.8</v>
      </c>
      <c r="N1040" s="0" t="n">
        <v>65.22</v>
      </c>
      <c r="O1040" s="0" t="n">
        <v>41.46</v>
      </c>
      <c r="P1040" s="0" t="n">
        <v>5.72</v>
      </c>
      <c r="Q1040" s="0" t="n">
        <v>4.6</v>
      </c>
      <c r="R1040" s="0" t="n">
        <v>6382</v>
      </c>
      <c r="S1040" s="0" t="n">
        <v>12606</v>
      </c>
      <c r="T1040" s="0" t="n">
        <v>72.35</v>
      </c>
      <c r="U1040" s="0" t="n">
        <v>1773</v>
      </c>
      <c r="V1040" s="0" t="n">
        <v>8</v>
      </c>
      <c r="W1040" s="0" t="str">
        <f aca="false">IF(OR(AND(B1040&gt;=1,B1040&lt;=6),B1040=10),"Vaca em lactação",IF(I1040="Male","Macho",IF(E1040&gt;=1,"Vaca seca",IF(I1040="Youngstock","Bezerra/recria","Novilha"))))</f>
        <v>Vaca em lactação</v>
      </c>
      <c r="X1040" s="0" t="str">
        <f aca="false">IF(AND(B1040&gt;=1,B1040&lt;=6),"Tanque",IF(B1040=10,"Descarte",""))</f>
        <v>Tanque</v>
      </c>
    </row>
    <row r="1041" customFormat="false" ht="15" hidden="false" customHeight="false" outlineLevel="0" collapsed="false">
      <c r="A1041" s="22" t="n">
        <v>46309</v>
      </c>
      <c r="B1041" s="0" t="n">
        <v>5</v>
      </c>
      <c r="C1041" s="0" t="n">
        <v>3697</v>
      </c>
      <c r="D1041" s="0" t="n">
        <v>318</v>
      </c>
      <c r="E1041" s="0" t="n">
        <v>3</v>
      </c>
      <c r="F1041" s="23" t="s">
        <v>690</v>
      </c>
      <c r="G1041" s="0" t="n">
        <v>46.3</v>
      </c>
      <c r="H1041" s="0" t="n">
        <v>49</v>
      </c>
      <c r="I1041" s="23" t="s">
        <v>92</v>
      </c>
      <c r="J1041" s="0" t="n">
        <v>220</v>
      </c>
      <c r="K1041" s="0" t="n">
        <v>66</v>
      </c>
      <c r="L1041" s="0" t="n">
        <v>98</v>
      </c>
      <c r="M1041" s="0" t="n">
        <v>540.29</v>
      </c>
      <c r="N1041" s="0" t="n">
        <v>50.89</v>
      </c>
      <c r="O1041" s="0" t="n">
        <v>22.38</v>
      </c>
      <c r="P1041" s="0" t="n">
        <v>4.7</v>
      </c>
      <c r="Q1041" s="0" t="n">
        <v>3.99</v>
      </c>
      <c r="R1041" s="0" t="n">
        <v>6085</v>
      </c>
      <c r="S1041" s="0" t="n">
        <v>12268</v>
      </c>
      <c r="T1041" s="0" t="n">
        <v>59.65</v>
      </c>
      <c r="U1041" s="0" t="n">
        <v>1811</v>
      </c>
      <c r="V1041" s="0" t="n">
        <v>6</v>
      </c>
      <c r="W1041" s="0" t="str">
        <f aca="false">IF(OR(AND(B1041&gt;=1,B1041&lt;=6),B1041=10),"Vaca em lactação",IF(I1041="Male","Macho",IF(E1041&gt;=1,"Vaca seca",IF(I1041="Youngstock","Bezerra/recria","Novilha"))))</f>
        <v>Vaca em lactação</v>
      </c>
      <c r="X1041" s="0" t="str">
        <f aca="false">IF(AND(B1041&gt;=1,B1041&lt;=6),"Tanque",IF(B1041=10,"Descarte",""))</f>
        <v>Tanque</v>
      </c>
    </row>
    <row r="1042" customFormat="false" ht="15" hidden="false" customHeight="false" outlineLevel="0" collapsed="false">
      <c r="A1042" s="22" t="n">
        <v>46309</v>
      </c>
      <c r="B1042" s="0" t="n">
        <v>5</v>
      </c>
      <c r="C1042" s="0" t="n">
        <v>3696</v>
      </c>
      <c r="D1042" s="0" t="n">
        <v>207</v>
      </c>
      <c r="E1042" s="0" t="n">
        <v>3</v>
      </c>
      <c r="F1042" s="23" t="s">
        <v>690</v>
      </c>
      <c r="G1042" s="0" t="n">
        <v>32.2</v>
      </c>
      <c r="H1042" s="0" t="n">
        <v>31</v>
      </c>
      <c r="I1042" s="23" t="s">
        <v>92</v>
      </c>
      <c r="J1042" s="0" t="n">
        <v>91</v>
      </c>
      <c r="K1042" s="0" t="n">
        <v>74</v>
      </c>
      <c r="L1042" s="0" t="n">
        <v>116</v>
      </c>
      <c r="M1042" s="0" t="n">
        <v>143.38</v>
      </c>
      <c r="N1042" s="0" t="n">
        <v>5.7</v>
      </c>
      <c r="O1042" s="0" t="n">
        <v>3.47</v>
      </c>
      <c r="P1042" s="0" t="n">
        <v>4.24</v>
      </c>
      <c r="Q1042" s="0" t="n">
        <v>3.66</v>
      </c>
      <c r="R1042" s="0" t="n">
        <v>3193</v>
      </c>
      <c r="S1042" s="0" t="n">
        <v>7050</v>
      </c>
      <c r="T1042" s="0" t="n">
        <v>41.3</v>
      </c>
      <c r="U1042" s="0" t="n">
        <v>1811</v>
      </c>
      <c r="V1042" s="0" t="n">
        <v>2</v>
      </c>
      <c r="W1042" s="0" t="str">
        <f aca="false">IF(OR(AND(B1042&gt;=1,B1042&lt;=6),B1042=10),"Vaca em lactação",IF(I1042="Male","Macho",IF(E1042&gt;=1,"Vaca seca",IF(I1042="Youngstock","Bezerra/recria","Novilha"))))</f>
        <v>Vaca em lactação</v>
      </c>
      <c r="X1042" s="0" t="str">
        <f aca="false">IF(AND(B1042&gt;=1,B1042&lt;=6),"Tanque",IF(B1042=10,"Descarte",""))</f>
        <v>Tanque</v>
      </c>
    </row>
    <row r="1043" customFormat="false" ht="15" hidden="false" customHeight="false" outlineLevel="0" collapsed="false">
      <c r="A1043" s="22" t="n">
        <v>46309</v>
      </c>
      <c r="B1043" s="0" t="n">
        <v>5</v>
      </c>
      <c r="C1043" s="0" t="n">
        <v>3718</v>
      </c>
      <c r="D1043" s="0" t="n">
        <v>132</v>
      </c>
      <c r="E1043" s="0" t="n">
        <v>3</v>
      </c>
      <c r="F1043" s="23" t="s">
        <v>691</v>
      </c>
      <c r="G1043" s="0" t="n">
        <v>43.3</v>
      </c>
      <c r="H1043" s="0" t="n">
        <v>43</v>
      </c>
      <c r="I1043" s="23" t="s">
        <v>97</v>
      </c>
      <c r="J1043" s="0" t="n">
        <v>132</v>
      </c>
      <c r="K1043" s="0" t="n">
        <v>69</v>
      </c>
      <c r="M1043" s="0" t="n">
        <v>274.08</v>
      </c>
      <c r="N1043" s="0" t="n">
        <v>34.01</v>
      </c>
      <c r="O1043" s="0" t="n">
        <v>23.43</v>
      </c>
      <c r="P1043" s="0" t="n">
        <v>3.4</v>
      </c>
      <c r="Q1043" s="0" t="n">
        <v>3.63</v>
      </c>
      <c r="R1043" s="0" t="n">
        <v>4638</v>
      </c>
      <c r="S1043" s="0" t="n">
        <v>9325</v>
      </c>
      <c r="T1043" s="0" t="n">
        <v>54</v>
      </c>
      <c r="U1043" s="0" t="n">
        <v>1797</v>
      </c>
      <c r="V1043" s="0" t="n">
        <v>2</v>
      </c>
      <c r="W1043" s="0" t="str">
        <f aca="false">IF(OR(AND(B1043&gt;=1,B1043&lt;=6),B1043=10),"Vaca em lactação",IF(I1043="Male","Macho",IF(E1043&gt;=1,"Vaca seca",IF(I1043="Youngstock","Bezerra/recria","Novilha"))))</f>
        <v>Vaca em lactação</v>
      </c>
      <c r="X1043" s="0" t="str">
        <f aca="false">IF(AND(B1043&gt;=1,B1043&lt;=6),"Tanque",IF(B1043=10,"Descarte",""))</f>
        <v>Tanque</v>
      </c>
    </row>
    <row r="1044" customFormat="false" ht="15" hidden="false" customHeight="false" outlineLevel="0" collapsed="false">
      <c r="A1044" s="22" t="n">
        <v>46309</v>
      </c>
      <c r="B1044" s="0" t="n">
        <v>5</v>
      </c>
      <c r="C1044" s="0" t="n">
        <v>3710</v>
      </c>
      <c r="D1044" s="0" t="n">
        <v>83</v>
      </c>
      <c r="E1044" s="0" t="n">
        <v>4</v>
      </c>
      <c r="F1044" s="23" t="s">
        <v>692</v>
      </c>
      <c r="G1044" s="0" t="n">
        <v>41.2</v>
      </c>
      <c r="H1044" s="0" t="n">
        <v>38</v>
      </c>
      <c r="I1044" s="23" t="s">
        <v>97</v>
      </c>
      <c r="J1044" s="0" t="n">
        <v>83</v>
      </c>
      <c r="K1044" s="0" t="n">
        <v>66</v>
      </c>
      <c r="M1044" s="0" t="n">
        <v>141.56</v>
      </c>
      <c r="N1044" s="0" t="n">
        <v>25.66</v>
      </c>
      <c r="O1044" s="0" t="n">
        <v>13.99</v>
      </c>
      <c r="P1044" s="0" t="n">
        <v>3.5</v>
      </c>
      <c r="Q1044" s="0" t="n">
        <v>3.36</v>
      </c>
      <c r="R1044" s="0" t="n">
        <v>4006</v>
      </c>
      <c r="S1044" s="0" t="n">
        <v>8052</v>
      </c>
      <c r="U1044" s="0" t="n">
        <v>1805</v>
      </c>
      <c r="V1044" s="0" t="n">
        <v>1</v>
      </c>
      <c r="W1044" s="0" t="str">
        <f aca="false">IF(OR(AND(B1044&gt;=1,B1044&lt;=6),B1044=10),"Vaca em lactação",IF(I1044="Male","Macho",IF(E1044&gt;=1,"Vaca seca",IF(I1044="Youngstock","Bezerra/recria","Novilha"))))</f>
        <v>Vaca em lactação</v>
      </c>
      <c r="X1044" s="0" t="str">
        <f aca="false">IF(AND(B1044&gt;=1,B1044&lt;=6),"Tanque",IF(B1044=10,"Descarte",""))</f>
        <v>Tanque</v>
      </c>
    </row>
    <row r="1045" customFormat="false" ht="15" hidden="false" customHeight="false" outlineLevel="0" collapsed="false">
      <c r="A1045" s="22" t="n">
        <v>46309</v>
      </c>
      <c r="B1045" s="0" t="n">
        <v>5</v>
      </c>
      <c r="C1045" s="0" t="n">
        <v>3802</v>
      </c>
      <c r="D1045" s="0" t="n">
        <v>146</v>
      </c>
      <c r="E1045" s="0" t="n">
        <v>3</v>
      </c>
      <c r="F1045" s="23" t="s">
        <v>693</v>
      </c>
      <c r="G1045" s="0" t="n">
        <v>47.6</v>
      </c>
      <c r="H1045" s="0" t="n">
        <v>46</v>
      </c>
      <c r="I1045" s="23" t="s">
        <v>109</v>
      </c>
      <c r="J1045" s="0" t="n">
        <v>146</v>
      </c>
      <c r="K1045" s="0" t="n">
        <v>104</v>
      </c>
      <c r="M1045" s="0" t="n">
        <v>465.33</v>
      </c>
      <c r="N1045" s="0" t="n">
        <v>66.6</v>
      </c>
      <c r="O1045" s="0" t="n">
        <v>23.42</v>
      </c>
      <c r="P1045" s="0" t="n">
        <v>4.42</v>
      </c>
      <c r="Q1045" s="0" t="n">
        <v>2.93</v>
      </c>
      <c r="R1045" s="0" t="n">
        <v>5020</v>
      </c>
      <c r="S1045" s="0" t="n">
        <v>10176</v>
      </c>
      <c r="T1045" s="0" t="n">
        <v>57.2</v>
      </c>
      <c r="U1045" s="0" t="n">
        <v>1730</v>
      </c>
      <c r="V1045" s="0" t="n">
        <v>1</v>
      </c>
      <c r="W1045" s="0" t="str">
        <f aca="false">IF(OR(AND(B1045&gt;=1,B1045&lt;=6),B1045=10),"Vaca em lactação",IF(I1045="Male","Macho",IF(E1045&gt;=1,"Vaca seca",IF(I1045="Youngstock","Bezerra/recria","Novilha"))))</f>
        <v>Vaca em lactação</v>
      </c>
      <c r="X1045" s="0" t="str">
        <f aca="false">IF(AND(B1045&gt;=1,B1045&lt;=6),"Tanque",IF(B1045=10,"Descarte",""))</f>
        <v>Tanque</v>
      </c>
    </row>
    <row r="1046" customFormat="false" ht="15" hidden="false" customHeight="false" outlineLevel="0" collapsed="false">
      <c r="A1046" s="22" t="n">
        <v>46309</v>
      </c>
      <c r="B1046" s="0" t="n">
        <v>5</v>
      </c>
      <c r="C1046" s="0" t="n">
        <v>3806</v>
      </c>
      <c r="D1046" s="0" t="n">
        <v>281</v>
      </c>
      <c r="E1046" s="0" t="n">
        <v>3</v>
      </c>
      <c r="F1046" s="23" t="s">
        <v>694</v>
      </c>
      <c r="G1046" s="0" t="n">
        <v>36.9</v>
      </c>
      <c r="H1046" s="0" t="n">
        <v>36</v>
      </c>
      <c r="I1046" s="23" t="s">
        <v>92</v>
      </c>
      <c r="J1046" s="0" t="n">
        <v>215</v>
      </c>
      <c r="K1046" s="0" t="n">
        <v>215</v>
      </c>
      <c r="L1046" s="0" t="n">
        <v>66</v>
      </c>
      <c r="M1046" s="0" t="n">
        <v>689.54</v>
      </c>
      <c r="N1046" s="0" t="n">
        <v>49.56</v>
      </c>
      <c r="O1046" s="0" t="n">
        <v>26.24</v>
      </c>
      <c r="P1046" s="0" t="n">
        <v>4.67</v>
      </c>
      <c r="Q1046" s="0" t="n">
        <v>3.4</v>
      </c>
      <c r="R1046" s="0" t="n">
        <v>4359</v>
      </c>
      <c r="S1046" s="0" t="n">
        <v>8939</v>
      </c>
      <c r="T1046" s="0" t="n">
        <v>51.5</v>
      </c>
      <c r="U1046" s="0" t="n">
        <v>1726</v>
      </c>
      <c r="V1046" s="0" t="n">
        <v>1</v>
      </c>
      <c r="W1046" s="0" t="str">
        <f aca="false">IF(OR(AND(B1046&gt;=1,B1046&lt;=6),B1046=10),"Vaca em lactação",IF(I1046="Male","Macho",IF(E1046&gt;=1,"Vaca seca",IF(I1046="Youngstock","Bezerra/recria","Novilha"))))</f>
        <v>Vaca em lactação</v>
      </c>
      <c r="X1046" s="0" t="str">
        <f aca="false">IF(AND(B1046&gt;=1,B1046&lt;=6),"Tanque",IF(B1046=10,"Descarte",""))</f>
        <v>Tanque</v>
      </c>
    </row>
    <row r="1047" customFormat="false" ht="15" hidden="false" customHeight="false" outlineLevel="0" collapsed="false">
      <c r="A1047" s="22" t="n">
        <v>46309</v>
      </c>
      <c r="B1047" s="0" t="n">
        <v>5</v>
      </c>
      <c r="C1047" s="0" t="n">
        <v>3803</v>
      </c>
      <c r="D1047" s="0" t="n">
        <v>176</v>
      </c>
      <c r="E1047" s="0" t="n">
        <v>3</v>
      </c>
      <c r="F1047" s="23" t="s">
        <v>695</v>
      </c>
      <c r="G1047" s="0" t="n">
        <v>35.5</v>
      </c>
      <c r="H1047" s="0" t="n">
        <v>40</v>
      </c>
      <c r="I1047" s="23" t="s">
        <v>92</v>
      </c>
      <c r="J1047" s="0" t="n">
        <v>92</v>
      </c>
      <c r="K1047" s="0" t="n">
        <v>92</v>
      </c>
      <c r="L1047" s="0" t="n">
        <v>84</v>
      </c>
      <c r="M1047" s="0" t="n">
        <v>820.88</v>
      </c>
      <c r="N1047" s="0" t="n">
        <v>33.74</v>
      </c>
      <c r="O1047" s="0" t="n">
        <v>29.85</v>
      </c>
      <c r="P1047" s="0" t="n">
        <v>3.82</v>
      </c>
      <c r="Q1047" s="0" t="n">
        <v>3.85</v>
      </c>
      <c r="R1047" s="0" t="n">
        <v>4874</v>
      </c>
      <c r="S1047" s="0" t="n">
        <v>8641</v>
      </c>
      <c r="T1047" s="0" t="n">
        <v>69.6</v>
      </c>
      <c r="U1047" s="0" t="n">
        <v>1729</v>
      </c>
      <c r="V1047" s="0" t="n">
        <v>1</v>
      </c>
      <c r="W1047" s="0" t="str">
        <f aca="false">IF(OR(AND(B1047&gt;=1,B1047&lt;=6),B1047=10),"Vaca em lactação",IF(I1047="Male","Macho",IF(E1047&gt;=1,"Vaca seca",IF(I1047="Youngstock","Bezerra/recria","Novilha"))))</f>
        <v>Vaca em lactação</v>
      </c>
      <c r="X1047" s="0" t="str">
        <f aca="false">IF(AND(B1047&gt;=1,B1047&lt;=6),"Tanque",IF(B1047=10,"Descarte",""))</f>
        <v>Tanque</v>
      </c>
    </row>
    <row r="1048" customFormat="false" ht="15" hidden="false" customHeight="false" outlineLevel="0" collapsed="false">
      <c r="A1048" s="22" t="n">
        <v>46309</v>
      </c>
      <c r="B1048" s="0" t="n">
        <v>5</v>
      </c>
      <c r="C1048" s="0" t="n">
        <v>649</v>
      </c>
      <c r="D1048" s="0" t="n">
        <v>280</v>
      </c>
      <c r="E1048" s="0" t="n">
        <v>3</v>
      </c>
      <c r="F1048" s="23" t="s">
        <v>696</v>
      </c>
      <c r="G1048" s="0" t="n">
        <v>51.4</v>
      </c>
      <c r="H1048" s="0" t="n">
        <v>41</v>
      </c>
      <c r="I1048" s="23" t="s">
        <v>92</v>
      </c>
      <c r="J1048" s="0" t="n">
        <v>182</v>
      </c>
      <c r="K1048" s="0" t="n">
        <v>63</v>
      </c>
      <c r="L1048" s="0" t="n">
        <v>98</v>
      </c>
      <c r="M1048" s="0" t="n">
        <v>152.82</v>
      </c>
      <c r="N1048" s="0" t="n">
        <v>33.41</v>
      </c>
      <c r="O1048" s="0" t="n">
        <v>9.94</v>
      </c>
      <c r="P1048" s="0" t="n">
        <v>3.45</v>
      </c>
      <c r="Q1048" s="0" t="n">
        <v>3.35</v>
      </c>
      <c r="R1048" s="0" t="n">
        <v>6436</v>
      </c>
      <c r="S1048" s="0" t="n">
        <v>12617</v>
      </c>
      <c r="T1048" s="0" t="n">
        <v>63.75</v>
      </c>
      <c r="U1048" s="0" t="n">
        <v>1712</v>
      </c>
      <c r="V1048" s="0" t="n">
        <v>4</v>
      </c>
      <c r="W1048" s="0" t="str">
        <f aca="false">IF(OR(AND(B1048&gt;=1,B1048&lt;=6),B1048=10),"Vaca em lactação",IF(I1048="Male","Macho",IF(E1048&gt;=1,"Vaca seca",IF(I1048="Youngstock","Bezerra/recria","Novilha"))))</f>
        <v>Vaca em lactação</v>
      </c>
      <c r="X1048" s="0" t="str">
        <f aca="false">IF(AND(B1048&gt;=1,B1048&lt;=6),"Tanque",IF(B1048=10,"Descarte",""))</f>
        <v>Tanque</v>
      </c>
    </row>
    <row r="1049" customFormat="false" ht="15" hidden="false" customHeight="false" outlineLevel="0" collapsed="false">
      <c r="A1049" s="22" t="n">
        <v>46309</v>
      </c>
      <c r="B1049" s="0" t="n">
        <v>5</v>
      </c>
      <c r="C1049" s="0" t="n">
        <v>3818</v>
      </c>
      <c r="D1049" s="0" t="n">
        <v>278</v>
      </c>
      <c r="E1049" s="0" t="n">
        <v>3</v>
      </c>
      <c r="F1049" s="23" t="s">
        <v>697</v>
      </c>
      <c r="G1049" s="0" t="n">
        <v>32.1</v>
      </c>
      <c r="H1049" s="0" t="n">
        <v>41</v>
      </c>
      <c r="I1049" s="23" t="s">
        <v>109</v>
      </c>
      <c r="J1049" s="0" t="n">
        <v>278</v>
      </c>
      <c r="K1049" s="0" t="n">
        <v>68</v>
      </c>
      <c r="M1049" s="0" t="n">
        <v>329.27</v>
      </c>
      <c r="N1049" s="0" t="n">
        <v>40.12</v>
      </c>
      <c r="O1049" s="0" t="n">
        <v>11.73</v>
      </c>
      <c r="P1049" s="0" t="n">
        <v>4.64</v>
      </c>
      <c r="Q1049" s="0" t="n">
        <v>3.83</v>
      </c>
      <c r="R1049" s="0" t="n">
        <v>3623</v>
      </c>
      <c r="S1049" s="0" t="n">
        <v>8734</v>
      </c>
      <c r="T1049" s="0" t="n">
        <v>46.2</v>
      </c>
      <c r="U1049" s="0" t="n">
        <v>1713</v>
      </c>
      <c r="V1049" s="0" t="n">
        <v>5</v>
      </c>
      <c r="W1049" s="0" t="str">
        <f aca="false">IF(OR(AND(B1049&gt;=1,B1049&lt;=6),B1049=10),"Vaca em lactação",IF(I1049="Male","Macho",IF(E1049&gt;=1,"Vaca seca",IF(I1049="Youngstock","Bezerra/recria","Novilha"))))</f>
        <v>Vaca em lactação</v>
      </c>
      <c r="X1049" s="0" t="str">
        <f aca="false">IF(AND(B1049&gt;=1,B1049&lt;=6),"Tanque",IF(B1049=10,"Descarte",""))</f>
        <v>Tanque</v>
      </c>
    </row>
    <row r="1050" customFormat="false" ht="15" hidden="false" customHeight="false" outlineLevel="0" collapsed="false">
      <c r="A1050" s="22" t="n">
        <v>46309</v>
      </c>
      <c r="B1050" s="0" t="n">
        <v>5</v>
      </c>
      <c r="C1050" s="0" t="n">
        <v>3823</v>
      </c>
      <c r="D1050" s="0" t="n">
        <v>216</v>
      </c>
      <c r="E1050" s="0" t="n">
        <v>3</v>
      </c>
      <c r="F1050" s="23" t="s">
        <v>227</v>
      </c>
      <c r="G1050" s="0" t="n">
        <v>50.9</v>
      </c>
      <c r="H1050" s="0" t="n">
        <v>46</v>
      </c>
      <c r="I1050" s="23" t="s">
        <v>97</v>
      </c>
      <c r="J1050" s="0" t="n">
        <v>216</v>
      </c>
      <c r="K1050" s="0" t="n">
        <v>62</v>
      </c>
      <c r="M1050" s="0" t="n">
        <v>462.72</v>
      </c>
      <c r="N1050" s="0" t="n">
        <v>17.25</v>
      </c>
      <c r="O1050" s="0" t="n">
        <v>20.96</v>
      </c>
      <c r="P1050" s="0" t="n">
        <v>3.82</v>
      </c>
      <c r="Q1050" s="0" t="n">
        <v>3.64</v>
      </c>
      <c r="R1050" s="0" t="n">
        <v>4954</v>
      </c>
      <c r="S1050" s="0" t="n">
        <v>8852</v>
      </c>
      <c r="T1050" s="0" t="n">
        <v>48</v>
      </c>
      <c r="U1050" s="0" t="n">
        <v>1710</v>
      </c>
      <c r="V1050" s="0" t="n">
        <v>4</v>
      </c>
      <c r="W1050" s="0" t="str">
        <f aca="false">IF(OR(AND(B1050&gt;=1,B1050&lt;=6),B1050=10),"Vaca em lactação",IF(I1050="Male","Macho",IF(E1050&gt;=1,"Vaca seca",IF(I1050="Youngstock","Bezerra/recria","Novilha"))))</f>
        <v>Vaca em lactação</v>
      </c>
      <c r="X1050" s="0" t="str">
        <f aca="false">IF(AND(B1050&gt;=1,B1050&lt;=6),"Tanque",IF(B1050=10,"Descarte",""))</f>
        <v>Tanque</v>
      </c>
    </row>
    <row r="1051" customFormat="false" ht="15" hidden="false" customHeight="false" outlineLevel="0" collapsed="false">
      <c r="A1051" s="22" t="n">
        <v>46309</v>
      </c>
      <c r="B1051" s="0" t="n">
        <v>5</v>
      </c>
      <c r="C1051" s="0" t="n">
        <v>3821</v>
      </c>
      <c r="D1051" s="0" t="n">
        <v>231</v>
      </c>
      <c r="E1051" s="0" t="n">
        <v>3</v>
      </c>
      <c r="F1051" s="23" t="s">
        <v>698</v>
      </c>
      <c r="G1051" s="0" t="n">
        <v>43</v>
      </c>
      <c r="H1051" s="0" t="n">
        <v>42</v>
      </c>
      <c r="I1051" s="23" t="s">
        <v>97</v>
      </c>
      <c r="J1051" s="0" t="n">
        <v>231</v>
      </c>
      <c r="K1051" s="0" t="n">
        <v>63</v>
      </c>
      <c r="M1051" s="0" t="n">
        <v>1051.77</v>
      </c>
      <c r="N1051" s="0" t="n">
        <v>24.92</v>
      </c>
      <c r="O1051" s="0" t="n">
        <v>34.39</v>
      </c>
      <c r="P1051" s="0" t="n">
        <v>4.52</v>
      </c>
      <c r="Q1051" s="0" t="n">
        <v>3.61</v>
      </c>
      <c r="R1051" s="0" t="n">
        <v>3461</v>
      </c>
      <c r="S1051" s="0" t="n">
        <v>8200</v>
      </c>
      <c r="T1051" s="0" t="n">
        <v>33.85</v>
      </c>
      <c r="U1051" s="0" t="n">
        <v>1711</v>
      </c>
      <c r="V1051" s="0" t="n">
        <v>4</v>
      </c>
      <c r="W1051" s="0" t="str">
        <f aca="false">IF(OR(AND(B1051&gt;=1,B1051&lt;=6),B1051=10),"Vaca em lactação",IF(I1051="Male","Macho",IF(E1051&gt;=1,"Vaca seca",IF(I1051="Youngstock","Bezerra/recria","Novilha"))))</f>
        <v>Vaca em lactação</v>
      </c>
      <c r="X1051" s="0" t="str">
        <f aca="false">IF(AND(B1051&gt;=1,B1051&lt;=6),"Tanque",IF(B1051=10,"Descarte",""))</f>
        <v>Tanque</v>
      </c>
    </row>
    <row r="1052" customFormat="false" ht="15" hidden="false" customHeight="false" outlineLevel="0" collapsed="false">
      <c r="A1052" s="22" t="n">
        <v>46309</v>
      </c>
      <c r="B1052" s="0" t="n">
        <v>5</v>
      </c>
      <c r="C1052" s="0" t="n">
        <v>3759</v>
      </c>
      <c r="D1052" s="0" t="n">
        <v>251</v>
      </c>
      <c r="E1052" s="0" t="n">
        <v>3</v>
      </c>
      <c r="F1052" s="23" t="s">
        <v>699</v>
      </c>
      <c r="G1052" s="0" t="n">
        <v>21.1</v>
      </c>
      <c r="H1052" s="0" t="n">
        <v>24</v>
      </c>
      <c r="I1052" s="23" t="s">
        <v>97</v>
      </c>
      <c r="J1052" s="0" t="n">
        <v>251</v>
      </c>
      <c r="K1052" s="0" t="n">
        <v>83</v>
      </c>
      <c r="M1052" s="0" t="n">
        <v>916.25</v>
      </c>
      <c r="N1052" s="0" t="n">
        <v>28.14</v>
      </c>
      <c r="O1052" s="0" t="n">
        <v>31.34</v>
      </c>
      <c r="P1052" s="0" t="n">
        <v>4.07</v>
      </c>
      <c r="Q1052" s="0" t="n">
        <v>3.76</v>
      </c>
      <c r="R1052" s="0" t="n">
        <v>3666</v>
      </c>
      <c r="S1052" s="0" t="n">
        <v>6700</v>
      </c>
      <c r="T1052" s="0" t="n">
        <v>40.45</v>
      </c>
      <c r="U1052" s="0" t="n">
        <v>1769</v>
      </c>
      <c r="V1052" s="0" t="n">
        <v>4</v>
      </c>
      <c r="W1052" s="0" t="str">
        <f aca="false">IF(OR(AND(B1052&gt;=1,B1052&lt;=6),B1052=10),"Vaca em lactação",IF(I1052="Male","Macho",IF(E1052&gt;=1,"Vaca seca",IF(I1052="Youngstock","Bezerra/recria","Novilha"))))</f>
        <v>Vaca em lactação</v>
      </c>
      <c r="X1052" s="0" t="str">
        <f aca="false">IF(AND(B1052&gt;=1,B1052&lt;=6),"Tanque",IF(B1052=10,"Descarte",""))</f>
        <v>Tanque</v>
      </c>
    </row>
    <row r="1053" customFormat="false" ht="15" hidden="false" customHeight="false" outlineLevel="0" collapsed="false">
      <c r="A1053" s="22" t="n">
        <v>46309</v>
      </c>
      <c r="B1053" s="0" t="n">
        <v>5</v>
      </c>
      <c r="C1053" s="0" t="n">
        <v>3783</v>
      </c>
      <c r="D1053" s="0" t="n">
        <v>204</v>
      </c>
      <c r="E1053" s="0" t="n">
        <v>3</v>
      </c>
      <c r="F1053" s="23" t="s">
        <v>700</v>
      </c>
      <c r="G1053" s="0" t="n">
        <v>31.6</v>
      </c>
      <c r="H1053" s="0" t="n">
        <v>37</v>
      </c>
      <c r="I1053" s="23" t="s">
        <v>92</v>
      </c>
      <c r="J1053" s="0" t="n">
        <v>127</v>
      </c>
      <c r="K1053" s="0" t="n">
        <v>71</v>
      </c>
      <c r="L1053" s="0" t="n">
        <v>77</v>
      </c>
      <c r="M1053" s="0" t="n">
        <v>-79.45</v>
      </c>
      <c r="N1053" s="0" t="n">
        <v>44.22</v>
      </c>
      <c r="O1053" s="0" t="n">
        <v>9.35</v>
      </c>
      <c r="P1053" s="0" t="n">
        <v>5.2</v>
      </c>
      <c r="Q1053" s="0" t="n">
        <v>3.97</v>
      </c>
      <c r="R1053" s="0" t="n">
        <v>4683</v>
      </c>
      <c r="S1053" s="0" t="n">
        <v>9093</v>
      </c>
      <c r="T1053" s="0" t="n">
        <v>53.4</v>
      </c>
      <c r="U1053" s="0" t="n">
        <v>1746</v>
      </c>
      <c r="V1053" s="0" t="n">
        <v>3</v>
      </c>
      <c r="W1053" s="0" t="str">
        <f aca="false">IF(OR(AND(B1053&gt;=1,B1053&lt;=6),B1053=10),"Vaca em lactação",IF(I1053="Male","Macho",IF(E1053&gt;=1,"Vaca seca",IF(I1053="Youngstock","Bezerra/recria","Novilha"))))</f>
        <v>Vaca em lactação</v>
      </c>
      <c r="X1053" s="0" t="str">
        <f aca="false">IF(AND(B1053&gt;=1,B1053&lt;=6),"Tanque",IF(B1053=10,"Descarte",""))</f>
        <v>Tanque</v>
      </c>
    </row>
    <row r="1054" customFormat="false" ht="15" hidden="false" customHeight="false" outlineLevel="0" collapsed="false">
      <c r="A1054" s="22" t="n">
        <v>46309</v>
      </c>
      <c r="B1054" s="0" t="n">
        <v>5</v>
      </c>
      <c r="C1054" s="0" t="n">
        <v>3782</v>
      </c>
      <c r="D1054" s="0" t="n">
        <v>388</v>
      </c>
      <c r="E1054" s="0" t="n">
        <v>3</v>
      </c>
      <c r="F1054" s="23" t="s">
        <v>701</v>
      </c>
      <c r="G1054" s="0" t="n">
        <v>28.1</v>
      </c>
      <c r="H1054" s="0" t="n">
        <v>26</v>
      </c>
      <c r="I1054" s="23" t="s">
        <v>92</v>
      </c>
      <c r="J1054" s="0" t="n">
        <v>318</v>
      </c>
      <c r="K1054" s="0" t="n">
        <v>66</v>
      </c>
      <c r="L1054" s="0" t="n">
        <v>70</v>
      </c>
      <c r="M1054" s="0" t="n">
        <v>751.23</v>
      </c>
      <c r="N1054" s="0" t="n">
        <v>34.42</v>
      </c>
      <c r="O1054" s="0" t="n">
        <v>31.92</v>
      </c>
      <c r="P1054" s="0" t="n">
        <v>3.98</v>
      </c>
      <c r="Q1054" s="0" t="n">
        <v>3.65</v>
      </c>
      <c r="R1054" s="0" t="n">
        <v>6128</v>
      </c>
      <c r="S1054" s="0" t="n">
        <v>10626</v>
      </c>
      <c r="T1054" s="0" t="n">
        <v>69.75</v>
      </c>
      <c r="U1054" s="0" t="n">
        <v>1747</v>
      </c>
      <c r="V1054" s="0" t="n">
        <v>6</v>
      </c>
      <c r="W1054" s="0" t="str">
        <f aca="false">IF(OR(AND(B1054&gt;=1,B1054&lt;=6),B1054=10),"Vaca em lactação",IF(I1054="Male","Macho",IF(E1054&gt;=1,"Vaca seca",IF(I1054="Youngstock","Bezerra/recria","Novilha"))))</f>
        <v>Vaca em lactação</v>
      </c>
      <c r="X1054" s="0" t="str">
        <f aca="false">IF(AND(B1054&gt;=1,B1054&lt;=6),"Tanque",IF(B1054=10,"Descarte",""))</f>
        <v>Tanque</v>
      </c>
    </row>
    <row r="1055" customFormat="false" ht="15" hidden="false" customHeight="false" outlineLevel="0" collapsed="false">
      <c r="A1055" s="22" t="n">
        <v>46309</v>
      </c>
      <c r="B1055" s="0" t="n">
        <v>5</v>
      </c>
      <c r="C1055" s="0" t="n">
        <v>3781</v>
      </c>
      <c r="D1055" s="0" t="n">
        <v>125</v>
      </c>
      <c r="E1055" s="0" t="n">
        <v>3</v>
      </c>
      <c r="F1055" s="23" t="s">
        <v>702</v>
      </c>
      <c r="G1055" s="0" t="n">
        <v>44.8</v>
      </c>
      <c r="H1055" s="0" t="n">
        <v>44</v>
      </c>
      <c r="I1055" s="23" t="s">
        <v>109</v>
      </c>
      <c r="J1055" s="0" t="n">
        <v>125</v>
      </c>
      <c r="K1055" s="0" t="n">
        <v>69</v>
      </c>
      <c r="M1055" s="0" t="n">
        <v>289.94</v>
      </c>
      <c r="N1055" s="0" t="n">
        <v>32.29</v>
      </c>
      <c r="O1055" s="0" t="n">
        <v>7.43</v>
      </c>
      <c r="P1055" s="0" t="n">
        <v>5.19</v>
      </c>
      <c r="Q1055" s="0" t="n">
        <v>2.94</v>
      </c>
      <c r="R1055" s="0" t="n">
        <v>4882</v>
      </c>
      <c r="S1055" s="0" t="n">
        <v>9597</v>
      </c>
      <c r="T1055" s="0" t="n">
        <v>52.3</v>
      </c>
      <c r="U1055" s="0" t="n">
        <v>1749</v>
      </c>
      <c r="V1055" s="0" t="n">
        <v>1</v>
      </c>
      <c r="W1055" s="0" t="str">
        <f aca="false">IF(OR(AND(B1055&gt;=1,B1055&lt;=6),B1055=10),"Vaca em lactação",IF(I1055="Male","Macho",IF(E1055&gt;=1,"Vaca seca",IF(I1055="Youngstock","Bezerra/recria","Novilha"))))</f>
        <v>Vaca em lactação</v>
      </c>
      <c r="X1055" s="0" t="str">
        <f aca="false">IF(AND(B1055&gt;=1,B1055&lt;=6),"Tanque",IF(B1055=10,"Descarte",""))</f>
        <v>Tanque</v>
      </c>
    </row>
    <row r="1056" customFormat="false" ht="15" hidden="false" customHeight="false" outlineLevel="0" collapsed="false">
      <c r="A1056" s="22" t="n">
        <v>46309</v>
      </c>
      <c r="B1056" s="0" t="n">
        <v>5</v>
      </c>
      <c r="C1056" s="0" t="n">
        <v>3789</v>
      </c>
      <c r="D1056" s="0" t="n">
        <v>198</v>
      </c>
      <c r="E1056" s="0" t="n">
        <v>3</v>
      </c>
      <c r="F1056" s="23" t="s">
        <v>703</v>
      </c>
      <c r="G1056" s="0" t="n">
        <v>46.6</v>
      </c>
      <c r="H1056" s="0" t="n">
        <v>41</v>
      </c>
      <c r="I1056" s="23" t="s">
        <v>109</v>
      </c>
      <c r="J1056" s="0" t="n">
        <v>198</v>
      </c>
      <c r="K1056" s="0" t="n">
        <v>65</v>
      </c>
      <c r="M1056" s="0" t="n">
        <v>155.58</v>
      </c>
      <c r="N1056" s="0" t="n">
        <v>63.6</v>
      </c>
      <c r="O1056" s="0" t="n">
        <v>17.69</v>
      </c>
      <c r="P1056" s="0" t="n">
        <v>5.06</v>
      </c>
      <c r="Q1056" s="0" t="n">
        <v>3.66</v>
      </c>
      <c r="R1056" s="0" t="n">
        <v>4370</v>
      </c>
      <c r="S1056" s="0" t="n">
        <v>8567</v>
      </c>
      <c r="T1056" s="0" t="n">
        <v>51</v>
      </c>
      <c r="U1056" s="0" t="n">
        <v>1743</v>
      </c>
      <c r="V1056" s="0" t="n">
        <v>2</v>
      </c>
      <c r="W1056" s="0" t="str">
        <f aca="false">IF(OR(AND(B1056&gt;=1,B1056&lt;=6),B1056=10),"Vaca em lactação",IF(I1056="Male","Macho",IF(E1056&gt;=1,"Vaca seca",IF(I1056="Youngstock","Bezerra/recria","Novilha"))))</f>
        <v>Vaca em lactação</v>
      </c>
      <c r="X1056" s="0" t="str">
        <f aca="false">IF(AND(B1056&gt;=1,B1056&lt;=6),"Tanque",IF(B1056=10,"Descarte",""))</f>
        <v>Tanque</v>
      </c>
    </row>
    <row r="1057" customFormat="false" ht="15" hidden="false" customHeight="false" outlineLevel="0" collapsed="false">
      <c r="A1057" s="22" t="n">
        <v>46309</v>
      </c>
      <c r="B1057" s="0" t="n">
        <v>5</v>
      </c>
      <c r="C1057" s="0" t="n">
        <v>3599</v>
      </c>
      <c r="D1057" s="0" t="n">
        <v>117</v>
      </c>
      <c r="E1057" s="0" t="n">
        <v>4</v>
      </c>
      <c r="F1057" s="23" t="s">
        <v>704</v>
      </c>
      <c r="G1057" s="0" t="n">
        <v>38.4</v>
      </c>
      <c r="H1057" s="0" t="n">
        <v>40</v>
      </c>
      <c r="I1057" s="23" t="s">
        <v>92</v>
      </c>
      <c r="J1057" s="0" t="n">
        <v>82</v>
      </c>
      <c r="K1057" s="0" t="n">
        <v>82</v>
      </c>
      <c r="L1057" s="0" t="n">
        <v>35</v>
      </c>
      <c r="M1057" s="0" t="n">
        <v>103.99</v>
      </c>
      <c r="N1057" s="0" t="n">
        <v>30.95</v>
      </c>
      <c r="O1057" s="0" t="n">
        <v>23.93</v>
      </c>
      <c r="P1057" s="0" t="n">
        <v>4.3</v>
      </c>
      <c r="Q1057" s="0" t="n">
        <v>3.78</v>
      </c>
      <c r="R1057" s="0" t="n">
        <v>4533</v>
      </c>
      <c r="S1057" s="0" t="n">
        <v>9051</v>
      </c>
      <c r="T1057" s="0" t="n">
        <v>48.75</v>
      </c>
      <c r="U1057" s="0" t="n">
        <v>1873</v>
      </c>
      <c r="V1057" s="0" t="n">
        <v>1</v>
      </c>
      <c r="W1057" s="0" t="str">
        <f aca="false">IF(OR(AND(B1057&gt;=1,B1057&lt;=6),B1057=10),"Vaca em lactação",IF(I1057="Male","Macho",IF(E1057&gt;=1,"Vaca seca",IF(I1057="Youngstock","Bezerra/recria","Novilha"))))</f>
        <v>Vaca em lactação</v>
      </c>
      <c r="X1057" s="0" t="str">
        <f aca="false">IF(AND(B1057&gt;=1,B1057&lt;=6),"Tanque",IF(B1057=10,"Descarte",""))</f>
        <v>Tanque</v>
      </c>
    </row>
    <row r="1058" customFormat="false" ht="15" hidden="false" customHeight="false" outlineLevel="0" collapsed="false">
      <c r="A1058" s="22" t="n">
        <v>46309</v>
      </c>
      <c r="B1058" s="0" t="n">
        <v>5</v>
      </c>
      <c r="C1058" s="0" t="n">
        <v>3597</v>
      </c>
      <c r="D1058" s="0" t="n">
        <v>318</v>
      </c>
      <c r="E1058" s="0" t="n">
        <v>3</v>
      </c>
      <c r="F1058" s="23" t="s">
        <v>704</v>
      </c>
      <c r="G1058" s="0" t="n">
        <v>24.6</v>
      </c>
      <c r="H1058" s="0" t="n">
        <v>27</v>
      </c>
      <c r="I1058" s="23" t="s">
        <v>92</v>
      </c>
      <c r="J1058" s="0" t="n">
        <v>122</v>
      </c>
      <c r="K1058" s="0" t="n">
        <v>66</v>
      </c>
      <c r="L1058" s="0" t="n">
        <v>196</v>
      </c>
      <c r="M1058" s="0" t="n">
        <v>305.65</v>
      </c>
      <c r="N1058" s="0" t="n">
        <v>50.47</v>
      </c>
      <c r="O1058" s="0" t="n">
        <v>19.79</v>
      </c>
      <c r="P1058" s="0" t="n">
        <v>4.24</v>
      </c>
      <c r="Q1058" s="0" t="n">
        <v>3.89</v>
      </c>
      <c r="R1058" s="0" t="n">
        <v>6349</v>
      </c>
      <c r="S1058" s="0" t="n">
        <v>10864</v>
      </c>
      <c r="T1058" s="0" t="n">
        <v>72.55</v>
      </c>
      <c r="U1058" s="0" t="n">
        <v>1873</v>
      </c>
      <c r="V1058" s="0" t="n">
        <v>3</v>
      </c>
      <c r="W1058" s="0" t="str">
        <f aca="false">IF(OR(AND(B1058&gt;=1,B1058&lt;=6),B1058=10),"Vaca em lactação",IF(I1058="Male","Macho",IF(E1058&gt;=1,"Vaca seca",IF(I1058="Youngstock","Bezerra/recria","Novilha"))))</f>
        <v>Vaca em lactação</v>
      </c>
      <c r="X1058" s="0" t="str">
        <f aca="false">IF(AND(B1058&gt;=1,B1058&lt;=6),"Tanque",IF(B1058=10,"Descarte",""))</f>
        <v>Tanque</v>
      </c>
    </row>
    <row r="1059" customFormat="false" ht="15" hidden="false" customHeight="false" outlineLevel="0" collapsed="false">
      <c r="A1059" s="22" t="n">
        <v>46309</v>
      </c>
      <c r="B1059" s="0" t="n">
        <v>5</v>
      </c>
      <c r="C1059" s="0" t="n">
        <v>3594</v>
      </c>
      <c r="D1059" s="0" t="n">
        <v>407</v>
      </c>
      <c r="E1059" s="0" t="n">
        <v>3</v>
      </c>
      <c r="F1059" s="23" t="s">
        <v>705</v>
      </c>
      <c r="G1059" s="0" t="n">
        <v>27.6</v>
      </c>
      <c r="H1059" s="0" t="n">
        <v>28</v>
      </c>
      <c r="I1059" s="23" t="s">
        <v>92</v>
      </c>
      <c r="J1059" s="0" t="n">
        <v>197</v>
      </c>
      <c r="K1059" s="0" t="n">
        <v>64</v>
      </c>
      <c r="L1059" s="0" t="n">
        <v>210</v>
      </c>
      <c r="M1059" s="0" t="n">
        <v>379.21</v>
      </c>
      <c r="N1059" s="0" t="n">
        <v>21.1</v>
      </c>
      <c r="O1059" s="0" t="n">
        <v>27.39</v>
      </c>
      <c r="P1059" s="0" t="n">
        <v>3.81</v>
      </c>
      <c r="Q1059" s="0" t="n">
        <v>3.85</v>
      </c>
      <c r="R1059" s="0" t="n">
        <v>6853</v>
      </c>
      <c r="S1059" s="0" t="n">
        <v>12120</v>
      </c>
      <c r="T1059" s="0" t="n">
        <v>74.65</v>
      </c>
      <c r="U1059" s="0" t="n">
        <v>1875</v>
      </c>
      <c r="V1059" s="0" t="n">
        <v>5</v>
      </c>
      <c r="W1059" s="0" t="str">
        <f aca="false">IF(OR(AND(B1059&gt;=1,B1059&lt;=6),B1059=10),"Vaca em lactação",IF(I1059="Male","Macho",IF(E1059&gt;=1,"Vaca seca",IF(I1059="Youngstock","Bezerra/recria","Novilha"))))</f>
        <v>Vaca em lactação</v>
      </c>
      <c r="X1059" s="0" t="str">
        <f aca="false">IF(AND(B1059&gt;=1,B1059&lt;=6),"Tanque",IF(B1059=10,"Descarte",""))</f>
        <v>Tanque</v>
      </c>
    </row>
    <row r="1060" customFormat="false" ht="15" hidden="false" customHeight="false" outlineLevel="0" collapsed="false">
      <c r="A1060" s="22" t="n">
        <v>46309</v>
      </c>
      <c r="B1060" s="0" t="n">
        <v>5</v>
      </c>
      <c r="C1060" s="0" t="n">
        <v>3604</v>
      </c>
      <c r="D1060" s="0" t="n">
        <v>234</v>
      </c>
      <c r="E1060" s="0" t="n">
        <v>3</v>
      </c>
      <c r="F1060" s="23" t="s">
        <v>706</v>
      </c>
      <c r="G1060" s="0" t="n">
        <v>36.1</v>
      </c>
      <c r="H1060" s="0" t="n">
        <v>35</v>
      </c>
      <c r="I1060" s="23" t="s">
        <v>506</v>
      </c>
      <c r="J1060" s="0" t="n">
        <v>234</v>
      </c>
      <c r="M1060" s="0" t="n">
        <v>178.08</v>
      </c>
      <c r="N1060" s="0" t="n">
        <v>34.09</v>
      </c>
      <c r="O1060" s="0" t="n">
        <v>19.54</v>
      </c>
      <c r="P1060" s="0" t="n">
        <v>4.51</v>
      </c>
      <c r="Q1060" s="0" t="n">
        <v>3.36</v>
      </c>
      <c r="R1060" s="0" t="n">
        <v>4292</v>
      </c>
      <c r="S1060" s="0" t="n">
        <v>9560</v>
      </c>
      <c r="T1060" s="0" t="n">
        <v>51.85</v>
      </c>
      <c r="U1060" s="0" t="n">
        <v>1872</v>
      </c>
      <c r="V1060" s="0" t="n">
        <v>0</v>
      </c>
      <c r="W1060" s="0" t="str">
        <f aca="false">IF(OR(AND(B1060&gt;=1,B1060&lt;=6),B1060=10),"Vaca em lactação",IF(I1060="Male","Macho",IF(E1060&gt;=1,"Vaca seca",IF(I1060="Youngstock","Bezerra/recria","Novilha"))))</f>
        <v>Vaca em lactação</v>
      </c>
      <c r="X1060" s="0" t="str">
        <f aca="false">IF(AND(B1060&gt;=1,B1060&lt;=6),"Tanque",IF(B1060=10,"Descarte",""))</f>
        <v>Tanque</v>
      </c>
    </row>
    <row r="1061" customFormat="false" ht="15" hidden="false" customHeight="false" outlineLevel="0" collapsed="false">
      <c r="A1061" s="22" t="n">
        <v>46309</v>
      </c>
      <c r="B1061" s="0" t="n">
        <v>5</v>
      </c>
      <c r="C1061" s="0" t="n">
        <v>3553</v>
      </c>
      <c r="D1061" s="0" t="n">
        <v>188</v>
      </c>
      <c r="E1061" s="0" t="n">
        <v>4</v>
      </c>
      <c r="F1061" s="23" t="s">
        <v>230</v>
      </c>
      <c r="G1061" s="0" t="n">
        <v>44.6</v>
      </c>
      <c r="H1061" s="0" t="n">
        <v>39</v>
      </c>
      <c r="I1061" s="23" t="s">
        <v>92</v>
      </c>
      <c r="J1061" s="0" t="n">
        <v>104</v>
      </c>
      <c r="K1061" s="0" t="n">
        <v>62</v>
      </c>
      <c r="L1061" s="0" t="n">
        <v>84</v>
      </c>
      <c r="M1061" s="0" t="n">
        <v>157.79</v>
      </c>
      <c r="N1061" s="0" t="n">
        <v>45.15</v>
      </c>
      <c r="O1061" s="0" t="n">
        <v>25.16</v>
      </c>
      <c r="P1061" s="0" t="n">
        <v>4.89</v>
      </c>
      <c r="Q1061" s="0" t="n">
        <v>3.72</v>
      </c>
      <c r="R1061" s="0" t="n">
        <v>3434</v>
      </c>
      <c r="S1061" s="0" t="n">
        <v>7790</v>
      </c>
      <c r="T1061" s="0" t="n">
        <v>40.8</v>
      </c>
      <c r="U1061" s="0" t="n">
        <v>1899</v>
      </c>
      <c r="V1061" s="0" t="n">
        <v>2</v>
      </c>
      <c r="W1061" s="0" t="str">
        <f aca="false">IF(OR(AND(B1061&gt;=1,B1061&lt;=6),B1061=10),"Vaca em lactação",IF(I1061="Male","Macho",IF(E1061&gt;=1,"Vaca seca",IF(I1061="Youngstock","Bezerra/recria","Novilha"))))</f>
        <v>Vaca em lactação</v>
      </c>
      <c r="X1061" s="0" t="str">
        <f aca="false">IF(AND(B1061&gt;=1,B1061&lt;=6),"Tanque",IF(B1061=10,"Descarte",""))</f>
        <v>Tanque</v>
      </c>
    </row>
    <row r="1062" customFormat="false" ht="15" hidden="false" customHeight="false" outlineLevel="0" collapsed="false">
      <c r="A1062" s="22" t="n">
        <v>46309</v>
      </c>
      <c r="B1062" s="0" t="n">
        <v>5</v>
      </c>
      <c r="C1062" s="0" t="n">
        <v>3547</v>
      </c>
      <c r="D1062" s="0" t="n">
        <v>152</v>
      </c>
      <c r="E1062" s="0" t="n">
        <v>3</v>
      </c>
      <c r="F1062" s="23" t="s">
        <v>707</v>
      </c>
      <c r="G1062" s="0" t="n">
        <v>31.6</v>
      </c>
      <c r="H1062" s="0" t="n">
        <v>29</v>
      </c>
      <c r="I1062" s="23" t="s">
        <v>97</v>
      </c>
      <c r="J1062" s="0" t="n">
        <v>152</v>
      </c>
      <c r="K1062" s="0" t="n">
        <v>68</v>
      </c>
      <c r="M1062" s="0" t="n">
        <v>-547.39</v>
      </c>
      <c r="N1062" s="0" t="n">
        <v>-1.65</v>
      </c>
      <c r="O1062" s="0" t="n">
        <v>-0.64</v>
      </c>
      <c r="P1062" s="0" t="n">
        <v>3.53</v>
      </c>
      <c r="Q1062" s="0" t="n">
        <v>3.53</v>
      </c>
      <c r="R1062" s="0" t="n">
        <v>4010</v>
      </c>
      <c r="S1062" s="0" t="n">
        <v>8139</v>
      </c>
      <c r="T1062" s="0" t="n">
        <v>40.95</v>
      </c>
      <c r="U1062" s="0" t="n">
        <v>1900</v>
      </c>
      <c r="V1062" s="0" t="n">
        <v>3</v>
      </c>
      <c r="W1062" s="0" t="str">
        <f aca="false">IF(OR(AND(B1062&gt;=1,B1062&lt;=6),B1062=10),"Vaca em lactação",IF(I1062="Male","Macho",IF(E1062&gt;=1,"Vaca seca",IF(I1062="Youngstock","Bezerra/recria","Novilha"))))</f>
        <v>Vaca em lactação</v>
      </c>
      <c r="X1062" s="0" t="str">
        <f aca="false">IF(AND(B1062&gt;=1,B1062&lt;=6),"Tanque",IF(B1062=10,"Descarte",""))</f>
        <v>Tanque</v>
      </c>
    </row>
    <row r="1063" customFormat="false" ht="15" hidden="false" customHeight="false" outlineLevel="0" collapsed="false">
      <c r="A1063" s="22" t="n">
        <v>46309</v>
      </c>
      <c r="B1063" s="0" t="n">
        <v>5</v>
      </c>
      <c r="C1063" s="0" t="n">
        <v>3558</v>
      </c>
      <c r="D1063" s="0" t="n">
        <v>49</v>
      </c>
      <c r="E1063" s="0" t="n">
        <v>4</v>
      </c>
      <c r="F1063" s="23" t="s">
        <v>708</v>
      </c>
      <c r="G1063" s="0" t="n">
        <v>41.1</v>
      </c>
      <c r="H1063" s="0" t="n">
        <v>46</v>
      </c>
      <c r="I1063" s="23" t="s">
        <v>94</v>
      </c>
      <c r="J1063" s="0" t="n">
        <v>49</v>
      </c>
      <c r="M1063" s="0" t="n">
        <v>126.28</v>
      </c>
      <c r="N1063" s="0" t="n">
        <v>9.29</v>
      </c>
      <c r="O1063" s="0" t="n">
        <v>9.21</v>
      </c>
      <c r="P1063" s="0" t="n">
        <v>4.87</v>
      </c>
      <c r="Q1063" s="0" t="n">
        <v>3.68</v>
      </c>
      <c r="R1063" s="0" t="n">
        <v>3515</v>
      </c>
      <c r="S1063" s="0" t="n">
        <v>7066</v>
      </c>
      <c r="U1063" s="0" t="n">
        <v>1896</v>
      </c>
      <c r="V1063" s="0" t="n">
        <v>0</v>
      </c>
      <c r="W1063" s="0" t="str">
        <f aca="false">IF(OR(AND(B1063&gt;=1,B1063&lt;=6),B1063=10),"Vaca em lactação",IF(I1063="Male","Macho",IF(E1063&gt;=1,"Vaca seca",IF(I1063="Youngstock","Bezerra/recria","Novilha"))))</f>
        <v>Vaca em lactação</v>
      </c>
      <c r="X1063" s="0" t="str">
        <f aca="false">IF(AND(B1063&gt;=1,B1063&lt;=6),"Tanque",IF(B1063=10,"Descarte",""))</f>
        <v>Tanque</v>
      </c>
    </row>
    <row r="1064" customFormat="false" ht="15" hidden="false" customHeight="false" outlineLevel="0" collapsed="false">
      <c r="A1064" s="22" t="n">
        <v>46309</v>
      </c>
      <c r="B1064" s="0" t="n">
        <v>5</v>
      </c>
      <c r="C1064" s="0" t="n">
        <v>3572</v>
      </c>
      <c r="D1064" s="0" t="n">
        <v>271</v>
      </c>
      <c r="E1064" s="0" t="n">
        <v>3</v>
      </c>
      <c r="F1064" s="23" t="s">
        <v>709</v>
      </c>
      <c r="G1064" s="0" t="n">
        <v>51.4</v>
      </c>
      <c r="H1064" s="0" t="n">
        <v>42</v>
      </c>
      <c r="I1064" s="23" t="s">
        <v>92</v>
      </c>
      <c r="J1064" s="0" t="n">
        <v>138</v>
      </c>
      <c r="K1064" s="0" t="n">
        <v>75</v>
      </c>
      <c r="L1064" s="0" t="n">
        <v>133</v>
      </c>
      <c r="M1064" s="0" t="n">
        <v>505.86</v>
      </c>
      <c r="N1064" s="0" t="n">
        <v>50.31</v>
      </c>
      <c r="O1064" s="0" t="n">
        <v>29.61</v>
      </c>
      <c r="P1064" s="0" t="n">
        <v>2.94</v>
      </c>
      <c r="Q1064" s="0" t="n">
        <v>3.55</v>
      </c>
      <c r="R1064" s="0" t="n">
        <v>5120</v>
      </c>
      <c r="S1064" s="0" t="n">
        <v>11441</v>
      </c>
      <c r="T1064" s="0" t="n">
        <v>56.7</v>
      </c>
      <c r="U1064" s="0" t="n">
        <v>1889</v>
      </c>
      <c r="V1064" s="0" t="n">
        <v>3</v>
      </c>
      <c r="W1064" s="0" t="str">
        <f aca="false">IF(OR(AND(B1064&gt;=1,B1064&lt;=6),B1064=10),"Vaca em lactação",IF(I1064="Male","Macho",IF(E1064&gt;=1,"Vaca seca",IF(I1064="Youngstock","Bezerra/recria","Novilha"))))</f>
        <v>Vaca em lactação</v>
      </c>
      <c r="X1064" s="0" t="str">
        <f aca="false">IF(AND(B1064&gt;=1,B1064&lt;=6),"Tanque",IF(B1064=10,"Descarte",""))</f>
        <v>Tanque</v>
      </c>
    </row>
    <row r="1065" customFormat="false" ht="15" hidden="false" customHeight="false" outlineLevel="0" collapsed="false">
      <c r="A1065" s="22" t="n">
        <v>46309</v>
      </c>
      <c r="B1065" s="0" t="n">
        <v>5</v>
      </c>
      <c r="C1065" s="0" t="n">
        <v>3667</v>
      </c>
      <c r="D1065" s="0" t="n">
        <v>195</v>
      </c>
      <c r="E1065" s="0" t="n">
        <v>3</v>
      </c>
      <c r="F1065" s="23" t="s">
        <v>710</v>
      </c>
      <c r="G1065" s="0" t="n">
        <v>39.3</v>
      </c>
      <c r="H1065" s="0" t="n">
        <v>36</v>
      </c>
      <c r="I1065" s="23" t="s">
        <v>92</v>
      </c>
      <c r="J1065" s="0" t="n">
        <v>62</v>
      </c>
      <c r="K1065" s="0" t="n">
        <v>62</v>
      </c>
      <c r="L1065" s="0" t="n">
        <v>133</v>
      </c>
      <c r="M1065" s="0" t="n">
        <v>664.45</v>
      </c>
      <c r="N1065" s="0" t="n">
        <v>27.79</v>
      </c>
      <c r="O1065" s="0" t="n">
        <v>20.39</v>
      </c>
      <c r="P1065" s="0" t="n">
        <v>5.43</v>
      </c>
      <c r="Q1065" s="0" t="n">
        <v>3.75</v>
      </c>
      <c r="R1065" s="0" t="n">
        <v>4216</v>
      </c>
      <c r="S1065" s="0" t="n">
        <v>8603</v>
      </c>
      <c r="T1065" s="0" t="n">
        <v>49.45</v>
      </c>
      <c r="U1065" s="0" t="n">
        <v>1833</v>
      </c>
      <c r="V1065" s="0" t="n">
        <v>1</v>
      </c>
      <c r="W1065" s="0" t="str">
        <f aca="false">IF(OR(AND(B1065&gt;=1,B1065&lt;=6),B1065=10),"Vaca em lactação",IF(I1065="Male","Macho",IF(E1065&gt;=1,"Vaca seca",IF(I1065="Youngstock","Bezerra/recria","Novilha"))))</f>
        <v>Vaca em lactação</v>
      </c>
      <c r="X1065" s="0" t="str">
        <f aca="false">IF(AND(B1065&gt;=1,B1065&lt;=6),"Tanque",IF(B1065=10,"Descarte",""))</f>
        <v>Tanque</v>
      </c>
    </row>
    <row r="1066" customFormat="false" ht="15" hidden="false" customHeight="false" outlineLevel="0" collapsed="false">
      <c r="A1066" s="22" t="n">
        <v>46309</v>
      </c>
      <c r="B1066" s="0" t="n">
        <v>5</v>
      </c>
      <c r="C1066" s="0" t="n">
        <v>3666</v>
      </c>
      <c r="D1066" s="0" t="n">
        <v>228</v>
      </c>
      <c r="E1066" s="0" t="n">
        <v>3</v>
      </c>
      <c r="F1066" s="23" t="s">
        <v>710</v>
      </c>
      <c r="G1066" s="0" t="n">
        <v>42.1</v>
      </c>
      <c r="H1066" s="0" t="n">
        <v>43</v>
      </c>
      <c r="I1066" s="23" t="s">
        <v>109</v>
      </c>
      <c r="J1066" s="0" t="n">
        <v>228</v>
      </c>
      <c r="K1066" s="0" t="n">
        <v>74</v>
      </c>
      <c r="M1066" s="0" t="n">
        <v>188.54</v>
      </c>
      <c r="N1066" s="0" t="n">
        <v>0.77</v>
      </c>
      <c r="O1066" s="0" t="n">
        <v>7.82</v>
      </c>
      <c r="P1066" s="0" t="n">
        <v>4.28</v>
      </c>
      <c r="Q1066" s="0" t="n">
        <v>3.34</v>
      </c>
      <c r="R1066" s="0" t="n">
        <v>4873</v>
      </c>
      <c r="S1066" s="0" t="n">
        <v>9978</v>
      </c>
      <c r="T1066" s="0" t="n">
        <v>53.9</v>
      </c>
      <c r="U1066" s="0" t="n">
        <v>1833</v>
      </c>
      <c r="V1066" s="0" t="n">
        <v>4</v>
      </c>
      <c r="W1066" s="0" t="str">
        <f aca="false">IF(OR(AND(B1066&gt;=1,B1066&lt;=6),B1066=10),"Vaca em lactação",IF(I1066="Male","Macho",IF(E1066&gt;=1,"Vaca seca",IF(I1066="Youngstock","Bezerra/recria","Novilha"))))</f>
        <v>Vaca em lactação</v>
      </c>
      <c r="X1066" s="0" t="str">
        <f aca="false">IF(AND(B1066&gt;=1,B1066&lt;=6),"Tanque",IF(B1066=10,"Descarte",""))</f>
        <v>Tanque</v>
      </c>
    </row>
    <row r="1067" customFormat="false" ht="15" hidden="false" customHeight="false" outlineLevel="0" collapsed="false">
      <c r="A1067" s="22" t="n">
        <v>46309</v>
      </c>
      <c r="B1067" s="0" t="n">
        <v>5</v>
      </c>
      <c r="C1067" s="0" t="n">
        <v>3665</v>
      </c>
      <c r="D1067" s="0" t="n">
        <v>419</v>
      </c>
      <c r="E1067" s="0" t="n">
        <v>3</v>
      </c>
      <c r="F1067" s="23" t="s">
        <v>711</v>
      </c>
      <c r="G1067" s="0" t="n">
        <v>29</v>
      </c>
      <c r="H1067" s="0" t="n">
        <v>28</v>
      </c>
      <c r="I1067" s="23" t="s">
        <v>92</v>
      </c>
      <c r="J1067" s="0" t="n">
        <v>216</v>
      </c>
      <c r="K1067" s="0" t="n">
        <v>69</v>
      </c>
      <c r="L1067" s="0" t="n">
        <v>203</v>
      </c>
      <c r="M1067" s="0" t="n">
        <v>846.8</v>
      </c>
      <c r="N1067" s="0" t="n">
        <v>25.06</v>
      </c>
      <c r="O1067" s="0" t="n">
        <v>30.77</v>
      </c>
      <c r="P1067" s="0" t="n">
        <v>3.37</v>
      </c>
      <c r="Q1067" s="0" t="n">
        <v>3.81</v>
      </c>
      <c r="R1067" s="0" t="n">
        <v>5171</v>
      </c>
      <c r="S1067" s="0" t="n">
        <v>9568</v>
      </c>
      <c r="T1067" s="0" t="n">
        <v>55.35</v>
      </c>
      <c r="U1067" s="0" t="n">
        <v>1834</v>
      </c>
      <c r="V1067" s="0" t="n">
        <v>6</v>
      </c>
      <c r="W1067" s="0" t="str">
        <f aca="false">IF(OR(AND(B1067&gt;=1,B1067&lt;=6),B1067=10),"Vaca em lactação",IF(I1067="Male","Macho",IF(E1067&gt;=1,"Vaca seca",IF(I1067="Youngstock","Bezerra/recria","Novilha"))))</f>
        <v>Vaca em lactação</v>
      </c>
      <c r="X1067" s="0" t="str">
        <f aca="false">IF(AND(B1067&gt;=1,B1067&lt;=6),"Tanque",IF(B1067=10,"Descarte",""))</f>
        <v>Tanque</v>
      </c>
    </row>
    <row r="1068" customFormat="false" ht="15" hidden="false" customHeight="false" outlineLevel="0" collapsed="false">
      <c r="A1068" s="22" t="n">
        <v>46309</v>
      </c>
      <c r="B1068" s="0" t="n">
        <v>5</v>
      </c>
      <c r="C1068" s="0" t="n">
        <v>3664</v>
      </c>
      <c r="D1068" s="0" t="n">
        <v>465</v>
      </c>
      <c r="E1068" s="0" t="n">
        <v>3</v>
      </c>
      <c r="F1068" s="23" t="s">
        <v>712</v>
      </c>
      <c r="G1068" s="0" t="n">
        <v>45.3</v>
      </c>
      <c r="H1068" s="0" t="n">
        <v>42</v>
      </c>
      <c r="I1068" s="23" t="s">
        <v>92</v>
      </c>
      <c r="J1068" s="0" t="n">
        <v>367</v>
      </c>
      <c r="K1068" s="0" t="n">
        <v>59</v>
      </c>
      <c r="L1068" s="0" t="n">
        <v>98</v>
      </c>
      <c r="M1068" s="0" t="n">
        <v>855.47</v>
      </c>
      <c r="N1068" s="0" t="n">
        <v>27.7</v>
      </c>
      <c r="O1068" s="0" t="n">
        <v>34.54</v>
      </c>
      <c r="P1068" s="0" t="n">
        <v>3.9</v>
      </c>
      <c r="Q1068" s="0" t="n">
        <v>4.13</v>
      </c>
      <c r="R1068" s="0" t="n">
        <v>6706</v>
      </c>
      <c r="S1068" s="0" t="n">
        <v>13043</v>
      </c>
      <c r="T1068" s="0" t="n">
        <v>75.65</v>
      </c>
      <c r="U1068" s="0" t="n">
        <v>1835</v>
      </c>
      <c r="V1068" s="0" t="n">
        <v>11</v>
      </c>
      <c r="W1068" s="0" t="str">
        <f aca="false">IF(OR(AND(B1068&gt;=1,B1068&lt;=6),B1068=10),"Vaca em lactação",IF(I1068="Male","Macho",IF(E1068&gt;=1,"Vaca seca",IF(I1068="Youngstock","Bezerra/recria","Novilha"))))</f>
        <v>Vaca em lactação</v>
      </c>
      <c r="X1068" s="0" t="str">
        <f aca="false">IF(AND(B1068&gt;=1,B1068&lt;=6),"Tanque",IF(B1068=10,"Descarte",""))</f>
        <v>Tanque</v>
      </c>
    </row>
    <row r="1069" customFormat="false" ht="15" hidden="false" customHeight="false" outlineLevel="0" collapsed="false">
      <c r="A1069" s="22" t="n">
        <v>46309</v>
      </c>
      <c r="B1069" s="0" t="n">
        <v>5</v>
      </c>
      <c r="C1069" s="0" t="n">
        <v>3663</v>
      </c>
      <c r="D1069" s="0" t="n">
        <v>445</v>
      </c>
      <c r="E1069" s="0" t="n">
        <v>3</v>
      </c>
      <c r="F1069" s="23" t="s">
        <v>713</v>
      </c>
      <c r="G1069" s="0" t="n">
        <v>26.2</v>
      </c>
      <c r="H1069" s="0" t="n">
        <v>26</v>
      </c>
      <c r="I1069" s="23" t="s">
        <v>506</v>
      </c>
      <c r="J1069" s="0" t="n">
        <v>445</v>
      </c>
      <c r="K1069" s="0" t="n">
        <v>60</v>
      </c>
      <c r="M1069" s="0" t="n">
        <v>441.38</v>
      </c>
      <c r="N1069" s="0" t="n">
        <v>48.58</v>
      </c>
      <c r="O1069" s="0" t="n">
        <v>31.95</v>
      </c>
      <c r="P1069" s="0" t="n">
        <v>5.26</v>
      </c>
      <c r="Q1069" s="0" t="n">
        <v>3.83</v>
      </c>
      <c r="R1069" s="0" t="n">
        <v>5005</v>
      </c>
      <c r="S1069" s="0" t="n">
        <v>10524</v>
      </c>
      <c r="T1069" s="0" t="n">
        <v>51.7</v>
      </c>
      <c r="U1069" s="0" t="n">
        <v>1836</v>
      </c>
      <c r="V1069" s="0" t="n">
        <v>4</v>
      </c>
      <c r="W1069" s="0" t="str">
        <f aca="false">IF(OR(AND(B1069&gt;=1,B1069&lt;=6),B1069=10),"Vaca em lactação",IF(I1069="Male","Macho",IF(E1069&gt;=1,"Vaca seca",IF(I1069="Youngstock","Bezerra/recria","Novilha"))))</f>
        <v>Vaca em lactação</v>
      </c>
      <c r="X1069" s="0" t="str">
        <f aca="false">IF(AND(B1069&gt;=1,B1069&lt;=6),"Tanque",IF(B1069=10,"Descarte",""))</f>
        <v>Tanque</v>
      </c>
    </row>
    <row r="1070" customFormat="false" ht="15" hidden="false" customHeight="false" outlineLevel="0" collapsed="false">
      <c r="A1070" s="22" t="n">
        <v>46309</v>
      </c>
      <c r="B1070" s="0" t="n">
        <v>5</v>
      </c>
      <c r="C1070" s="0" t="n">
        <v>3677</v>
      </c>
      <c r="D1070" s="0" t="n">
        <v>202</v>
      </c>
      <c r="E1070" s="0" t="n">
        <v>3</v>
      </c>
      <c r="F1070" s="23" t="s">
        <v>714</v>
      </c>
      <c r="G1070" s="0" t="n">
        <v>34</v>
      </c>
      <c r="H1070" s="0" t="n">
        <v>32</v>
      </c>
      <c r="I1070" s="23" t="s">
        <v>92</v>
      </c>
      <c r="J1070" s="0" t="n">
        <v>104</v>
      </c>
      <c r="K1070" s="0" t="n">
        <v>69</v>
      </c>
      <c r="L1070" s="0" t="n">
        <v>98</v>
      </c>
      <c r="M1070" s="0" t="n">
        <v>-106.35</v>
      </c>
      <c r="N1070" s="0" t="n">
        <v>22.74</v>
      </c>
      <c r="O1070" s="0" t="n">
        <v>10.5</v>
      </c>
      <c r="P1070" s="0" t="n">
        <v>4.37</v>
      </c>
      <c r="Q1070" s="0" t="n">
        <v>3.86</v>
      </c>
      <c r="R1070" s="0" t="n">
        <v>3669</v>
      </c>
      <c r="S1070" s="0" t="n">
        <v>7300</v>
      </c>
      <c r="T1070" s="0" t="n">
        <v>40.5</v>
      </c>
      <c r="U1070" s="0" t="n">
        <v>1823</v>
      </c>
      <c r="V1070" s="0" t="n">
        <v>2</v>
      </c>
      <c r="W1070" s="0" t="str">
        <f aca="false">IF(OR(AND(B1070&gt;=1,B1070&lt;=6),B1070=10),"Vaca em lactação",IF(I1070="Male","Macho",IF(E1070&gt;=1,"Vaca seca",IF(I1070="Youngstock","Bezerra/recria","Novilha"))))</f>
        <v>Vaca em lactação</v>
      </c>
      <c r="X1070" s="0" t="str">
        <f aca="false">IF(AND(B1070&gt;=1,B1070&lt;=6),"Tanque",IF(B1070=10,"Descarte",""))</f>
        <v>Tanque</v>
      </c>
    </row>
    <row r="1071" customFormat="false" ht="15" hidden="false" customHeight="false" outlineLevel="0" collapsed="false">
      <c r="A1071" s="22" t="n">
        <v>46309</v>
      </c>
      <c r="B1071" s="0" t="n">
        <v>5</v>
      </c>
      <c r="C1071" s="0" t="n">
        <v>3676</v>
      </c>
      <c r="D1071" s="0" t="n">
        <v>100</v>
      </c>
      <c r="E1071" s="0" t="n">
        <v>4</v>
      </c>
      <c r="F1071" s="23" t="s">
        <v>234</v>
      </c>
      <c r="G1071" s="0" t="n">
        <v>45.5</v>
      </c>
      <c r="H1071" s="0" t="n">
        <v>44</v>
      </c>
      <c r="I1071" s="23" t="s">
        <v>97</v>
      </c>
      <c r="J1071" s="0" t="n">
        <v>100</v>
      </c>
      <c r="K1071" s="0" t="n">
        <v>65</v>
      </c>
      <c r="M1071" s="0" t="n">
        <v>633.67</v>
      </c>
      <c r="N1071" s="0" t="n">
        <v>22.73</v>
      </c>
      <c r="O1071" s="0" t="n">
        <v>16.42</v>
      </c>
      <c r="P1071" s="0" t="n">
        <v>3.97</v>
      </c>
      <c r="Q1071" s="0" t="n">
        <v>3.05</v>
      </c>
      <c r="R1071" s="0" t="n">
        <v>3583</v>
      </c>
      <c r="S1071" s="0" t="n">
        <v>7203</v>
      </c>
      <c r="T1071" s="0" t="n">
        <v>40.75</v>
      </c>
      <c r="U1071" s="0" t="n">
        <v>1825</v>
      </c>
      <c r="V1071" s="0" t="n">
        <v>3</v>
      </c>
      <c r="W1071" s="0" t="str">
        <f aca="false">IF(OR(AND(B1071&gt;=1,B1071&lt;=6),B1071=10),"Vaca em lactação",IF(I1071="Male","Macho",IF(E1071&gt;=1,"Vaca seca",IF(I1071="Youngstock","Bezerra/recria","Novilha"))))</f>
        <v>Vaca em lactação</v>
      </c>
      <c r="X1071" s="0" t="str">
        <f aca="false">IF(AND(B1071&gt;=1,B1071&lt;=6),"Tanque",IF(B1071=10,"Descarte",""))</f>
        <v>Tanque</v>
      </c>
    </row>
    <row r="1072" customFormat="false" ht="15" hidden="false" customHeight="false" outlineLevel="0" collapsed="false">
      <c r="A1072" s="22" t="n">
        <v>46309</v>
      </c>
      <c r="B1072" s="0" t="n">
        <v>5</v>
      </c>
      <c r="C1072" s="0" t="n">
        <v>3672</v>
      </c>
      <c r="D1072" s="0" t="n">
        <v>201</v>
      </c>
      <c r="E1072" s="0" t="n">
        <v>3</v>
      </c>
      <c r="F1072" s="23" t="s">
        <v>715</v>
      </c>
      <c r="G1072" s="0" t="n">
        <v>44.5</v>
      </c>
      <c r="H1072" s="0" t="n">
        <v>44</v>
      </c>
      <c r="I1072" s="23" t="s">
        <v>92</v>
      </c>
      <c r="J1072" s="0" t="n">
        <v>103</v>
      </c>
      <c r="K1072" s="0" t="n">
        <v>68</v>
      </c>
      <c r="L1072" s="0" t="n">
        <v>98</v>
      </c>
      <c r="M1072" s="0" t="n">
        <v>416.11</v>
      </c>
      <c r="N1072" s="0" t="n">
        <v>33.16</v>
      </c>
      <c r="O1072" s="0" t="n">
        <v>20.48</v>
      </c>
      <c r="P1072" s="0" t="n">
        <v>3.9</v>
      </c>
      <c r="Q1072" s="0" t="n">
        <v>3.23</v>
      </c>
      <c r="R1072" s="0" t="n">
        <v>5816</v>
      </c>
      <c r="S1072" s="0" t="n">
        <v>11328</v>
      </c>
      <c r="T1072" s="0" t="n">
        <v>58.1</v>
      </c>
      <c r="U1072" s="0" t="n">
        <v>1829</v>
      </c>
      <c r="V1072" s="0" t="n">
        <v>2</v>
      </c>
      <c r="W1072" s="0" t="str">
        <f aca="false">IF(OR(AND(B1072&gt;=1,B1072&lt;=6),B1072=10),"Vaca em lactação",IF(I1072="Male","Macho",IF(E1072&gt;=1,"Vaca seca",IF(I1072="Youngstock","Bezerra/recria","Novilha"))))</f>
        <v>Vaca em lactação</v>
      </c>
      <c r="X1072" s="0" t="str">
        <f aca="false">IF(AND(B1072&gt;=1,B1072&lt;=6),"Tanque",IF(B1072=10,"Descarte",""))</f>
        <v>Tanque</v>
      </c>
    </row>
    <row r="1073" customFormat="false" ht="15" hidden="false" customHeight="false" outlineLevel="0" collapsed="false">
      <c r="A1073" s="22" t="n">
        <v>46309</v>
      </c>
      <c r="B1073" s="0" t="n">
        <v>5</v>
      </c>
      <c r="C1073" s="0" t="n">
        <v>3671</v>
      </c>
      <c r="D1073" s="0" t="n">
        <v>126</v>
      </c>
      <c r="E1073" s="0" t="n">
        <v>4</v>
      </c>
      <c r="F1073" s="23" t="s">
        <v>235</v>
      </c>
      <c r="G1073" s="0" t="n">
        <v>45.7</v>
      </c>
      <c r="H1073" s="0" t="n">
        <v>45</v>
      </c>
      <c r="I1073" s="23" t="s">
        <v>97</v>
      </c>
      <c r="J1073" s="0" t="n">
        <v>126</v>
      </c>
      <c r="K1073" s="0" t="n">
        <v>72</v>
      </c>
      <c r="M1073" s="0" t="n">
        <v>313.39</v>
      </c>
      <c r="N1073" s="0" t="n">
        <v>36.02</v>
      </c>
      <c r="O1073" s="0" t="n">
        <v>30.07</v>
      </c>
      <c r="P1073" s="0" t="n">
        <v>2.38</v>
      </c>
      <c r="Q1073" s="0" t="n">
        <v>3.49</v>
      </c>
      <c r="R1073" s="0" t="n">
        <v>4588</v>
      </c>
      <c r="S1073" s="0" t="n">
        <v>9094</v>
      </c>
      <c r="T1073" s="0" t="n">
        <v>51.65</v>
      </c>
      <c r="U1073" s="0" t="n">
        <v>1832</v>
      </c>
      <c r="V1073" s="0" t="n">
        <v>3</v>
      </c>
      <c r="W1073" s="0" t="str">
        <f aca="false">IF(OR(AND(B1073&gt;=1,B1073&lt;=6),B1073=10),"Vaca em lactação",IF(I1073="Male","Macho",IF(E1073&gt;=1,"Vaca seca",IF(I1073="Youngstock","Bezerra/recria","Novilha"))))</f>
        <v>Vaca em lactação</v>
      </c>
      <c r="X1073" s="0" t="str">
        <f aca="false">IF(AND(B1073&gt;=1,B1073&lt;=6),"Tanque",IF(B1073=10,"Descarte",""))</f>
        <v>Tanque</v>
      </c>
    </row>
    <row r="1074" customFormat="false" ht="15" hidden="false" customHeight="false" outlineLevel="0" collapsed="false">
      <c r="A1074" s="22" t="n">
        <v>46309</v>
      </c>
      <c r="B1074" s="0" t="n">
        <v>5</v>
      </c>
      <c r="C1074" s="0" t="n">
        <v>3691</v>
      </c>
      <c r="D1074" s="0" t="n">
        <v>145</v>
      </c>
      <c r="E1074" s="0" t="n">
        <v>4</v>
      </c>
      <c r="F1074" s="23" t="s">
        <v>716</v>
      </c>
      <c r="G1074" s="0" t="n">
        <v>27.3</v>
      </c>
      <c r="H1074" s="0" t="n">
        <v>28</v>
      </c>
      <c r="I1074" s="23" t="s">
        <v>97</v>
      </c>
      <c r="J1074" s="0" t="n">
        <v>145</v>
      </c>
      <c r="K1074" s="0" t="n">
        <v>68</v>
      </c>
      <c r="M1074" s="0" t="n">
        <v>324.23</v>
      </c>
      <c r="N1074" s="0" t="n">
        <v>58.57</v>
      </c>
      <c r="O1074" s="0" t="n">
        <v>18.24</v>
      </c>
      <c r="P1074" s="0" t="n">
        <v>4.58</v>
      </c>
      <c r="Q1074" s="0" t="n">
        <v>3.83</v>
      </c>
      <c r="R1074" s="0" t="n">
        <v>2835</v>
      </c>
      <c r="S1074" s="0" t="n">
        <v>5825</v>
      </c>
      <c r="T1074" s="0" t="n">
        <v>31.35</v>
      </c>
      <c r="U1074" s="0" t="n">
        <v>1815</v>
      </c>
      <c r="V1074" s="0" t="n">
        <v>2</v>
      </c>
      <c r="W1074" s="0" t="str">
        <f aca="false">IF(OR(AND(B1074&gt;=1,B1074&lt;=6),B1074=10),"Vaca em lactação",IF(I1074="Male","Macho",IF(E1074&gt;=1,"Vaca seca",IF(I1074="Youngstock","Bezerra/recria","Novilha"))))</f>
        <v>Vaca em lactação</v>
      </c>
      <c r="X1074" s="0" t="str">
        <f aca="false">IF(AND(B1074&gt;=1,B1074&lt;=6),"Tanque",IF(B1074=10,"Descarte",""))</f>
        <v>Tanque</v>
      </c>
    </row>
    <row r="1075" customFormat="false" ht="15" hidden="false" customHeight="false" outlineLevel="0" collapsed="false">
      <c r="A1075" s="22" t="n">
        <v>46309</v>
      </c>
      <c r="B1075" s="0" t="n">
        <v>5</v>
      </c>
      <c r="C1075" s="0" t="n">
        <v>3688</v>
      </c>
      <c r="D1075" s="0" t="n">
        <v>203</v>
      </c>
      <c r="E1075" s="0" t="n">
        <v>3</v>
      </c>
      <c r="F1075" s="23" t="s">
        <v>717</v>
      </c>
      <c r="G1075" s="0" t="n">
        <v>35.5</v>
      </c>
      <c r="H1075" s="0" t="n">
        <v>31</v>
      </c>
      <c r="I1075" s="23" t="s">
        <v>109</v>
      </c>
      <c r="J1075" s="0" t="n">
        <v>203</v>
      </c>
      <c r="K1075" s="0" t="n">
        <v>70</v>
      </c>
      <c r="M1075" s="0" t="n">
        <v>-43.09</v>
      </c>
      <c r="N1075" s="0" t="n">
        <v>19.56</v>
      </c>
      <c r="O1075" s="0" t="n">
        <v>8.8</v>
      </c>
      <c r="P1075" s="0" t="n">
        <v>5.96</v>
      </c>
      <c r="Q1075" s="0" t="n">
        <v>3.85</v>
      </c>
      <c r="R1075" s="0" t="n">
        <v>4993</v>
      </c>
      <c r="S1075" s="0" t="n">
        <v>9257</v>
      </c>
      <c r="T1075" s="0" t="n">
        <v>59.35</v>
      </c>
      <c r="U1075" s="0" t="n">
        <v>1818</v>
      </c>
      <c r="V1075" s="0" t="n">
        <v>3</v>
      </c>
      <c r="W1075" s="0" t="str">
        <f aca="false">IF(OR(AND(B1075&gt;=1,B1075&lt;=6),B1075=10),"Vaca em lactação",IF(I1075="Male","Macho",IF(E1075&gt;=1,"Vaca seca",IF(I1075="Youngstock","Bezerra/recria","Novilha"))))</f>
        <v>Vaca em lactação</v>
      </c>
      <c r="X1075" s="0" t="str">
        <f aca="false">IF(AND(B1075&gt;=1,B1075&lt;=6),"Tanque",IF(B1075=10,"Descarte",""))</f>
        <v>Tanque</v>
      </c>
    </row>
    <row r="1076" customFormat="false" ht="15" hidden="false" customHeight="false" outlineLevel="0" collapsed="false">
      <c r="A1076" s="22" t="n">
        <v>46309</v>
      </c>
      <c r="B1076" s="0" t="n">
        <v>5</v>
      </c>
      <c r="C1076" s="0" t="n">
        <v>3632</v>
      </c>
      <c r="D1076" s="0" t="n">
        <v>164</v>
      </c>
      <c r="E1076" s="0" t="n">
        <v>3</v>
      </c>
      <c r="F1076" s="23" t="s">
        <v>718</v>
      </c>
      <c r="G1076" s="0" t="n">
        <v>38.7</v>
      </c>
      <c r="H1076" s="0" t="n">
        <v>42</v>
      </c>
      <c r="I1076" s="23" t="s">
        <v>97</v>
      </c>
      <c r="J1076" s="0" t="n">
        <v>164</v>
      </c>
      <c r="K1076" s="0" t="n">
        <v>66</v>
      </c>
      <c r="M1076" s="0" t="n">
        <v>519.75</v>
      </c>
      <c r="N1076" s="0" t="n">
        <v>26.83</v>
      </c>
      <c r="O1076" s="0" t="n">
        <v>20.01</v>
      </c>
      <c r="P1076" s="0" t="n">
        <v>4.25</v>
      </c>
      <c r="Q1076" s="0" t="n">
        <v>3.62</v>
      </c>
      <c r="R1076" s="0" t="n">
        <v>5059</v>
      </c>
      <c r="S1076" s="0" t="n">
        <v>9491</v>
      </c>
      <c r="T1076" s="0" t="n">
        <v>60</v>
      </c>
      <c r="U1076" s="0" t="n">
        <v>1857</v>
      </c>
      <c r="V1076" s="0" t="n">
        <v>3</v>
      </c>
      <c r="W1076" s="0" t="str">
        <f aca="false">IF(OR(AND(B1076&gt;=1,B1076&lt;=6),B1076=10),"Vaca em lactação",IF(I1076="Male","Macho",IF(E1076&gt;=1,"Vaca seca",IF(I1076="Youngstock","Bezerra/recria","Novilha"))))</f>
        <v>Vaca em lactação</v>
      </c>
      <c r="X1076" s="0" t="str">
        <f aca="false">IF(AND(B1076&gt;=1,B1076&lt;=6),"Tanque",IF(B1076=10,"Descarte",""))</f>
        <v>Tanque</v>
      </c>
    </row>
    <row r="1077" customFormat="false" ht="15" hidden="false" customHeight="false" outlineLevel="0" collapsed="false">
      <c r="A1077" s="22" t="n">
        <v>46309</v>
      </c>
      <c r="B1077" s="0" t="n">
        <v>5</v>
      </c>
      <c r="C1077" s="0" t="n">
        <v>3631</v>
      </c>
      <c r="D1077" s="0" t="n">
        <v>399</v>
      </c>
      <c r="E1077" s="0" t="n">
        <v>3</v>
      </c>
      <c r="F1077" s="23" t="s">
        <v>718</v>
      </c>
      <c r="G1077" s="0" t="n">
        <v>36.6</v>
      </c>
      <c r="H1077" s="0" t="n">
        <v>38</v>
      </c>
      <c r="I1077" s="23" t="s">
        <v>92</v>
      </c>
      <c r="J1077" s="0" t="n">
        <v>211</v>
      </c>
      <c r="K1077" s="0" t="n">
        <v>63</v>
      </c>
      <c r="L1077" s="0" t="n">
        <v>188</v>
      </c>
      <c r="M1077" s="0" t="n">
        <v>655.9</v>
      </c>
      <c r="N1077" s="0" t="n">
        <v>36.55</v>
      </c>
      <c r="O1077" s="0" t="n">
        <v>23.12</v>
      </c>
      <c r="P1077" s="0" t="n">
        <v>0</v>
      </c>
      <c r="Q1077" s="0" t="n">
        <v>0</v>
      </c>
      <c r="R1077" s="0" t="n">
        <v>6121</v>
      </c>
      <c r="S1077" s="0" t="n">
        <v>12726</v>
      </c>
      <c r="T1077" s="0" t="n">
        <v>70.8</v>
      </c>
      <c r="U1077" s="0" t="n">
        <v>1857</v>
      </c>
      <c r="V1077" s="0" t="n">
        <v>5</v>
      </c>
      <c r="W1077" s="0" t="str">
        <f aca="false">IF(OR(AND(B1077&gt;=1,B1077&lt;=6),B1077=10),"Vaca em lactação",IF(I1077="Male","Macho",IF(E1077&gt;=1,"Vaca seca",IF(I1077="Youngstock","Bezerra/recria","Novilha"))))</f>
        <v>Vaca em lactação</v>
      </c>
      <c r="X1077" s="0" t="str">
        <f aca="false">IF(AND(B1077&gt;=1,B1077&lt;=6),"Tanque",IF(B1077=10,"Descarte",""))</f>
        <v>Tanque</v>
      </c>
    </row>
    <row r="1078" customFormat="false" ht="15" hidden="false" customHeight="false" outlineLevel="0" collapsed="false">
      <c r="A1078" s="22" t="n">
        <v>46309</v>
      </c>
      <c r="B1078" s="0" t="n">
        <v>5</v>
      </c>
      <c r="C1078" s="0" t="n">
        <v>3994</v>
      </c>
      <c r="D1078" s="0" t="n">
        <v>458</v>
      </c>
      <c r="E1078" s="0" t="n">
        <v>2</v>
      </c>
      <c r="F1078" s="23" t="s">
        <v>719</v>
      </c>
      <c r="G1078" s="0" t="n">
        <v>26.5</v>
      </c>
      <c r="H1078" s="0" t="n">
        <v>32</v>
      </c>
      <c r="I1078" s="23" t="s">
        <v>109</v>
      </c>
      <c r="J1078" s="0" t="n">
        <v>458</v>
      </c>
      <c r="K1078" s="0" t="n">
        <v>59</v>
      </c>
      <c r="M1078" s="0" t="n">
        <v>449</v>
      </c>
      <c r="N1078" s="0" t="n">
        <v>49.28</v>
      </c>
      <c r="O1078" s="0" t="n">
        <v>17.86</v>
      </c>
      <c r="P1078" s="0" t="n">
        <v>5.31</v>
      </c>
      <c r="Q1078" s="0" t="n">
        <v>3.85</v>
      </c>
      <c r="R1078" s="0" t="n">
        <v>4701</v>
      </c>
      <c r="S1078" s="0" t="n">
        <v>9600</v>
      </c>
      <c r="T1078" s="0" t="n">
        <v>52.35</v>
      </c>
      <c r="U1078" s="0" t="n">
        <v>1617</v>
      </c>
      <c r="V1078" s="0" t="n">
        <v>9</v>
      </c>
      <c r="W1078" s="0" t="str">
        <f aca="false">IF(OR(AND(B1078&gt;=1,B1078&lt;=6),B1078=10),"Vaca em lactação",IF(I1078="Male","Macho",IF(E1078&gt;=1,"Vaca seca",IF(I1078="Youngstock","Bezerra/recria","Novilha"))))</f>
        <v>Vaca em lactação</v>
      </c>
      <c r="X1078" s="0" t="str">
        <f aca="false">IF(AND(B1078&gt;=1,B1078&lt;=6),"Tanque",IF(B1078=10,"Descarte",""))</f>
        <v>Tanque</v>
      </c>
    </row>
    <row r="1079" customFormat="false" ht="15" hidden="false" customHeight="false" outlineLevel="0" collapsed="false">
      <c r="A1079" s="22" t="n">
        <v>46309</v>
      </c>
      <c r="B1079" s="0" t="n">
        <v>5</v>
      </c>
      <c r="C1079" s="0" t="n">
        <v>4017</v>
      </c>
      <c r="D1079" s="0" t="n">
        <v>500</v>
      </c>
      <c r="E1079" s="0" t="n">
        <v>2</v>
      </c>
      <c r="F1079" s="23" t="s">
        <v>242</v>
      </c>
      <c r="G1079" s="0" t="n">
        <v>44.2</v>
      </c>
      <c r="H1079" s="0" t="n">
        <v>40</v>
      </c>
      <c r="I1079" s="23" t="s">
        <v>92</v>
      </c>
      <c r="J1079" s="0" t="n">
        <v>297</v>
      </c>
      <c r="K1079" s="0" t="n">
        <v>59</v>
      </c>
      <c r="L1079" s="0" t="n">
        <v>203</v>
      </c>
      <c r="M1079" s="0" t="n">
        <v>844.12</v>
      </c>
      <c r="N1079" s="0" t="n">
        <v>32.02</v>
      </c>
      <c r="O1079" s="0" t="n">
        <v>37.47</v>
      </c>
      <c r="P1079" s="0" t="n">
        <v>3.61</v>
      </c>
      <c r="Q1079" s="0" t="n">
        <v>3.47</v>
      </c>
      <c r="R1079" s="0" t="n">
        <v>5987</v>
      </c>
      <c r="S1079" s="0" t="n">
        <v>11680</v>
      </c>
      <c r="T1079" s="0" t="n">
        <v>64.1</v>
      </c>
      <c r="U1079" s="0" t="n">
        <v>1605</v>
      </c>
      <c r="V1079" s="0" t="n">
        <v>7</v>
      </c>
      <c r="W1079" s="0" t="str">
        <f aca="false">IF(OR(AND(B1079&gt;=1,B1079&lt;=6),B1079=10),"Vaca em lactação",IF(I1079="Male","Macho",IF(E1079&gt;=1,"Vaca seca",IF(I1079="Youngstock","Bezerra/recria","Novilha"))))</f>
        <v>Vaca em lactação</v>
      </c>
      <c r="X1079" s="0" t="str">
        <f aca="false">IF(AND(B1079&gt;=1,B1079&lt;=6),"Tanque",IF(B1079=10,"Descarte",""))</f>
        <v>Tanque</v>
      </c>
    </row>
    <row r="1080" customFormat="false" ht="15" hidden="false" customHeight="false" outlineLevel="0" collapsed="false">
      <c r="A1080" s="22" t="n">
        <v>46309</v>
      </c>
      <c r="B1080" s="0" t="n">
        <v>5</v>
      </c>
      <c r="C1080" s="0" t="n">
        <v>4014</v>
      </c>
      <c r="D1080" s="0" t="n">
        <v>207</v>
      </c>
      <c r="E1080" s="0" t="n">
        <v>3</v>
      </c>
      <c r="F1080" s="23" t="s">
        <v>242</v>
      </c>
      <c r="G1080" s="0" t="n">
        <v>43.4</v>
      </c>
      <c r="H1080" s="0" t="n">
        <v>43</v>
      </c>
      <c r="I1080" s="23" t="s">
        <v>92</v>
      </c>
      <c r="J1080" s="0" t="n">
        <v>67</v>
      </c>
      <c r="K1080" s="0" t="n">
        <v>67</v>
      </c>
      <c r="L1080" s="0" t="n">
        <v>140</v>
      </c>
      <c r="M1080" s="0" t="n">
        <v>571.08</v>
      </c>
      <c r="N1080" s="0" t="n">
        <v>45.88</v>
      </c>
      <c r="O1080" s="0" t="n">
        <v>23.09</v>
      </c>
      <c r="P1080" s="0" t="n">
        <v>0</v>
      </c>
      <c r="Q1080" s="0" t="n">
        <v>0</v>
      </c>
      <c r="R1080" s="0" t="n">
        <v>5319</v>
      </c>
      <c r="S1080" s="0" t="n">
        <v>10761</v>
      </c>
      <c r="T1080" s="0" t="n">
        <v>59.45</v>
      </c>
      <c r="U1080" s="0" t="n">
        <v>1605</v>
      </c>
      <c r="V1080" s="0" t="n">
        <v>1</v>
      </c>
      <c r="W1080" s="0" t="str">
        <f aca="false">IF(OR(AND(B1080&gt;=1,B1080&lt;=6),B1080=10),"Vaca em lactação",IF(I1080="Male","Macho",IF(E1080&gt;=1,"Vaca seca",IF(I1080="Youngstock","Bezerra/recria","Novilha"))))</f>
        <v>Vaca em lactação</v>
      </c>
      <c r="X1080" s="0" t="str">
        <f aca="false">IF(AND(B1080&gt;=1,B1080&lt;=6),"Tanque",IF(B1080=10,"Descarte",""))</f>
        <v>Tanque</v>
      </c>
    </row>
    <row r="1081" customFormat="false" ht="15" hidden="false" customHeight="false" outlineLevel="0" collapsed="false">
      <c r="A1081" s="22" t="n">
        <v>46309</v>
      </c>
      <c r="B1081" s="0" t="n">
        <v>5</v>
      </c>
      <c r="C1081" s="0" t="n">
        <v>4008</v>
      </c>
      <c r="D1081" s="0" t="n">
        <v>595</v>
      </c>
      <c r="E1081" s="0" t="n">
        <v>2</v>
      </c>
      <c r="F1081" s="23" t="s">
        <v>243</v>
      </c>
      <c r="G1081" s="0" t="n">
        <v>32.3</v>
      </c>
      <c r="H1081" s="0" t="n">
        <v>31</v>
      </c>
      <c r="I1081" s="23" t="s">
        <v>92</v>
      </c>
      <c r="J1081" s="0" t="n">
        <v>385</v>
      </c>
      <c r="K1081" s="0" t="n">
        <v>64</v>
      </c>
      <c r="L1081" s="0" t="n">
        <v>210</v>
      </c>
      <c r="M1081" s="0" t="n">
        <v>779.89</v>
      </c>
      <c r="N1081" s="0" t="n">
        <v>29.85</v>
      </c>
      <c r="O1081" s="0" t="n">
        <v>18.09</v>
      </c>
      <c r="P1081" s="0" t="n">
        <v>4.42</v>
      </c>
      <c r="Q1081" s="0" t="n">
        <v>3.48</v>
      </c>
      <c r="R1081" s="0" t="n">
        <v>5648</v>
      </c>
      <c r="S1081" s="0" t="n">
        <v>11927</v>
      </c>
      <c r="T1081" s="0" t="n">
        <v>49.55</v>
      </c>
      <c r="U1081" s="0" t="n">
        <v>1609</v>
      </c>
      <c r="V1081" s="0" t="n">
        <v>4</v>
      </c>
      <c r="W1081" s="0" t="str">
        <f aca="false">IF(OR(AND(B1081&gt;=1,B1081&lt;=6),B1081=10),"Vaca em lactação",IF(I1081="Male","Macho",IF(E1081&gt;=1,"Vaca seca",IF(I1081="Youngstock","Bezerra/recria","Novilha"))))</f>
        <v>Vaca em lactação</v>
      </c>
      <c r="X1081" s="0" t="str">
        <f aca="false">IF(AND(B1081&gt;=1,B1081&lt;=6),"Tanque",IF(B1081=10,"Descarte",""))</f>
        <v>Tanque</v>
      </c>
    </row>
    <row r="1082" customFormat="false" ht="15" hidden="false" customHeight="false" outlineLevel="0" collapsed="false">
      <c r="A1082" s="22" t="n">
        <v>46309</v>
      </c>
      <c r="B1082" s="0" t="n">
        <v>5</v>
      </c>
      <c r="C1082" s="0" t="n">
        <v>4019</v>
      </c>
      <c r="D1082" s="0" t="n">
        <v>232</v>
      </c>
      <c r="E1082" s="0" t="n">
        <v>3</v>
      </c>
      <c r="F1082" s="23" t="s">
        <v>720</v>
      </c>
      <c r="G1082" s="0" t="n">
        <v>33.2</v>
      </c>
      <c r="H1082" s="0" t="n">
        <v>31</v>
      </c>
      <c r="I1082" s="23" t="s">
        <v>92</v>
      </c>
      <c r="J1082" s="0" t="n">
        <v>162</v>
      </c>
      <c r="K1082" s="0" t="n">
        <v>64</v>
      </c>
      <c r="L1082" s="0" t="n">
        <v>70</v>
      </c>
      <c r="M1082" s="0" t="n">
        <v>931.6</v>
      </c>
      <c r="N1082" s="0" t="n">
        <v>80.39</v>
      </c>
      <c r="O1082" s="0" t="n">
        <v>48.39</v>
      </c>
      <c r="P1082" s="0" t="n">
        <v>4.86</v>
      </c>
      <c r="Q1082" s="0" t="n">
        <v>4.46</v>
      </c>
      <c r="R1082" s="0" t="n">
        <v>3833</v>
      </c>
      <c r="S1082" s="0" t="n">
        <v>7722</v>
      </c>
      <c r="T1082" s="0" t="n">
        <v>42.85</v>
      </c>
      <c r="U1082" s="0" t="n">
        <v>1603</v>
      </c>
      <c r="V1082" s="0" t="n">
        <v>3</v>
      </c>
      <c r="W1082" s="0" t="str">
        <f aca="false">IF(OR(AND(B1082&gt;=1,B1082&lt;=6),B1082=10),"Vaca em lactação",IF(I1082="Male","Macho",IF(E1082&gt;=1,"Vaca seca",IF(I1082="Youngstock","Bezerra/recria","Novilha"))))</f>
        <v>Vaca em lactação</v>
      </c>
      <c r="X1082" s="0" t="str">
        <f aca="false">IF(AND(B1082&gt;=1,B1082&lt;=6),"Tanque",IF(B1082=10,"Descarte",""))</f>
        <v>Tanque</v>
      </c>
    </row>
    <row r="1083" customFormat="false" ht="15" hidden="false" customHeight="false" outlineLevel="0" collapsed="false">
      <c r="A1083" s="22" t="n">
        <v>46309</v>
      </c>
      <c r="B1083" s="0" t="n">
        <v>5</v>
      </c>
      <c r="C1083" s="0" t="n">
        <v>3957</v>
      </c>
      <c r="D1083" s="0" t="n">
        <v>231</v>
      </c>
      <c r="E1083" s="0" t="n">
        <v>3</v>
      </c>
      <c r="F1083" s="23" t="s">
        <v>418</v>
      </c>
      <c r="G1083" s="0" t="n">
        <v>37.3</v>
      </c>
      <c r="H1083" s="0" t="n">
        <v>41</v>
      </c>
      <c r="I1083" s="23" t="s">
        <v>97</v>
      </c>
      <c r="J1083" s="0" t="n">
        <v>231</v>
      </c>
      <c r="K1083" s="0" t="n">
        <v>67</v>
      </c>
      <c r="M1083" s="0" t="n">
        <v>392.02</v>
      </c>
      <c r="N1083" s="0" t="n">
        <v>32.06</v>
      </c>
      <c r="O1083" s="0" t="n">
        <v>22.25</v>
      </c>
      <c r="P1083" s="0" t="n">
        <v>3.23</v>
      </c>
      <c r="Q1083" s="0" t="n">
        <v>3.83</v>
      </c>
      <c r="R1083" s="0" t="n">
        <v>5520</v>
      </c>
      <c r="S1083" s="0" t="n">
        <v>10033</v>
      </c>
      <c r="T1083" s="0" t="n">
        <v>62.2</v>
      </c>
      <c r="U1083" s="0" t="n">
        <v>1647</v>
      </c>
      <c r="V1083" s="0" t="n">
        <v>5</v>
      </c>
      <c r="W1083" s="0" t="str">
        <f aca="false">IF(OR(AND(B1083&gt;=1,B1083&lt;=6),B1083=10),"Vaca em lactação",IF(I1083="Male","Macho",IF(E1083&gt;=1,"Vaca seca",IF(I1083="Youngstock","Bezerra/recria","Novilha"))))</f>
        <v>Vaca em lactação</v>
      </c>
      <c r="X1083" s="0" t="str">
        <f aca="false">IF(AND(B1083&gt;=1,B1083&lt;=6),"Tanque",IF(B1083=10,"Descarte",""))</f>
        <v>Tanque</v>
      </c>
    </row>
    <row r="1084" customFormat="false" ht="15" hidden="false" customHeight="false" outlineLevel="0" collapsed="false">
      <c r="A1084" s="22" t="n">
        <v>46309</v>
      </c>
      <c r="B1084" s="0" t="n">
        <v>5</v>
      </c>
      <c r="C1084" s="0" t="n">
        <v>3970</v>
      </c>
      <c r="D1084" s="0" t="n">
        <v>135</v>
      </c>
      <c r="E1084" s="0" t="n">
        <v>3</v>
      </c>
      <c r="F1084" s="23" t="s">
        <v>721</v>
      </c>
      <c r="G1084" s="0" t="n">
        <v>42.1</v>
      </c>
      <c r="H1084" s="0" t="n">
        <v>37</v>
      </c>
      <c r="I1084" s="23" t="s">
        <v>92</v>
      </c>
      <c r="J1084" s="0" t="n">
        <v>65</v>
      </c>
      <c r="K1084" s="0" t="n">
        <v>65</v>
      </c>
      <c r="L1084" s="0" t="n">
        <v>70</v>
      </c>
      <c r="M1084" s="0" t="n">
        <v>1065.05</v>
      </c>
      <c r="N1084" s="0" t="n">
        <v>62.38</v>
      </c>
      <c r="O1084" s="0" t="n">
        <v>39.88</v>
      </c>
      <c r="P1084" s="0" t="n">
        <v>5.25</v>
      </c>
      <c r="Q1084" s="0" t="n">
        <v>4.04</v>
      </c>
      <c r="R1084" s="0" t="n">
        <v>4347</v>
      </c>
      <c r="S1084" s="0" t="n">
        <v>8450</v>
      </c>
      <c r="T1084" s="0" t="n">
        <v>41.7</v>
      </c>
      <c r="U1084" s="0" t="n">
        <v>1641</v>
      </c>
      <c r="V1084" s="0" t="n">
        <v>1</v>
      </c>
      <c r="W1084" s="0" t="str">
        <f aca="false">IF(OR(AND(B1084&gt;=1,B1084&lt;=6),B1084=10),"Vaca em lactação",IF(I1084="Male","Macho",IF(E1084&gt;=1,"Vaca seca",IF(I1084="Youngstock","Bezerra/recria","Novilha"))))</f>
        <v>Vaca em lactação</v>
      </c>
      <c r="X1084" s="0" t="str">
        <f aca="false">IF(AND(B1084&gt;=1,B1084&lt;=6),"Tanque",IF(B1084=10,"Descarte",""))</f>
        <v>Tanque</v>
      </c>
    </row>
    <row r="1085" customFormat="false" ht="15" hidden="false" customHeight="false" outlineLevel="0" collapsed="false">
      <c r="A1085" s="22" t="n">
        <v>46309</v>
      </c>
      <c r="B1085" s="0" t="n">
        <v>5</v>
      </c>
      <c r="C1085" s="0" t="n">
        <v>3979</v>
      </c>
      <c r="D1085" s="0" t="n">
        <v>281</v>
      </c>
      <c r="E1085" s="0" t="n">
        <v>3</v>
      </c>
      <c r="F1085" s="23" t="s">
        <v>722</v>
      </c>
      <c r="G1085" s="0" t="n">
        <v>31.1</v>
      </c>
      <c r="H1085" s="0" t="n">
        <v>32</v>
      </c>
      <c r="I1085" s="23" t="s">
        <v>92</v>
      </c>
      <c r="J1085" s="0" t="n">
        <v>99</v>
      </c>
      <c r="K1085" s="0" t="n">
        <v>71</v>
      </c>
      <c r="L1085" s="0" t="n">
        <v>182</v>
      </c>
      <c r="M1085" s="0" t="n">
        <v>480.34</v>
      </c>
      <c r="N1085" s="0" t="n">
        <v>53.41</v>
      </c>
      <c r="O1085" s="0" t="n">
        <v>19.38</v>
      </c>
      <c r="P1085" s="0" t="n">
        <v>2.98</v>
      </c>
      <c r="Q1085" s="0" t="n">
        <v>3.5</v>
      </c>
      <c r="R1085" s="0" t="n">
        <v>4905</v>
      </c>
      <c r="S1085" s="0" t="n">
        <v>10306</v>
      </c>
      <c r="T1085" s="0" t="n">
        <v>50</v>
      </c>
      <c r="U1085" s="0" t="n">
        <v>1634</v>
      </c>
      <c r="V1085" s="0" t="n">
        <v>2</v>
      </c>
      <c r="W1085" s="0" t="str">
        <f aca="false">IF(OR(AND(B1085&gt;=1,B1085&lt;=6),B1085=10),"Vaca em lactação",IF(I1085="Male","Macho",IF(E1085&gt;=1,"Vaca seca",IF(I1085="Youngstock","Bezerra/recria","Novilha"))))</f>
        <v>Vaca em lactação</v>
      </c>
      <c r="X1085" s="0" t="str">
        <f aca="false">IF(AND(B1085&gt;=1,B1085&lt;=6),"Tanque",IF(B1085=10,"Descarte",""))</f>
        <v>Tanque</v>
      </c>
    </row>
    <row r="1086" customFormat="false" ht="15" hidden="false" customHeight="false" outlineLevel="0" collapsed="false">
      <c r="A1086" s="22" t="n">
        <v>46309</v>
      </c>
      <c r="B1086" s="0" t="n">
        <v>5</v>
      </c>
      <c r="C1086" s="0" t="n">
        <v>3990</v>
      </c>
      <c r="D1086" s="0" t="n">
        <v>432</v>
      </c>
      <c r="E1086" s="0" t="n">
        <v>2</v>
      </c>
      <c r="F1086" s="23" t="s">
        <v>723</v>
      </c>
      <c r="G1086" s="0" t="n">
        <v>29.9</v>
      </c>
      <c r="H1086" s="0" t="n">
        <v>32</v>
      </c>
      <c r="I1086" s="23" t="s">
        <v>109</v>
      </c>
      <c r="J1086" s="0" t="n">
        <v>432</v>
      </c>
      <c r="K1086" s="0" t="n">
        <v>61</v>
      </c>
      <c r="M1086" s="0" t="n">
        <v>646.56</v>
      </c>
      <c r="N1086" s="0" t="n">
        <v>51.39</v>
      </c>
      <c r="O1086" s="0" t="n">
        <v>37.29</v>
      </c>
      <c r="P1086" s="0" t="n">
        <v>5.21</v>
      </c>
      <c r="Q1086" s="0" t="n">
        <v>3.71</v>
      </c>
      <c r="R1086" s="0" t="n">
        <v>4448</v>
      </c>
      <c r="S1086" s="0" t="n">
        <v>9796</v>
      </c>
      <c r="T1086" s="0" t="n">
        <v>45</v>
      </c>
      <c r="U1086" s="0" t="n">
        <v>1622</v>
      </c>
      <c r="V1086" s="0" t="n">
        <v>11</v>
      </c>
      <c r="W1086" s="0" t="str">
        <f aca="false">IF(OR(AND(B1086&gt;=1,B1086&lt;=6),B1086=10),"Vaca em lactação",IF(I1086="Male","Macho",IF(E1086&gt;=1,"Vaca seca",IF(I1086="Youngstock","Bezerra/recria","Novilha"))))</f>
        <v>Vaca em lactação</v>
      </c>
      <c r="X1086" s="0" t="str">
        <f aca="false">IF(AND(B1086&gt;=1,B1086&lt;=6),"Tanque",IF(B1086=10,"Descarte",""))</f>
        <v>Tanque</v>
      </c>
    </row>
    <row r="1087" customFormat="false" ht="15" hidden="false" customHeight="false" outlineLevel="0" collapsed="false">
      <c r="A1087" s="22" t="n">
        <v>46309</v>
      </c>
      <c r="B1087" s="0" t="n">
        <v>5</v>
      </c>
      <c r="C1087" s="0" t="n">
        <v>4063</v>
      </c>
      <c r="D1087" s="0" t="n">
        <v>56</v>
      </c>
      <c r="E1087" s="0" t="n">
        <v>3</v>
      </c>
      <c r="F1087" s="23" t="s">
        <v>724</v>
      </c>
      <c r="G1087" s="0" t="n">
        <v>46.7</v>
      </c>
      <c r="H1087" s="0" t="n">
        <v>44</v>
      </c>
      <c r="I1087" s="23" t="s">
        <v>94</v>
      </c>
      <c r="J1087" s="0" t="n">
        <v>56</v>
      </c>
      <c r="M1087" s="0" t="n">
        <v>532.82</v>
      </c>
      <c r="N1087" s="0" t="n">
        <v>23.04</v>
      </c>
      <c r="O1087" s="0" t="n">
        <v>23.62</v>
      </c>
      <c r="P1087" s="0" t="n">
        <v>2.61</v>
      </c>
      <c r="Q1087" s="0" t="n">
        <v>3.13</v>
      </c>
      <c r="R1087" s="0" t="n">
        <v>3676</v>
      </c>
      <c r="S1087" s="0" t="n">
        <v>7390</v>
      </c>
      <c r="U1087" s="0" t="n">
        <v>1568</v>
      </c>
      <c r="V1087" s="0" t="n">
        <v>0</v>
      </c>
      <c r="W1087" s="0" t="str">
        <f aca="false">IF(OR(AND(B1087&gt;=1,B1087&lt;=6),B1087=10),"Vaca em lactação",IF(I1087="Male","Macho",IF(E1087&gt;=1,"Vaca seca",IF(I1087="Youngstock","Bezerra/recria","Novilha"))))</f>
        <v>Vaca em lactação</v>
      </c>
      <c r="X1087" s="0" t="str">
        <f aca="false">IF(AND(B1087&gt;=1,B1087&lt;=6),"Tanque",IF(B1087=10,"Descarte",""))</f>
        <v>Tanque</v>
      </c>
    </row>
    <row r="1088" customFormat="false" ht="15" hidden="false" customHeight="false" outlineLevel="0" collapsed="false">
      <c r="A1088" s="22" t="n">
        <v>46309</v>
      </c>
      <c r="B1088" s="0" t="n">
        <v>5</v>
      </c>
      <c r="C1088" s="0" t="n">
        <v>4060</v>
      </c>
      <c r="D1088" s="0" t="n">
        <v>214</v>
      </c>
      <c r="E1088" s="0" t="n">
        <v>2</v>
      </c>
      <c r="F1088" s="23" t="s">
        <v>725</v>
      </c>
      <c r="G1088" s="0" t="n">
        <v>45.9</v>
      </c>
      <c r="H1088" s="0" t="n">
        <v>45</v>
      </c>
      <c r="I1088" s="23" t="s">
        <v>92</v>
      </c>
      <c r="J1088" s="0" t="n">
        <v>109</v>
      </c>
      <c r="K1088" s="0" t="n">
        <v>67</v>
      </c>
      <c r="L1088" s="0" t="n">
        <v>105</v>
      </c>
      <c r="M1088" s="0" t="n">
        <v>718.78</v>
      </c>
      <c r="N1088" s="0" t="n">
        <v>41.86</v>
      </c>
      <c r="O1088" s="0" t="n">
        <v>22.13</v>
      </c>
      <c r="P1088" s="0" t="n">
        <v>4.43</v>
      </c>
      <c r="Q1088" s="0" t="n">
        <v>3.69</v>
      </c>
      <c r="R1088" s="0" t="n">
        <v>5095</v>
      </c>
      <c r="S1088" s="0" t="n">
        <v>10180</v>
      </c>
      <c r="T1088" s="0" t="n">
        <v>56.35</v>
      </c>
      <c r="U1088" s="0" t="n">
        <v>1570</v>
      </c>
      <c r="V1088" s="0" t="n">
        <v>2</v>
      </c>
      <c r="W1088" s="0" t="str">
        <f aca="false">IF(OR(AND(B1088&gt;=1,B1088&lt;=6),B1088=10),"Vaca em lactação",IF(I1088="Male","Macho",IF(E1088&gt;=1,"Vaca seca",IF(I1088="Youngstock","Bezerra/recria","Novilha"))))</f>
        <v>Vaca em lactação</v>
      </c>
      <c r="X1088" s="0" t="str">
        <f aca="false">IF(AND(B1088&gt;=1,B1088&lt;=6),"Tanque",IF(B1088=10,"Descarte",""))</f>
        <v>Tanque</v>
      </c>
    </row>
    <row r="1089" customFormat="false" ht="15" hidden="false" customHeight="false" outlineLevel="0" collapsed="false">
      <c r="A1089" s="22" t="n">
        <v>46309</v>
      </c>
      <c r="B1089" s="0" t="n">
        <v>5</v>
      </c>
      <c r="C1089" s="0" t="n">
        <v>4067</v>
      </c>
      <c r="D1089" s="0" t="n">
        <v>280</v>
      </c>
      <c r="E1089" s="0" t="n">
        <v>2</v>
      </c>
      <c r="F1089" s="23" t="s">
        <v>726</v>
      </c>
      <c r="G1089" s="0" t="n">
        <v>39.8</v>
      </c>
      <c r="H1089" s="0" t="n">
        <v>37</v>
      </c>
      <c r="I1089" s="23" t="s">
        <v>506</v>
      </c>
      <c r="J1089" s="0" t="n">
        <v>280</v>
      </c>
      <c r="K1089" s="0" t="n">
        <v>70</v>
      </c>
      <c r="M1089" s="0" t="n">
        <v>1191.55</v>
      </c>
      <c r="N1089" s="0" t="n">
        <v>68.58</v>
      </c>
      <c r="O1089" s="0" t="n">
        <v>36.08</v>
      </c>
      <c r="P1089" s="0" t="n">
        <v>4.76</v>
      </c>
      <c r="Q1089" s="0" t="n">
        <v>3.88</v>
      </c>
      <c r="R1089" s="0" t="n">
        <v>4622</v>
      </c>
      <c r="S1089" s="0" t="n">
        <v>9130</v>
      </c>
      <c r="T1089" s="0" t="n">
        <v>48.9</v>
      </c>
      <c r="U1089" s="0" t="n">
        <v>1565</v>
      </c>
      <c r="V1089" s="0" t="n">
        <v>2</v>
      </c>
      <c r="W1089" s="0" t="str">
        <f aca="false">IF(OR(AND(B1089&gt;=1,B1089&lt;=6),B1089=10),"Vaca em lactação",IF(I1089="Male","Macho",IF(E1089&gt;=1,"Vaca seca",IF(I1089="Youngstock","Bezerra/recria","Novilha"))))</f>
        <v>Vaca em lactação</v>
      </c>
      <c r="X1089" s="0" t="str">
        <f aca="false">IF(AND(B1089&gt;=1,B1089&lt;=6),"Tanque",IF(B1089=10,"Descarte",""))</f>
        <v>Tanque</v>
      </c>
    </row>
    <row r="1090" customFormat="false" ht="15" hidden="false" customHeight="false" outlineLevel="0" collapsed="false">
      <c r="A1090" s="22" t="n">
        <v>46309</v>
      </c>
      <c r="B1090" s="0" t="n">
        <v>5</v>
      </c>
      <c r="C1090" s="0" t="n">
        <v>4032</v>
      </c>
      <c r="D1090" s="0" t="n">
        <v>446</v>
      </c>
      <c r="E1090" s="0" t="n">
        <v>2</v>
      </c>
      <c r="F1090" s="23" t="s">
        <v>248</v>
      </c>
      <c r="G1090" s="0" t="n">
        <v>33.1</v>
      </c>
      <c r="H1090" s="0" t="n">
        <v>33</v>
      </c>
      <c r="I1090" s="23" t="s">
        <v>92</v>
      </c>
      <c r="J1090" s="0" t="n">
        <v>328</v>
      </c>
      <c r="K1090" s="0" t="n">
        <v>61</v>
      </c>
      <c r="L1090" s="0" t="n">
        <v>118</v>
      </c>
      <c r="M1090" s="0" t="n">
        <v>1084.4</v>
      </c>
      <c r="N1090" s="0" t="n">
        <v>31.67</v>
      </c>
      <c r="O1090" s="0" t="n">
        <v>33.98</v>
      </c>
      <c r="P1090" s="0" t="n">
        <v>3.63</v>
      </c>
      <c r="Q1090" s="0" t="n">
        <v>3.51</v>
      </c>
      <c r="R1090" s="0" t="n">
        <v>5734</v>
      </c>
      <c r="S1090" s="0" t="n">
        <v>11925</v>
      </c>
      <c r="T1090" s="0" t="n">
        <v>65</v>
      </c>
      <c r="U1090" s="0" t="n">
        <v>1595</v>
      </c>
      <c r="V1090" s="0" t="n">
        <v>4</v>
      </c>
      <c r="W1090" s="0" t="str">
        <f aca="false">IF(OR(AND(B1090&gt;=1,B1090&lt;=6),B1090=10),"Vaca em lactação",IF(I1090="Male","Macho",IF(E1090&gt;=1,"Vaca seca",IF(I1090="Youngstock","Bezerra/recria","Novilha"))))</f>
        <v>Vaca em lactação</v>
      </c>
      <c r="X1090" s="0" t="str">
        <f aca="false">IF(AND(B1090&gt;=1,B1090&lt;=6),"Tanque",IF(B1090=10,"Descarte",""))</f>
        <v>Tanque</v>
      </c>
    </row>
    <row r="1091" customFormat="false" ht="15" hidden="false" customHeight="false" outlineLevel="0" collapsed="false">
      <c r="A1091" s="22" t="n">
        <v>46309</v>
      </c>
      <c r="B1091" s="0" t="n">
        <v>5</v>
      </c>
      <c r="C1091" s="0" t="n">
        <v>4042</v>
      </c>
      <c r="D1091" s="0" t="n">
        <v>587</v>
      </c>
      <c r="E1091" s="0" t="n">
        <v>2</v>
      </c>
      <c r="F1091" s="23" t="s">
        <v>727</v>
      </c>
      <c r="G1091" s="0" t="n">
        <v>37.6</v>
      </c>
      <c r="H1091" s="0" t="n">
        <v>36</v>
      </c>
      <c r="I1091" s="23" t="s">
        <v>92</v>
      </c>
      <c r="J1091" s="0" t="n">
        <v>552</v>
      </c>
      <c r="K1091" s="0" t="n">
        <v>63</v>
      </c>
      <c r="L1091" s="0" t="n">
        <v>35</v>
      </c>
      <c r="M1091" s="0" t="n">
        <v>599.14</v>
      </c>
      <c r="N1091" s="0" t="n">
        <v>66.3</v>
      </c>
      <c r="O1091" s="0" t="n">
        <v>36.2</v>
      </c>
      <c r="P1091" s="0" t="n">
        <v>3.68</v>
      </c>
      <c r="Q1091" s="0" t="n">
        <v>4.01</v>
      </c>
      <c r="R1091" s="0" t="n">
        <v>5821</v>
      </c>
      <c r="S1091" s="0" t="n">
        <v>11047</v>
      </c>
      <c r="T1091" s="0" t="n">
        <v>64.55</v>
      </c>
      <c r="U1091" s="0" t="n">
        <v>1581</v>
      </c>
      <c r="V1091" s="0" t="n">
        <v>14</v>
      </c>
      <c r="W1091" s="0" t="str">
        <f aca="false">IF(OR(AND(B1091&gt;=1,B1091&lt;=6),B1091=10),"Vaca em lactação",IF(I1091="Male","Macho",IF(E1091&gt;=1,"Vaca seca",IF(I1091="Youngstock","Bezerra/recria","Novilha"))))</f>
        <v>Vaca em lactação</v>
      </c>
      <c r="X1091" s="0" t="str">
        <f aca="false">IF(AND(B1091&gt;=1,B1091&lt;=6),"Tanque",IF(B1091=10,"Descarte",""))</f>
        <v>Tanque</v>
      </c>
    </row>
    <row r="1092" customFormat="false" ht="15" hidden="false" customHeight="false" outlineLevel="0" collapsed="false">
      <c r="A1092" s="22" t="n">
        <v>46309</v>
      </c>
      <c r="B1092" s="0" t="n">
        <v>5</v>
      </c>
      <c r="C1092" s="0" t="n">
        <v>4045</v>
      </c>
      <c r="D1092" s="0" t="n">
        <v>337</v>
      </c>
      <c r="E1092" s="0" t="n">
        <v>2</v>
      </c>
      <c r="F1092" s="23" t="s">
        <v>728</v>
      </c>
      <c r="G1092" s="0" t="n">
        <v>35.3</v>
      </c>
      <c r="H1092" s="0" t="n">
        <v>34</v>
      </c>
      <c r="I1092" s="23" t="s">
        <v>92</v>
      </c>
      <c r="J1092" s="0" t="n">
        <v>180</v>
      </c>
      <c r="K1092" s="0" t="n">
        <v>64</v>
      </c>
      <c r="L1092" s="0" t="n">
        <v>157</v>
      </c>
      <c r="M1092" s="0" t="n">
        <v>463.55</v>
      </c>
      <c r="N1092" s="0" t="n">
        <v>-2.13</v>
      </c>
      <c r="O1092" s="0" t="n">
        <v>19.63</v>
      </c>
      <c r="P1092" s="0" t="n">
        <v>4.6</v>
      </c>
      <c r="Q1092" s="0" t="n">
        <v>4.07</v>
      </c>
      <c r="R1092" s="0" t="n">
        <v>6264</v>
      </c>
      <c r="S1092" s="0" t="n">
        <v>11643</v>
      </c>
      <c r="T1092" s="0" t="n">
        <v>65.35</v>
      </c>
      <c r="U1092" s="0" t="n">
        <v>1582</v>
      </c>
      <c r="V1092" s="0" t="n">
        <v>4</v>
      </c>
      <c r="W1092" s="0" t="str">
        <f aca="false">IF(OR(AND(B1092&gt;=1,B1092&lt;=6),B1092=10),"Vaca em lactação",IF(I1092="Male","Macho",IF(E1092&gt;=1,"Vaca seca",IF(I1092="Youngstock","Bezerra/recria","Novilha"))))</f>
        <v>Vaca em lactação</v>
      </c>
      <c r="X1092" s="0" t="str">
        <f aca="false">IF(AND(B1092&gt;=1,B1092&lt;=6),"Tanque",IF(B1092=10,"Descarte",""))</f>
        <v>Tanque</v>
      </c>
    </row>
    <row r="1093" customFormat="false" ht="15" hidden="false" customHeight="false" outlineLevel="0" collapsed="false">
      <c r="A1093" s="22" t="n">
        <v>46309</v>
      </c>
      <c r="B1093" s="0" t="n">
        <v>5</v>
      </c>
      <c r="C1093" s="0" t="n">
        <v>4044</v>
      </c>
      <c r="D1093" s="0" t="n">
        <v>252</v>
      </c>
      <c r="E1093" s="0" t="n">
        <v>3</v>
      </c>
      <c r="F1093" s="23" t="s">
        <v>728</v>
      </c>
      <c r="G1093" s="0" t="n">
        <v>39.4</v>
      </c>
      <c r="H1093" s="0" t="n">
        <v>38</v>
      </c>
      <c r="I1093" s="23" t="s">
        <v>92</v>
      </c>
      <c r="J1093" s="0" t="n">
        <v>63</v>
      </c>
      <c r="K1093" s="0" t="n">
        <v>63</v>
      </c>
      <c r="L1093" s="0" t="n">
        <v>189</v>
      </c>
      <c r="M1093" s="0" t="n">
        <v>781.29</v>
      </c>
      <c r="N1093" s="0" t="n">
        <v>39.87</v>
      </c>
      <c r="O1093" s="0" t="n">
        <v>25.89</v>
      </c>
      <c r="P1093" s="0" t="n">
        <v>5.66</v>
      </c>
      <c r="Q1093" s="0" t="n">
        <v>3.46</v>
      </c>
      <c r="R1093" s="0" t="n">
        <v>5488</v>
      </c>
      <c r="S1093" s="0" t="n">
        <v>11437</v>
      </c>
      <c r="T1093" s="0" t="n">
        <v>61.95</v>
      </c>
      <c r="U1093" s="0" t="n">
        <v>1582</v>
      </c>
      <c r="V1093" s="0" t="n">
        <v>1</v>
      </c>
      <c r="W1093" s="0" t="str">
        <f aca="false">IF(OR(AND(B1093&gt;=1,B1093&lt;=6),B1093=10),"Vaca em lactação",IF(I1093="Male","Macho",IF(E1093&gt;=1,"Vaca seca",IF(I1093="Youngstock","Bezerra/recria","Novilha"))))</f>
        <v>Vaca em lactação</v>
      </c>
      <c r="X1093" s="0" t="str">
        <f aca="false">IF(AND(B1093&gt;=1,B1093&lt;=6),"Tanque",IF(B1093=10,"Descarte",""))</f>
        <v>Tanque</v>
      </c>
    </row>
    <row r="1094" customFormat="false" ht="15" hidden="false" customHeight="false" outlineLevel="0" collapsed="false">
      <c r="A1094" s="22" t="n">
        <v>46309</v>
      </c>
      <c r="B1094" s="0" t="n">
        <v>5</v>
      </c>
      <c r="C1094" s="0" t="n">
        <v>4052</v>
      </c>
      <c r="D1094" s="0" t="n">
        <v>177</v>
      </c>
      <c r="E1094" s="0" t="n">
        <v>3</v>
      </c>
      <c r="F1094" s="23" t="s">
        <v>729</v>
      </c>
      <c r="G1094" s="0" t="n">
        <v>39.7</v>
      </c>
      <c r="H1094" s="0" t="n">
        <v>41</v>
      </c>
      <c r="I1094" s="23" t="s">
        <v>92</v>
      </c>
      <c r="J1094" s="0" t="n">
        <v>65</v>
      </c>
      <c r="K1094" s="0" t="n">
        <v>65</v>
      </c>
      <c r="L1094" s="0" t="n">
        <v>112</v>
      </c>
      <c r="M1094" s="0" t="n">
        <v>830.34</v>
      </c>
      <c r="N1094" s="0" t="n">
        <v>71.09</v>
      </c>
      <c r="O1094" s="0" t="n">
        <v>35.02</v>
      </c>
      <c r="P1094" s="0" t="n">
        <v>3.33</v>
      </c>
      <c r="Q1094" s="0" t="n">
        <v>3.27</v>
      </c>
      <c r="R1094" s="0" t="n">
        <v>5489</v>
      </c>
      <c r="S1094" s="0" t="n">
        <v>10917</v>
      </c>
      <c r="T1094" s="0" t="n">
        <v>61</v>
      </c>
      <c r="U1094" s="0" t="n">
        <v>1575</v>
      </c>
      <c r="V1094" s="0" t="n">
        <v>1</v>
      </c>
      <c r="W1094" s="0" t="str">
        <f aca="false">IF(OR(AND(B1094&gt;=1,B1094&lt;=6),B1094=10),"Vaca em lactação",IF(I1094="Male","Macho",IF(E1094&gt;=1,"Vaca seca",IF(I1094="Youngstock","Bezerra/recria","Novilha"))))</f>
        <v>Vaca em lactação</v>
      </c>
      <c r="X1094" s="0" t="str">
        <f aca="false">IF(AND(B1094&gt;=1,B1094&lt;=6),"Tanque",IF(B1094=10,"Descarte",""))</f>
        <v>Tanque</v>
      </c>
    </row>
    <row r="1095" customFormat="false" ht="15" hidden="false" customHeight="false" outlineLevel="0" collapsed="false">
      <c r="A1095" s="22" t="n">
        <v>46309</v>
      </c>
      <c r="B1095" s="0" t="n">
        <v>5</v>
      </c>
      <c r="C1095" s="0" t="n">
        <v>3864</v>
      </c>
      <c r="D1095" s="0" t="n">
        <v>320</v>
      </c>
      <c r="E1095" s="0" t="n">
        <v>3</v>
      </c>
      <c r="F1095" s="23" t="s">
        <v>730</v>
      </c>
      <c r="G1095" s="0" t="n">
        <v>42.2</v>
      </c>
      <c r="H1095" s="0" t="n">
        <v>42</v>
      </c>
      <c r="I1095" s="23" t="s">
        <v>92</v>
      </c>
      <c r="J1095" s="0" t="n">
        <v>201</v>
      </c>
      <c r="K1095" s="0" t="n">
        <v>68</v>
      </c>
      <c r="L1095" s="0" t="n">
        <v>119</v>
      </c>
      <c r="M1095" s="0" t="n">
        <v>545.48</v>
      </c>
      <c r="N1095" s="0" t="n">
        <v>42.73</v>
      </c>
      <c r="O1095" s="0" t="n">
        <v>22</v>
      </c>
      <c r="P1095" s="0" t="n">
        <v>4.62</v>
      </c>
      <c r="Q1095" s="0" t="n">
        <v>3.72</v>
      </c>
      <c r="R1095" s="0" t="n">
        <v>5583</v>
      </c>
      <c r="S1095" s="0" t="n">
        <v>11130</v>
      </c>
      <c r="T1095" s="0" t="n">
        <v>60.8</v>
      </c>
      <c r="U1095" s="0" t="n">
        <v>1687</v>
      </c>
      <c r="V1095" s="0" t="n">
        <v>4</v>
      </c>
      <c r="W1095" s="0" t="str">
        <f aca="false">IF(OR(AND(B1095&gt;=1,B1095&lt;=6),B1095=10),"Vaca em lactação",IF(I1095="Male","Macho",IF(E1095&gt;=1,"Vaca seca",IF(I1095="Youngstock","Bezerra/recria","Novilha"))))</f>
        <v>Vaca em lactação</v>
      </c>
      <c r="X1095" s="0" t="str">
        <f aca="false">IF(AND(B1095&gt;=1,B1095&lt;=6),"Tanque",IF(B1095=10,"Descarte",""))</f>
        <v>Tanque</v>
      </c>
    </row>
    <row r="1096" customFormat="false" ht="15" hidden="false" customHeight="false" outlineLevel="0" collapsed="false">
      <c r="A1096" s="22" t="n">
        <v>46309</v>
      </c>
      <c r="B1096" s="0" t="n">
        <v>5</v>
      </c>
      <c r="C1096" s="0" t="n">
        <v>3870</v>
      </c>
      <c r="D1096" s="0" t="n">
        <v>327</v>
      </c>
      <c r="E1096" s="0" t="n">
        <v>3</v>
      </c>
      <c r="F1096" s="23" t="s">
        <v>731</v>
      </c>
      <c r="G1096" s="0" t="n">
        <v>28.3</v>
      </c>
      <c r="H1096" s="0" t="n">
        <v>27</v>
      </c>
      <c r="I1096" s="23" t="s">
        <v>92</v>
      </c>
      <c r="J1096" s="0" t="n">
        <v>205</v>
      </c>
      <c r="K1096" s="0" t="n">
        <v>68</v>
      </c>
      <c r="L1096" s="0" t="n">
        <v>122</v>
      </c>
      <c r="M1096" s="0" t="n">
        <v>223.45</v>
      </c>
      <c r="N1096" s="0" t="n">
        <v>59.03</v>
      </c>
      <c r="O1096" s="0" t="n">
        <v>20.19</v>
      </c>
      <c r="P1096" s="0" t="n">
        <v>6.13</v>
      </c>
      <c r="Q1096" s="0" t="n">
        <v>4.25</v>
      </c>
      <c r="R1096" s="0" t="n">
        <v>4934</v>
      </c>
      <c r="S1096" s="0" t="n">
        <v>8646</v>
      </c>
      <c r="T1096" s="0" t="n">
        <v>48.4</v>
      </c>
      <c r="U1096" s="0" t="n">
        <v>1683</v>
      </c>
      <c r="V1096" s="0" t="n">
        <v>4</v>
      </c>
      <c r="W1096" s="0" t="str">
        <f aca="false">IF(OR(AND(B1096&gt;=1,B1096&lt;=6),B1096=10),"Vaca em lactação",IF(I1096="Male","Macho",IF(E1096&gt;=1,"Vaca seca",IF(I1096="Youngstock","Bezerra/recria","Novilha"))))</f>
        <v>Vaca em lactação</v>
      </c>
      <c r="X1096" s="0" t="str">
        <f aca="false">IF(AND(B1096&gt;=1,B1096&lt;=6),"Tanque",IF(B1096=10,"Descarte",""))</f>
        <v>Tanque</v>
      </c>
    </row>
    <row r="1097" customFormat="false" ht="15" hidden="false" customHeight="false" outlineLevel="0" collapsed="false">
      <c r="A1097" s="22" t="n">
        <v>46309</v>
      </c>
      <c r="B1097" s="0" t="n">
        <v>5</v>
      </c>
      <c r="C1097" s="0" t="n">
        <v>3883</v>
      </c>
      <c r="D1097" s="0" t="n">
        <v>246</v>
      </c>
      <c r="E1097" s="0" t="n">
        <v>3</v>
      </c>
      <c r="F1097" s="23" t="s">
        <v>426</v>
      </c>
      <c r="G1097" s="0" t="n">
        <v>34.7</v>
      </c>
      <c r="H1097" s="0" t="n">
        <v>35</v>
      </c>
      <c r="I1097" s="23" t="s">
        <v>92</v>
      </c>
      <c r="J1097" s="0" t="n">
        <v>64</v>
      </c>
      <c r="K1097" s="0" t="n">
        <v>64</v>
      </c>
      <c r="L1097" s="0" t="n">
        <v>182</v>
      </c>
      <c r="M1097" s="0" t="n">
        <v>16.91</v>
      </c>
      <c r="N1097" s="0" t="n">
        <v>37.16</v>
      </c>
      <c r="O1097" s="0" t="n">
        <v>17.55</v>
      </c>
      <c r="P1097" s="0" t="n">
        <v>6.17</v>
      </c>
      <c r="Q1097" s="0" t="n">
        <v>3.91</v>
      </c>
      <c r="R1097" s="0" t="n">
        <v>3867</v>
      </c>
      <c r="S1097" s="0" t="n">
        <v>8788</v>
      </c>
      <c r="T1097" s="0" t="n">
        <v>45.85</v>
      </c>
      <c r="U1097" s="0" t="n">
        <v>1677</v>
      </c>
      <c r="V1097" s="0" t="n">
        <v>1</v>
      </c>
      <c r="W1097" s="0" t="str">
        <f aca="false">IF(OR(AND(B1097&gt;=1,B1097&lt;=6),B1097=10),"Vaca em lactação",IF(I1097="Male","Macho",IF(E1097&gt;=1,"Vaca seca",IF(I1097="Youngstock","Bezerra/recria","Novilha"))))</f>
        <v>Vaca em lactação</v>
      </c>
      <c r="X1097" s="0" t="str">
        <f aca="false">IF(AND(B1097&gt;=1,B1097&lt;=6),"Tanque",IF(B1097=10,"Descarte",""))</f>
        <v>Tanque</v>
      </c>
    </row>
    <row r="1098" customFormat="false" ht="15" hidden="false" customHeight="false" outlineLevel="0" collapsed="false">
      <c r="A1098" s="22" t="n">
        <v>46309</v>
      </c>
      <c r="B1098" s="0" t="n">
        <v>5</v>
      </c>
      <c r="C1098" s="0" t="n">
        <v>3882</v>
      </c>
      <c r="D1098" s="0" t="n">
        <v>220</v>
      </c>
      <c r="E1098" s="0" t="n">
        <v>3</v>
      </c>
      <c r="F1098" s="23" t="s">
        <v>426</v>
      </c>
      <c r="G1098" s="0" t="n">
        <v>38.2</v>
      </c>
      <c r="H1098" s="0" t="n">
        <v>32</v>
      </c>
      <c r="I1098" s="23" t="s">
        <v>92</v>
      </c>
      <c r="J1098" s="0" t="n">
        <v>66</v>
      </c>
      <c r="K1098" s="0" t="n">
        <v>66</v>
      </c>
      <c r="L1098" s="0" t="n">
        <v>154</v>
      </c>
      <c r="M1098" s="0" t="n">
        <v>320.98</v>
      </c>
      <c r="N1098" s="0" t="n">
        <v>40.52</v>
      </c>
      <c r="O1098" s="0" t="n">
        <v>18.38</v>
      </c>
      <c r="P1098" s="0" t="n">
        <v>4.9</v>
      </c>
      <c r="Q1098" s="0" t="n">
        <v>3.65</v>
      </c>
      <c r="R1098" s="0" t="n">
        <v>5325</v>
      </c>
      <c r="S1098" s="0" t="n">
        <v>9959</v>
      </c>
      <c r="T1098" s="0" t="n">
        <v>57.45</v>
      </c>
      <c r="U1098" s="0" t="n">
        <v>1677</v>
      </c>
      <c r="V1098" s="0" t="n">
        <v>1</v>
      </c>
      <c r="W1098" s="0" t="str">
        <f aca="false">IF(OR(AND(B1098&gt;=1,B1098&lt;=6),B1098=10),"Vaca em lactação",IF(I1098="Male","Macho",IF(E1098&gt;=1,"Vaca seca",IF(I1098="Youngstock","Bezerra/recria","Novilha"))))</f>
        <v>Vaca em lactação</v>
      </c>
      <c r="X1098" s="0" t="str">
        <f aca="false">IF(AND(B1098&gt;=1,B1098&lt;=6),"Tanque",IF(B1098=10,"Descarte",""))</f>
        <v>Tanque</v>
      </c>
    </row>
    <row r="1099" customFormat="false" ht="15" hidden="false" customHeight="false" outlineLevel="0" collapsed="false">
      <c r="A1099" s="22" t="n">
        <v>46309</v>
      </c>
      <c r="B1099" s="0" t="n">
        <v>5</v>
      </c>
      <c r="C1099" s="0" t="n">
        <v>3887</v>
      </c>
      <c r="D1099" s="0" t="n">
        <v>251</v>
      </c>
      <c r="E1099" s="0" t="n">
        <v>3</v>
      </c>
      <c r="F1099" s="23" t="s">
        <v>732</v>
      </c>
      <c r="G1099" s="0" t="n">
        <v>40.9</v>
      </c>
      <c r="H1099" s="0" t="n">
        <v>44</v>
      </c>
      <c r="I1099" s="23" t="s">
        <v>92</v>
      </c>
      <c r="J1099" s="0" t="n">
        <v>69</v>
      </c>
      <c r="K1099" s="0" t="n">
        <v>69</v>
      </c>
      <c r="L1099" s="0" t="n">
        <v>182</v>
      </c>
      <c r="M1099" s="0" t="n">
        <v>643.62</v>
      </c>
      <c r="N1099" s="0" t="n">
        <v>49.97</v>
      </c>
      <c r="O1099" s="0" t="n">
        <v>32.19</v>
      </c>
      <c r="P1099" s="0" t="n">
        <v>3.15</v>
      </c>
      <c r="Q1099" s="0" t="n">
        <v>3.72</v>
      </c>
      <c r="R1099" s="0" t="n">
        <v>6493</v>
      </c>
      <c r="S1099" s="0" t="n">
        <v>11347</v>
      </c>
      <c r="T1099" s="0" t="n">
        <v>71.9</v>
      </c>
      <c r="U1099" s="0" t="n">
        <v>1676</v>
      </c>
      <c r="V1099" s="0" t="n">
        <v>1</v>
      </c>
      <c r="W1099" s="0" t="str">
        <f aca="false">IF(OR(AND(B1099&gt;=1,B1099&lt;=6),B1099=10),"Vaca em lactação",IF(I1099="Male","Macho",IF(E1099&gt;=1,"Vaca seca",IF(I1099="Youngstock","Bezerra/recria","Novilha"))))</f>
        <v>Vaca em lactação</v>
      </c>
      <c r="X1099" s="0" t="str">
        <f aca="false">IF(AND(B1099&gt;=1,B1099&lt;=6),"Tanque",IF(B1099=10,"Descarte",""))</f>
        <v>Tanque</v>
      </c>
    </row>
    <row r="1100" customFormat="false" ht="15" hidden="false" customHeight="false" outlineLevel="0" collapsed="false">
      <c r="A1100" s="22" t="n">
        <v>46309</v>
      </c>
      <c r="B1100" s="0" t="n">
        <v>5</v>
      </c>
      <c r="C1100" s="0" t="n">
        <v>3833</v>
      </c>
      <c r="D1100" s="0" t="n">
        <v>185</v>
      </c>
      <c r="E1100" s="0" t="n">
        <v>3</v>
      </c>
      <c r="F1100" s="23" t="s">
        <v>733</v>
      </c>
      <c r="G1100" s="0" t="n">
        <v>19.8</v>
      </c>
      <c r="H1100" s="0" t="n">
        <v>23</v>
      </c>
      <c r="I1100" s="23" t="s">
        <v>109</v>
      </c>
      <c r="J1100" s="0" t="n">
        <v>185</v>
      </c>
      <c r="K1100" s="0" t="n">
        <v>66</v>
      </c>
      <c r="M1100" s="0" t="n">
        <v>746.26</v>
      </c>
      <c r="N1100" s="0" t="n">
        <v>49.47</v>
      </c>
      <c r="O1100" s="0" t="n">
        <v>27.55</v>
      </c>
      <c r="P1100" s="0" t="n">
        <v>0</v>
      </c>
      <c r="Q1100" s="0" t="n">
        <v>0</v>
      </c>
      <c r="R1100" s="0" t="n">
        <v>4946</v>
      </c>
      <c r="S1100" s="0" t="n">
        <v>9847</v>
      </c>
      <c r="T1100" s="0" t="n">
        <v>48.55</v>
      </c>
      <c r="U1100" s="0" t="n">
        <v>1704</v>
      </c>
      <c r="V1100" s="0" t="n">
        <v>3</v>
      </c>
      <c r="W1100" s="0" t="str">
        <f aca="false">IF(OR(AND(B1100&gt;=1,B1100&lt;=6),B1100=10),"Vaca em lactação",IF(I1100="Male","Macho",IF(E1100&gt;=1,"Vaca seca",IF(I1100="Youngstock","Bezerra/recria","Novilha"))))</f>
        <v>Vaca em lactação</v>
      </c>
      <c r="X1100" s="0" t="str">
        <f aca="false">IF(AND(B1100&gt;=1,B1100&lt;=6),"Tanque",IF(B1100=10,"Descarte",""))</f>
        <v>Tanque</v>
      </c>
    </row>
    <row r="1101" customFormat="false" ht="15" hidden="false" customHeight="false" outlineLevel="0" collapsed="false">
      <c r="A1101" s="22" t="n">
        <v>46309</v>
      </c>
      <c r="B1101" s="0" t="n">
        <v>5</v>
      </c>
      <c r="C1101" s="0" t="n">
        <v>3837</v>
      </c>
      <c r="D1101" s="0" t="n">
        <v>292</v>
      </c>
      <c r="E1101" s="0" t="n">
        <v>3</v>
      </c>
      <c r="F1101" s="23" t="s">
        <v>427</v>
      </c>
      <c r="G1101" s="0" t="n">
        <v>31.3</v>
      </c>
      <c r="H1101" s="0" t="n">
        <v>30</v>
      </c>
      <c r="I1101" s="23" t="s">
        <v>92</v>
      </c>
      <c r="J1101" s="0" t="n">
        <v>131</v>
      </c>
      <c r="K1101" s="0" t="n">
        <v>89</v>
      </c>
      <c r="L1101" s="0" t="n">
        <v>161</v>
      </c>
      <c r="M1101" s="0" t="n">
        <v>595.44</v>
      </c>
      <c r="N1101" s="0" t="n">
        <v>58.13</v>
      </c>
      <c r="O1101" s="0" t="n">
        <v>32.72</v>
      </c>
      <c r="P1101" s="0" t="n">
        <v>5.56</v>
      </c>
      <c r="Q1101" s="0" t="n">
        <v>4.4</v>
      </c>
      <c r="R1101" s="0" t="n">
        <v>3935</v>
      </c>
      <c r="S1101" s="0" t="n">
        <v>7929</v>
      </c>
      <c r="T1101" s="0" t="n">
        <v>48.4</v>
      </c>
      <c r="U1101" s="0" t="n">
        <v>1700</v>
      </c>
      <c r="V1101" s="0" t="n">
        <v>2</v>
      </c>
      <c r="W1101" s="0" t="str">
        <f aca="false">IF(OR(AND(B1101&gt;=1,B1101&lt;=6),B1101=10),"Vaca em lactação",IF(I1101="Male","Macho",IF(E1101&gt;=1,"Vaca seca",IF(I1101="Youngstock","Bezerra/recria","Novilha"))))</f>
        <v>Vaca em lactação</v>
      </c>
      <c r="X1101" s="0" t="str">
        <f aca="false">IF(AND(B1101&gt;=1,B1101&lt;=6),"Tanque",IF(B1101=10,"Descarte",""))</f>
        <v>Tanque</v>
      </c>
    </row>
    <row r="1102" customFormat="false" ht="15" hidden="false" customHeight="false" outlineLevel="0" collapsed="false">
      <c r="A1102" s="22" t="n">
        <v>46309</v>
      </c>
      <c r="B1102" s="0" t="n">
        <v>5</v>
      </c>
      <c r="C1102" s="0" t="n">
        <v>3834</v>
      </c>
      <c r="D1102" s="0" t="n">
        <v>343</v>
      </c>
      <c r="E1102" s="0" t="n">
        <v>3</v>
      </c>
      <c r="F1102" s="23" t="s">
        <v>734</v>
      </c>
      <c r="G1102" s="0" t="n">
        <v>30.8</v>
      </c>
      <c r="H1102" s="0" t="n">
        <v>31</v>
      </c>
      <c r="I1102" s="23" t="s">
        <v>92</v>
      </c>
      <c r="J1102" s="0" t="n">
        <v>133</v>
      </c>
      <c r="K1102" s="0" t="n">
        <v>84</v>
      </c>
      <c r="L1102" s="0" t="n">
        <v>210</v>
      </c>
      <c r="M1102" s="0" t="n">
        <v>525.55</v>
      </c>
      <c r="N1102" s="0" t="n">
        <v>46.03</v>
      </c>
      <c r="O1102" s="0" t="n">
        <v>26.38</v>
      </c>
      <c r="P1102" s="0" t="n">
        <v>4.97</v>
      </c>
      <c r="Q1102" s="0" t="n">
        <v>4.01</v>
      </c>
      <c r="R1102" s="0" t="n">
        <v>4706</v>
      </c>
      <c r="S1102" s="0" t="n">
        <v>9863</v>
      </c>
      <c r="T1102" s="0" t="n">
        <v>47.3</v>
      </c>
      <c r="U1102" s="0" t="n">
        <v>1703</v>
      </c>
      <c r="V1102" s="0" t="n">
        <v>2</v>
      </c>
      <c r="W1102" s="0" t="str">
        <f aca="false">IF(OR(AND(B1102&gt;=1,B1102&lt;=6),B1102=10),"Vaca em lactação",IF(I1102="Male","Macho",IF(E1102&gt;=1,"Vaca seca",IF(I1102="Youngstock","Bezerra/recria","Novilha"))))</f>
        <v>Vaca em lactação</v>
      </c>
      <c r="X1102" s="0" t="str">
        <f aca="false">IF(AND(B1102&gt;=1,B1102&lt;=6),"Tanque",IF(B1102=10,"Descarte",""))</f>
        <v>Tanque</v>
      </c>
    </row>
    <row r="1103" customFormat="false" ht="15" hidden="false" customHeight="false" outlineLevel="0" collapsed="false">
      <c r="A1103" s="22" t="n">
        <v>46309</v>
      </c>
      <c r="B1103" s="0" t="n">
        <v>5</v>
      </c>
      <c r="C1103" s="0" t="n">
        <v>3850</v>
      </c>
      <c r="D1103" s="0" t="n">
        <v>231</v>
      </c>
      <c r="E1103" s="0" t="n">
        <v>3</v>
      </c>
      <c r="F1103" s="23" t="s">
        <v>735</v>
      </c>
      <c r="G1103" s="0" t="n">
        <v>29</v>
      </c>
      <c r="H1103" s="0" t="n">
        <v>29</v>
      </c>
      <c r="I1103" s="23" t="s">
        <v>92</v>
      </c>
      <c r="J1103" s="0" t="n">
        <v>63</v>
      </c>
      <c r="K1103" s="0" t="n">
        <v>63</v>
      </c>
      <c r="L1103" s="0" t="n">
        <v>168</v>
      </c>
      <c r="M1103" s="0" t="n">
        <v>218.08</v>
      </c>
      <c r="N1103" s="0" t="n">
        <v>24.9</v>
      </c>
      <c r="O1103" s="0" t="n">
        <v>12.72</v>
      </c>
      <c r="P1103" s="0" t="n">
        <v>4.42</v>
      </c>
      <c r="Q1103" s="0" t="n">
        <v>3.66</v>
      </c>
      <c r="R1103" s="0" t="n">
        <v>5208</v>
      </c>
      <c r="S1103" s="0" t="n">
        <v>10850</v>
      </c>
      <c r="T1103" s="0" t="n">
        <v>62.55</v>
      </c>
      <c r="U1103" s="0" t="n">
        <v>1695</v>
      </c>
      <c r="V1103" s="0" t="n">
        <v>1</v>
      </c>
      <c r="W1103" s="0" t="str">
        <f aca="false">IF(OR(AND(B1103&gt;=1,B1103&lt;=6),B1103=10),"Vaca em lactação",IF(I1103="Male","Macho",IF(E1103&gt;=1,"Vaca seca",IF(I1103="Youngstock","Bezerra/recria","Novilha"))))</f>
        <v>Vaca em lactação</v>
      </c>
      <c r="X1103" s="0" t="str">
        <f aca="false">IF(AND(B1103&gt;=1,B1103&lt;=6),"Tanque",IF(B1103=10,"Descarte",""))</f>
        <v>Tanque</v>
      </c>
    </row>
    <row r="1104" customFormat="false" ht="15" hidden="false" customHeight="false" outlineLevel="0" collapsed="false">
      <c r="A1104" s="22" t="n">
        <v>46309</v>
      </c>
      <c r="B1104" s="0" t="n">
        <v>5</v>
      </c>
      <c r="C1104" s="0" t="n">
        <v>3848</v>
      </c>
      <c r="D1104" s="0" t="n">
        <v>296</v>
      </c>
      <c r="E1104" s="0" t="n">
        <v>2</v>
      </c>
      <c r="F1104" s="23" t="s">
        <v>736</v>
      </c>
      <c r="G1104" s="0" t="n">
        <v>30.8</v>
      </c>
      <c r="H1104" s="0" t="n">
        <v>26</v>
      </c>
      <c r="I1104" s="23" t="s">
        <v>92</v>
      </c>
      <c r="J1104" s="0" t="n">
        <v>114</v>
      </c>
      <c r="K1104" s="0" t="n">
        <v>79</v>
      </c>
      <c r="L1104" s="0" t="n">
        <v>182</v>
      </c>
      <c r="M1104" s="0" t="n">
        <v>1105.92</v>
      </c>
      <c r="N1104" s="0" t="n">
        <v>48.09</v>
      </c>
      <c r="O1104" s="0" t="n">
        <v>38.24</v>
      </c>
      <c r="P1104" s="0" t="n">
        <v>2.09</v>
      </c>
      <c r="Q1104" s="0" t="n">
        <v>3.21</v>
      </c>
      <c r="R1104" s="0" t="n">
        <v>6255</v>
      </c>
      <c r="S1104" s="0" t="n">
        <v>12124</v>
      </c>
      <c r="T1104" s="0" t="n">
        <v>68.6</v>
      </c>
      <c r="U1104" s="0" t="n">
        <v>1696</v>
      </c>
      <c r="V1104" s="0" t="n">
        <v>2</v>
      </c>
      <c r="W1104" s="0" t="str">
        <f aca="false">IF(OR(AND(B1104&gt;=1,B1104&lt;=6),B1104=10),"Vaca em lactação",IF(I1104="Male","Macho",IF(E1104&gt;=1,"Vaca seca",IF(I1104="Youngstock","Bezerra/recria","Novilha"))))</f>
        <v>Vaca em lactação</v>
      </c>
      <c r="X1104" s="0" t="str">
        <f aca="false">IF(AND(B1104&gt;=1,B1104&lt;=6),"Tanque",IF(B1104=10,"Descarte",""))</f>
        <v>Tanque</v>
      </c>
    </row>
    <row r="1105" customFormat="false" ht="15" hidden="false" customHeight="false" outlineLevel="0" collapsed="false">
      <c r="A1105" s="22" t="n">
        <v>46309</v>
      </c>
      <c r="B1105" s="0" t="n">
        <v>5</v>
      </c>
      <c r="C1105" s="0" t="n">
        <v>3845</v>
      </c>
      <c r="D1105" s="0" t="n">
        <v>191</v>
      </c>
      <c r="E1105" s="0" t="n">
        <v>2</v>
      </c>
      <c r="F1105" s="23" t="s">
        <v>737</v>
      </c>
      <c r="G1105" s="0" t="n">
        <v>38.8</v>
      </c>
      <c r="H1105" s="0" t="n">
        <v>38</v>
      </c>
      <c r="I1105" s="23" t="s">
        <v>109</v>
      </c>
      <c r="J1105" s="0" t="n">
        <v>191</v>
      </c>
      <c r="K1105" s="0" t="n">
        <v>72</v>
      </c>
      <c r="M1105" s="0" t="n">
        <v>910.8</v>
      </c>
      <c r="N1105" s="0" t="n">
        <v>69.61</v>
      </c>
      <c r="O1105" s="0" t="n">
        <v>28.15</v>
      </c>
      <c r="P1105" s="0" t="n">
        <v>3.85</v>
      </c>
      <c r="Q1105" s="0" t="n">
        <v>3.19</v>
      </c>
      <c r="R1105" s="0" t="n">
        <v>6346</v>
      </c>
      <c r="S1105" s="0" t="n">
        <v>12082</v>
      </c>
      <c r="T1105" s="0" t="n">
        <v>64.2</v>
      </c>
      <c r="U1105" s="0" t="n">
        <v>1698</v>
      </c>
      <c r="V1105" s="0" t="n">
        <v>3</v>
      </c>
      <c r="W1105" s="0" t="str">
        <f aca="false">IF(OR(AND(B1105&gt;=1,B1105&lt;=6),B1105=10),"Vaca em lactação",IF(I1105="Male","Macho",IF(E1105&gt;=1,"Vaca seca",IF(I1105="Youngstock","Bezerra/recria","Novilha"))))</f>
        <v>Vaca em lactação</v>
      </c>
      <c r="X1105" s="0" t="str">
        <f aca="false">IF(AND(B1105&gt;=1,B1105&lt;=6),"Tanque",IF(B1105=10,"Descarte",""))</f>
        <v>Tanque</v>
      </c>
    </row>
    <row r="1106" customFormat="false" ht="15" hidden="false" customHeight="false" outlineLevel="0" collapsed="false">
      <c r="A1106" s="22" t="n">
        <v>46309</v>
      </c>
      <c r="B1106" s="0" t="n">
        <v>5</v>
      </c>
      <c r="C1106" s="0" t="n">
        <v>3843</v>
      </c>
      <c r="D1106" s="0" t="n">
        <v>40</v>
      </c>
      <c r="E1106" s="0" t="n">
        <v>3</v>
      </c>
      <c r="F1106" s="23" t="s">
        <v>737</v>
      </c>
      <c r="G1106" s="0" t="n">
        <v>46.4</v>
      </c>
      <c r="H1106" s="0" t="n">
        <v>38</v>
      </c>
      <c r="I1106" s="23" t="s">
        <v>94</v>
      </c>
      <c r="J1106" s="0" t="n">
        <v>40</v>
      </c>
      <c r="M1106" s="0" t="n">
        <v>937.11</v>
      </c>
      <c r="N1106" s="0" t="n">
        <v>42.52</v>
      </c>
      <c r="O1106" s="0" t="n">
        <v>28.5</v>
      </c>
      <c r="P1106" s="0" t="n">
        <v>3.48</v>
      </c>
      <c r="Q1106" s="0" t="n">
        <v>4.17</v>
      </c>
      <c r="R1106" s="0" t="n">
        <v>3283</v>
      </c>
      <c r="S1106" s="0" t="n">
        <v>6600</v>
      </c>
      <c r="U1106" s="0" t="n">
        <v>1698</v>
      </c>
      <c r="V1106" s="0" t="n">
        <v>0</v>
      </c>
      <c r="W1106" s="0" t="str">
        <f aca="false">IF(OR(AND(B1106&gt;=1,B1106&lt;=6),B1106=10),"Vaca em lactação",IF(I1106="Male","Macho",IF(E1106&gt;=1,"Vaca seca",IF(I1106="Youngstock","Bezerra/recria","Novilha"))))</f>
        <v>Vaca em lactação</v>
      </c>
      <c r="X1106" s="0" t="str">
        <f aca="false">IF(AND(B1106&gt;=1,B1106&lt;=6),"Tanque",IF(B1106=10,"Descarte",""))</f>
        <v>Tanque</v>
      </c>
    </row>
    <row r="1107" customFormat="false" ht="15" hidden="false" customHeight="false" outlineLevel="0" collapsed="false">
      <c r="A1107" s="22" t="n">
        <v>46309</v>
      </c>
      <c r="B1107" s="0" t="n">
        <v>5</v>
      </c>
      <c r="C1107" s="0" t="n">
        <v>3855</v>
      </c>
      <c r="D1107" s="0" t="n">
        <v>248</v>
      </c>
      <c r="E1107" s="0" t="n">
        <v>3</v>
      </c>
      <c r="F1107" s="23" t="s">
        <v>428</v>
      </c>
      <c r="G1107" s="0" t="n">
        <v>31.1</v>
      </c>
      <c r="H1107" s="0" t="n">
        <v>30</v>
      </c>
      <c r="I1107" s="23" t="s">
        <v>92</v>
      </c>
      <c r="J1107" s="0" t="n">
        <v>66</v>
      </c>
      <c r="K1107" s="0" t="n">
        <v>66</v>
      </c>
      <c r="L1107" s="0" t="n">
        <v>182</v>
      </c>
      <c r="M1107" s="0" t="n">
        <v>919.77</v>
      </c>
      <c r="N1107" s="0" t="n">
        <v>44.99</v>
      </c>
      <c r="O1107" s="0" t="n">
        <v>34.07</v>
      </c>
      <c r="P1107" s="0" t="n">
        <v>4.08</v>
      </c>
      <c r="Q1107" s="0" t="n">
        <v>3.91</v>
      </c>
      <c r="R1107" s="0" t="n">
        <v>5854</v>
      </c>
      <c r="S1107" s="0" t="n">
        <v>11826</v>
      </c>
      <c r="T1107" s="0" t="n">
        <v>64.6</v>
      </c>
      <c r="U1107" s="0" t="n">
        <v>1690</v>
      </c>
      <c r="V1107" s="0" t="n">
        <v>1</v>
      </c>
      <c r="W1107" s="0" t="str">
        <f aca="false">IF(OR(AND(B1107&gt;=1,B1107&lt;=6),B1107=10),"Vaca em lactação",IF(I1107="Male","Macho",IF(E1107&gt;=1,"Vaca seca",IF(I1107="Youngstock","Bezerra/recria","Novilha"))))</f>
        <v>Vaca em lactação</v>
      </c>
      <c r="X1107" s="0" t="str">
        <f aca="false">IF(AND(B1107&gt;=1,B1107&lt;=6),"Tanque",IF(B1107=10,"Descarte",""))</f>
        <v>Tanque</v>
      </c>
    </row>
    <row r="1108" customFormat="false" ht="15" hidden="false" customHeight="false" outlineLevel="0" collapsed="false">
      <c r="A1108" s="22" t="n">
        <v>46309</v>
      </c>
      <c r="B1108" s="0" t="n">
        <v>5</v>
      </c>
      <c r="C1108" s="0" t="n">
        <v>3924</v>
      </c>
      <c r="D1108" s="0" t="n">
        <v>232</v>
      </c>
      <c r="E1108" s="0" t="n">
        <v>3</v>
      </c>
      <c r="F1108" s="23" t="s">
        <v>430</v>
      </c>
      <c r="G1108" s="0" t="n">
        <v>45.7</v>
      </c>
      <c r="H1108" s="0" t="n">
        <v>44</v>
      </c>
      <c r="I1108" s="23" t="s">
        <v>92</v>
      </c>
      <c r="J1108" s="0" t="n">
        <v>100</v>
      </c>
      <c r="K1108" s="0" t="n">
        <v>71</v>
      </c>
      <c r="L1108" s="0" t="n">
        <v>132</v>
      </c>
      <c r="M1108" s="0" t="n">
        <v>869.75</v>
      </c>
      <c r="N1108" s="0" t="n">
        <v>38.12</v>
      </c>
      <c r="O1108" s="0" t="n">
        <v>33.63</v>
      </c>
      <c r="P1108" s="0" t="n">
        <v>3.19</v>
      </c>
      <c r="Q1108" s="0" t="n">
        <v>3.77</v>
      </c>
      <c r="R1108" s="0" t="n">
        <v>4958</v>
      </c>
      <c r="S1108" s="0" t="n">
        <v>10177</v>
      </c>
      <c r="T1108" s="0" t="n">
        <v>64.1</v>
      </c>
      <c r="U1108" s="0" t="n">
        <v>1658</v>
      </c>
      <c r="V1108" s="0" t="n">
        <v>2</v>
      </c>
      <c r="W1108" s="0" t="str">
        <f aca="false">IF(OR(AND(B1108&gt;=1,B1108&lt;=6),B1108=10),"Vaca em lactação",IF(I1108="Male","Macho",IF(E1108&gt;=1,"Vaca seca",IF(I1108="Youngstock","Bezerra/recria","Novilha"))))</f>
        <v>Vaca em lactação</v>
      </c>
      <c r="X1108" s="0" t="str">
        <f aca="false">IF(AND(B1108&gt;=1,B1108&lt;=6),"Tanque",IF(B1108=10,"Descarte",""))</f>
        <v>Tanque</v>
      </c>
    </row>
    <row r="1109" customFormat="false" ht="15" hidden="false" customHeight="false" outlineLevel="0" collapsed="false">
      <c r="A1109" s="22" t="n">
        <v>46309</v>
      </c>
      <c r="B1109" s="0" t="n">
        <v>5</v>
      </c>
      <c r="C1109" s="0" t="n">
        <v>3938</v>
      </c>
      <c r="D1109" s="0" t="n">
        <v>229</v>
      </c>
      <c r="E1109" s="0" t="n">
        <v>2</v>
      </c>
      <c r="F1109" s="23" t="s">
        <v>434</v>
      </c>
      <c r="G1109" s="0" t="n">
        <v>50.4</v>
      </c>
      <c r="H1109" s="0" t="n">
        <v>47</v>
      </c>
      <c r="I1109" s="23" t="s">
        <v>92</v>
      </c>
      <c r="J1109" s="0" t="n">
        <v>82</v>
      </c>
      <c r="K1109" s="0" t="n">
        <v>82</v>
      </c>
      <c r="L1109" s="0" t="n">
        <v>147</v>
      </c>
      <c r="M1109" s="0" t="n">
        <v>478.05</v>
      </c>
      <c r="N1109" s="0" t="n">
        <v>67.77</v>
      </c>
      <c r="O1109" s="0" t="n">
        <v>29.13</v>
      </c>
      <c r="P1109" s="0" t="n">
        <v>4.16</v>
      </c>
      <c r="Q1109" s="0" t="n">
        <v>3.55</v>
      </c>
      <c r="R1109" s="0" t="n">
        <v>6265</v>
      </c>
      <c r="S1109" s="0" t="n">
        <v>12099</v>
      </c>
      <c r="T1109" s="0" t="n">
        <v>72.95</v>
      </c>
      <c r="U1109" s="0" t="n">
        <v>1653</v>
      </c>
      <c r="V1109" s="0" t="n">
        <v>1</v>
      </c>
      <c r="W1109" s="0" t="str">
        <f aca="false">IF(OR(AND(B1109&gt;=1,B1109&lt;=6),B1109=10),"Vaca em lactação",IF(I1109="Male","Macho",IF(E1109&gt;=1,"Vaca seca",IF(I1109="Youngstock","Bezerra/recria","Novilha"))))</f>
        <v>Vaca em lactação</v>
      </c>
      <c r="X1109" s="0" t="str">
        <f aca="false">IF(AND(B1109&gt;=1,B1109&lt;=6),"Tanque",IF(B1109=10,"Descarte",""))</f>
        <v>Tanque</v>
      </c>
    </row>
    <row r="1110" customFormat="false" ht="15" hidden="false" customHeight="false" outlineLevel="0" collapsed="false">
      <c r="A1110" s="22" t="n">
        <v>46309</v>
      </c>
      <c r="B1110" s="0" t="n">
        <v>5</v>
      </c>
      <c r="C1110" s="0" t="n">
        <v>3933</v>
      </c>
      <c r="D1110" s="0" t="n">
        <v>277</v>
      </c>
      <c r="E1110" s="0" t="n">
        <v>3</v>
      </c>
      <c r="F1110" s="23" t="s">
        <v>738</v>
      </c>
      <c r="G1110" s="0" t="n">
        <v>31.7</v>
      </c>
      <c r="H1110" s="0" t="n">
        <v>34</v>
      </c>
      <c r="I1110" s="23" t="s">
        <v>92</v>
      </c>
      <c r="J1110" s="0" t="n">
        <v>67</v>
      </c>
      <c r="K1110" s="0" t="n">
        <v>67</v>
      </c>
      <c r="L1110" s="0" t="n">
        <v>210</v>
      </c>
      <c r="M1110" s="0" t="n">
        <v>638</v>
      </c>
      <c r="N1110" s="0" t="n">
        <v>56.16</v>
      </c>
      <c r="O1110" s="0" t="n">
        <v>28.6</v>
      </c>
      <c r="P1110" s="0" t="n">
        <v>4.26</v>
      </c>
      <c r="Q1110" s="0" t="n">
        <v>3.71</v>
      </c>
      <c r="R1110" s="0" t="n">
        <v>5427</v>
      </c>
      <c r="S1110" s="0" t="n">
        <v>11584</v>
      </c>
      <c r="T1110" s="0" t="n">
        <v>55.9</v>
      </c>
      <c r="U1110" s="0" t="n">
        <v>1655</v>
      </c>
      <c r="V1110" s="0" t="n">
        <v>1</v>
      </c>
      <c r="W1110" s="0" t="str">
        <f aca="false">IF(OR(AND(B1110&gt;=1,B1110&lt;=6),B1110=10),"Vaca em lactação",IF(I1110="Male","Macho",IF(E1110&gt;=1,"Vaca seca",IF(I1110="Youngstock","Bezerra/recria","Novilha"))))</f>
        <v>Vaca em lactação</v>
      </c>
      <c r="X1110" s="0" t="str">
        <f aca="false">IF(AND(B1110&gt;=1,B1110&lt;=6),"Tanque",IF(B1110=10,"Descarte",""))</f>
        <v>Tanque</v>
      </c>
    </row>
    <row r="1111" customFormat="false" ht="15" hidden="false" customHeight="false" outlineLevel="0" collapsed="false">
      <c r="A1111" s="22" t="n">
        <v>46309</v>
      </c>
      <c r="B1111" s="0" t="n">
        <v>5</v>
      </c>
      <c r="C1111" s="0" t="n">
        <v>3947</v>
      </c>
      <c r="D1111" s="0" t="n">
        <v>240</v>
      </c>
      <c r="E1111" s="0" t="n">
        <v>3</v>
      </c>
      <c r="F1111" s="23" t="s">
        <v>739</v>
      </c>
      <c r="G1111" s="0" t="n">
        <v>34.6</v>
      </c>
      <c r="H1111" s="0" t="n">
        <v>34</v>
      </c>
      <c r="I1111" s="23" t="s">
        <v>92</v>
      </c>
      <c r="J1111" s="0" t="n">
        <v>65</v>
      </c>
      <c r="K1111" s="0" t="n">
        <v>65</v>
      </c>
      <c r="L1111" s="0" t="n">
        <v>175</v>
      </c>
      <c r="M1111" s="0" t="n">
        <v>390.82</v>
      </c>
      <c r="N1111" s="0" t="n">
        <v>65.68</v>
      </c>
      <c r="O1111" s="0" t="n">
        <v>33.59</v>
      </c>
      <c r="P1111" s="0" t="n">
        <v>6.16</v>
      </c>
      <c r="Q1111" s="0" t="n">
        <v>4.01</v>
      </c>
      <c r="R1111" s="0" t="n">
        <v>3098</v>
      </c>
      <c r="S1111" s="0" t="n">
        <v>7324</v>
      </c>
      <c r="T1111" s="0" t="n">
        <v>31.55</v>
      </c>
      <c r="U1111" s="0" t="n">
        <v>1650</v>
      </c>
      <c r="V1111" s="0" t="n">
        <v>1</v>
      </c>
      <c r="W1111" s="0" t="str">
        <f aca="false">IF(OR(AND(B1111&gt;=1,B1111&lt;=6),B1111=10),"Vaca em lactação",IF(I1111="Male","Macho",IF(E1111&gt;=1,"Vaca seca",IF(I1111="Youngstock","Bezerra/recria","Novilha"))))</f>
        <v>Vaca em lactação</v>
      </c>
      <c r="X1111" s="0" t="str">
        <f aca="false">IF(AND(B1111&gt;=1,B1111&lt;=6),"Tanque",IF(B1111=10,"Descarte",""))</f>
        <v>Tanque</v>
      </c>
    </row>
    <row r="1112" customFormat="false" ht="15" hidden="false" customHeight="false" outlineLevel="0" collapsed="false">
      <c r="A1112" s="22" t="n">
        <v>46309</v>
      </c>
      <c r="B1112" s="0" t="n">
        <v>5</v>
      </c>
      <c r="C1112" s="0" t="n">
        <v>3955</v>
      </c>
      <c r="D1112" s="0" t="n">
        <v>252</v>
      </c>
      <c r="E1112" s="0" t="n">
        <v>3</v>
      </c>
      <c r="F1112" s="23" t="s">
        <v>418</v>
      </c>
      <c r="H1112" s="0" t="n">
        <v>5</v>
      </c>
      <c r="I1112" s="23" t="s">
        <v>92</v>
      </c>
      <c r="J1112" s="0" t="n">
        <v>63</v>
      </c>
      <c r="K1112" s="0" t="n">
        <v>63</v>
      </c>
      <c r="L1112" s="0" t="n">
        <v>189</v>
      </c>
      <c r="M1112" s="0" t="n">
        <v>339.73</v>
      </c>
      <c r="N1112" s="0" t="n">
        <v>50.66</v>
      </c>
      <c r="O1112" s="0" t="n">
        <v>23.48</v>
      </c>
      <c r="P1112" s="0" t="n">
        <v>4.59</v>
      </c>
      <c r="Q1112" s="0" t="n">
        <v>3.89</v>
      </c>
      <c r="R1112" s="0" t="n">
        <v>4320</v>
      </c>
      <c r="S1112" s="0" t="n">
        <v>9241</v>
      </c>
      <c r="T1112" s="0" t="n">
        <v>48.8</v>
      </c>
      <c r="U1112" s="0" t="n">
        <v>1647</v>
      </c>
      <c r="V1112" s="0" t="n">
        <v>1</v>
      </c>
      <c r="W1112" s="0" t="str">
        <f aca="false">IF(OR(AND(B1112&gt;=1,B1112&lt;=6),B1112=10),"Vaca em lactação",IF(I1112="Male","Macho",IF(E1112&gt;=1,"Vaca seca",IF(I1112="Youngstock","Bezerra/recria","Novilha"))))</f>
        <v>Vaca em lactação</v>
      </c>
      <c r="X1112" s="0" t="str">
        <f aca="false">IF(AND(B1112&gt;=1,B1112&lt;=6),"Tanque",IF(B1112=10,"Descarte",""))</f>
        <v>Tanque</v>
      </c>
    </row>
    <row r="1113" customFormat="false" ht="15" hidden="false" customHeight="false" outlineLevel="0" collapsed="false">
      <c r="A1113" s="22" t="n">
        <v>46309</v>
      </c>
      <c r="B1113" s="0" t="n">
        <v>5</v>
      </c>
      <c r="C1113" s="0" t="n">
        <v>3950</v>
      </c>
      <c r="D1113" s="0" t="n">
        <v>247</v>
      </c>
      <c r="E1113" s="0" t="n">
        <v>3</v>
      </c>
      <c r="F1113" s="23" t="s">
        <v>432</v>
      </c>
      <c r="G1113" s="0" t="n">
        <v>38.9</v>
      </c>
      <c r="H1113" s="0" t="n">
        <v>38</v>
      </c>
      <c r="I1113" s="23" t="s">
        <v>92</v>
      </c>
      <c r="J1113" s="0" t="n">
        <v>107</v>
      </c>
      <c r="K1113" s="0" t="n">
        <v>65</v>
      </c>
      <c r="L1113" s="0" t="n">
        <v>140</v>
      </c>
      <c r="M1113" s="0" t="n">
        <v>954.53</v>
      </c>
      <c r="N1113" s="0" t="n">
        <v>58.14</v>
      </c>
      <c r="O1113" s="0" t="n">
        <v>39.72</v>
      </c>
      <c r="P1113" s="0" t="n">
        <v>4.33</v>
      </c>
      <c r="Q1113" s="0" t="n">
        <v>3.5</v>
      </c>
      <c r="R1113" s="0" t="n">
        <v>3527</v>
      </c>
      <c r="S1113" s="0" t="n">
        <v>7088</v>
      </c>
      <c r="T1113" s="0" t="n">
        <v>54.65</v>
      </c>
      <c r="U1113" s="0" t="n">
        <v>1649</v>
      </c>
      <c r="V1113" s="0" t="n">
        <v>2</v>
      </c>
      <c r="W1113" s="0" t="str">
        <f aca="false">IF(OR(AND(B1113&gt;=1,B1113&lt;=6),B1113=10),"Vaca em lactação",IF(I1113="Male","Macho",IF(E1113&gt;=1,"Vaca seca",IF(I1113="Youngstock","Bezerra/recria","Novilha"))))</f>
        <v>Vaca em lactação</v>
      </c>
      <c r="X1113" s="0" t="str">
        <f aca="false">IF(AND(B1113&gt;=1,B1113&lt;=6),"Tanque",IF(B1113=10,"Descarte",""))</f>
        <v>Tanque</v>
      </c>
    </row>
    <row r="1114" customFormat="false" ht="15" hidden="false" customHeight="false" outlineLevel="0" collapsed="false">
      <c r="A1114" s="22" t="n">
        <v>46309</v>
      </c>
      <c r="B1114" s="0" t="n">
        <v>5</v>
      </c>
      <c r="C1114" s="0" t="n">
        <v>3896</v>
      </c>
      <c r="D1114" s="0" t="n">
        <v>330</v>
      </c>
      <c r="E1114" s="0" t="n">
        <v>3</v>
      </c>
      <c r="F1114" s="23" t="s">
        <v>254</v>
      </c>
      <c r="G1114" s="0" t="n">
        <v>39.6</v>
      </c>
      <c r="H1114" s="0" t="n">
        <v>35</v>
      </c>
      <c r="I1114" s="23" t="s">
        <v>92</v>
      </c>
      <c r="J1114" s="0" t="n">
        <v>155</v>
      </c>
      <c r="K1114" s="0" t="n">
        <v>64</v>
      </c>
      <c r="L1114" s="0" t="n">
        <v>175</v>
      </c>
      <c r="M1114" s="0" t="n">
        <v>431.88</v>
      </c>
      <c r="N1114" s="0" t="n">
        <v>36.89</v>
      </c>
      <c r="O1114" s="0" t="n">
        <v>27.67</v>
      </c>
      <c r="P1114" s="0" t="n">
        <v>3.73</v>
      </c>
      <c r="Q1114" s="0" t="n">
        <v>3.99</v>
      </c>
      <c r="R1114" s="0" t="n">
        <v>6574</v>
      </c>
      <c r="S1114" s="0" t="n">
        <v>12921</v>
      </c>
      <c r="T1114" s="0" t="n">
        <v>75.9</v>
      </c>
      <c r="U1114" s="0" t="n">
        <v>1671</v>
      </c>
      <c r="V1114" s="0" t="n">
        <v>3</v>
      </c>
      <c r="W1114" s="0" t="str">
        <f aca="false">IF(OR(AND(B1114&gt;=1,B1114&lt;=6),B1114=10),"Vaca em lactação",IF(I1114="Male","Macho",IF(E1114&gt;=1,"Vaca seca",IF(I1114="Youngstock","Bezerra/recria","Novilha"))))</f>
        <v>Vaca em lactação</v>
      </c>
      <c r="X1114" s="0" t="str">
        <f aca="false">IF(AND(B1114&gt;=1,B1114&lt;=6),"Tanque",IF(B1114=10,"Descarte",""))</f>
        <v>Tanque</v>
      </c>
    </row>
    <row r="1115" customFormat="false" ht="15" hidden="false" customHeight="false" outlineLevel="0" collapsed="false">
      <c r="A1115" s="22" t="n">
        <v>46309</v>
      </c>
      <c r="B1115" s="0" t="n">
        <v>5</v>
      </c>
      <c r="C1115" s="0" t="n">
        <v>3894</v>
      </c>
      <c r="D1115" s="0" t="n">
        <v>205</v>
      </c>
      <c r="E1115" s="0" t="n">
        <v>3</v>
      </c>
      <c r="F1115" s="23" t="s">
        <v>251</v>
      </c>
      <c r="G1115" s="0" t="n">
        <v>43.8</v>
      </c>
      <c r="H1115" s="0" t="n">
        <v>38</v>
      </c>
      <c r="I1115" s="23" t="s">
        <v>92</v>
      </c>
      <c r="J1115" s="0" t="n">
        <v>170</v>
      </c>
      <c r="K1115" s="0" t="n">
        <v>72</v>
      </c>
      <c r="L1115" s="0" t="n">
        <v>35</v>
      </c>
      <c r="M1115" s="0" t="n">
        <v>1170.45</v>
      </c>
      <c r="N1115" s="0" t="n">
        <v>38.05</v>
      </c>
      <c r="O1115" s="0" t="n">
        <v>41.12</v>
      </c>
      <c r="P1115" s="0" t="n">
        <v>4.03</v>
      </c>
      <c r="Q1115" s="0" t="n">
        <v>3.56</v>
      </c>
      <c r="R1115" s="0" t="n">
        <v>4357</v>
      </c>
      <c r="S1115" s="0" t="n">
        <v>8956</v>
      </c>
      <c r="T1115" s="0" t="n">
        <v>51.35</v>
      </c>
      <c r="U1115" s="0" t="n">
        <v>1674</v>
      </c>
      <c r="V1115" s="0" t="n">
        <v>4</v>
      </c>
      <c r="W1115" s="0" t="str">
        <f aca="false">IF(OR(AND(B1115&gt;=1,B1115&lt;=6),B1115=10),"Vaca em lactação",IF(I1115="Male","Macho",IF(E1115&gt;=1,"Vaca seca",IF(I1115="Youngstock","Bezerra/recria","Novilha"))))</f>
        <v>Vaca em lactação</v>
      </c>
      <c r="X1115" s="0" t="str">
        <f aca="false">IF(AND(B1115&gt;=1,B1115&lt;=6),"Tanque",IF(B1115=10,"Descarte",""))</f>
        <v>Tanque</v>
      </c>
    </row>
    <row r="1116" customFormat="false" ht="15" hidden="false" customHeight="false" outlineLevel="0" collapsed="false">
      <c r="A1116" s="22" t="n">
        <v>46309</v>
      </c>
      <c r="B1116" s="0" t="n">
        <v>5</v>
      </c>
      <c r="C1116" s="0" t="n">
        <v>3907</v>
      </c>
      <c r="D1116" s="0" t="n">
        <v>255</v>
      </c>
      <c r="E1116" s="0" t="n">
        <v>2</v>
      </c>
      <c r="F1116" s="23" t="s">
        <v>740</v>
      </c>
      <c r="G1116" s="0" t="n">
        <v>28</v>
      </c>
      <c r="H1116" s="0" t="n">
        <v>27</v>
      </c>
      <c r="I1116" s="23" t="s">
        <v>92</v>
      </c>
      <c r="J1116" s="0" t="n">
        <v>70</v>
      </c>
      <c r="K1116" s="0" t="n">
        <v>70</v>
      </c>
      <c r="L1116" s="0" t="n">
        <v>185</v>
      </c>
      <c r="M1116" s="0" t="n">
        <v>554.34</v>
      </c>
      <c r="N1116" s="0" t="n">
        <v>59.18</v>
      </c>
      <c r="O1116" s="0" t="n">
        <v>21.31</v>
      </c>
      <c r="P1116" s="0" t="n">
        <v>4.65</v>
      </c>
      <c r="Q1116" s="0" t="n">
        <v>3.82</v>
      </c>
      <c r="R1116" s="0" t="n">
        <v>3279</v>
      </c>
      <c r="S1116" s="0" t="n">
        <v>7314</v>
      </c>
      <c r="T1116" s="0" t="n">
        <v>37.55</v>
      </c>
      <c r="U1116" s="0" t="n">
        <v>1666</v>
      </c>
      <c r="V1116" s="0" t="n">
        <v>1</v>
      </c>
      <c r="W1116" s="0" t="str">
        <f aca="false">IF(OR(AND(B1116&gt;=1,B1116&lt;=6),B1116=10),"Vaca em lactação",IF(I1116="Male","Macho",IF(E1116&gt;=1,"Vaca seca",IF(I1116="Youngstock","Bezerra/recria","Novilha"))))</f>
        <v>Vaca em lactação</v>
      </c>
      <c r="X1116" s="0" t="str">
        <f aca="false">IF(AND(B1116&gt;=1,B1116&lt;=6),"Tanque",IF(B1116=10,"Descarte",""))</f>
        <v>Tanque</v>
      </c>
    </row>
    <row r="1117" customFormat="false" ht="15" hidden="false" customHeight="false" outlineLevel="0" collapsed="false">
      <c r="A1117" s="22" t="n">
        <v>46309</v>
      </c>
      <c r="B1117" s="0" t="n">
        <v>5</v>
      </c>
      <c r="C1117" s="0" t="n">
        <v>3906</v>
      </c>
      <c r="D1117" s="0" t="n">
        <v>251</v>
      </c>
      <c r="E1117" s="0" t="n">
        <v>3</v>
      </c>
      <c r="F1117" s="23" t="s">
        <v>741</v>
      </c>
      <c r="G1117" s="0" t="n">
        <v>37.5</v>
      </c>
      <c r="H1117" s="0" t="n">
        <v>38</v>
      </c>
      <c r="I1117" s="23" t="s">
        <v>92</v>
      </c>
      <c r="J1117" s="0" t="n">
        <v>69</v>
      </c>
      <c r="K1117" s="0" t="n">
        <v>69</v>
      </c>
      <c r="L1117" s="0" t="n">
        <v>182</v>
      </c>
      <c r="M1117" s="0" t="n">
        <v>105.79</v>
      </c>
      <c r="N1117" s="0" t="n">
        <v>70.65</v>
      </c>
      <c r="O1117" s="0" t="n">
        <v>14.93</v>
      </c>
      <c r="P1117" s="0" t="n">
        <v>4.62</v>
      </c>
      <c r="Q1117" s="0" t="n">
        <v>3.53</v>
      </c>
      <c r="R1117" s="0" t="n">
        <v>5749</v>
      </c>
      <c r="S1117" s="0" t="n">
        <v>11883</v>
      </c>
      <c r="T1117" s="0" t="n">
        <v>64.3</v>
      </c>
      <c r="U1117" s="0" t="n">
        <v>1667</v>
      </c>
      <c r="V1117" s="0" t="n">
        <v>1</v>
      </c>
      <c r="W1117" s="0" t="str">
        <f aca="false">IF(OR(AND(B1117&gt;=1,B1117&lt;=6),B1117=10),"Vaca em lactação",IF(I1117="Male","Macho",IF(E1117&gt;=1,"Vaca seca",IF(I1117="Youngstock","Bezerra/recria","Novilha"))))</f>
        <v>Vaca em lactação</v>
      </c>
      <c r="X1117" s="0" t="str">
        <f aca="false">IF(AND(B1117&gt;=1,B1117&lt;=6),"Tanque",IF(B1117=10,"Descarte",""))</f>
        <v>Tanque</v>
      </c>
    </row>
    <row r="1118" customFormat="false" ht="15" hidden="false" customHeight="false" outlineLevel="0" collapsed="false">
      <c r="A1118" s="22" t="n">
        <v>46309</v>
      </c>
      <c r="B1118" s="0" t="n">
        <v>5</v>
      </c>
      <c r="C1118" s="0" t="n">
        <v>3905</v>
      </c>
      <c r="D1118" s="0" t="n">
        <v>285</v>
      </c>
      <c r="E1118" s="0" t="n">
        <v>3</v>
      </c>
      <c r="F1118" s="23" t="s">
        <v>741</v>
      </c>
      <c r="G1118" s="0" t="n">
        <v>36.9</v>
      </c>
      <c r="H1118" s="0" t="n">
        <v>35</v>
      </c>
      <c r="I1118" s="23" t="s">
        <v>92</v>
      </c>
      <c r="J1118" s="0" t="n">
        <v>250</v>
      </c>
      <c r="K1118" s="0" t="n">
        <v>89</v>
      </c>
      <c r="L1118" s="0" t="n">
        <v>35</v>
      </c>
      <c r="M1118" s="0" t="n">
        <v>195.4</v>
      </c>
      <c r="N1118" s="0" t="n">
        <v>31.07</v>
      </c>
      <c r="O1118" s="0" t="n">
        <v>16.69</v>
      </c>
      <c r="P1118" s="0" t="n">
        <v>2.73</v>
      </c>
      <c r="Q1118" s="0" t="n">
        <v>3.51</v>
      </c>
      <c r="R1118" s="0" t="n">
        <v>5888</v>
      </c>
      <c r="S1118" s="0" t="n">
        <v>12369</v>
      </c>
      <c r="T1118" s="0" t="n">
        <v>66.1</v>
      </c>
      <c r="U1118" s="0" t="n">
        <v>1667</v>
      </c>
      <c r="V1118" s="0" t="n">
        <v>3</v>
      </c>
      <c r="W1118" s="0" t="str">
        <f aca="false">IF(OR(AND(B1118&gt;=1,B1118&lt;=6),B1118=10),"Vaca em lactação",IF(I1118="Male","Macho",IF(E1118&gt;=1,"Vaca seca",IF(I1118="Youngstock","Bezerra/recria","Novilha"))))</f>
        <v>Vaca em lactação</v>
      </c>
      <c r="X1118" s="0" t="str">
        <f aca="false">IF(AND(B1118&gt;=1,B1118&lt;=6),"Tanque",IF(B1118=10,"Descarte",""))</f>
        <v>Tanque</v>
      </c>
    </row>
    <row r="1119" customFormat="false" ht="15" hidden="false" customHeight="false" outlineLevel="0" collapsed="false">
      <c r="A1119" s="22" t="n">
        <v>46309</v>
      </c>
      <c r="B1119" s="0" t="n">
        <v>5</v>
      </c>
      <c r="C1119" s="0" t="n">
        <v>3904</v>
      </c>
      <c r="D1119" s="0" t="n">
        <v>234</v>
      </c>
      <c r="E1119" s="0" t="n">
        <v>3</v>
      </c>
      <c r="F1119" s="23" t="s">
        <v>742</v>
      </c>
      <c r="G1119" s="0" t="n">
        <v>33.6</v>
      </c>
      <c r="H1119" s="0" t="n">
        <v>36</v>
      </c>
      <c r="I1119" s="23" t="s">
        <v>109</v>
      </c>
      <c r="J1119" s="0" t="n">
        <v>234</v>
      </c>
      <c r="K1119" s="0" t="n">
        <v>66</v>
      </c>
      <c r="M1119" s="0" t="n">
        <v>717.04</v>
      </c>
      <c r="N1119" s="0" t="n">
        <v>47.1</v>
      </c>
      <c r="O1119" s="0" t="n">
        <v>36.6</v>
      </c>
      <c r="P1119" s="0" t="n">
        <v>2.91</v>
      </c>
      <c r="Q1119" s="0" t="n">
        <v>3.5</v>
      </c>
      <c r="R1119" s="0" t="n">
        <v>5446</v>
      </c>
      <c r="S1119" s="0" t="n">
        <v>10799</v>
      </c>
      <c r="T1119" s="0" t="n">
        <v>68</v>
      </c>
      <c r="U1119" s="0" t="n">
        <v>1668</v>
      </c>
      <c r="V1119" s="0" t="n">
        <v>2</v>
      </c>
      <c r="W1119" s="0" t="str">
        <f aca="false">IF(OR(AND(B1119&gt;=1,B1119&lt;=6),B1119=10),"Vaca em lactação",IF(I1119="Male","Macho",IF(E1119&gt;=1,"Vaca seca",IF(I1119="Youngstock","Bezerra/recria","Novilha"))))</f>
        <v>Vaca em lactação</v>
      </c>
      <c r="X1119" s="0" t="str">
        <f aca="false">IF(AND(B1119&gt;=1,B1119&lt;=6),"Tanque",IF(B1119=10,"Descarte",""))</f>
        <v>Tanque</v>
      </c>
    </row>
    <row r="1120" customFormat="false" ht="15" hidden="false" customHeight="false" outlineLevel="0" collapsed="false">
      <c r="A1120" s="22" t="n">
        <v>46309</v>
      </c>
      <c r="B1120" s="0" t="n">
        <v>5</v>
      </c>
      <c r="C1120" s="0" t="n">
        <v>3913</v>
      </c>
      <c r="D1120" s="0" t="n">
        <v>85</v>
      </c>
      <c r="E1120" s="0" t="n">
        <v>3</v>
      </c>
      <c r="F1120" s="23" t="s">
        <v>436</v>
      </c>
      <c r="G1120" s="0" t="n">
        <v>32.3</v>
      </c>
      <c r="H1120" s="0" t="n">
        <v>34</v>
      </c>
      <c r="I1120" s="23" t="s">
        <v>506</v>
      </c>
      <c r="J1120" s="0" t="n">
        <v>85</v>
      </c>
      <c r="M1120" s="0" t="n">
        <v>240.17</v>
      </c>
      <c r="N1120" s="0" t="n">
        <v>47.38</v>
      </c>
      <c r="O1120" s="0" t="n">
        <v>13.04</v>
      </c>
      <c r="P1120" s="0" t="n">
        <v>0</v>
      </c>
      <c r="Q1120" s="0" t="n">
        <v>0</v>
      </c>
      <c r="R1120" s="0" t="n">
        <v>3259</v>
      </c>
      <c r="S1120" s="0" t="n">
        <v>6551</v>
      </c>
      <c r="U1120" s="0" t="n">
        <v>1664</v>
      </c>
      <c r="V1120" s="0" t="n">
        <v>0</v>
      </c>
      <c r="W1120" s="0" t="str">
        <f aca="false">IF(OR(AND(B1120&gt;=1,B1120&lt;=6),B1120=10),"Vaca em lactação",IF(I1120="Male","Macho",IF(E1120&gt;=1,"Vaca seca",IF(I1120="Youngstock","Bezerra/recria","Novilha"))))</f>
        <v>Vaca em lactação</v>
      </c>
      <c r="X1120" s="0" t="str">
        <f aca="false">IF(AND(B1120&gt;=1,B1120&lt;=6),"Tanque",IF(B1120=10,"Descarte",""))</f>
        <v>Tanque</v>
      </c>
    </row>
    <row r="1121" customFormat="false" ht="15" hidden="false" customHeight="false" outlineLevel="0" collapsed="false">
      <c r="A1121" s="22" t="n">
        <v>46309</v>
      </c>
      <c r="B1121" s="0" t="n">
        <v>5</v>
      </c>
      <c r="C1121" s="0" t="n">
        <v>3919</v>
      </c>
      <c r="D1121" s="0" t="n">
        <v>234</v>
      </c>
      <c r="E1121" s="0" t="n">
        <v>3</v>
      </c>
      <c r="F1121" s="23" t="s">
        <v>743</v>
      </c>
      <c r="G1121" s="0" t="n">
        <v>47.3</v>
      </c>
      <c r="H1121" s="0" t="n">
        <v>45</v>
      </c>
      <c r="I1121" s="23" t="s">
        <v>92</v>
      </c>
      <c r="J1121" s="0" t="n">
        <v>66</v>
      </c>
      <c r="K1121" s="0" t="n">
        <v>66</v>
      </c>
      <c r="L1121" s="0" t="n">
        <v>168</v>
      </c>
      <c r="M1121" s="0" t="n">
        <v>360.09</v>
      </c>
      <c r="N1121" s="0" t="n">
        <v>65.27</v>
      </c>
      <c r="O1121" s="0" t="n">
        <v>22.73</v>
      </c>
      <c r="P1121" s="0" t="n">
        <v>4.92</v>
      </c>
      <c r="Q1121" s="0" t="n">
        <v>3.87</v>
      </c>
      <c r="R1121" s="0" t="n">
        <v>5103</v>
      </c>
      <c r="S1121" s="0" t="n">
        <v>10141</v>
      </c>
      <c r="T1121" s="0" t="n">
        <v>54.45</v>
      </c>
      <c r="U1121" s="0" t="n">
        <v>1663</v>
      </c>
      <c r="V1121" s="0" t="n">
        <v>1</v>
      </c>
      <c r="W1121" s="0" t="str">
        <f aca="false">IF(OR(AND(B1121&gt;=1,B1121&lt;=6),B1121=10),"Vaca em lactação",IF(I1121="Male","Macho",IF(E1121&gt;=1,"Vaca seca",IF(I1121="Youngstock","Bezerra/recria","Novilha"))))</f>
        <v>Vaca em lactação</v>
      </c>
      <c r="X1121" s="0" t="str">
        <f aca="false">IF(AND(B1121&gt;=1,B1121&lt;=6),"Tanque",IF(B1121=10,"Descarte",""))</f>
        <v>Tanque</v>
      </c>
    </row>
    <row r="1122" customFormat="false" ht="15" hidden="false" customHeight="false" outlineLevel="0" collapsed="false">
      <c r="A1122" s="22" t="n">
        <v>46309</v>
      </c>
      <c r="B1122" s="0" t="n">
        <v>5</v>
      </c>
      <c r="C1122" s="0" t="n">
        <v>3153</v>
      </c>
      <c r="D1122" s="0" t="n">
        <v>223</v>
      </c>
      <c r="E1122" s="0" t="n">
        <v>3</v>
      </c>
      <c r="F1122" s="23" t="s">
        <v>744</v>
      </c>
      <c r="G1122" s="0" t="n">
        <v>37.7</v>
      </c>
      <c r="H1122" s="0" t="n">
        <v>35</v>
      </c>
      <c r="I1122" s="23" t="s">
        <v>97</v>
      </c>
      <c r="J1122" s="0" t="n">
        <v>223</v>
      </c>
      <c r="K1122" s="0" t="n">
        <v>69</v>
      </c>
      <c r="M1122" s="0" t="n">
        <v>480.59</v>
      </c>
      <c r="N1122" s="0" t="n">
        <v>29.73</v>
      </c>
      <c r="O1122" s="0" t="n">
        <v>31.99</v>
      </c>
      <c r="P1122" s="0" t="n">
        <v>5.62</v>
      </c>
      <c r="Q1122" s="0" t="n">
        <v>4.33</v>
      </c>
      <c r="R1122" s="0" t="n">
        <v>4161</v>
      </c>
      <c r="S1122" s="0" t="n">
        <v>9120</v>
      </c>
      <c r="T1122" s="0" t="n">
        <v>48.2</v>
      </c>
      <c r="U1122" s="0" t="n">
        <v>2161</v>
      </c>
      <c r="V1122" s="0" t="n">
        <v>4</v>
      </c>
      <c r="W1122" s="0" t="str">
        <f aca="false">IF(OR(AND(B1122&gt;=1,B1122&lt;=6),B1122=10),"Vaca em lactação",IF(I1122="Male","Macho",IF(E1122&gt;=1,"Vaca seca",IF(I1122="Youngstock","Bezerra/recria","Novilha"))))</f>
        <v>Vaca em lactação</v>
      </c>
      <c r="X1122" s="0" t="str">
        <f aca="false">IF(AND(B1122&gt;=1,B1122&lt;=6),"Tanque",IF(B1122=10,"Descarte",""))</f>
        <v>Tanque</v>
      </c>
    </row>
    <row r="1123" customFormat="false" ht="15" hidden="false" customHeight="false" outlineLevel="0" collapsed="false">
      <c r="A1123" s="22" t="n">
        <v>46309</v>
      </c>
      <c r="B1123" s="0" t="n">
        <v>5</v>
      </c>
      <c r="C1123" s="0" t="n">
        <v>3110</v>
      </c>
      <c r="D1123" s="0" t="n">
        <v>77</v>
      </c>
      <c r="E1123" s="0" t="n">
        <v>5</v>
      </c>
      <c r="F1123" s="23" t="s">
        <v>745</v>
      </c>
      <c r="G1123" s="0" t="n">
        <v>38.9</v>
      </c>
      <c r="H1123" s="0" t="n">
        <v>37</v>
      </c>
      <c r="I1123" s="23" t="s">
        <v>109</v>
      </c>
      <c r="J1123" s="0" t="n">
        <v>77</v>
      </c>
      <c r="M1123" s="0" t="n">
        <v>1088.74</v>
      </c>
      <c r="N1123" s="0" t="n">
        <v>17.42</v>
      </c>
      <c r="O1123" s="0" t="n">
        <v>29</v>
      </c>
      <c r="P1123" s="0" t="n">
        <v>3.12</v>
      </c>
      <c r="Q1123" s="0" t="n">
        <v>2.81</v>
      </c>
      <c r="R1123" s="0" t="n">
        <v>3893</v>
      </c>
      <c r="S1123" s="0" t="n">
        <v>7826</v>
      </c>
      <c r="U1123" s="0" t="n">
        <v>2190</v>
      </c>
      <c r="V1123" s="0" t="n">
        <v>0</v>
      </c>
      <c r="W1123" s="0" t="str">
        <f aca="false">IF(OR(AND(B1123&gt;=1,B1123&lt;=6),B1123=10),"Vaca em lactação",IF(I1123="Male","Macho",IF(E1123&gt;=1,"Vaca seca",IF(I1123="Youngstock","Bezerra/recria","Novilha"))))</f>
        <v>Vaca em lactação</v>
      </c>
      <c r="X1123" s="0" t="str">
        <f aca="false">IF(AND(B1123&gt;=1,B1123&lt;=6),"Tanque",IF(B1123=10,"Descarte",""))</f>
        <v>Tanque</v>
      </c>
    </row>
    <row r="1124" customFormat="false" ht="15" hidden="false" customHeight="false" outlineLevel="0" collapsed="false">
      <c r="A1124" s="22" t="n">
        <v>46309</v>
      </c>
      <c r="B1124" s="0" t="n">
        <v>5</v>
      </c>
      <c r="C1124" s="0" t="n">
        <v>3105</v>
      </c>
      <c r="D1124" s="0" t="n">
        <v>420</v>
      </c>
      <c r="E1124" s="0" t="n">
        <v>4</v>
      </c>
      <c r="F1124" s="23" t="s">
        <v>746</v>
      </c>
      <c r="G1124" s="0" t="n">
        <v>40.2</v>
      </c>
      <c r="H1124" s="0" t="n">
        <v>38</v>
      </c>
      <c r="I1124" s="23" t="s">
        <v>92</v>
      </c>
      <c r="J1124" s="0" t="n">
        <v>382</v>
      </c>
      <c r="K1124" s="0" t="n">
        <v>63</v>
      </c>
      <c r="L1124" s="0" t="n">
        <v>38</v>
      </c>
      <c r="M1124" s="0" t="n">
        <v>76.7</v>
      </c>
      <c r="N1124" s="0" t="n">
        <v>35.33</v>
      </c>
      <c r="O1124" s="0" t="n">
        <v>13.14</v>
      </c>
      <c r="P1124" s="0" t="n">
        <v>4.46</v>
      </c>
      <c r="Q1124" s="0" t="n">
        <v>3.62</v>
      </c>
      <c r="R1124" s="0" t="n">
        <v>6909</v>
      </c>
      <c r="S1124" s="0" t="n">
        <v>13252</v>
      </c>
      <c r="T1124" s="0" t="n">
        <v>74</v>
      </c>
      <c r="U1124" s="0" t="n">
        <v>2192</v>
      </c>
      <c r="V1124" s="0" t="n">
        <v>11</v>
      </c>
      <c r="W1124" s="0" t="str">
        <f aca="false">IF(OR(AND(B1124&gt;=1,B1124&lt;=6),B1124=10),"Vaca em lactação",IF(I1124="Male","Macho",IF(E1124&gt;=1,"Vaca seca",IF(I1124="Youngstock","Bezerra/recria","Novilha"))))</f>
        <v>Vaca em lactação</v>
      </c>
      <c r="X1124" s="0" t="str">
        <f aca="false">IF(AND(B1124&gt;=1,B1124&lt;=6),"Tanque",IF(B1124=10,"Descarte",""))</f>
        <v>Tanque</v>
      </c>
    </row>
    <row r="1125" customFormat="false" ht="15" hidden="false" customHeight="false" outlineLevel="0" collapsed="false">
      <c r="A1125" s="22" t="n">
        <v>46309</v>
      </c>
      <c r="B1125" s="0" t="n">
        <v>5</v>
      </c>
      <c r="C1125" s="0" t="n">
        <v>1216</v>
      </c>
      <c r="D1125" s="0" t="n">
        <v>175</v>
      </c>
      <c r="E1125" s="0" t="n">
        <v>5</v>
      </c>
      <c r="F1125" s="23" t="s">
        <v>437</v>
      </c>
      <c r="G1125" s="0" t="n">
        <v>38.4</v>
      </c>
      <c r="H1125" s="0" t="n">
        <v>34</v>
      </c>
      <c r="I1125" s="23" t="s">
        <v>92</v>
      </c>
      <c r="J1125" s="0" t="n">
        <v>105</v>
      </c>
      <c r="K1125" s="0" t="n">
        <v>71</v>
      </c>
      <c r="L1125" s="0" t="n">
        <v>70</v>
      </c>
      <c r="M1125" s="0" t="n">
        <v>657.09</v>
      </c>
      <c r="N1125" s="0" t="n">
        <v>23.81</v>
      </c>
      <c r="O1125" s="0" t="n">
        <v>24</v>
      </c>
      <c r="P1125" s="0" t="n">
        <v>3.79</v>
      </c>
      <c r="Q1125" s="0" t="n">
        <v>3.77</v>
      </c>
      <c r="R1125" s="0" t="n">
        <v>4406</v>
      </c>
      <c r="S1125" s="0" t="n">
        <v>8526</v>
      </c>
      <c r="T1125" s="0" t="n">
        <v>50.4</v>
      </c>
      <c r="U1125" s="0" t="n">
        <v>2184</v>
      </c>
      <c r="V1125" s="0" t="n">
        <v>2</v>
      </c>
      <c r="W1125" s="0" t="str">
        <f aca="false">IF(OR(AND(B1125&gt;=1,B1125&lt;=6),B1125=10),"Vaca em lactação",IF(I1125="Male","Macho",IF(E1125&gt;=1,"Vaca seca",IF(I1125="Youngstock","Bezerra/recria","Novilha"))))</f>
        <v>Vaca em lactação</v>
      </c>
      <c r="X1125" s="0" t="str">
        <f aca="false">IF(AND(B1125&gt;=1,B1125&lt;=6),"Tanque",IF(B1125=10,"Descarte",""))</f>
        <v>Tanque</v>
      </c>
    </row>
    <row r="1126" customFormat="false" ht="15" hidden="false" customHeight="false" outlineLevel="0" collapsed="false">
      <c r="A1126" s="22" t="n">
        <v>46309</v>
      </c>
      <c r="B1126" s="0" t="n">
        <v>5</v>
      </c>
      <c r="C1126" s="0" t="n">
        <v>3122</v>
      </c>
      <c r="D1126" s="0" t="n">
        <v>284</v>
      </c>
      <c r="E1126" s="0" t="n">
        <v>4</v>
      </c>
      <c r="F1126" s="23" t="s">
        <v>438</v>
      </c>
      <c r="G1126" s="0" t="n">
        <v>35</v>
      </c>
      <c r="H1126" s="0" t="n">
        <v>38</v>
      </c>
      <c r="I1126" s="23" t="s">
        <v>92</v>
      </c>
      <c r="J1126" s="0" t="n">
        <v>214</v>
      </c>
      <c r="K1126" s="0" t="n">
        <v>67</v>
      </c>
      <c r="L1126" s="0" t="n">
        <v>70</v>
      </c>
      <c r="M1126" s="0" t="n">
        <v>219.23</v>
      </c>
      <c r="N1126" s="0" t="n">
        <v>64.76</v>
      </c>
      <c r="O1126" s="0" t="n">
        <v>24.75</v>
      </c>
      <c r="P1126" s="0" t="n">
        <v>6.13</v>
      </c>
      <c r="Q1126" s="0" t="n">
        <v>4.16</v>
      </c>
      <c r="R1126" s="0" t="n">
        <v>5551</v>
      </c>
      <c r="S1126" s="0" t="n">
        <v>11277</v>
      </c>
      <c r="T1126" s="0" t="n">
        <v>61.9</v>
      </c>
      <c r="U1126" s="0" t="n">
        <v>2183</v>
      </c>
      <c r="V1126" s="0" t="n">
        <v>5</v>
      </c>
      <c r="W1126" s="0" t="str">
        <f aca="false">IF(OR(AND(B1126&gt;=1,B1126&lt;=6),B1126=10),"Vaca em lactação",IF(I1126="Male","Macho",IF(E1126&gt;=1,"Vaca seca",IF(I1126="Youngstock","Bezerra/recria","Novilha"))))</f>
        <v>Vaca em lactação</v>
      </c>
      <c r="X1126" s="0" t="str">
        <f aca="false">IF(AND(B1126&gt;=1,B1126&lt;=6),"Tanque",IF(B1126=10,"Descarte",""))</f>
        <v>Tanque</v>
      </c>
    </row>
    <row r="1127" customFormat="false" ht="15" hidden="false" customHeight="false" outlineLevel="0" collapsed="false">
      <c r="A1127" s="22" t="n">
        <v>46309</v>
      </c>
      <c r="B1127" s="0" t="n">
        <v>5</v>
      </c>
      <c r="C1127" s="0" t="n">
        <v>1198</v>
      </c>
      <c r="D1127" s="0" t="n">
        <v>198</v>
      </c>
      <c r="E1127" s="0" t="n">
        <v>4</v>
      </c>
      <c r="F1127" s="23" t="s">
        <v>438</v>
      </c>
      <c r="G1127" s="0" t="n">
        <v>33.5</v>
      </c>
      <c r="H1127" s="0" t="n">
        <v>35</v>
      </c>
      <c r="I1127" s="23" t="s">
        <v>506</v>
      </c>
      <c r="J1127" s="0" t="n">
        <v>198</v>
      </c>
      <c r="P1127" s="0" t="n">
        <v>3.38</v>
      </c>
      <c r="Q1127" s="0" t="n">
        <v>3.05</v>
      </c>
      <c r="R1127" s="0" t="n">
        <v>4464</v>
      </c>
      <c r="S1127" s="0" t="n">
        <v>8997</v>
      </c>
      <c r="T1127" s="0" t="n">
        <v>48.65</v>
      </c>
      <c r="U1127" s="0" t="n">
        <v>2183</v>
      </c>
      <c r="V1127" s="0" t="n">
        <v>0</v>
      </c>
      <c r="W1127" s="0" t="str">
        <f aca="false">IF(OR(AND(B1127&gt;=1,B1127&lt;=6),B1127=10),"Vaca em lactação",IF(I1127="Male","Macho",IF(E1127&gt;=1,"Vaca seca",IF(I1127="Youngstock","Bezerra/recria","Novilha"))))</f>
        <v>Vaca em lactação</v>
      </c>
      <c r="X1127" s="0" t="str">
        <f aca="false">IF(AND(B1127&gt;=1,B1127&lt;=6),"Tanque",IF(B1127=10,"Descarte",""))</f>
        <v>Tanque</v>
      </c>
    </row>
    <row r="1128" customFormat="false" ht="15" hidden="false" customHeight="false" outlineLevel="0" collapsed="false">
      <c r="A1128" s="22" t="n">
        <v>46309</v>
      </c>
      <c r="B1128" s="0" t="n">
        <v>5</v>
      </c>
      <c r="C1128" s="0" t="n">
        <v>3208</v>
      </c>
      <c r="D1128" s="0" t="n">
        <v>236</v>
      </c>
      <c r="E1128" s="0" t="n">
        <v>4</v>
      </c>
      <c r="F1128" s="23" t="s">
        <v>256</v>
      </c>
      <c r="G1128" s="0" t="n">
        <v>31.9</v>
      </c>
      <c r="H1128" s="0" t="n">
        <v>31</v>
      </c>
      <c r="I1128" s="23" t="s">
        <v>109</v>
      </c>
      <c r="J1128" s="0" t="n">
        <v>236</v>
      </c>
      <c r="K1128" s="0" t="n">
        <v>83</v>
      </c>
      <c r="M1128" s="0" t="n">
        <v>53.99</v>
      </c>
      <c r="N1128" s="0" t="n">
        <v>56.05</v>
      </c>
      <c r="O1128" s="0" t="n">
        <v>13.98</v>
      </c>
      <c r="P1128" s="0" t="n">
        <v>4.92</v>
      </c>
      <c r="Q1128" s="0" t="n">
        <v>3.85</v>
      </c>
      <c r="R1128" s="0" t="n">
        <v>3753</v>
      </c>
      <c r="S1128" s="0" t="n">
        <v>7577</v>
      </c>
      <c r="T1128" s="0" t="n">
        <v>43.5</v>
      </c>
      <c r="U1128" s="0" t="n">
        <v>2133</v>
      </c>
      <c r="V1128" s="0" t="n">
        <v>4</v>
      </c>
      <c r="W1128" s="0" t="str">
        <f aca="false">IF(OR(AND(B1128&gt;=1,B1128&lt;=6),B1128=10),"Vaca em lactação",IF(I1128="Male","Macho",IF(E1128&gt;=1,"Vaca seca",IF(I1128="Youngstock","Bezerra/recria","Novilha"))))</f>
        <v>Vaca em lactação</v>
      </c>
      <c r="X1128" s="0" t="str">
        <f aca="false">IF(AND(B1128&gt;=1,B1128&lt;=6),"Tanque",IF(B1128=10,"Descarte",""))</f>
        <v>Tanque</v>
      </c>
    </row>
    <row r="1129" customFormat="false" ht="15" hidden="false" customHeight="false" outlineLevel="0" collapsed="false">
      <c r="A1129" s="22" t="n">
        <v>46309</v>
      </c>
      <c r="B1129" s="0" t="n">
        <v>5</v>
      </c>
      <c r="C1129" s="0" t="n">
        <v>3210</v>
      </c>
      <c r="D1129" s="0" t="n">
        <v>172</v>
      </c>
      <c r="E1129" s="0" t="n">
        <v>4</v>
      </c>
      <c r="F1129" s="23" t="s">
        <v>747</v>
      </c>
      <c r="G1129" s="0" t="n">
        <v>54.4</v>
      </c>
      <c r="H1129" s="0" t="n">
        <v>48</v>
      </c>
      <c r="I1129" s="23" t="s">
        <v>97</v>
      </c>
      <c r="J1129" s="0" t="n">
        <v>172</v>
      </c>
      <c r="K1129" s="0" t="n">
        <v>67</v>
      </c>
      <c r="M1129" s="0" t="n">
        <v>768.21</v>
      </c>
      <c r="N1129" s="0" t="n">
        <v>4.95</v>
      </c>
      <c r="O1129" s="0" t="n">
        <v>12.24</v>
      </c>
      <c r="P1129" s="0" t="n">
        <v>2.99</v>
      </c>
      <c r="Q1129" s="0" t="n">
        <v>2.76</v>
      </c>
      <c r="R1129" s="0" t="n">
        <v>6024</v>
      </c>
      <c r="S1129" s="0" t="n">
        <v>11392</v>
      </c>
      <c r="T1129" s="0" t="n">
        <v>68.9</v>
      </c>
      <c r="U1129" s="0" t="n">
        <v>2134</v>
      </c>
      <c r="V1129" s="0" t="n">
        <v>3</v>
      </c>
      <c r="W1129" s="0" t="str">
        <f aca="false">IF(OR(AND(B1129&gt;=1,B1129&lt;=6),B1129=10),"Vaca em lactação",IF(I1129="Male","Macho",IF(E1129&gt;=1,"Vaca seca",IF(I1129="Youngstock","Bezerra/recria","Novilha"))))</f>
        <v>Vaca em lactação</v>
      </c>
      <c r="X1129" s="0" t="str">
        <f aca="false">IF(AND(B1129&gt;=1,B1129&lt;=6),"Tanque",IF(B1129=10,"Descarte",""))</f>
        <v>Tanque</v>
      </c>
    </row>
    <row r="1130" customFormat="false" ht="15" hidden="false" customHeight="false" outlineLevel="0" collapsed="false">
      <c r="A1130" s="22" t="n">
        <v>46309</v>
      </c>
      <c r="B1130" s="0" t="n">
        <v>5</v>
      </c>
      <c r="C1130" s="0" t="n">
        <v>3226</v>
      </c>
      <c r="D1130" s="0" t="n">
        <v>54</v>
      </c>
      <c r="E1130" s="0" t="n">
        <v>5</v>
      </c>
      <c r="F1130" s="23" t="s">
        <v>748</v>
      </c>
      <c r="G1130" s="0" t="n">
        <v>41.7</v>
      </c>
      <c r="H1130" s="0" t="n">
        <v>42</v>
      </c>
      <c r="I1130" s="23" t="s">
        <v>94</v>
      </c>
      <c r="J1130" s="0" t="n">
        <v>54</v>
      </c>
      <c r="M1130" s="0" t="n">
        <v>1156.85</v>
      </c>
      <c r="N1130" s="0" t="n">
        <v>11.42</v>
      </c>
      <c r="O1130" s="0" t="n">
        <v>27.06</v>
      </c>
      <c r="P1130" s="0" t="n">
        <v>3.3</v>
      </c>
      <c r="Q1130" s="0" t="n">
        <v>3.56</v>
      </c>
      <c r="R1130" s="0" t="n">
        <v>2792</v>
      </c>
      <c r="S1130" s="0" t="n">
        <v>5613</v>
      </c>
      <c r="U1130" s="0" t="n">
        <v>2126</v>
      </c>
      <c r="V1130" s="0" t="n">
        <v>0</v>
      </c>
      <c r="W1130" s="0" t="str">
        <f aca="false">IF(OR(AND(B1130&gt;=1,B1130&lt;=6),B1130=10),"Vaca em lactação",IF(I1130="Male","Macho",IF(E1130&gt;=1,"Vaca seca",IF(I1130="Youngstock","Bezerra/recria","Novilha"))))</f>
        <v>Vaca em lactação</v>
      </c>
      <c r="X1130" s="0" t="str">
        <f aca="false">IF(AND(B1130&gt;=1,B1130&lt;=6),"Tanque",IF(B1130=10,"Descarte",""))</f>
        <v>Tanque</v>
      </c>
    </row>
    <row r="1131" customFormat="false" ht="15" hidden="false" customHeight="false" outlineLevel="0" collapsed="false">
      <c r="A1131" s="22" t="n">
        <v>46309</v>
      </c>
      <c r="B1131" s="0" t="n">
        <v>5</v>
      </c>
      <c r="C1131" s="0" t="n">
        <v>3190</v>
      </c>
      <c r="D1131" s="0" t="n">
        <v>274</v>
      </c>
      <c r="E1131" s="0" t="n">
        <v>4</v>
      </c>
      <c r="F1131" s="23" t="s">
        <v>749</v>
      </c>
      <c r="G1131" s="0" t="n">
        <v>32.3</v>
      </c>
      <c r="H1131" s="0" t="n">
        <v>36</v>
      </c>
      <c r="I1131" s="23" t="s">
        <v>92</v>
      </c>
      <c r="J1131" s="0" t="n">
        <v>99</v>
      </c>
      <c r="K1131" s="0" t="n">
        <v>71</v>
      </c>
      <c r="L1131" s="0" t="n">
        <v>175</v>
      </c>
      <c r="M1131" s="0" t="n">
        <v>938.78</v>
      </c>
      <c r="N1131" s="0" t="n">
        <v>30.68</v>
      </c>
      <c r="O1131" s="0" t="n">
        <v>39.87</v>
      </c>
      <c r="P1131" s="0" t="n">
        <v>3.31</v>
      </c>
      <c r="Q1131" s="0" t="n">
        <v>3.5</v>
      </c>
      <c r="R1131" s="0" t="n">
        <v>4679</v>
      </c>
      <c r="S1131" s="0" t="n">
        <v>9933</v>
      </c>
      <c r="T1131" s="0" t="n">
        <v>48.5</v>
      </c>
      <c r="U1131" s="0" t="n">
        <v>2147</v>
      </c>
      <c r="V1131" s="0" t="n">
        <v>2</v>
      </c>
      <c r="W1131" s="0" t="str">
        <f aca="false">IF(OR(AND(B1131&gt;=1,B1131&lt;=6),B1131=10),"Vaca em lactação",IF(I1131="Male","Macho",IF(E1131&gt;=1,"Vaca seca",IF(I1131="Youngstock","Bezerra/recria","Novilha"))))</f>
        <v>Vaca em lactação</v>
      </c>
      <c r="X1131" s="0" t="str">
        <f aca="false">IF(AND(B1131&gt;=1,B1131&lt;=6),"Tanque",IF(B1131=10,"Descarte",""))</f>
        <v>Tanque</v>
      </c>
    </row>
    <row r="1132" customFormat="false" ht="15" hidden="false" customHeight="false" outlineLevel="0" collapsed="false">
      <c r="A1132" s="22" t="n">
        <v>46309</v>
      </c>
      <c r="B1132" s="0" t="n">
        <v>5</v>
      </c>
      <c r="C1132" s="0" t="n">
        <v>3199</v>
      </c>
      <c r="D1132" s="0" t="n">
        <v>147</v>
      </c>
      <c r="E1132" s="0" t="n">
        <v>4</v>
      </c>
      <c r="F1132" s="23" t="s">
        <v>750</v>
      </c>
      <c r="G1132" s="0" t="n">
        <v>39.8</v>
      </c>
      <c r="H1132" s="0" t="n">
        <v>38</v>
      </c>
      <c r="I1132" s="23" t="s">
        <v>92</v>
      </c>
      <c r="J1132" s="0" t="n">
        <v>63</v>
      </c>
      <c r="K1132" s="0" t="n">
        <v>63</v>
      </c>
      <c r="L1132" s="0" t="n">
        <v>84</v>
      </c>
      <c r="M1132" s="0" t="n">
        <v>244.25</v>
      </c>
      <c r="N1132" s="0" t="n">
        <v>56.43</v>
      </c>
      <c r="O1132" s="0" t="n">
        <v>11.75</v>
      </c>
      <c r="P1132" s="0" t="n">
        <v>4.54</v>
      </c>
      <c r="Q1132" s="0" t="n">
        <v>3.1</v>
      </c>
      <c r="R1132" s="0" t="n">
        <v>4322</v>
      </c>
      <c r="S1132" s="0" t="n">
        <v>8661</v>
      </c>
      <c r="T1132" s="0" t="n">
        <v>49.45</v>
      </c>
      <c r="U1132" s="0" t="n">
        <v>2142</v>
      </c>
      <c r="V1132" s="0" t="n">
        <v>1</v>
      </c>
      <c r="W1132" s="0" t="str">
        <f aca="false">IF(OR(AND(B1132&gt;=1,B1132&lt;=6),B1132=10),"Vaca em lactação",IF(I1132="Male","Macho",IF(E1132&gt;=1,"Vaca seca",IF(I1132="Youngstock","Bezerra/recria","Novilha"))))</f>
        <v>Vaca em lactação</v>
      </c>
      <c r="X1132" s="0" t="str">
        <f aca="false">IF(AND(B1132&gt;=1,B1132&lt;=6),"Tanque",IF(B1132=10,"Descarte",""))</f>
        <v>Tanque</v>
      </c>
    </row>
    <row r="1133" customFormat="false" ht="15" hidden="false" customHeight="false" outlineLevel="0" collapsed="false">
      <c r="A1133" s="22" t="n">
        <v>46309</v>
      </c>
      <c r="B1133" s="0" t="n">
        <v>5</v>
      </c>
      <c r="C1133" s="0" t="n">
        <v>3193</v>
      </c>
      <c r="D1133" s="0" t="n">
        <v>292</v>
      </c>
      <c r="E1133" s="0" t="n">
        <v>4</v>
      </c>
      <c r="F1133" s="23" t="s">
        <v>751</v>
      </c>
      <c r="G1133" s="0" t="n">
        <v>43.2</v>
      </c>
      <c r="H1133" s="0" t="n">
        <v>42</v>
      </c>
      <c r="I1133" s="23" t="s">
        <v>97</v>
      </c>
      <c r="J1133" s="0" t="n">
        <v>292</v>
      </c>
      <c r="K1133" s="0" t="n">
        <v>68</v>
      </c>
      <c r="M1133" s="0" t="n">
        <v>1323.02</v>
      </c>
      <c r="N1133" s="0" t="n">
        <v>12.16</v>
      </c>
      <c r="O1133" s="0" t="n">
        <v>31.64</v>
      </c>
      <c r="P1133" s="0" t="n">
        <v>4.13</v>
      </c>
      <c r="Q1133" s="0" t="n">
        <v>3.6</v>
      </c>
      <c r="R1133" s="0" t="n">
        <v>6088</v>
      </c>
      <c r="S1133" s="0" t="n">
        <v>11056</v>
      </c>
      <c r="T1133" s="0" t="n">
        <v>64.7</v>
      </c>
      <c r="U1133" s="0" t="n">
        <v>2145</v>
      </c>
      <c r="V1133" s="0" t="n">
        <v>7</v>
      </c>
      <c r="W1133" s="0" t="str">
        <f aca="false">IF(OR(AND(B1133&gt;=1,B1133&lt;=6),B1133=10),"Vaca em lactação",IF(I1133="Male","Macho",IF(E1133&gt;=1,"Vaca seca",IF(I1133="Youngstock","Bezerra/recria","Novilha"))))</f>
        <v>Vaca em lactação</v>
      </c>
      <c r="X1133" s="0" t="str">
        <f aca="false">IF(AND(B1133&gt;=1,B1133&lt;=6),"Tanque",IF(B1133=10,"Descarte",""))</f>
        <v>Tanque</v>
      </c>
    </row>
    <row r="1134" customFormat="false" ht="15" hidden="false" customHeight="false" outlineLevel="0" collapsed="false">
      <c r="A1134" s="22" t="n">
        <v>46309</v>
      </c>
      <c r="B1134" s="0" t="n">
        <v>5</v>
      </c>
      <c r="C1134" s="0" t="n">
        <v>2988</v>
      </c>
      <c r="D1134" s="0" t="n">
        <v>250</v>
      </c>
      <c r="E1134" s="0" t="n">
        <v>4</v>
      </c>
      <c r="F1134" s="23" t="s">
        <v>752</v>
      </c>
      <c r="G1134" s="0" t="n">
        <v>50.9</v>
      </c>
      <c r="H1134" s="0" t="n">
        <v>50</v>
      </c>
      <c r="I1134" s="23" t="s">
        <v>506</v>
      </c>
      <c r="J1134" s="0" t="n">
        <v>250</v>
      </c>
      <c r="K1134" s="0" t="n">
        <v>89</v>
      </c>
      <c r="P1134" s="0" t="n">
        <v>2.86</v>
      </c>
      <c r="Q1134" s="0" t="n">
        <v>2.95</v>
      </c>
      <c r="R1134" s="0" t="n">
        <v>5585</v>
      </c>
      <c r="S1134" s="0" t="n">
        <v>10898</v>
      </c>
      <c r="T1134" s="0" t="n">
        <v>69.35</v>
      </c>
      <c r="U1134" s="0" t="n">
        <v>2277</v>
      </c>
      <c r="V1134" s="0" t="n">
        <v>3</v>
      </c>
      <c r="W1134" s="0" t="str">
        <f aca="false">IF(OR(AND(B1134&gt;=1,B1134&lt;=6),B1134=10),"Vaca em lactação",IF(I1134="Male","Macho",IF(E1134&gt;=1,"Vaca seca",IF(I1134="Youngstock","Bezerra/recria","Novilha"))))</f>
        <v>Vaca em lactação</v>
      </c>
      <c r="X1134" s="0" t="str">
        <f aca="false">IF(AND(B1134&gt;=1,B1134&lt;=6),"Tanque",IF(B1134=10,"Descarte",""))</f>
        <v>Tanque</v>
      </c>
    </row>
    <row r="1135" customFormat="false" ht="15" hidden="false" customHeight="false" outlineLevel="0" collapsed="false">
      <c r="A1135" s="22" t="n">
        <v>46309</v>
      </c>
      <c r="B1135" s="0" t="n">
        <v>5</v>
      </c>
      <c r="C1135" s="0" t="n">
        <v>3025</v>
      </c>
      <c r="D1135" s="0" t="n">
        <v>407</v>
      </c>
      <c r="E1135" s="0" t="n">
        <v>3</v>
      </c>
      <c r="F1135" s="23" t="s">
        <v>753</v>
      </c>
      <c r="G1135" s="0" t="n">
        <v>32.1</v>
      </c>
      <c r="H1135" s="0" t="n">
        <v>27</v>
      </c>
      <c r="I1135" s="23" t="s">
        <v>97</v>
      </c>
      <c r="J1135" s="0" t="n">
        <v>407</v>
      </c>
      <c r="K1135" s="0" t="n">
        <v>64</v>
      </c>
      <c r="M1135" s="0" t="n">
        <v>1069.94</v>
      </c>
      <c r="N1135" s="0" t="n">
        <v>7.2</v>
      </c>
      <c r="O1135" s="0" t="n">
        <v>19.91</v>
      </c>
      <c r="P1135" s="0" t="n">
        <v>3.91</v>
      </c>
      <c r="Q1135" s="0" t="n">
        <v>3.45</v>
      </c>
      <c r="R1135" s="0" t="n">
        <v>6310</v>
      </c>
      <c r="S1135" s="0" t="n">
        <v>9797</v>
      </c>
      <c r="T1135" s="0" t="n">
        <v>74.6</v>
      </c>
      <c r="U1135" s="0" t="n">
        <v>2245</v>
      </c>
      <c r="V1135" s="0" t="n">
        <v>7</v>
      </c>
      <c r="W1135" s="0" t="str">
        <f aca="false">IF(OR(AND(B1135&gt;=1,B1135&lt;=6),B1135=10),"Vaca em lactação",IF(I1135="Male","Macho",IF(E1135&gt;=1,"Vaca seca",IF(I1135="Youngstock","Bezerra/recria","Novilha"))))</f>
        <v>Vaca em lactação</v>
      </c>
      <c r="X1135" s="0" t="str">
        <f aca="false">IF(AND(B1135&gt;=1,B1135&lt;=6),"Tanque",IF(B1135=10,"Descarte",""))</f>
        <v>Tanque</v>
      </c>
    </row>
    <row r="1136" customFormat="false" ht="15" hidden="false" customHeight="false" outlineLevel="0" collapsed="false">
      <c r="A1136" s="22" t="n">
        <v>46309</v>
      </c>
      <c r="B1136" s="0" t="n">
        <v>5</v>
      </c>
      <c r="C1136" s="0" t="n">
        <v>3072</v>
      </c>
      <c r="D1136" s="0" t="n">
        <v>544</v>
      </c>
      <c r="E1136" s="0" t="n">
        <v>3</v>
      </c>
      <c r="F1136" s="23" t="s">
        <v>754</v>
      </c>
      <c r="G1136" s="0" t="n">
        <v>33.8</v>
      </c>
      <c r="H1136" s="0" t="n">
        <v>28</v>
      </c>
      <c r="I1136" s="23" t="s">
        <v>97</v>
      </c>
      <c r="J1136" s="0" t="n">
        <v>544</v>
      </c>
      <c r="K1136" s="0" t="n">
        <v>61</v>
      </c>
      <c r="M1136" s="0" t="n">
        <v>383.53</v>
      </c>
      <c r="N1136" s="0" t="n">
        <v>36.94</v>
      </c>
      <c r="O1136" s="0" t="n">
        <v>31.55</v>
      </c>
      <c r="P1136" s="0" t="n">
        <v>4.39</v>
      </c>
      <c r="Q1136" s="0" t="n">
        <v>4.01</v>
      </c>
      <c r="R1136" s="0" t="n">
        <v>6458</v>
      </c>
      <c r="S1136" s="0" t="n">
        <v>11988</v>
      </c>
      <c r="T1136" s="0" t="n">
        <v>68.95</v>
      </c>
      <c r="U1136" s="0" t="n">
        <v>2211</v>
      </c>
      <c r="V1136" s="0" t="n">
        <v>10</v>
      </c>
      <c r="W1136" s="0" t="str">
        <f aca="false">IF(OR(AND(B1136&gt;=1,B1136&lt;=6),B1136=10),"Vaca em lactação",IF(I1136="Male","Macho",IF(E1136&gt;=1,"Vaca seca",IF(I1136="Youngstock","Bezerra/recria","Novilha"))))</f>
        <v>Vaca em lactação</v>
      </c>
      <c r="X1136" s="0" t="str">
        <f aca="false">IF(AND(B1136&gt;=1,B1136&lt;=6),"Tanque",IF(B1136=10,"Descarte",""))</f>
        <v>Tanque</v>
      </c>
    </row>
    <row r="1137" customFormat="false" ht="15" hidden="false" customHeight="false" outlineLevel="0" collapsed="false">
      <c r="A1137" s="22" t="n">
        <v>46309</v>
      </c>
      <c r="B1137" s="0" t="n">
        <v>5</v>
      </c>
      <c r="C1137" s="0" t="n">
        <v>3437</v>
      </c>
      <c r="D1137" s="0" t="n">
        <v>390</v>
      </c>
      <c r="E1137" s="0" t="n">
        <v>3</v>
      </c>
      <c r="F1137" s="23" t="s">
        <v>755</v>
      </c>
      <c r="G1137" s="0" t="n">
        <v>44.5</v>
      </c>
      <c r="H1137" s="0" t="n">
        <v>41</v>
      </c>
      <c r="I1137" s="23" t="s">
        <v>92</v>
      </c>
      <c r="J1137" s="0" t="n">
        <v>341</v>
      </c>
      <c r="K1137" s="0" t="n">
        <v>68</v>
      </c>
      <c r="L1137" s="0" t="n">
        <v>49</v>
      </c>
      <c r="M1137" s="0" t="n">
        <v>473.48</v>
      </c>
      <c r="N1137" s="0" t="n">
        <v>35.86</v>
      </c>
      <c r="O1137" s="0" t="n">
        <v>25.35</v>
      </c>
      <c r="P1137" s="0" t="n">
        <v>4.62</v>
      </c>
      <c r="Q1137" s="0" t="n">
        <v>4.16</v>
      </c>
      <c r="R1137" s="0" t="n">
        <v>4946</v>
      </c>
      <c r="S1137" s="0" t="n">
        <v>9789</v>
      </c>
      <c r="T1137" s="0" t="n">
        <v>56</v>
      </c>
      <c r="U1137" s="0" t="n">
        <v>1983</v>
      </c>
      <c r="V1137" s="0" t="n">
        <v>7</v>
      </c>
      <c r="W1137" s="0" t="str">
        <f aca="false">IF(OR(AND(B1137&gt;=1,B1137&lt;=6),B1137=10),"Vaca em lactação",IF(I1137="Male","Macho",IF(E1137&gt;=1,"Vaca seca",IF(I1137="Youngstock","Bezerra/recria","Novilha"))))</f>
        <v>Vaca em lactação</v>
      </c>
      <c r="X1137" s="0" t="str">
        <f aca="false">IF(AND(B1137&gt;=1,B1137&lt;=6),"Tanque",IF(B1137=10,"Descarte",""))</f>
        <v>Tanque</v>
      </c>
    </row>
    <row r="1138" customFormat="false" ht="15" hidden="false" customHeight="false" outlineLevel="0" collapsed="false">
      <c r="A1138" s="22" t="n">
        <v>46309</v>
      </c>
      <c r="B1138" s="0" t="n">
        <v>5</v>
      </c>
      <c r="C1138" s="0" t="n">
        <v>3421</v>
      </c>
      <c r="D1138" s="0" t="n">
        <v>219</v>
      </c>
      <c r="E1138" s="0" t="n">
        <v>4</v>
      </c>
      <c r="F1138" s="23" t="s">
        <v>444</v>
      </c>
      <c r="G1138" s="0" t="n">
        <v>38.3</v>
      </c>
      <c r="H1138" s="0" t="n">
        <v>36</v>
      </c>
      <c r="I1138" s="23" t="s">
        <v>92</v>
      </c>
      <c r="J1138" s="0" t="n">
        <v>163</v>
      </c>
      <c r="K1138" s="0" t="n">
        <v>65</v>
      </c>
      <c r="L1138" s="0" t="n">
        <v>56</v>
      </c>
      <c r="M1138" s="0" t="n">
        <v>350.78</v>
      </c>
      <c r="N1138" s="0" t="n">
        <v>15.42</v>
      </c>
      <c r="O1138" s="0" t="n">
        <v>23.27</v>
      </c>
      <c r="P1138" s="0" t="n">
        <v>4.21</v>
      </c>
      <c r="Q1138" s="0" t="n">
        <v>3.58</v>
      </c>
      <c r="R1138" s="0" t="n">
        <v>4634</v>
      </c>
      <c r="S1138" s="0" t="n">
        <v>9310</v>
      </c>
      <c r="T1138" s="0" t="n">
        <v>49.1</v>
      </c>
      <c r="U1138" s="0" t="n">
        <v>1997</v>
      </c>
      <c r="V1138" s="0" t="n">
        <v>3</v>
      </c>
      <c r="W1138" s="0" t="str">
        <f aca="false">IF(OR(AND(B1138&gt;=1,B1138&lt;=6),B1138=10),"Vaca em lactação",IF(I1138="Male","Macho",IF(E1138&gt;=1,"Vaca seca",IF(I1138="Youngstock","Bezerra/recria","Novilha"))))</f>
        <v>Vaca em lactação</v>
      </c>
      <c r="X1138" s="0" t="str">
        <f aca="false">IF(AND(B1138&gt;=1,B1138&lt;=6),"Tanque",IF(B1138=10,"Descarte",""))</f>
        <v>Tanque</v>
      </c>
    </row>
    <row r="1139" customFormat="false" ht="15" hidden="false" customHeight="false" outlineLevel="0" collapsed="false">
      <c r="A1139" s="22" t="n">
        <v>46309</v>
      </c>
      <c r="B1139" s="0" t="n">
        <v>5</v>
      </c>
      <c r="C1139" s="0" t="n">
        <v>3417</v>
      </c>
      <c r="D1139" s="0" t="n">
        <v>419</v>
      </c>
      <c r="E1139" s="0" t="n">
        <v>4</v>
      </c>
      <c r="F1139" s="23" t="s">
        <v>756</v>
      </c>
      <c r="G1139" s="0" t="n">
        <v>32.8</v>
      </c>
      <c r="H1139" s="0" t="n">
        <v>33</v>
      </c>
      <c r="I1139" s="23" t="s">
        <v>92</v>
      </c>
      <c r="J1139" s="0" t="n">
        <v>272</v>
      </c>
      <c r="K1139" s="0" t="n">
        <v>69</v>
      </c>
      <c r="L1139" s="0" t="n">
        <v>147</v>
      </c>
      <c r="M1139" s="0" t="n">
        <v>616.74</v>
      </c>
      <c r="N1139" s="0" t="n">
        <v>26.68</v>
      </c>
      <c r="O1139" s="0" t="n">
        <v>18.04</v>
      </c>
      <c r="P1139" s="0" t="n">
        <v>4.59</v>
      </c>
      <c r="Q1139" s="0" t="n">
        <v>3.81</v>
      </c>
      <c r="R1139" s="0" t="n">
        <v>4178</v>
      </c>
      <c r="S1139" s="0" t="n">
        <v>8981</v>
      </c>
      <c r="T1139" s="0" t="n">
        <v>48.6</v>
      </c>
      <c r="U1139" s="0" t="n">
        <v>1998</v>
      </c>
      <c r="V1139" s="0" t="n">
        <v>4</v>
      </c>
      <c r="W1139" s="0" t="str">
        <f aca="false">IF(OR(AND(B1139&gt;=1,B1139&lt;=6),B1139=10),"Vaca em lactação",IF(I1139="Male","Macho",IF(E1139&gt;=1,"Vaca seca",IF(I1139="Youngstock","Bezerra/recria","Novilha"))))</f>
        <v>Vaca em lactação</v>
      </c>
      <c r="X1139" s="0" t="str">
        <f aca="false">IF(AND(B1139&gt;=1,B1139&lt;=6),"Tanque",IF(B1139=10,"Descarte",""))</f>
        <v>Tanque</v>
      </c>
    </row>
    <row r="1140" customFormat="false" ht="15" hidden="false" customHeight="false" outlineLevel="0" collapsed="false">
      <c r="A1140" s="22" t="n">
        <v>46309</v>
      </c>
      <c r="B1140" s="0" t="n">
        <v>5</v>
      </c>
      <c r="C1140" s="0" t="n">
        <v>3427</v>
      </c>
      <c r="D1140" s="0" t="n">
        <v>329</v>
      </c>
      <c r="E1140" s="0" t="n">
        <v>4</v>
      </c>
      <c r="F1140" s="23" t="s">
        <v>757</v>
      </c>
      <c r="G1140" s="0" t="n">
        <v>33</v>
      </c>
      <c r="H1140" s="0" t="n">
        <v>31</v>
      </c>
      <c r="I1140" s="23" t="s">
        <v>92</v>
      </c>
      <c r="J1140" s="0" t="n">
        <v>252</v>
      </c>
      <c r="K1140" s="0" t="n">
        <v>70</v>
      </c>
      <c r="L1140" s="0" t="n">
        <v>77</v>
      </c>
      <c r="M1140" s="0" t="n">
        <v>133.17</v>
      </c>
      <c r="N1140" s="0" t="n">
        <v>11.32</v>
      </c>
      <c r="O1140" s="0" t="n">
        <v>10.14</v>
      </c>
      <c r="P1140" s="0" t="n">
        <v>3.52</v>
      </c>
      <c r="Q1140" s="0" t="n">
        <v>3.96</v>
      </c>
      <c r="R1140" s="0" t="n">
        <v>5491</v>
      </c>
      <c r="S1140" s="0" t="n">
        <v>10309</v>
      </c>
      <c r="T1140" s="0" t="n">
        <v>52.75</v>
      </c>
      <c r="U1140" s="0" t="n">
        <v>1993</v>
      </c>
      <c r="V1140" s="0" t="n">
        <v>6</v>
      </c>
      <c r="W1140" s="0" t="str">
        <f aca="false">IF(OR(AND(B1140&gt;=1,B1140&lt;=6),B1140=10),"Vaca em lactação",IF(I1140="Male","Macho",IF(E1140&gt;=1,"Vaca seca",IF(I1140="Youngstock","Bezerra/recria","Novilha"))))</f>
        <v>Vaca em lactação</v>
      </c>
      <c r="X1140" s="0" t="str">
        <f aca="false">IF(AND(B1140&gt;=1,B1140&lt;=6),"Tanque",IF(B1140=10,"Descarte",""))</f>
        <v>Tanque</v>
      </c>
    </row>
    <row r="1141" customFormat="false" ht="15" hidden="false" customHeight="false" outlineLevel="0" collapsed="false">
      <c r="A1141" s="22" t="n">
        <v>46309</v>
      </c>
      <c r="B1141" s="0" t="n">
        <v>5</v>
      </c>
      <c r="C1141" s="0" t="n">
        <v>3513</v>
      </c>
      <c r="D1141" s="0" t="n">
        <v>315</v>
      </c>
      <c r="E1141" s="0" t="n">
        <v>3</v>
      </c>
      <c r="F1141" s="23" t="s">
        <v>758</v>
      </c>
      <c r="G1141" s="0" t="n">
        <v>46.5</v>
      </c>
      <c r="H1141" s="0" t="n">
        <v>46</v>
      </c>
      <c r="I1141" s="23" t="s">
        <v>92</v>
      </c>
      <c r="J1141" s="0" t="n">
        <v>98</v>
      </c>
      <c r="K1141" s="0" t="n">
        <v>63</v>
      </c>
      <c r="L1141" s="0" t="n">
        <v>217</v>
      </c>
      <c r="M1141" s="0" t="n">
        <v>599.38</v>
      </c>
      <c r="N1141" s="0" t="n">
        <v>31.82</v>
      </c>
      <c r="O1141" s="0" t="n">
        <v>29.97</v>
      </c>
      <c r="P1141" s="0" t="n">
        <v>4.03</v>
      </c>
      <c r="Q1141" s="0" t="n">
        <v>3.63</v>
      </c>
      <c r="R1141" s="0" t="n">
        <v>5530</v>
      </c>
      <c r="S1141" s="0" t="n">
        <v>10993</v>
      </c>
      <c r="T1141" s="0" t="n">
        <v>58.7</v>
      </c>
      <c r="U1141" s="0" t="n">
        <v>1921</v>
      </c>
      <c r="V1141" s="0" t="n">
        <v>2</v>
      </c>
      <c r="W1141" s="0" t="str">
        <f aca="false">IF(OR(AND(B1141&gt;=1,B1141&lt;=6),B1141=10),"Vaca em lactação",IF(I1141="Male","Macho",IF(E1141&gt;=1,"Vaca seca",IF(I1141="Youngstock","Bezerra/recria","Novilha"))))</f>
        <v>Vaca em lactação</v>
      </c>
      <c r="X1141" s="0" t="str">
        <f aca="false">IF(AND(B1141&gt;=1,B1141&lt;=6),"Tanque",IF(B1141=10,"Descarte",""))</f>
        <v>Tanque</v>
      </c>
    </row>
    <row r="1142" customFormat="false" ht="15" hidden="false" customHeight="false" outlineLevel="0" collapsed="false">
      <c r="A1142" s="22" t="n">
        <v>46309</v>
      </c>
      <c r="B1142" s="0" t="n">
        <v>5</v>
      </c>
      <c r="C1142" s="0" t="n">
        <v>3510</v>
      </c>
      <c r="D1142" s="0" t="n">
        <v>56</v>
      </c>
      <c r="E1142" s="0" t="n">
        <v>4</v>
      </c>
      <c r="F1142" s="23" t="s">
        <v>446</v>
      </c>
      <c r="G1142" s="0" t="n">
        <v>46.6</v>
      </c>
      <c r="H1142" s="0" t="n">
        <v>43</v>
      </c>
      <c r="I1142" s="23" t="s">
        <v>94</v>
      </c>
      <c r="J1142" s="0" t="n">
        <v>56</v>
      </c>
      <c r="M1142" s="0" t="n">
        <v>264.05</v>
      </c>
      <c r="N1142" s="0" t="n">
        <v>23.33</v>
      </c>
      <c r="O1142" s="0" t="n">
        <v>18.94</v>
      </c>
      <c r="P1142" s="0" t="n">
        <v>4.04</v>
      </c>
      <c r="Q1142" s="0" t="n">
        <v>3.55</v>
      </c>
      <c r="R1142" s="0" t="n">
        <v>3133</v>
      </c>
      <c r="S1142" s="0" t="n">
        <v>6297</v>
      </c>
      <c r="U1142" s="0" t="n">
        <v>1926</v>
      </c>
      <c r="V1142" s="0" t="n">
        <v>0</v>
      </c>
      <c r="W1142" s="0" t="str">
        <f aca="false">IF(OR(AND(B1142&gt;=1,B1142&lt;=6),B1142=10),"Vaca em lactação",IF(I1142="Male","Macho",IF(E1142&gt;=1,"Vaca seca",IF(I1142="Youngstock","Bezerra/recria","Novilha"))))</f>
        <v>Vaca em lactação</v>
      </c>
      <c r="X1142" s="0" t="str">
        <f aca="false">IF(AND(B1142&gt;=1,B1142&lt;=6),"Tanque",IF(B1142=10,"Descarte",""))</f>
        <v>Tanque</v>
      </c>
    </row>
    <row r="1143" customFormat="false" ht="15" hidden="false" customHeight="false" outlineLevel="0" collapsed="false">
      <c r="A1143" s="22" t="n">
        <v>46309</v>
      </c>
      <c r="B1143" s="0" t="n">
        <v>5</v>
      </c>
      <c r="C1143" s="0" t="n">
        <v>3528</v>
      </c>
      <c r="D1143" s="0" t="n">
        <v>192</v>
      </c>
      <c r="E1143" s="0" t="n">
        <v>3</v>
      </c>
      <c r="F1143" s="23" t="s">
        <v>759</v>
      </c>
      <c r="G1143" s="0" t="n">
        <v>38.4</v>
      </c>
      <c r="H1143" s="0" t="n">
        <v>37</v>
      </c>
      <c r="I1143" s="23" t="s">
        <v>92</v>
      </c>
      <c r="J1143" s="0" t="n">
        <v>108</v>
      </c>
      <c r="K1143" s="0" t="n">
        <v>66</v>
      </c>
      <c r="L1143" s="0" t="n">
        <v>84</v>
      </c>
      <c r="P1143" s="0" t="n">
        <v>3.95</v>
      </c>
      <c r="Q1143" s="0" t="n">
        <v>4.32</v>
      </c>
      <c r="R1143" s="0" t="n">
        <v>3463</v>
      </c>
      <c r="S1143" s="0" t="n">
        <v>7285</v>
      </c>
      <c r="T1143" s="0" t="n">
        <v>38.25</v>
      </c>
      <c r="U1143" s="0" t="n">
        <v>1914</v>
      </c>
      <c r="V1143" s="0" t="n">
        <v>2</v>
      </c>
      <c r="W1143" s="0" t="str">
        <f aca="false">IF(OR(AND(B1143&gt;=1,B1143&lt;=6),B1143=10),"Vaca em lactação",IF(I1143="Male","Macho",IF(E1143&gt;=1,"Vaca seca",IF(I1143="Youngstock","Bezerra/recria","Novilha"))))</f>
        <v>Vaca em lactação</v>
      </c>
      <c r="X1143" s="0" t="str">
        <f aca="false">IF(AND(B1143&gt;=1,B1143&lt;=6),"Tanque",IF(B1143=10,"Descarte",""))</f>
        <v>Tanque</v>
      </c>
    </row>
    <row r="1144" customFormat="false" ht="15" hidden="false" customHeight="false" outlineLevel="0" collapsed="false">
      <c r="A1144" s="22" t="n">
        <v>46309</v>
      </c>
      <c r="B1144" s="0" t="n">
        <v>5</v>
      </c>
      <c r="C1144" s="0" t="n">
        <v>3472</v>
      </c>
      <c r="D1144" s="0" t="n">
        <v>143</v>
      </c>
      <c r="E1144" s="0" t="n">
        <v>4</v>
      </c>
      <c r="F1144" s="23" t="s">
        <v>760</v>
      </c>
      <c r="G1144" s="0" t="n">
        <v>20.9</v>
      </c>
      <c r="H1144" s="0" t="n">
        <v>25</v>
      </c>
      <c r="I1144" s="23" t="s">
        <v>506</v>
      </c>
      <c r="J1144" s="0" t="n">
        <v>143</v>
      </c>
      <c r="K1144" s="0" t="n">
        <v>66</v>
      </c>
      <c r="M1144" s="0" t="n">
        <v>418.6</v>
      </c>
      <c r="N1144" s="0" t="n">
        <v>46.6</v>
      </c>
      <c r="O1144" s="0" t="n">
        <v>25.89</v>
      </c>
      <c r="P1144" s="0" t="n">
        <v>3.45</v>
      </c>
      <c r="Q1144" s="0" t="n">
        <v>4.01</v>
      </c>
      <c r="R1144" s="0" t="n">
        <v>3929</v>
      </c>
      <c r="S1144" s="0" t="n">
        <v>7207</v>
      </c>
      <c r="T1144" s="0" t="n">
        <v>39.1</v>
      </c>
      <c r="U1144" s="0" t="n">
        <v>1950</v>
      </c>
      <c r="V1144" s="0" t="n">
        <v>2</v>
      </c>
      <c r="W1144" s="0" t="str">
        <f aca="false">IF(OR(AND(B1144&gt;=1,B1144&lt;=6),B1144=10),"Vaca em lactação",IF(I1144="Male","Macho",IF(E1144&gt;=1,"Vaca seca",IF(I1144="Youngstock","Bezerra/recria","Novilha"))))</f>
        <v>Vaca em lactação</v>
      </c>
      <c r="X1144" s="0" t="str">
        <f aca="false">IF(AND(B1144&gt;=1,B1144&lt;=6),"Tanque",IF(B1144=10,"Descarte",""))</f>
        <v>Tanque</v>
      </c>
    </row>
    <row r="1145" customFormat="false" ht="15" hidden="false" customHeight="false" outlineLevel="0" collapsed="false">
      <c r="A1145" s="22" t="n">
        <v>46309</v>
      </c>
      <c r="B1145" s="0" t="n">
        <v>5</v>
      </c>
      <c r="C1145" s="0" t="n">
        <v>3486</v>
      </c>
      <c r="D1145" s="0" t="n">
        <v>541</v>
      </c>
      <c r="E1145" s="0" t="n">
        <v>3</v>
      </c>
      <c r="F1145" s="23" t="s">
        <v>761</v>
      </c>
      <c r="G1145" s="0" t="n">
        <v>26.6</v>
      </c>
      <c r="H1145" s="0" t="n">
        <v>26</v>
      </c>
      <c r="I1145" s="23" t="s">
        <v>97</v>
      </c>
      <c r="J1145" s="0" t="n">
        <v>541</v>
      </c>
      <c r="K1145" s="0" t="n">
        <v>65</v>
      </c>
      <c r="M1145" s="0" t="n">
        <v>851.06</v>
      </c>
      <c r="N1145" s="0" t="n">
        <v>29.89</v>
      </c>
      <c r="O1145" s="0" t="n">
        <v>19.52</v>
      </c>
      <c r="P1145" s="0" t="n">
        <v>4.19</v>
      </c>
      <c r="Q1145" s="0" t="n">
        <v>3.65</v>
      </c>
      <c r="R1145" s="0" t="n">
        <v>5656</v>
      </c>
      <c r="S1145" s="0" t="n">
        <v>11989</v>
      </c>
      <c r="T1145" s="0" t="n">
        <v>68.65</v>
      </c>
      <c r="U1145" s="0" t="n">
        <v>1943</v>
      </c>
      <c r="V1145" s="0" t="n">
        <v>8</v>
      </c>
      <c r="W1145" s="0" t="str">
        <f aca="false">IF(OR(AND(B1145&gt;=1,B1145&lt;=6),B1145=10),"Vaca em lactação",IF(I1145="Male","Macho",IF(E1145&gt;=1,"Vaca seca",IF(I1145="Youngstock","Bezerra/recria","Novilha"))))</f>
        <v>Vaca em lactação</v>
      </c>
      <c r="X1145" s="0" t="str">
        <f aca="false">IF(AND(B1145&gt;=1,B1145&lt;=6),"Tanque",IF(B1145=10,"Descarte",""))</f>
        <v>Tanque</v>
      </c>
    </row>
    <row r="1146" customFormat="false" ht="15" hidden="false" customHeight="false" outlineLevel="0" collapsed="false">
      <c r="A1146" s="22" t="n">
        <v>46309</v>
      </c>
      <c r="B1146" s="0" t="n">
        <v>5</v>
      </c>
      <c r="C1146" s="0" t="n">
        <v>3481</v>
      </c>
      <c r="D1146" s="0" t="n">
        <v>94</v>
      </c>
      <c r="E1146" s="0" t="n">
        <v>4</v>
      </c>
      <c r="F1146" s="23" t="s">
        <v>762</v>
      </c>
      <c r="G1146" s="0" t="n">
        <v>46.3</v>
      </c>
      <c r="H1146" s="0" t="n">
        <v>46</v>
      </c>
      <c r="I1146" s="23" t="s">
        <v>97</v>
      </c>
      <c r="J1146" s="0" t="n">
        <v>94</v>
      </c>
      <c r="K1146" s="0" t="n">
        <v>66</v>
      </c>
      <c r="M1146" s="0" t="n">
        <v>290.55</v>
      </c>
      <c r="N1146" s="0" t="n">
        <v>60.06</v>
      </c>
      <c r="O1146" s="0" t="n">
        <v>28.81</v>
      </c>
      <c r="P1146" s="0" t="n">
        <v>5.35</v>
      </c>
      <c r="Q1146" s="0" t="n">
        <v>3.49</v>
      </c>
      <c r="R1146" s="0" t="n">
        <v>4116</v>
      </c>
      <c r="S1146" s="0" t="n">
        <v>8275</v>
      </c>
      <c r="T1146" s="0" t="n">
        <v>45.9</v>
      </c>
      <c r="U1146" s="0" t="n">
        <v>1945</v>
      </c>
      <c r="V1146" s="0" t="n">
        <v>1</v>
      </c>
      <c r="W1146" s="0" t="str">
        <f aca="false">IF(OR(AND(B1146&gt;=1,B1146&lt;=6),B1146=10),"Vaca em lactação",IF(I1146="Male","Macho",IF(E1146&gt;=1,"Vaca seca",IF(I1146="Youngstock","Bezerra/recria","Novilha"))))</f>
        <v>Vaca em lactação</v>
      </c>
      <c r="X1146" s="0" t="str">
        <f aca="false">IF(AND(B1146&gt;=1,B1146&lt;=6),"Tanque",IF(B1146=10,"Descarte",""))</f>
        <v>Tanque</v>
      </c>
    </row>
    <row r="1147" customFormat="false" ht="15" hidden="false" customHeight="false" outlineLevel="0" collapsed="false">
      <c r="A1147" s="22" t="n">
        <v>46309</v>
      </c>
      <c r="B1147" s="0" t="n">
        <v>5</v>
      </c>
      <c r="C1147" s="0" t="n">
        <v>3493</v>
      </c>
      <c r="D1147" s="0" t="n">
        <v>117</v>
      </c>
      <c r="E1147" s="0" t="n">
        <v>4</v>
      </c>
      <c r="F1147" s="23" t="s">
        <v>763</v>
      </c>
      <c r="I1147" s="23" t="s">
        <v>97</v>
      </c>
      <c r="J1147" s="0" t="n">
        <v>117</v>
      </c>
      <c r="K1147" s="0" t="n">
        <v>75</v>
      </c>
      <c r="M1147" s="0" t="n">
        <v>527.84</v>
      </c>
      <c r="N1147" s="0" t="n">
        <v>6.16</v>
      </c>
      <c r="O1147" s="0" t="n">
        <v>11.22</v>
      </c>
      <c r="P1147" s="0" t="n">
        <v>2.82</v>
      </c>
      <c r="Q1147" s="0" t="n">
        <v>2.94</v>
      </c>
      <c r="R1147" s="0" t="n">
        <v>4471</v>
      </c>
      <c r="S1147" s="0" t="n">
        <v>8967</v>
      </c>
      <c r="T1147" s="0" t="n">
        <v>52.45</v>
      </c>
      <c r="U1147" s="0" t="n">
        <v>1939</v>
      </c>
      <c r="V1147" s="0" t="n">
        <v>3</v>
      </c>
      <c r="W1147" s="0" t="str">
        <f aca="false">IF(OR(AND(B1147&gt;=1,B1147&lt;=6),B1147=10),"Vaca em lactação",IF(I1147="Male","Macho",IF(E1147&gt;=1,"Vaca seca",IF(I1147="Youngstock","Bezerra/recria","Novilha"))))</f>
        <v>Vaca em lactação</v>
      </c>
      <c r="X1147" s="0" t="str">
        <f aca="false">IF(AND(B1147&gt;=1,B1147&lt;=6),"Tanque",IF(B1147=10,"Descarte",""))</f>
        <v>Tanque</v>
      </c>
    </row>
    <row r="1148" customFormat="false" ht="15" hidden="false" customHeight="false" outlineLevel="0" collapsed="false">
      <c r="A1148" s="22" t="n">
        <v>46309</v>
      </c>
      <c r="B1148" s="0" t="n">
        <v>5</v>
      </c>
      <c r="C1148" s="0" t="n">
        <v>3504</v>
      </c>
      <c r="D1148" s="0" t="n">
        <v>119</v>
      </c>
      <c r="E1148" s="0" t="n">
        <v>3</v>
      </c>
      <c r="F1148" s="23" t="s">
        <v>764</v>
      </c>
      <c r="G1148" s="0" t="n">
        <v>28.9</v>
      </c>
      <c r="H1148" s="0" t="n">
        <v>33</v>
      </c>
      <c r="I1148" s="23" t="s">
        <v>109</v>
      </c>
      <c r="J1148" s="0" t="n">
        <v>119</v>
      </c>
      <c r="K1148" s="0" t="n">
        <v>63</v>
      </c>
      <c r="M1148" s="0" t="n">
        <v>708.59</v>
      </c>
      <c r="N1148" s="0" t="n">
        <v>56.71</v>
      </c>
      <c r="O1148" s="0" t="n">
        <v>31.54</v>
      </c>
      <c r="P1148" s="0" t="n">
        <v>5.24</v>
      </c>
      <c r="Q1148" s="0" t="n">
        <v>3.96</v>
      </c>
      <c r="R1148" s="0" t="n">
        <v>4175</v>
      </c>
      <c r="S1148" s="0" t="n">
        <v>8145</v>
      </c>
      <c r="T1148" s="0" t="n">
        <v>41.9</v>
      </c>
      <c r="U1148" s="0" t="n">
        <v>1930</v>
      </c>
      <c r="V1148" s="0" t="n">
        <v>2</v>
      </c>
      <c r="W1148" s="0" t="str">
        <f aca="false">IF(OR(AND(B1148&gt;=1,B1148&lt;=6),B1148=10),"Vaca em lactação",IF(I1148="Male","Macho",IF(E1148&gt;=1,"Vaca seca",IF(I1148="Youngstock","Bezerra/recria","Novilha"))))</f>
        <v>Vaca em lactação</v>
      </c>
      <c r="X1148" s="0" t="str">
        <f aca="false">IF(AND(B1148&gt;=1,B1148&lt;=6),"Tanque",IF(B1148=10,"Descarte",""))</f>
        <v>Tanque</v>
      </c>
    </row>
    <row r="1149" customFormat="false" ht="15" hidden="false" customHeight="false" outlineLevel="0" collapsed="false">
      <c r="A1149" s="22" t="n">
        <v>46309</v>
      </c>
      <c r="B1149" s="0" t="n">
        <v>5</v>
      </c>
      <c r="C1149" s="0" t="n">
        <v>3306</v>
      </c>
      <c r="D1149" s="0" t="n">
        <v>111</v>
      </c>
      <c r="E1149" s="0" t="n">
        <v>4</v>
      </c>
      <c r="F1149" s="23" t="s">
        <v>765</v>
      </c>
      <c r="G1149" s="0" t="n">
        <v>28.3</v>
      </c>
      <c r="H1149" s="0" t="n">
        <v>26</v>
      </c>
      <c r="I1149" s="23" t="s">
        <v>97</v>
      </c>
      <c r="J1149" s="0" t="n">
        <v>111</v>
      </c>
      <c r="K1149" s="0" t="n">
        <v>83</v>
      </c>
      <c r="M1149" s="0" t="n">
        <v>966.42</v>
      </c>
      <c r="N1149" s="0" t="n">
        <v>3.4</v>
      </c>
      <c r="O1149" s="0" t="n">
        <v>25.31</v>
      </c>
      <c r="P1149" s="0" t="n">
        <v>3.7</v>
      </c>
      <c r="Q1149" s="0" t="n">
        <v>2.98</v>
      </c>
      <c r="R1149" s="0" t="n">
        <v>3191</v>
      </c>
      <c r="S1149" s="0" t="n">
        <v>6351</v>
      </c>
      <c r="T1149" s="0" t="n">
        <v>40.35</v>
      </c>
      <c r="U1149" s="0" t="n">
        <v>2072</v>
      </c>
      <c r="V1149" s="0" t="n">
        <v>1</v>
      </c>
      <c r="W1149" s="0" t="str">
        <f aca="false">IF(OR(AND(B1149&gt;=1,B1149&lt;=6),B1149=10),"Vaca em lactação",IF(I1149="Male","Macho",IF(E1149&gt;=1,"Vaca seca",IF(I1149="Youngstock","Bezerra/recria","Novilha"))))</f>
        <v>Vaca em lactação</v>
      </c>
      <c r="X1149" s="0" t="str">
        <f aca="false">IF(AND(B1149&gt;=1,B1149&lt;=6),"Tanque",IF(B1149=10,"Descarte",""))</f>
        <v>Tanque</v>
      </c>
    </row>
    <row r="1150" customFormat="false" ht="15" hidden="false" customHeight="false" outlineLevel="0" collapsed="false">
      <c r="A1150" s="22" t="n">
        <v>46309</v>
      </c>
      <c r="B1150" s="0" t="n">
        <v>5</v>
      </c>
      <c r="C1150" s="0" t="n">
        <v>3317</v>
      </c>
      <c r="D1150" s="0" t="n">
        <v>124</v>
      </c>
      <c r="E1150" s="0" t="n">
        <v>4</v>
      </c>
      <c r="F1150" s="23" t="s">
        <v>766</v>
      </c>
      <c r="G1150" s="0" t="n">
        <v>32.4</v>
      </c>
      <c r="H1150" s="0" t="n">
        <v>29</v>
      </c>
      <c r="I1150" s="23" t="s">
        <v>97</v>
      </c>
      <c r="J1150" s="0" t="n">
        <v>124</v>
      </c>
      <c r="K1150" s="0" t="n">
        <v>68</v>
      </c>
      <c r="M1150" s="0" t="n">
        <v>558.74</v>
      </c>
      <c r="N1150" s="0" t="n">
        <v>9.86</v>
      </c>
      <c r="O1150" s="0" t="n">
        <v>12.59</v>
      </c>
      <c r="P1150" s="0" t="n">
        <v>3.35</v>
      </c>
      <c r="Q1150" s="0" t="n">
        <v>2.93</v>
      </c>
      <c r="R1150" s="0" t="n">
        <v>4719</v>
      </c>
      <c r="S1150" s="0" t="n">
        <v>9062</v>
      </c>
      <c r="T1150" s="0" t="n">
        <v>50.95</v>
      </c>
      <c r="U1150" s="0" t="n">
        <v>2066</v>
      </c>
      <c r="V1150" s="0" t="n">
        <v>2</v>
      </c>
      <c r="W1150" s="0" t="str">
        <f aca="false">IF(OR(AND(B1150&gt;=1,B1150&lt;=6),B1150=10),"Vaca em lactação",IF(I1150="Male","Macho",IF(E1150&gt;=1,"Vaca seca",IF(I1150="Youngstock","Bezerra/recria","Novilha"))))</f>
        <v>Vaca em lactação</v>
      </c>
      <c r="X1150" s="0" t="str">
        <f aca="false">IF(AND(B1150&gt;=1,B1150&lt;=6),"Tanque",IF(B1150=10,"Descarte",""))</f>
        <v>Tanque</v>
      </c>
    </row>
    <row r="1151" customFormat="false" ht="15" hidden="false" customHeight="false" outlineLevel="0" collapsed="false">
      <c r="A1151" s="22" t="n">
        <v>46309</v>
      </c>
      <c r="B1151" s="0" t="n">
        <v>5</v>
      </c>
      <c r="C1151" s="0" t="n">
        <v>3251</v>
      </c>
      <c r="D1151" s="0" t="n">
        <v>150</v>
      </c>
      <c r="E1151" s="0" t="n">
        <v>4</v>
      </c>
      <c r="F1151" s="23" t="s">
        <v>767</v>
      </c>
      <c r="G1151" s="0" t="n">
        <v>23.6</v>
      </c>
      <c r="H1151" s="0" t="n">
        <v>24</v>
      </c>
      <c r="I1151" s="23" t="s">
        <v>109</v>
      </c>
      <c r="J1151" s="0" t="n">
        <v>150</v>
      </c>
      <c r="K1151" s="0" t="n">
        <v>66</v>
      </c>
      <c r="M1151" s="0" t="n">
        <v>675.45</v>
      </c>
      <c r="N1151" s="0" t="n">
        <v>12.91</v>
      </c>
      <c r="O1151" s="0" t="n">
        <v>34.11</v>
      </c>
      <c r="P1151" s="0" t="n">
        <v>4.17</v>
      </c>
      <c r="Q1151" s="0" t="n">
        <v>3.86</v>
      </c>
      <c r="R1151" s="0" t="n">
        <v>2719</v>
      </c>
      <c r="S1151" s="0" t="n">
        <v>5662</v>
      </c>
      <c r="T1151" s="0" t="n">
        <v>26.9</v>
      </c>
      <c r="U1151" s="0" t="n">
        <v>2110</v>
      </c>
      <c r="V1151" s="0" t="n">
        <v>2</v>
      </c>
      <c r="W1151" s="0" t="str">
        <f aca="false">IF(OR(AND(B1151&gt;=1,B1151&lt;=6),B1151=10),"Vaca em lactação",IF(I1151="Male","Macho",IF(E1151&gt;=1,"Vaca seca",IF(I1151="Youngstock","Bezerra/recria","Novilha"))))</f>
        <v>Vaca em lactação</v>
      </c>
      <c r="X1151" s="0" t="str">
        <f aca="false">IF(AND(B1151&gt;=1,B1151&lt;=6),"Tanque",IF(B1151=10,"Descarte",""))</f>
        <v>Tanque</v>
      </c>
    </row>
    <row r="1152" customFormat="false" ht="15" hidden="false" customHeight="false" outlineLevel="0" collapsed="false">
      <c r="A1152" s="22" t="n">
        <v>46309</v>
      </c>
      <c r="B1152" s="0" t="n">
        <v>5</v>
      </c>
      <c r="C1152" s="0" t="n">
        <v>3263</v>
      </c>
      <c r="D1152" s="0" t="n">
        <v>236</v>
      </c>
      <c r="E1152" s="0" t="n">
        <v>3</v>
      </c>
      <c r="F1152" s="23" t="s">
        <v>768</v>
      </c>
      <c r="G1152" s="0" t="n">
        <v>37.5</v>
      </c>
      <c r="H1152" s="0" t="n">
        <v>37</v>
      </c>
      <c r="I1152" s="23" t="s">
        <v>506</v>
      </c>
      <c r="J1152" s="0" t="n">
        <v>236</v>
      </c>
      <c r="K1152" s="0" t="n">
        <v>110</v>
      </c>
      <c r="M1152" s="0" t="n">
        <v>684.84</v>
      </c>
      <c r="N1152" s="0" t="n">
        <v>15.58</v>
      </c>
      <c r="O1152" s="0" t="n">
        <v>24.5</v>
      </c>
      <c r="P1152" s="0" t="n">
        <v>4.03</v>
      </c>
      <c r="Q1152" s="0" t="n">
        <v>3.72</v>
      </c>
      <c r="R1152" s="0" t="n">
        <v>6127</v>
      </c>
      <c r="S1152" s="0" t="n">
        <v>10608</v>
      </c>
      <c r="T1152" s="0" t="n">
        <v>69.6</v>
      </c>
      <c r="U1152" s="0" t="n">
        <v>2102</v>
      </c>
      <c r="V1152" s="0" t="n">
        <v>1</v>
      </c>
      <c r="W1152" s="0" t="str">
        <f aca="false">IF(OR(AND(B1152&gt;=1,B1152&lt;=6),B1152=10),"Vaca em lactação",IF(I1152="Male","Macho",IF(E1152&gt;=1,"Vaca seca",IF(I1152="Youngstock","Bezerra/recria","Novilha"))))</f>
        <v>Vaca em lactação</v>
      </c>
      <c r="X1152" s="0" t="str">
        <f aca="false">IF(AND(B1152&gt;=1,B1152&lt;=6),"Tanque",IF(B1152=10,"Descarte",""))</f>
        <v>Tanque</v>
      </c>
    </row>
    <row r="1153" customFormat="false" ht="15" hidden="false" customHeight="false" outlineLevel="0" collapsed="false">
      <c r="A1153" s="22" t="n">
        <v>46309</v>
      </c>
      <c r="B1153" s="0" t="n">
        <v>5</v>
      </c>
      <c r="C1153" s="0" t="n">
        <v>3370</v>
      </c>
      <c r="D1153" s="0" t="n">
        <v>277</v>
      </c>
      <c r="E1153" s="0" t="n">
        <v>4</v>
      </c>
      <c r="F1153" s="23" t="s">
        <v>769</v>
      </c>
      <c r="G1153" s="0" t="n">
        <v>44.4</v>
      </c>
      <c r="H1153" s="0" t="n">
        <v>41</v>
      </c>
      <c r="I1153" s="23" t="s">
        <v>92</v>
      </c>
      <c r="J1153" s="0" t="n">
        <v>102</v>
      </c>
      <c r="K1153" s="0" t="n">
        <v>67</v>
      </c>
      <c r="L1153" s="0" t="n">
        <v>175</v>
      </c>
      <c r="M1153" s="0" t="n">
        <v>434.53</v>
      </c>
      <c r="N1153" s="0" t="n">
        <v>24.38</v>
      </c>
      <c r="O1153" s="0" t="n">
        <v>22.76</v>
      </c>
      <c r="P1153" s="0" t="n">
        <v>4.98</v>
      </c>
      <c r="Q1153" s="0" t="n">
        <v>3.58</v>
      </c>
      <c r="R1153" s="0" t="n">
        <v>5025</v>
      </c>
      <c r="S1153" s="0" t="n">
        <v>10384</v>
      </c>
      <c r="T1153" s="0" t="n">
        <v>58.5</v>
      </c>
      <c r="U1153" s="0" t="n">
        <v>2028</v>
      </c>
      <c r="V1153" s="0" t="n">
        <v>2</v>
      </c>
      <c r="W1153" s="0" t="str">
        <f aca="false">IF(OR(AND(B1153&gt;=1,B1153&lt;=6),B1153=10),"Vaca em lactação",IF(I1153="Male","Macho",IF(E1153&gt;=1,"Vaca seca",IF(I1153="Youngstock","Bezerra/recria","Novilha"))))</f>
        <v>Vaca em lactação</v>
      </c>
      <c r="X1153" s="0" t="str">
        <f aca="false">IF(AND(B1153&gt;=1,B1153&lt;=6),"Tanque",IF(B1153=10,"Descarte",""))</f>
        <v>Tanque</v>
      </c>
    </row>
    <row r="1154" customFormat="false" ht="15" hidden="false" customHeight="false" outlineLevel="0" collapsed="false">
      <c r="A1154" s="22" t="n">
        <v>46309</v>
      </c>
      <c r="B1154" s="0" t="n">
        <v>5</v>
      </c>
      <c r="C1154" s="0" t="n">
        <v>3380</v>
      </c>
      <c r="D1154" s="0" t="n">
        <v>157</v>
      </c>
      <c r="E1154" s="0" t="n">
        <v>5</v>
      </c>
      <c r="F1154" s="23" t="s">
        <v>770</v>
      </c>
      <c r="G1154" s="0" t="n">
        <v>37.2</v>
      </c>
      <c r="H1154" s="0" t="n">
        <v>37</v>
      </c>
      <c r="I1154" s="23" t="s">
        <v>97</v>
      </c>
      <c r="J1154" s="0" t="n">
        <v>157</v>
      </c>
      <c r="K1154" s="0" t="n">
        <v>74</v>
      </c>
      <c r="M1154" s="0" t="n">
        <v>432.7</v>
      </c>
      <c r="N1154" s="0" t="n">
        <v>20.11</v>
      </c>
      <c r="O1154" s="0" t="n">
        <v>19.2</v>
      </c>
      <c r="P1154" s="0" t="n">
        <v>4.1</v>
      </c>
      <c r="Q1154" s="0" t="n">
        <v>3.38</v>
      </c>
      <c r="R1154" s="0" t="n">
        <v>4572</v>
      </c>
      <c r="S1154" s="0" t="n">
        <v>8782</v>
      </c>
      <c r="T1154" s="0" t="n">
        <v>48.4</v>
      </c>
      <c r="U1154" s="0" t="n">
        <v>2021</v>
      </c>
      <c r="V1154" s="0" t="n">
        <v>4</v>
      </c>
      <c r="W1154" s="0" t="str">
        <f aca="false">IF(OR(AND(B1154&gt;=1,B1154&lt;=6),B1154=10),"Vaca em lactação",IF(I1154="Male","Macho",IF(E1154&gt;=1,"Vaca seca",IF(I1154="Youngstock","Bezerra/recria","Novilha"))))</f>
        <v>Vaca em lactação</v>
      </c>
      <c r="X1154" s="0" t="str">
        <f aca="false">IF(AND(B1154&gt;=1,B1154&lt;=6),"Tanque",IF(B1154=10,"Descarte",""))</f>
        <v>Tanque</v>
      </c>
    </row>
    <row r="1155" customFormat="false" ht="15" hidden="false" customHeight="false" outlineLevel="0" collapsed="false">
      <c r="A1155" s="22" t="n">
        <v>46309</v>
      </c>
      <c r="B1155" s="0" t="n">
        <v>5</v>
      </c>
      <c r="C1155" s="0" t="n">
        <v>3394</v>
      </c>
      <c r="D1155" s="0" t="n">
        <v>314</v>
      </c>
      <c r="E1155" s="0" t="n">
        <v>4</v>
      </c>
      <c r="F1155" s="23" t="s">
        <v>771</v>
      </c>
      <c r="G1155" s="0" t="n">
        <v>44.4</v>
      </c>
      <c r="H1155" s="0" t="n">
        <v>45</v>
      </c>
      <c r="I1155" s="23" t="s">
        <v>92</v>
      </c>
      <c r="J1155" s="0" t="n">
        <v>104</v>
      </c>
      <c r="K1155" s="0" t="n">
        <v>69</v>
      </c>
      <c r="L1155" s="0" t="n">
        <v>210</v>
      </c>
      <c r="M1155" s="0" t="n">
        <v>321.84</v>
      </c>
      <c r="N1155" s="0" t="n">
        <v>41.08</v>
      </c>
      <c r="O1155" s="0" t="n">
        <v>23.07</v>
      </c>
      <c r="P1155" s="0" t="n">
        <v>3.23</v>
      </c>
      <c r="Q1155" s="0" t="n">
        <v>3.91</v>
      </c>
      <c r="R1155" s="0" t="n">
        <v>6195</v>
      </c>
      <c r="S1155" s="0" t="n">
        <v>12370</v>
      </c>
      <c r="T1155" s="0" t="n">
        <v>70.05</v>
      </c>
      <c r="U1155" s="0" t="n">
        <v>2012</v>
      </c>
      <c r="V1155" s="0" t="n">
        <v>2</v>
      </c>
      <c r="W1155" s="0" t="str">
        <f aca="false">IF(OR(AND(B1155&gt;=1,B1155&lt;=6),B1155=10),"Vaca em lactação",IF(I1155="Male","Macho",IF(E1155&gt;=1,"Vaca seca",IF(I1155="Youngstock","Bezerra/recria","Novilha"))))</f>
        <v>Vaca em lactação</v>
      </c>
      <c r="X1155" s="0" t="str">
        <f aca="false">IF(AND(B1155&gt;=1,B1155&lt;=6),"Tanque",IF(B1155=10,"Descarte",""))</f>
        <v>Tanque</v>
      </c>
    </row>
    <row r="1156" customFormat="false" ht="15" hidden="false" customHeight="false" outlineLevel="0" collapsed="false">
      <c r="A1156" s="22" t="n">
        <v>46309</v>
      </c>
      <c r="B1156" s="0" t="n">
        <v>5</v>
      </c>
      <c r="C1156" s="0" t="n">
        <v>3357</v>
      </c>
      <c r="D1156" s="0" t="n">
        <v>302</v>
      </c>
      <c r="E1156" s="0" t="n">
        <v>4</v>
      </c>
      <c r="F1156" s="23" t="s">
        <v>772</v>
      </c>
      <c r="G1156" s="0" t="n">
        <v>30.1</v>
      </c>
      <c r="H1156" s="0" t="n">
        <v>28</v>
      </c>
      <c r="I1156" s="23" t="s">
        <v>97</v>
      </c>
      <c r="J1156" s="0" t="n">
        <v>302</v>
      </c>
      <c r="K1156" s="0" t="n">
        <v>78</v>
      </c>
      <c r="M1156" s="0" t="n">
        <v>-289.93</v>
      </c>
      <c r="N1156" s="0" t="n">
        <v>40.34</v>
      </c>
      <c r="O1156" s="0" t="n">
        <v>14.14</v>
      </c>
      <c r="P1156" s="0" t="n">
        <v>5.4</v>
      </c>
      <c r="Q1156" s="0" t="n">
        <v>3.64</v>
      </c>
      <c r="R1156" s="0" t="n">
        <v>6288</v>
      </c>
      <c r="S1156" s="0" t="n">
        <v>12723</v>
      </c>
      <c r="T1156" s="0" t="n">
        <v>71.15</v>
      </c>
      <c r="U1156" s="0" t="n">
        <v>2036</v>
      </c>
      <c r="V1156" s="0" t="n">
        <v>6</v>
      </c>
      <c r="W1156" s="0" t="str">
        <f aca="false">IF(OR(AND(B1156&gt;=1,B1156&lt;=6),B1156=10),"Vaca em lactação",IF(I1156="Male","Macho",IF(E1156&gt;=1,"Vaca seca",IF(I1156="Youngstock","Bezerra/recria","Novilha"))))</f>
        <v>Vaca em lactação</v>
      </c>
      <c r="X1156" s="0" t="str">
        <f aca="false">IF(AND(B1156&gt;=1,B1156&lt;=6),"Tanque",IF(B1156=10,"Descarte",""))</f>
        <v>Tanque</v>
      </c>
    </row>
    <row r="1157" customFormat="false" ht="15" hidden="false" customHeight="false" outlineLevel="0" collapsed="false">
      <c r="A1157" s="22" t="n">
        <v>46309</v>
      </c>
      <c r="B1157" s="0" t="n">
        <v>5</v>
      </c>
      <c r="C1157" s="0" t="n">
        <v>2679</v>
      </c>
      <c r="D1157" s="0" t="n">
        <v>178</v>
      </c>
      <c r="E1157" s="0" t="n">
        <v>5</v>
      </c>
      <c r="F1157" s="23" t="s">
        <v>773</v>
      </c>
      <c r="G1157" s="0" t="n">
        <v>38.2</v>
      </c>
      <c r="H1157" s="0" t="n">
        <v>37</v>
      </c>
      <c r="I1157" s="23" t="s">
        <v>109</v>
      </c>
      <c r="J1157" s="0" t="n">
        <v>178</v>
      </c>
      <c r="K1157" s="0" t="n">
        <v>94</v>
      </c>
      <c r="M1157" s="0" t="n">
        <v>549.41</v>
      </c>
      <c r="N1157" s="0" t="n">
        <v>3.75</v>
      </c>
      <c r="O1157" s="0" t="n">
        <v>13.5</v>
      </c>
      <c r="P1157" s="0" t="n">
        <v>4.61</v>
      </c>
      <c r="Q1157" s="0" t="n">
        <v>3.34</v>
      </c>
      <c r="R1157" s="0" t="n">
        <v>3892</v>
      </c>
      <c r="S1157" s="0" t="n">
        <v>8268</v>
      </c>
      <c r="T1157" s="0" t="n">
        <v>43.05</v>
      </c>
      <c r="U1157" s="0" t="n">
        <v>2541</v>
      </c>
      <c r="V1157" s="0" t="n">
        <v>1</v>
      </c>
      <c r="W1157" s="0" t="str">
        <f aca="false">IF(OR(AND(B1157&gt;=1,B1157&lt;=6),B1157=10),"Vaca em lactação",IF(I1157="Male","Macho",IF(E1157&gt;=1,"Vaca seca",IF(I1157="Youngstock","Bezerra/recria","Novilha"))))</f>
        <v>Vaca em lactação</v>
      </c>
      <c r="X1157" s="0" t="str">
        <f aca="false">IF(AND(B1157&gt;=1,B1157&lt;=6),"Tanque",IF(B1157=10,"Descarte",""))</f>
        <v>Tanque</v>
      </c>
    </row>
    <row r="1158" customFormat="false" ht="15" hidden="false" customHeight="false" outlineLevel="0" collapsed="false">
      <c r="A1158" s="22" t="n">
        <v>46309</v>
      </c>
      <c r="B1158" s="0" t="n">
        <v>5</v>
      </c>
      <c r="C1158" s="0" t="n">
        <v>1142</v>
      </c>
      <c r="D1158" s="0" t="n">
        <v>52</v>
      </c>
      <c r="E1158" s="0" t="n">
        <v>6</v>
      </c>
      <c r="F1158" s="23" t="s">
        <v>774</v>
      </c>
      <c r="G1158" s="0" t="n">
        <v>37.1</v>
      </c>
      <c r="H1158" s="0" t="n">
        <v>31</v>
      </c>
      <c r="I1158" s="23" t="s">
        <v>94</v>
      </c>
      <c r="J1158" s="0" t="n">
        <v>52</v>
      </c>
      <c r="M1158" s="0" t="n">
        <v>869.87</v>
      </c>
      <c r="N1158" s="0" t="n">
        <v>-1.85</v>
      </c>
      <c r="O1158" s="0" t="n">
        <v>17.42</v>
      </c>
      <c r="P1158" s="0" t="n">
        <v>2.66</v>
      </c>
      <c r="Q1158" s="0" t="n">
        <v>2.72</v>
      </c>
      <c r="R1158" s="0" t="n">
        <v>3730</v>
      </c>
      <c r="S1158" s="0" t="n">
        <v>7499</v>
      </c>
      <c r="U1158" s="0" t="n">
        <v>2594</v>
      </c>
      <c r="V1158" s="0" t="n">
        <v>0</v>
      </c>
      <c r="W1158" s="0" t="str">
        <f aca="false">IF(OR(AND(B1158&gt;=1,B1158&lt;=6),B1158=10),"Vaca em lactação",IF(I1158="Male","Macho",IF(E1158&gt;=1,"Vaca seca",IF(I1158="Youngstock","Bezerra/recria","Novilha"))))</f>
        <v>Vaca em lactação</v>
      </c>
      <c r="X1158" s="0" t="str">
        <f aca="false">IF(AND(B1158&gt;=1,B1158&lt;=6),"Tanque",IF(B1158=10,"Descarte",""))</f>
        <v>Tanque</v>
      </c>
    </row>
    <row r="1159" customFormat="false" ht="15" hidden="false" customHeight="false" outlineLevel="0" collapsed="false">
      <c r="A1159" s="22" t="n">
        <v>46309</v>
      </c>
      <c r="B1159" s="0" t="n">
        <v>5</v>
      </c>
      <c r="C1159" s="0" t="n">
        <v>2362</v>
      </c>
      <c r="D1159" s="0" t="n">
        <v>282</v>
      </c>
      <c r="E1159" s="0" t="n">
        <v>6</v>
      </c>
      <c r="F1159" s="23" t="s">
        <v>775</v>
      </c>
      <c r="G1159" s="0" t="n">
        <v>47.9</v>
      </c>
      <c r="H1159" s="0" t="n">
        <v>46</v>
      </c>
      <c r="I1159" s="23" t="s">
        <v>92</v>
      </c>
      <c r="J1159" s="0" t="n">
        <v>191</v>
      </c>
      <c r="K1159" s="0" t="n">
        <v>86</v>
      </c>
      <c r="L1159" s="0" t="n">
        <v>91</v>
      </c>
      <c r="M1159" s="0" t="n">
        <v>529.34</v>
      </c>
      <c r="N1159" s="0" t="n">
        <v>20.94</v>
      </c>
      <c r="O1159" s="0" t="n">
        <v>21.13</v>
      </c>
      <c r="P1159" s="0" t="n">
        <v>4.63</v>
      </c>
      <c r="Q1159" s="0" t="n">
        <v>3.81</v>
      </c>
      <c r="R1159" s="0" t="n">
        <v>6194</v>
      </c>
      <c r="S1159" s="0" t="n">
        <v>11796</v>
      </c>
      <c r="T1159" s="0" t="n">
        <v>63.1</v>
      </c>
      <c r="U1159" s="0" t="n">
        <v>2822</v>
      </c>
      <c r="V1159" s="0" t="n">
        <v>3</v>
      </c>
      <c r="W1159" s="0" t="str">
        <f aca="false">IF(OR(AND(B1159&gt;=1,B1159&lt;=6),B1159=10),"Vaca em lactação",IF(I1159="Male","Macho",IF(E1159&gt;=1,"Vaca seca",IF(I1159="Youngstock","Bezerra/recria","Novilha"))))</f>
        <v>Vaca em lactação</v>
      </c>
      <c r="X1159" s="0" t="str">
        <f aca="false">IF(AND(B1159&gt;=1,B1159&lt;=6),"Tanque",IF(B1159=10,"Descarte",""))</f>
        <v>Tanque</v>
      </c>
    </row>
    <row r="1160" customFormat="false" ht="15" hidden="false" customHeight="false" outlineLevel="0" collapsed="false">
      <c r="A1160" s="22" t="n">
        <v>46309</v>
      </c>
      <c r="B1160" s="0" t="n">
        <v>5</v>
      </c>
      <c r="C1160" s="0" t="n">
        <v>2863</v>
      </c>
      <c r="D1160" s="0" t="n">
        <v>234</v>
      </c>
      <c r="E1160" s="0" t="n">
        <v>5</v>
      </c>
      <c r="F1160" s="23" t="s">
        <v>776</v>
      </c>
      <c r="G1160" s="0" t="n">
        <v>37.9</v>
      </c>
      <c r="H1160" s="0" t="n">
        <v>36</v>
      </c>
      <c r="I1160" s="23" t="s">
        <v>92</v>
      </c>
      <c r="J1160" s="0" t="n">
        <v>66</v>
      </c>
      <c r="K1160" s="0" t="n">
        <v>66</v>
      </c>
      <c r="L1160" s="0" t="n">
        <v>168</v>
      </c>
      <c r="M1160" s="0" t="n">
        <v>692.66</v>
      </c>
      <c r="N1160" s="0" t="n">
        <v>24.75</v>
      </c>
      <c r="O1160" s="0" t="n">
        <v>23.6</v>
      </c>
      <c r="P1160" s="0" t="n">
        <v>3.54</v>
      </c>
      <c r="Q1160" s="0" t="n">
        <v>3.5</v>
      </c>
      <c r="R1160" s="0" t="n">
        <v>4085</v>
      </c>
      <c r="S1160" s="0" t="n">
        <v>8517</v>
      </c>
      <c r="T1160" s="0" t="n">
        <v>46.05</v>
      </c>
      <c r="U1160" s="0" t="n">
        <v>2384</v>
      </c>
      <c r="V1160" s="0" t="n">
        <v>1</v>
      </c>
      <c r="W1160" s="0" t="str">
        <f aca="false">IF(OR(AND(B1160&gt;=1,B1160&lt;=6),B1160=10),"Vaca em lactação",IF(I1160="Male","Macho",IF(E1160&gt;=1,"Vaca seca",IF(I1160="Youngstock","Bezerra/recria","Novilha"))))</f>
        <v>Vaca em lactação</v>
      </c>
      <c r="X1160" s="0" t="str">
        <f aca="false">IF(AND(B1160&gt;=1,B1160&lt;=6),"Tanque",IF(B1160=10,"Descarte",""))</f>
        <v>Tanque</v>
      </c>
    </row>
    <row r="1161" customFormat="false" ht="15" hidden="false" customHeight="false" outlineLevel="0" collapsed="false">
      <c r="A1161" s="22" t="n">
        <v>46309</v>
      </c>
      <c r="B1161" s="0" t="n">
        <v>5</v>
      </c>
      <c r="C1161" s="0" t="n">
        <v>2862</v>
      </c>
      <c r="D1161" s="0" t="n">
        <v>412</v>
      </c>
      <c r="E1161" s="0" t="n">
        <v>4</v>
      </c>
      <c r="F1161" s="23" t="s">
        <v>776</v>
      </c>
      <c r="G1161" s="0" t="n">
        <v>21.2</v>
      </c>
      <c r="H1161" s="0" t="n">
        <v>24</v>
      </c>
      <c r="I1161" s="23" t="s">
        <v>92</v>
      </c>
      <c r="J1161" s="0" t="n">
        <v>230</v>
      </c>
      <c r="K1161" s="0" t="n">
        <v>69</v>
      </c>
      <c r="L1161" s="0" t="n">
        <v>182</v>
      </c>
      <c r="M1161" s="0" t="n">
        <v>-257.4</v>
      </c>
      <c r="N1161" s="0" t="n">
        <v>15.38</v>
      </c>
      <c r="O1161" s="0" t="n">
        <v>5.44</v>
      </c>
      <c r="P1161" s="0" t="n">
        <v>4.26</v>
      </c>
      <c r="Q1161" s="0" t="n">
        <v>3.86</v>
      </c>
      <c r="R1161" s="0" t="n">
        <v>5896</v>
      </c>
      <c r="S1161" s="0" t="n">
        <v>10701</v>
      </c>
      <c r="T1161" s="0" t="n">
        <v>70.4</v>
      </c>
      <c r="U1161" s="0" t="n">
        <v>2384</v>
      </c>
      <c r="V1161" s="0" t="n">
        <v>5</v>
      </c>
      <c r="W1161" s="0" t="str">
        <f aca="false">IF(OR(AND(B1161&gt;=1,B1161&lt;=6),B1161=10),"Vaca em lactação",IF(I1161="Male","Macho",IF(E1161&gt;=1,"Vaca seca",IF(I1161="Youngstock","Bezerra/recria","Novilha"))))</f>
        <v>Vaca em lactação</v>
      </c>
      <c r="X1161" s="0" t="str">
        <f aca="false">IF(AND(B1161&gt;=1,B1161&lt;=6),"Tanque",IF(B1161=10,"Descarte",""))</f>
        <v>Tanque</v>
      </c>
    </row>
    <row r="1162" customFormat="false" ht="15" hidden="false" customHeight="false" outlineLevel="0" collapsed="false">
      <c r="A1162" s="22" t="n">
        <v>46309</v>
      </c>
      <c r="B1162" s="0" t="n">
        <v>5</v>
      </c>
      <c r="C1162" s="0" t="n">
        <v>2856</v>
      </c>
      <c r="D1162" s="0" t="n">
        <v>182</v>
      </c>
      <c r="E1162" s="0" t="n">
        <v>6</v>
      </c>
      <c r="F1162" s="23" t="s">
        <v>777</v>
      </c>
      <c r="G1162" s="0" t="n">
        <v>34</v>
      </c>
      <c r="H1162" s="0" t="n">
        <v>32</v>
      </c>
      <c r="I1162" s="23" t="s">
        <v>97</v>
      </c>
      <c r="J1162" s="0" t="n">
        <v>182</v>
      </c>
      <c r="K1162" s="0" t="n">
        <v>77</v>
      </c>
      <c r="M1162" s="0" t="n">
        <v>921.64</v>
      </c>
      <c r="N1162" s="0" t="n">
        <v>22.33</v>
      </c>
      <c r="O1162" s="0" t="n">
        <v>27.33</v>
      </c>
      <c r="P1162" s="0" t="n">
        <v>3.2</v>
      </c>
      <c r="Q1162" s="0" t="n">
        <v>3.32</v>
      </c>
      <c r="R1162" s="0" t="n">
        <v>4157</v>
      </c>
      <c r="S1162" s="0" t="n">
        <v>7787</v>
      </c>
      <c r="T1162" s="0" t="n">
        <v>53.45</v>
      </c>
      <c r="U1162" s="0" t="n">
        <v>2388</v>
      </c>
      <c r="V1162" s="0" t="n">
        <v>3</v>
      </c>
      <c r="W1162" s="0" t="str">
        <f aca="false">IF(OR(AND(B1162&gt;=1,B1162&lt;=6),B1162=10),"Vaca em lactação",IF(I1162="Male","Macho",IF(E1162&gt;=1,"Vaca seca",IF(I1162="Youngstock","Bezerra/recria","Novilha"))))</f>
        <v>Vaca em lactação</v>
      </c>
      <c r="X1162" s="0" t="str">
        <f aca="false">IF(AND(B1162&gt;=1,B1162&lt;=6),"Tanque",IF(B1162=10,"Descarte",""))</f>
        <v>Tanque</v>
      </c>
    </row>
    <row r="1163" customFormat="false" ht="15" hidden="false" customHeight="false" outlineLevel="0" collapsed="false">
      <c r="A1163" s="22" t="n">
        <v>46309</v>
      </c>
      <c r="B1163" s="0" t="n">
        <v>5</v>
      </c>
      <c r="C1163" s="0" t="n">
        <v>2925</v>
      </c>
      <c r="D1163" s="0" t="n">
        <v>232</v>
      </c>
      <c r="E1163" s="0" t="n">
        <v>5</v>
      </c>
      <c r="F1163" s="23" t="s">
        <v>778</v>
      </c>
      <c r="G1163" s="0" t="n">
        <v>36</v>
      </c>
      <c r="H1163" s="0" t="n">
        <v>35</v>
      </c>
      <c r="I1163" s="23" t="s">
        <v>109</v>
      </c>
      <c r="J1163" s="0" t="n">
        <v>232</v>
      </c>
      <c r="K1163" s="0" t="n">
        <v>64</v>
      </c>
      <c r="M1163" s="0" t="n">
        <v>560.63</v>
      </c>
      <c r="N1163" s="0" t="n">
        <v>16.58</v>
      </c>
      <c r="O1163" s="0" t="n">
        <v>16.85</v>
      </c>
      <c r="P1163" s="0" t="n">
        <v>4.3</v>
      </c>
      <c r="Q1163" s="0" t="n">
        <v>3.53</v>
      </c>
      <c r="R1163" s="0" t="n">
        <v>4941</v>
      </c>
      <c r="S1163" s="0" t="n">
        <v>9932</v>
      </c>
      <c r="T1163" s="0" t="n">
        <v>56.7</v>
      </c>
      <c r="U1163" s="0" t="n">
        <v>2344</v>
      </c>
      <c r="V1163" s="0" t="n">
        <v>4</v>
      </c>
      <c r="W1163" s="0" t="str">
        <f aca="false">IF(OR(AND(B1163&gt;=1,B1163&lt;=6),B1163=10),"Vaca em lactação",IF(I1163="Male","Macho",IF(E1163&gt;=1,"Vaca seca",IF(I1163="Youngstock","Bezerra/recria","Novilha"))))</f>
        <v>Vaca em lactação</v>
      </c>
      <c r="X1163" s="0" t="str">
        <f aca="false">IF(AND(B1163&gt;=1,B1163&lt;=6),"Tanque",IF(B1163=10,"Descarte",""))</f>
        <v>Tanque</v>
      </c>
    </row>
    <row r="1164" customFormat="false" ht="15" hidden="false" customHeight="false" outlineLevel="0" collapsed="false">
      <c r="A1164" s="22" t="n">
        <v>46309</v>
      </c>
      <c r="B1164" s="0" t="n">
        <v>5</v>
      </c>
      <c r="C1164" s="0" t="n">
        <v>2935</v>
      </c>
      <c r="D1164" s="0" t="n">
        <v>271</v>
      </c>
      <c r="E1164" s="0" t="n">
        <v>5</v>
      </c>
      <c r="F1164" s="23" t="s">
        <v>779</v>
      </c>
      <c r="G1164" s="0" t="n">
        <v>50.4</v>
      </c>
      <c r="H1164" s="0" t="n">
        <v>46</v>
      </c>
      <c r="I1164" s="23" t="s">
        <v>92</v>
      </c>
      <c r="J1164" s="0" t="n">
        <v>173</v>
      </c>
      <c r="K1164" s="0" t="n">
        <v>68</v>
      </c>
      <c r="L1164" s="0" t="n">
        <v>98</v>
      </c>
      <c r="M1164" s="0" t="n">
        <v>1170.38</v>
      </c>
      <c r="N1164" s="0" t="n">
        <v>8.95</v>
      </c>
      <c r="O1164" s="0" t="n">
        <v>32.55</v>
      </c>
      <c r="P1164" s="0" t="n">
        <v>2.4</v>
      </c>
      <c r="Q1164" s="0" t="n">
        <v>3.15</v>
      </c>
      <c r="R1164" s="0" t="n">
        <v>6164</v>
      </c>
      <c r="S1164" s="0" t="n">
        <v>11235</v>
      </c>
      <c r="T1164" s="0" t="n">
        <v>67.15</v>
      </c>
      <c r="U1164" s="0" t="n">
        <v>2334</v>
      </c>
      <c r="V1164" s="0" t="n">
        <v>3</v>
      </c>
      <c r="W1164" s="0" t="str">
        <f aca="false">IF(OR(AND(B1164&gt;=1,B1164&lt;=6),B1164=10),"Vaca em lactação",IF(I1164="Male","Macho",IF(E1164&gt;=1,"Vaca seca",IF(I1164="Youngstock","Bezerra/recria","Novilha"))))</f>
        <v>Vaca em lactação</v>
      </c>
      <c r="X1164" s="0" t="str">
        <f aca="false">IF(AND(B1164&gt;=1,B1164&lt;=6),"Tanque",IF(B1164=10,"Descarte",""))</f>
        <v>Tanque</v>
      </c>
    </row>
    <row r="1165" customFormat="false" ht="15" hidden="false" customHeight="false" outlineLevel="0" collapsed="false">
      <c r="A1165" s="22" t="n">
        <v>46309</v>
      </c>
      <c r="B1165" s="0" t="n">
        <v>5</v>
      </c>
      <c r="C1165" s="0" t="n">
        <v>2894</v>
      </c>
      <c r="D1165" s="0" t="n">
        <v>244</v>
      </c>
      <c r="E1165" s="0" t="n">
        <v>4</v>
      </c>
      <c r="F1165" s="23" t="s">
        <v>780</v>
      </c>
      <c r="G1165" s="0" t="n">
        <v>41.8</v>
      </c>
      <c r="H1165" s="0" t="n">
        <v>37</v>
      </c>
      <c r="I1165" s="23" t="s">
        <v>97</v>
      </c>
      <c r="J1165" s="0" t="n">
        <v>244</v>
      </c>
      <c r="K1165" s="0" t="n">
        <v>111</v>
      </c>
      <c r="M1165" s="0" t="n">
        <v>1248.55</v>
      </c>
      <c r="N1165" s="0" t="n">
        <v>19.64</v>
      </c>
      <c r="O1165" s="0" t="n">
        <v>33.47</v>
      </c>
      <c r="P1165" s="0" t="n">
        <v>3.93</v>
      </c>
      <c r="Q1165" s="0" t="n">
        <v>3.42</v>
      </c>
      <c r="R1165" s="0" t="n">
        <v>4106</v>
      </c>
      <c r="S1165" s="0" t="n">
        <v>8249</v>
      </c>
      <c r="T1165" s="0" t="n">
        <v>43.9</v>
      </c>
      <c r="U1165" s="0" t="n">
        <v>2365</v>
      </c>
      <c r="V1165" s="0" t="n">
        <v>3</v>
      </c>
      <c r="W1165" s="0" t="str">
        <f aca="false">IF(OR(AND(B1165&gt;=1,B1165&lt;=6),B1165=10),"Vaca em lactação",IF(I1165="Male","Macho",IF(E1165&gt;=1,"Vaca seca",IF(I1165="Youngstock","Bezerra/recria","Novilha"))))</f>
        <v>Vaca em lactação</v>
      </c>
      <c r="X1165" s="0" t="str">
        <f aca="false">IF(AND(B1165&gt;=1,B1165&lt;=6),"Tanque",IF(B1165=10,"Descarte",""))</f>
        <v>Tanque</v>
      </c>
    </row>
    <row r="1166" customFormat="false" ht="15" hidden="false" customHeight="false" outlineLevel="0" collapsed="false">
      <c r="A1166" s="22" t="n">
        <v>46309</v>
      </c>
      <c r="B1166" s="0" t="n">
        <v>5</v>
      </c>
      <c r="C1166" s="0" t="n">
        <v>1160</v>
      </c>
      <c r="D1166" s="0" t="n">
        <v>230</v>
      </c>
      <c r="E1166" s="0" t="n">
        <v>3</v>
      </c>
      <c r="F1166" s="23" t="s">
        <v>781</v>
      </c>
      <c r="G1166" s="0" t="n">
        <v>21.1</v>
      </c>
      <c r="H1166" s="0" t="n">
        <v>30</v>
      </c>
      <c r="I1166" s="23" t="s">
        <v>506</v>
      </c>
      <c r="J1166" s="0" t="n">
        <v>230</v>
      </c>
      <c r="K1166" s="0" t="n">
        <v>69</v>
      </c>
      <c r="M1166" s="0" t="n">
        <v>594.46</v>
      </c>
      <c r="N1166" s="0" t="n">
        <v>32.34</v>
      </c>
      <c r="O1166" s="0" t="n">
        <v>22.91</v>
      </c>
      <c r="P1166" s="0" t="n">
        <v>4.83</v>
      </c>
      <c r="Q1166" s="0" t="n">
        <v>3.52</v>
      </c>
      <c r="R1166" s="0" t="n">
        <v>4226</v>
      </c>
      <c r="S1166" s="0" t="n">
        <v>8219</v>
      </c>
      <c r="T1166" s="0" t="n">
        <v>48.45</v>
      </c>
      <c r="U1166" s="0" t="n">
        <v>2490</v>
      </c>
      <c r="V1166" s="0" t="n">
        <v>3</v>
      </c>
      <c r="W1166" s="0" t="str">
        <f aca="false">IF(OR(AND(B1166&gt;=1,B1166&lt;=6),B1166=10),"Vaca em lactação",IF(I1166="Male","Macho",IF(E1166&gt;=1,"Vaca seca",IF(I1166="Youngstock","Bezerra/recria","Novilha"))))</f>
        <v>Vaca em lactação</v>
      </c>
      <c r="X1166" s="0" t="str">
        <f aca="false">IF(AND(B1166&gt;=1,B1166&lt;=6),"Tanque",IF(B1166=10,"Descarte",""))</f>
        <v>Tanque</v>
      </c>
    </row>
    <row r="1167" customFormat="false" ht="15" hidden="false" customHeight="false" outlineLevel="0" collapsed="false">
      <c r="A1167" s="22" t="n">
        <v>46309</v>
      </c>
      <c r="B1167" s="0" t="n">
        <v>5</v>
      </c>
      <c r="C1167" s="0" t="n">
        <v>2761</v>
      </c>
      <c r="D1167" s="0" t="n">
        <v>291</v>
      </c>
      <c r="E1167" s="0" t="n">
        <v>5</v>
      </c>
      <c r="F1167" s="23" t="s">
        <v>782</v>
      </c>
      <c r="G1167" s="0" t="n">
        <v>37.2</v>
      </c>
      <c r="H1167" s="0" t="n">
        <v>34</v>
      </c>
      <c r="I1167" s="23" t="s">
        <v>97</v>
      </c>
      <c r="J1167" s="0" t="n">
        <v>291</v>
      </c>
      <c r="K1167" s="0" t="n">
        <v>60</v>
      </c>
      <c r="M1167" s="0" t="n">
        <v>782.21</v>
      </c>
      <c r="N1167" s="0" t="n">
        <v>23.88</v>
      </c>
      <c r="O1167" s="0" t="n">
        <v>18.86</v>
      </c>
      <c r="P1167" s="0" t="n">
        <v>3</v>
      </c>
      <c r="Q1167" s="0" t="n">
        <v>3.71</v>
      </c>
      <c r="R1167" s="0" t="n">
        <v>5478</v>
      </c>
      <c r="S1167" s="0" t="n">
        <v>10627</v>
      </c>
      <c r="T1167" s="0" t="n">
        <v>59.15</v>
      </c>
      <c r="U1167" s="0" t="n">
        <v>2465</v>
      </c>
      <c r="V1167" s="0" t="n">
        <v>7</v>
      </c>
      <c r="W1167" s="0" t="str">
        <f aca="false">IF(OR(AND(B1167&gt;=1,B1167&lt;=6),B1167=10),"Vaca em lactação",IF(I1167="Male","Macho",IF(E1167&gt;=1,"Vaca seca",IF(I1167="Youngstock","Bezerra/recria","Novilha"))))</f>
        <v>Vaca em lactação</v>
      </c>
      <c r="X1167" s="0" t="str">
        <f aca="false">IF(AND(B1167&gt;=1,B1167&lt;=6),"Tanque",IF(B1167=10,"Descarte",""))</f>
        <v>Tanque</v>
      </c>
    </row>
    <row r="1168" customFormat="false" ht="15" hidden="false" customHeight="false" outlineLevel="0" collapsed="false">
      <c r="A1168" s="22" t="n">
        <v>46309</v>
      </c>
      <c r="B1168" s="0" t="n">
        <v>5</v>
      </c>
      <c r="C1168" s="0" t="n">
        <v>2224</v>
      </c>
      <c r="D1168" s="0" t="n">
        <v>22</v>
      </c>
      <c r="E1168" s="0" t="n">
        <v>7</v>
      </c>
      <c r="F1168" s="23" t="s">
        <v>783</v>
      </c>
      <c r="G1168" s="0" t="n">
        <v>44.3</v>
      </c>
      <c r="H1168" s="0" t="n">
        <v>42</v>
      </c>
      <c r="I1168" s="23" t="s">
        <v>94</v>
      </c>
      <c r="J1168" s="0" t="n">
        <v>22</v>
      </c>
      <c r="R1168" s="0" t="n">
        <v>3169</v>
      </c>
      <c r="S1168" s="0" t="n">
        <v>6370</v>
      </c>
      <c r="U1168" s="0" t="n">
        <v>2960</v>
      </c>
      <c r="V1168" s="0" t="n">
        <v>0</v>
      </c>
      <c r="W1168" s="0" t="str">
        <f aca="false">IF(OR(AND(B1168&gt;=1,B1168&lt;=6),B1168=10),"Vaca em lactação",IF(I1168="Male","Macho",IF(E1168&gt;=1,"Vaca seca",IF(I1168="Youngstock","Bezerra/recria","Novilha"))))</f>
        <v>Vaca em lactação</v>
      </c>
      <c r="X1168" s="0" t="str">
        <f aca="false">IF(AND(B1168&gt;=1,B1168&lt;=6),"Tanque",IF(B1168=10,"Descarte",""))</f>
        <v>Tanque</v>
      </c>
    </row>
    <row r="1169" customFormat="false" ht="15" hidden="false" customHeight="false" outlineLevel="0" collapsed="false">
      <c r="A1169" s="22" t="n">
        <v>46309</v>
      </c>
      <c r="B1169" s="0" t="n">
        <v>5</v>
      </c>
      <c r="C1169" s="0" t="n">
        <v>5433</v>
      </c>
      <c r="D1169" s="0" t="n">
        <v>277</v>
      </c>
      <c r="E1169" s="0" t="n">
        <v>1</v>
      </c>
      <c r="F1169" s="23" t="s">
        <v>562</v>
      </c>
      <c r="G1169" s="0" t="n">
        <v>40.4</v>
      </c>
      <c r="H1169" s="0" t="n">
        <v>38</v>
      </c>
      <c r="I1169" s="23" t="s">
        <v>92</v>
      </c>
      <c r="J1169" s="0" t="n">
        <v>67</v>
      </c>
      <c r="K1169" s="0" t="n">
        <v>67</v>
      </c>
      <c r="L1169" s="0" t="n">
        <v>210</v>
      </c>
      <c r="M1169" s="0" t="n">
        <v>973.89</v>
      </c>
      <c r="N1169" s="0" t="n">
        <v>19.11</v>
      </c>
      <c r="O1169" s="0" t="n">
        <v>25.35</v>
      </c>
      <c r="P1169" s="0" t="n">
        <v>2.97</v>
      </c>
      <c r="Q1169" s="0" t="n">
        <v>3.81</v>
      </c>
      <c r="R1169" s="0" t="n">
        <v>3868</v>
      </c>
      <c r="S1169" s="0" t="n">
        <v>9343</v>
      </c>
      <c r="T1169" s="0" t="n">
        <v>31.6</v>
      </c>
      <c r="U1169" s="0" t="n">
        <v>930</v>
      </c>
      <c r="V1169" s="0" t="n">
        <v>1</v>
      </c>
      <c r="W1169" s="0" t="str">
        <f aca="false">IF(OR(AND(B1169&gt;=1,B1169&lt;=6),B1169=10),"Vaca em lactação",IF(I1169="Male","Macho",IF(E1169&gt;=1,"Vaca seca",IF(I1169="Youngstock","Bezerra/recria","Novilha"))))</f>
        <v>Vaca em lactação</v>
      </c>
      <c r="X1169" s="0" t="str">
        <f aca="false">IF(AND(B1169&gt;=1,B1169&lt;=6),"Tanque",IF(B1169=10,"Descarte",""))</f>
        <v>Tanque</v>
      </c>
    </row>
    <row r="1170" customFormat="false" ht="15" hidden="false" customHeight="false" outlineLevel="0" collapsed="false">
      <c r="A1170" s="22" t="n">
        <v>46309</v>
      </c>
      <c r="B1170" s="0" t="n">
        <v>5</v>
      </c>
      <c r="C1170" s="0" t="n">
        <v>5410</v>
      </c>
      <c r="D1170" s="0" t="n">
        <v>289</v>
      </c>
      <c r="E1170" s="0" t="n">
        <v>1</v>
      </c>
      <c r="F1170" s="23" t="s">
        <v>784</v>
      </c>
      <c r="G1170" s="0" t="n">
        <v>44.7</v>
      </c>
      <c r="H1170" s="0" t="n">
        <v>42</v>
      </c>
      <c r="I1170" s="23" t="s">
        <v>109</v>
      </c>
      <c r="J1170" s="0" t="n">
        <v>289</v>
      </c>
      <c r="K1170" s="0" t="n">
        <v>65</v>
      </c>
      <c r="M1170" s="0" t="n">
        <v>1271.11</v>
      </c>
      <c r="N1170" s="0" t="n">
        <v>73.05</v>
      </c>
      <c r="O1170" s="0" t="n">
        <v>44.55</v>
      </c>
      <c r="P1170" s="0" t="n">
        <v>3.46</v>
      </c>
      <c r="Q1170" s="0" t="n">
        <v>3.84</v>
      </c>
      <c r="R1170" s="0" t="n">
        <v>4886</v>
      </c>
      <c r="S1170" s="0" t="n">
        <v>10079</v>
      </c>
      <c r="T1170" s="0" t="n">
        <v>46.05</v>
      </c>
      <c r="U1170" s="0" t="n">
        <v>938</v>
      </c>
      <c r="V1170" s="0" t="n">
        <v>5</v>
      </c>
      <c r="W1170" s="0" t="str">
        <f aca="false">IF(OR(AND(B1170&gt;=1,B1170&lt;=6),B1170=10),"Vaca em lactação",IF(I1170="Male","Macho",IF(E1170&gt;=1,"Vaca seca",IF(I1170="Youngstock","Bezerra/recria","Novilha"))))</f>
        <v>Vaca em lactação</v>
      </c>
      <c r="X1170" s="0" t="str">
        <f aca="false">IF(AND(B1170&gt;=1,B1170&lt;=6),"Tanque",IF(B1170=10,"Descarte",""))</f>
        <v>Tanque</v>
      </c>
    </row>
    <row r="1171" customFormat="false" ht="15" hidden="false" customHeight="false" outlineLevel="0" collapsed="false">
      <c r="A1171" s="22" t="n">
        <v>46309</v>
      </c>
      <c r="B1171" s="0" t="n">
        <v>5</v>
      </c>
      <c r="C1171" s="0" t="n">
        <v>5319</v>
      </c>
      <c r="D1171" s="0" t="n">
        <v>274</v>
      </c>
      <c r="E1171" s="0" t="n">
        <v>1</v>
      </c>
      <c r="F1171" s="23" t="s">
        <v>574</v>
      </c>
      <c r="G1171" s="0" t="n">
        <v>34</v>
      </c>
      <c r="H1171" s="0" t="n">
        <v>34</v>
      </c>
      <c r="I1171" s="23" t="s">
        <v>92</v>
      </c>
      <c r="J1171" s="0" t="n">
        <v>106</v>
      </c>
      <c r="K1171" s="0" t="n">
        <v>64</v>
      </c>
      <c r="L1171" s="0" t="n">
        <v>168</v>
      </c>
      <c r="M1171" s="0" t="n">
        <v>341.77</v>
      </c>
      <c r="N1171" s="0" t="n">
        <v>63.33</v>
      </c>
      <c r="O1171" s="0" t="n">
        <v>28.72</v>
      </c>
      <c r="P1171" s="0" t="n">
        <v>4.04</v>
      </c>
      <c r="Q1171" s="0" t="n">
        <v>3.82</v>
      </c>
      <c r="R1171" s="0" t="n">
        <v>4452</v>
      </c>
      <c r="S1171" s="0" t="n">
        <v>9203</v>
      </c>
      <c r="T1171" s="0" t="n">
        <v>40.95</v>
      </c>
      <c r="U1171" s="0" t="n">
        <v>973</v>
      </c>
      <c r="V1171" s="0" t="n">
        <v>2</v>
      </c>
      <c r="W1171" s="0" t="str">
        <f aca="false">IF(OR(AND(B1171&gt;=1,B1171&lt;=6),B1171=10),"Vaca em lactação",IF(I1171="Male","Macho",IF(E1171&gt;=1,"Vaca seca",IF(I1171="Youngstock","Bezerra/recria","Novilha"))))</f>
        <v>Vaca em lactação</v>
      </c>
      <c r="X1171" s="0" t="str">
        <f aca="false">IF(AND(B1171&gt;=1,B1171&lt;=6),"Tanque",IF(B1171=10,"Descarte",""))</f>
        <v>Tanque</v>
      </c>
    </row>
    <row r="1172" customFormat="false" ht="15" hidden="false" customHeight="false" outlineLevel="0" collapsed="false">
      <c r="A1172" s="22" t="n">
        <v>46309</v>
      </c>
      <c r="B1172" s="0" t="n">
        <v>5</v>
      </c>
      <c r="C1172" s="0" t="n">
        <v>5324</v>
      </c>
      <c r="D1172" s="0" t="n">
        <v>326</v>
      </c>
      <c r="E1172" s="0" t="n">
        <v>1</v>
      </c>
      <c r="F1172" s="23" t="s">
        <v>585</v>
      </c>
      <c r="G1172" s="0" t="n">
        <v>48.4</v>
      </c>
      <c r="H1172" s="0" t="n">
        <v>45</v>
      </c>
      <c r="I1172" s="23" t="s">
        <v>92</v>
      </c>
      <c r="J1172" s="0" t="n">
        <v>242</v>
      </c>
      <c r="K1172" s="0" t="n">
        <v>67</v>
      </c>
      <c r="L1172" s="0" t="n">
        <v>84</v>
      </c>
      <c r="M1172" s="0" t="n">
        <v>808.3</v>
      </c>
      <c r="N1172" s="0" t="n">
        <v>45.05</v>
      </c>
      <c r="O1172" s="0" t="n">
        <v>23.33</v>
      </c>
      <c r="P1172" s="0" t="n">
        <v>3.93</v>
      </c>
      <c r="Q1172" s="0" t="n">
        <v>3.44</v>
      </c>
      <c r="R1172" s="0" t="n">
        <v>4568</v>
      </c>
      <c r="S1172" s="0" t="n">
        <v>10114</v>
      </c>
      <c r="T1172" s="0" t="n">
        <v>50.9</v>
      </c>
      <c r="U1172" s="0" t="n">
        <v>972</v>
      </c>
      <c r="V1172" s="0" t="n">
        <v>6</v>
      </c>
      <c r="W1172" s="0" t="str">
        <f aca="false">IF(OR(AND(B1172&gt;=1,B1172&lt;=6),B1172=10),"Vaca em lactação",IF(I1172="Male","Macho",IF(E1172&gt;=1,"Vaca seca",IF(I1172="Youngstock","Bezerra/recria","Novilha"))))</f>
        <v>Vaca em lactação</v>
      </c>
      <c r="X1172" s="0" t="str">
        <f aca="false">IF(AND(B1172&gt;=1,B1172&lt;=6),"Tanque",IF(B1172=10,"Descarte",""))</f>
        <v>Tanque</v>
      </c>
    </row>
    <row r="1173" customFormat="false" ht="15" hidden="false" customHeight="false" outlineLevel="0" collapsed="false">
      <c r="A1173" s="22" t="n">
        <v>46309</v>
      </c>
      <c r="B1173" s="0" t="n">
        <v>5</v>
      </c>
      <c r="C1173" s="0" t="n">
        <v>5307</v>
      </c>
      <c r="D1173" s="0" t="n">
        <v>357</v>
      </c>
      <c r="E1173" s="0" t="n">
        <v>1</v>
      </c>
      <c r="F1173" s="23" t="s">
        <v>275</v>
      </c>
      <c r="G1173" s="0" t="n">
        <v>43.3</v>
      </c>
      <c r="H1173" s="0" t="n">
        <v>42</v>
      </c>
      <c r="I1173" s="23" t="s">
        <v>92</v>
      </c>
      <c r="J1173" s="0" t="n">
        <v>193</v>
      </c>
      <c r="K1173" s="0" t="n">
        <v>64</v>
      </c>
      <c r="L1173" s="0" t="n">
        <v>164</v>
      </c>
      <c r="M1173" s="0" t="n">
        <v>698.73</v>
      </c>
      <c r="N1173" s="0" t="n">
        <v>50.7</v>
      </c>
      <c r="O1173" s="0" t="n">
        <v>29.73</v>
      </c>
      <c r="P1173" s="0" t="n">
        <v>3.53</v>
      </c>
      <c r="Q1173" s="0" t="n">
        <v>3.57</v>
      </c>
      <c r="R1173" s="0" t="n">
        <v>4322</v>
      </c>
      <c r="S1173" s="0" t="n">
        <v>9524</v>
      </c>
      <c r="T1173" s="0" t="n">
        <v>46.55</v>
      </c>
      <c r="U1173" s="0" t="n">
        <v>977</v>
      </c>
      <c r="V1173" s="0" t="n">
        <v>6</v>
      </c>
      <c r="W1173" s="0" t="str">
        <f aca="false">IF(OR(AND(B1173&gt;=1,B1173&lt;=6),B1173=10),"Vaca em lactação",IF(I1173="Male","Macho",IF(E1173&gt;=1,"Vaca seca",IF(I1173="Youngstock","Bezerra/recria","Novilha"))))</f>
        <v>Vaca em lactação</v>
      </c>
      <c r="X1173" s="0" t="str">
        <f aca="false">IF(AND(B1173&gt;=1,B1173&lt;=6),"Tanque",IF(B1173=10,"Descarte",""))</f>
        <v>Tanque</v>
      </c>
    </row>
    <row r="1174" customFormat="false" ht="15" hidden="false" customHeight="false" outlineLevel="0" collapsed="false">
      <c r="A1174" s="22" t="n">
        <v>46309</v>
      </c>
      <c r="B1174" s="0" t="n">
        <v>5</v>
      </c>
      <c r="C1174" s="0" t="n">
        <v>5305</v>
      </c>
      <c r="D1174" s="0" t="n">
        <v>364</v>
      </c>
      <c r="E1174" s="0" t="n">
        <v>1</v>
      </c>
      <c r="F1174" s="23" t="s">
        <v>275</v>
      </c>
      <c r="G1174" s="0" t="n">
        <v>43.7</v>
      </c>
      <c r="H1174" s="0" t="n">
        <v>43</v>
      </c>
      <c r="I1174" s="23" t="s">
        <v>92</v>
      </c>
      <c r="J1174" s="0" t="n">
        <v>224</v>
      </c>
      <c r="K1174" s="0" t="n">
        <v>71</v>
      </c>
      <c r="L1174" s="0" t="n">
        <v>140</v>
      </c>
      <c r="M1174" s="0" t="n">
        <v>526.37</v>
      </c>
      <c r="N1174" s="0" t="n">
        <v>39.09</v>
      </c>
      <c r="O1174" s="0" t="n">
        <v>34.08</v>
      </c>
      <c r="P1174" s="0" t="n">
        <v>3.36</v>
      </c>
      <c r="Q1174" s="0" t="n">
        <v>3.78</v>
      </c>
      <c r="R1174" s="0" t="n">
        <v>4277</v>
      </c>
      <c r="S1174" s="0" t="n">
        <v>9345</v>
      </c>
      <c r="T1174" s="0" t="n">
        <v>46.35</v>
      </c>
      <c r="U1174" s="0" t="n">
        <v>977</v>
      </c>
      <c r="V1174" s="0" t="n">
        <v>6</v>
      </c>
      <c r="W1174" s="0" t="str">
        <f aca="false">IF(OR(AND(B1174&gt;=1,B1174&lt;=6),B1174=10),"Vaca em lactação",IF(I1174="Male","Macho",IF(E1174&gt;=1,"Vaca seca",IF(I1174="Youngstock","Bezerra/recria","Novilha"))))</f>
        <v>Vaca em lactação</v>
      </c>
      <c r="X1174" s="0" t="str">
        <f aca="false">IF(AND(B1174&gt;=1,B1174&lt;=6),"Tanque",IF(B1174=10,"Descarte",""))</f>
        <v>Tanque</v>
      </c>
    </row>
    <row r="1175" customFormat="false" ht="15" hidden="false" customHeight="false" outlineLevel="0" collapsed="false">
      <c r="A1175" s="22" t="n">
        <v>46309</v>
      </c>
      <c r="B1175" s="0" t="n">
        <v>5</v>
      </c>
      <c r="C1175" s="0" t="n">
        <v>5356</v>
      </c>
      <c r="D1175" s="0" t="n">
        <v>311</v>
      </c>
      <c r="E1175" s="0" t="n">
        <v>1</v>
      </c>
      <c r="F1175" s="23" t="s">
        <v>581</v>
      </c>
      <c r="G1175" s="0" t="n">
        <v>34.3</v>
      </c>
      <c r="H1175" s="0" t="n">
        <v>34</v>
      </c>
      <c r="I1175" s="23" t="s">
        <v>109</v>
      </c>
      <c r="J1175" s="0" t="n">
        <v>311</v>
      </c>
      <c r="K1175" s="0" t="n">
        <v>66</v>
      </c>
      <c r="M1175" s="0" t="n">
        <v>837.78</v>
      </c>
      <c r="N1175" s="0" t="n">
        <v>64.64</v>
      </c>
      <c r="O1175" s="0" t="n">
        <v>29.85</v>
      </c>
      <c r="P1175" s="0" t="n">
        <v>3.49</v>
      </c>
      <c r="Q1175" s="0" t="n">
        <v>3.27</v>
      </c>
      <c r="R1175" s="0" t="n">
        <v>4357</v>
      </c>
      <c r="S1175" s="0" t="n">
        <v>9028</v>
      </c>
      <c r="T1175" s="0" t="n">
        <v>44.5</v>
      </c>
      <c r="U1175" s="0" t="n">
        <v>961</v>
      </c>
      <c r="V1175" s="0" t="n">
        <v>8</v>
      </c>
      <c r="W1175" s="0" t="str">
        <f aca="false">IF(OR(AND(B1175&gt;=1,B1175&lt;=6),B1175=10),"Vaca em lactação",IF(I1175="Male","Macho",IF(E1175&gt;=1,"Vaca seca",IF(I1175="Youngstock","Bezerra/recria","Novilha"))))</f>
        <v>Vaca em lactação</v>
      </c>
      <c r="X1175" s="0" t="str">
        <f aca="false">IF(AND(B1175&gt;=1,B1175&lt;=6),"Tanque",IF(B1175=10,"Descarte",""))</f>
        <v>Tanque</v>
      </c>
    </row>
    <row r="1176" customFormat="false" ht="15" hidden="false" customHeight="false" outlineLevel="0" collapsed="false">
      <c r="A1176" s="22" t="n">
        <v>46309</v>
      </c>
      <c r="B1176" s="0" t="n">
        <v>5</v>
      </c>
      <c r="C1176" s="0" t="n">
        <v>5449</v>
      </c>
      <c r="D1176" s="0" t="n">
        <v>264</v>
      </c>
      <c r="E1176" s="0" t="n">
        <v>1</v>
      </c>
      <c r="F1176" s="23" t="s">
        <v>588</v>
      </c>
      <c r="G1176" s="0" t="n">
        <v>42.8</v>
      </c>
      <c r="H1176" s="0" t="n">
        <v>40</v>
      </c>
      <c r="I1176" s="23" t="s">
        <v>92</v>
      </c>
      <c r="J1176" s="0" t="n">
        <v>68</v>
      </c>
      <c r="K1176" s="0" t="n">
        <v>68</v>
      </c>
      <c r="L1176" s="0" t="n">
        <v>196</v>
      </c>
      <c r="M1176" s="0" t="n">
        <v>443.53</v>
      </c>
      <c r="N1176" s="0" t="n">
        <v>59.75</v>
      </c>
      <c r="O1176" s="0" t="n">
        <v>24.39</v>
      </c>
      <c r="P1176" s="0" t="n">
        <v>4.5</v>
      </c>
      <c r="Q1176" s="0" t="n">
        <v>3.55</v>
      </c>
      <c r="R1176" s="0" t="n">
        <v>4715</v>
      </c>
      <c r="S1176" s="0" t="n">
        <v>10324</v>
      </c>
      <c r="T1176" s="0" t="n">
        <v>47.9</v>
      </c>
      <c r="U1176" s="0" t="n">
        <v>924</v>
      </c>
      <c r="V1176" s="0" t="n">
        <v>1</v>
      </c>
      <c r="W1176" s="0" t="str">
        <f aca="false">IF(OR(AND(B1176&gt;=1,B1176&lt;=6),B1176=10),"Vaca em lactação",IF(I1176="Male","Macho",IF(E1176&gt;=1,"Vaca seca",IF(I1176="Youngstock","Bezerra/recria","Novilha"))))</f>
        <v>Vaca em lactação</v>
      </c>
      <c r="X1176" s="0" t="str">
        <f aca="false">IF(AND(B1176&gt;=1,B1176&lt;=6),"Tanque",IF(B1176=10,"Descarte",""))</f>
        <v>Tanque</v>
      </c>
    </row>
    <row r="1177" customFormat="false" ht="15" hidden="false" customHeight="false" outlineLevel="0" collapsed="false">
      <c r="A1177" s="22" t="n">
        <v>46309</v>
      </c>
      <c r="B1177" s="0" t="n">
        <v>5</v>
      </c>
      <c r="C1177" s="0" t="n">
        <v>5450</v>
      </c>
      <c r="D1177" s="0" t="n">
        <v>268</v>
      </c>
      <c r="E1177" s="0" t="n">
        <v>1</v>
      </c>
      <c r="F1177" s="23" t="s">
        <v>588</v>
      </c>
      <c r="G1177" s="0" t="n">
        <v>46.9</v>
      </c>
      <c r="H1177" s="0" t="n">
        <v>42</v>
      </c>
      <c r="I1177" s="23" t="s">
        <v>92</v>
      </c>
      <c r="J1177" s="0" t="n">
        <v>65</v>
      </c>
      <c r="K1177" s="0" t="n">
        <v>65</v>
      </c>
      <c r="L1177" s="0" t="n">
        <v>203</v>
      </c>
      <c r="M1177" s="0" t="n">
        <v>735.05</v>
      </c>
      <c r="N1177" s="0" t="n">
        <v>59.24</v>
      </c>
      <c r="O1177" s="0" t="n">
        <v>38.84</v>
      </c>
      <c r="P1177" s="0" t="n">
        <v>4.81</v>
      </c>
      <c r="Q1177" s="0" t="n">
        <v>3.68</v>
      </c>
      <c r="R1177" s="0" t="n">
        <v>4657</v>
      </c>
      <c r="S1177" s="0" t="n">
        <v>10174</v>
      </c>
      <c r="T1177" s="0" t="n">
        <v>54.65</v>
      </c>
      <c r="U1177" s="0" t="n">
        <v>924</v>
      </c>
      <c r="V1177" s="0" t="n">
        <v>1</v>
      </c>
      <c r="W1177" s="0" t="str">
        <f aca="false">IF(OR(AND(B1177&gt;=1,B1177&lt;=6),B1177=10),"Vaca em lactação",IF(I1177="Male","Macho",IF(E1177&gt;=1,"Vaca seca",IF(I1177="Youngstock","Bezerra/recria","Novilha"))))</f>
        <v>Vaca em lactação</v>
      </c>
      <c r="X1177" s="0" t="str">
        <f aca="false">IF(AND(B1177&gt;=1,B1177&lt;=6),"Tanque",IF(B1177=10,"Descarte",""))</f>
        <v>Tanque</v>
      </c>
    </row>
    <row r="1178" customFormat="false" ht="15" hidden="false" customHeight="false" outlineLevel="0" collapsed="false">
      <c r="A1178" s="22" t="n">
        <v>46309</v>
      </c>
      <c r="B1178" s="0" t="n">
        <v>5</v>
      </c>
      <c r="C1178" s="0" t="n">
        <v>5060</v>
      </c>
      <c r="D1178" s="0" t="n">
        <v>134</v>
      </c>
      <c r="E1178" s="0" t="n">
        <v>2</v>
      </c>
      <c r="F1178" s="23" t="s">
        <v>278</v>
      </c>
      <c r="G1178" s="0" t="n">
        <v>45.1</v>
      </c>
      <c r="H1178" s="0" t="n">
        <v>38</v>
      </c>
      <c r="I1178" s="23" t="s">
        <v>109</v>
      </c>
      <c r="J1178" s="0" t="n">
        <v>134</v>
      </c>
      <c r="K1178" s="0" t="n">
        <v>71</v>
      </c>
      <c r="M1178" s="0" t="n">
        <v>470.89</v>
      </c>
      <c r="N1178" s="0" t="n">
        <v>15.8</v>
      </c>
      <c r="O1178" s="0" t="n">
        <v>20.19</v>
      </c>
      <c r="P1178" s="0" t="n">
        <v>3.59</v>
      </c>
      <c r="Q1178" s="0" t="n">
        <v>3.22</v>
      </c>
      <c r="R1178" s="0" t="n">
        <v>3236</v>
      </c>
      <c r="S1178" s="0" t="n">
        <v>6753</v>
      </c>
      <c r="T1178" s="0" t="n">
        <v>38</v>
      </c>
      <c r="U1178" s="0" t="n">
        <v>1079</v>
      </c>
      <c r="V1178" s="0" t="n">
        <v>3</v>
      </c>
      <c r="W1178" s="0" t="str">
        <f aca="false">IF(OR(AND(B1178&gt;=1,B1178&lt;=6),B1178=10),"Vaca em lactação",IF(I1178="Male","Macho",IF(E1178&gt;=1,"Vaca seca",IF(I1178="Youngstock","Bezerra/recria","Novilha"))))</f>
        <v>Vaca em lactação</v>
      </c>
      <c r="X1178" s="0" t="str">
        <f aca="false">IF(AND(B1178&gt;=1,B1178&lt;=6),"Tanque",IF(B1178=10,"Descarte",""))</f>
        <v>Tanque</v>
      </c>
    </row>
    <row r="1179" customFormat="false" ht="15" hidden="false" customHeight="false" outlineLevel="0" collapsed="false">
      <c r="A1179" s="22" t="n">
        <v>46309</v>
      </c>
      <c r="B1179" s="0" t="n">
        <v>5</v>
      </c>
      <c r="C1179" s="0" t="n">
        <v>5059</v>
      </c>
      <c r="D1179" s="0" t="n">
        <v>84</v>
      </c>
      <c r="E1179" s="0" t="n">
        <v>2</v>
      </c>
      <c r="F1179" s="23" t="s">
        <v>785</v>
      </c>
      <c r="G1179" s="0" t="n">
        <v>47.4</v>
      </c>
      <c r="H1179" s="0" t="n">
        <v>46</v>
      </c>
      <c r="I1179" s="23" t="s">
        <v>97</v>
      </c>
      <c r="J1179" s="0" t="n">
        <v>84</v>
      </c>
      <c r="K1179" s="0" t="n">
        <v>63</v>
      </c>
      <c r="M1179" s="0" t="n">
        <v>1070.45</v>
      </c>
      <c r="N1179" s="0" t="n">
        <v>64.89</v>
      </c>
      <c r="O1179" s="0" t="n">
        <v>36.37</v>
      </c>
      <c r="P1179" s="0" t="n">
        <v>5</v>
      </c>
      <c r="Q1179" s="0" t="n">
        <v>3.77</v>
      </c>
      <c r="R1179" s="0" t="n">
        <v>3175</v>
      </c>
      <c r="S1179" s="0" t="n">
        <v>6382</v>
      </c>
      <c r="U1179" s="0" t="n">
        <v>1080</v>
      </c>
      <c r="V1179" s="0" t="n">
        <v>1</v>
      </c>
      <c r="W1179" s="0" t="str">
        <f aca="false">IF(OR(AND(B1179&gt;=1,B1179&lt;=6),B1179=10),"Vaca em lactação",IF(I1179="Male","Macho",IF(E1179&gt;=1,"Vaca seca",IF(I1179="Youngstock","Bezerra/recria","Novilha"))))</f>
        <v>Vaca em lactação</v>
      </c>
      <c r="X1179" s="0" t="str">
        <f aca="false">IF(AND(B1179&gt;=1,B1179&lt;=6),"Tanque",IF(B1179=10,"Descarte",""))</f>
        <v>Tanque</v>
      </c>
    </row>
    <row r="1180" customFormat="false" ht="15" hidden="false" customHeight="false" outlineLevel="0" collapsed="false">
      <c r="A1180" s="22" t="n">
        <v>46309</v>
      </c>
      <c r="B1180" s="0" t="n">
        <v>5</v>
      </c>
      <c r="C1180" s="0" t="n">
        <v>5063</v>
      </c>
      <c r="D1180" s="0" t="n">
        <v>421</v>
      </c>
      <c r="E1180" s="0" t="n">
        <v>1</v>
      </c>
      <c r="F1180" s="23" t="s">
        <v>458</v>
      </c>
      <c r="G1180" s="0" t="n">
        <v>35.8</v>
      </c>
      <c r="H1180" s="0" t="n">
        <v>34</v>
      </c>
      <c r="I1180" s="23" t="s">
        <v>92</v>
      </c>
      <c r="J1180" s="0" t="n">
        <v>323</v>
      </c>
      <c r="K1180" s="0" t="n">
        <v>57</v>
      </c>
      <c r="L1180" s="0" t="n">
        <v>98</v>
      </c>
      <c r="M1180" s="0" t="n">
        <v>941.42</v>
      </c>
      <c r="N1180" s="0" t="n">
        <v>47.87</v>
      </c>
      <c r="O1180" s="0" t="n">
        <v>34.1</v>
      </c>
      <c r="P1180" s="0" t="n">
        <v>4.57</v>
      </c>
      <c r="Q1180" s="0" t="n">
        <v>3.88</v>
      </c>
      <c r="R1180" s="0" t="n">
        <v>4235</v>
      </c>
      <c r="S1180" s="0" t="n">
        <v>9132</v>
      </c>
      <c r="T1180" s="0" t="n">
        <v>45.85</v>
      </c>
      <c r="U1180" s="0" t="n">
        <v>1078</v>
      </c>
      <c r="V1180" s="0" t="n">
        <v>4</v>
      </c>
      <c r="W1180" s="0" t="str">
        <f aca="false">IF(OR(AND(B1180&gt;=1,B1180&lt;=6),B1180=10),"Vaca em lactação",IF(I1180="Male","Macho",IF(E1180&gt;=1,"Vaca seca",IF(I1180="Youngstock","Bezerra/recria","Novilha"))))</f>
        <v>Vaca em lactação</v>
      </c>
      <c r="X1180" s="0" t="str">
        <f aca="false">IF(AND(B1180&gt;=1,B1180&lt;=6),"Tanque",IF(B1180=10,"Descarte",""))</f>
        <v>Tanque</v>
      </c>
    </row>
    <row r="1181" customFormat="false" ht="15" hidden="false" customHeight="false" outlineLevel="0" collapsed="false">
      <c r="A1181" s="22" t="n">
        <v>46309</v>
      </c>
      <c r="B1181" s="0" t="n">
        <v>5</v>
      </c>
      <c r="C1181" s="0" t="n">
        <v>5064</v>
      </c>
      <c r="D1181" s="0" t="n">
        <v>87</v>
      </c>
      <c r="E1181" s="0" t="n">
        <v>2</v>
      </c>
      <c r="F1181" s="23" t="s">
        <v>458</v>
      </c>
      <c r="G1181" s="0" t="n">
        <v>38</v>
      </c>
      <c r="H1181" s="0" t="n">
        <v>43</v>
      </c>
      <c r="I1181" s="23" t="s">
        <v>97</v>
      </c>
      <c r="J1181" s="0" t="n">
        <v>87</v>
      </c>
      <c r="K1181" s="0" t="n">
        <v>66</v>
      </c>
      <c r="M1181" s="0" t="n">
        <v>505.47</v>
      </c>
      <c r="N1181" s="0" t="n">
        <v>84.16</v>
      </c>
      <c r="O1181" s="0" t="n">
        <v>27.01</v>
      </c>
      <c r="P1181" s="0" t="n">
        <v>4.17</v>
      </c>
      <c r="Q1181" s="0" t="n">
        <v>3.55</v>
      </c>
      <c r="R1181" s="0" t="n">
        <v>3795</v>
      </c>
      <c r="S1181" s="0" t="n">
        <v>7628</v>
      </c>
      <c r="U1181" s="0" t="n">
        <v>1078</v>
      </c>
      <c r="V1181" s="0" t="n">
        <v>2</v>
      </c>
      <c r="W1181" s="0" t="str">
        <f aca="false">IF(OR(AND(B1181&gt;=1,B1181&lt;=6),B1181=10),"Vaca em lactação",IF(I1181="Male","Macho",IF(E1181&gt;=1,"Vaca seca",IF(I1181="Youngstock","Bezerra/recria","Novilha"))))</f>
        <v>Vaca em lactação</v>
      </c>
      <c r="X1181" s="0" t="str">
        <f aca="false">IF(AND(B1181&gt;=1,B1181&lt;=6),"Tanque",IF(B1181=10,"Descarte",""))</f>
        <v>Tanque</v>
      </c>
    </row>
    <row r="1182" customFormat="false" ht="15" hidden="false" customHeight="false" outlineLevel="0" collapsed="false">
      <c r="A1182" s="22" t="n">
        <v>46309</v>
      </c>
      <c r="B1182" s="0" t="n">
        <v>5</v>
      </c>
      <c r="C1182" s="0" t="n">
        <v>5075</v>
      </c>
      <c r="D1182" s="0" t="n">
        <v>436</v>
      </c>
      <c r="E1182" s="0" t="n">
        <v>1</v>
      </c>
      <c r="F1182" s="23" t="s">
        <v>592</v>
      </c>
      <c r="G1182" s="0" t="n">
        <v>43.4</v>
      </c>
      <c r="H1182" s="0" t="n">
        <v>43</v>
      </c>
      <c r="I1182" s="23" t="s">
        <v>92</v>
      </c>
      <c r="J1182" s="0" t="n">
        <v>282</v>
      </c>
      <c r="K1182" s="0" t="n">
        <v>65</v>
      </c>
      <c r="L1182" s="0" t="n">
        <v>154</v>
      </c>
      <c r="M1182" s="0" t="n">
        <v>755.42</v>
      </c>
      <c r="N1182" s="0" t="n">
        <v>66.02</v>
      </c>
      <c r="O1182" s="0" t="n">
        <v>46.97</v>
      </c>
      <c r="P1182" s="0" t="n">
        <v>4.21</v>
      </c>
      <c r="Q1182" s="0" t="n">
        <v>4.13</v>
      </c>
      <c r="R1182" s="0" t="n">
        <v>4218</v>
      </c>
      <c r="S1182" s="0" t="n">
        <v>9154</v>
      </c>
      <c r="T1182" s="0" t="n">
        <v>45.6</v>
      </c>
      <c r="U1182" s="0" t="n">
        <v>1073</v>
      </c>
      <c r="V1182" s="0" t="n">
        <v>7</v>
      </c>
      <c r="W1182" s="0" t="str">
        <f aca="false">IF(OR(AND(B1182&gt;=1,B1182&lt;=6),B1182=10),"Vaca em lactação",IF(I1182="Male","Macho",IF(E1182&gt;=1,"Vaca seca",IF(I1182="Youngstock","Bezerra/recria","Novilha"))))</f>
        <v>Vaca em lactação</v>
      </c>
      <c r="X1182" s="0" t="str">
        <f aca="false">IF(AND(B1182&gt;=1,B1182&lt;=6),"Tanque",IF(B1182=10,"Descarte",""))</f>
        <v>Tanque</v>
      </c>
    </row>
    <row r="1183" customFormat="false" ht="15" hidden="false" customHeight="false" outlineLevel="0" collapsed="false">
      <c r="A1183" s="22" t="n">
        <v>46309</v>
      </c>
      <c r="B1183" s="0" t="n">
        <v>5</v>
      </c>
      <c r="C1183" s="0" t="n">
        <v>5079</v>
      </c>
      <c r="D1183" s="0" t="n">
        <v>64</v>
      </c>
      <c r="E1183" s="0" t="n">
        <v>2</v>
      </c>
      <c r="F1183" s="23" t="s">
        <v>786</v>
      </c>
      <c r="G1183" s="0" t="n">
        <v>45</v>
      </c>
      <c r="H1183" s="0" t="n">
        <v>40</v>
      </c>
      <c r="I1183" s="23" t="s">
        <v>94</v>
      </c>
      <c r="J1183" s="0" t="n">
        <v>64</v>
      </c>
      <c r="M1183" s="0" t="n">
        <v>-36.02</v>
      </c>
      <c r="N1183" s="0" t="n">
        <v>12.31</v>
      </c>
      <c r="O1183" s="0" t="n">
        <v>19.9</v>
      </c>
      <c r="P1183" s="0" t="n">
        <v>2.77</v>
      </c>
      <c r="Q1183" s="0" t="n">
        <v>3.28</v>
      </c>
      <c r="R1183" s="0" t="n">
        <v>4270</v>
      </c>
      <c r="S1183" s="0" t="n">
        <v>8584</v>
      </c>
      <c r="U1183" s="0" t="n">
        <v>1070</v>
      </c>
      <c r="V1183" s="0" t="n">
        <v>0</v>
      </c>
      <c r="W1183" s="0" t="str">
        <f aca="false">IF(OR(AND(B1183&gt;=1,B1183&lt;=6),B1183=10),"Vaca em lactação",IF(I1183="Male","Macho",IF(E1183&gt;=1,"Vaca seca",IF(I1183="Youngstock","Bezerra/recria","Novilha"))))</f>
        <v>Vaca em lactação</v>
      </c>
      <c r="X1183" s="0" t="str">
        <f aca="false">IF(AND(B1183&gt;=1,B1183&lt;=6),"Tanque",IF(B1183=10,"Descarte",""))</f>
        <v>Tanque</v>
      </c>
    </row>
    <row r="1184" customFormat="false" ht="15" hidden="false" customHeight="false" outlineLevel="0" collapsed="false">
      <c r="A1184" s="22" t="n">
        <v>46309</v>
      </c>
      <c r="B1184" s="0" t="n">
        <v>5</v>
      </c>
      <c r="C1184" s="0" t="n">
        <v>5078</v>
      </c>
      <c r="D1184" s="0" t="n">
        <v>98</v>
      </c>
      <c r="E1184" s="0" t="n">
        <v>2</v>
      </c>
      <c r="F1184" s="23" t="s">
        <v>787</v>
      </c>
      <c r="G1184" s="0" t="n">
        <v>50.2</v>
      </c>
      <c r="H1184" s="0" t="n">
        <v>45</v>
      </c>
      <c r="I1184" s="23" t="s">
        <v>92</v>
      </c>
      <c r="J1184" s="0" t="n">
        <v>63</v>
      </c>
      <c r="K1184" s="0" t="n">
        <v>63</v>
      </c>
      <c r="L1184" s="0" t="n">
        <v>35</v>
      </c>
      <c r="M1184" s="0" t="n">
        <v>186.31</v>
      </c>
      <c r="N1184" s="0" t="n">
        <v>75.15</v>
      </c>
      <c r="O1184" s="0" t="n">
        <v>21.91</v>
      </c>
      <c r="P1184" s="0" t="n">
        <v>5.9</v>
      </c>
      <c r="Q1184" s="0" t="n">
        <v>3.48</v>
      </c>
      <c r="R1184" s="0" t="n">
        <v>4438</v>
      </c>
      <c r="S1184" s="0" t="n">
        <v>8922</v>
      </c>
      <c r="T1184" s="0" t="n">
        <v>46.25</v>
      </c>
      <c r="U1184" s="0" t="n">
        <v>1072</v>
      </c>
      <c r="V1184" s="0" t="n">
        <v>1</v>
      </c>
      <c r="W1184" s="0" t="str">
        <f aca="false">IF(OR(AND(B1184&gt;=1,B1184&lt;=6),B1184=10),"Vaca em lactação",IF(I1184="Male","Macho",IF(E1184&gt;=1,"Vaca seca",IF(I1184="Youngstock","Bezerra/recria","Novilha"))))</f>
        <v>Vaca em lactação</v>
      </c>
      <c r="X1184" s="0" t="str">
        <f aca="false">IF(AND(B1184&gt;=1,B1184&lt;=6),"Tanque",IF(B1184=10,"Descarte",""))</f>
        <v>Tanque</v>
      </c>
    </row>
    <row r="1185" customFormat="false" ht="15" hidden="false" customHeight="false" outlineLevel="0" collapsed="false">
      <c r="A1185" s="22" t="n">
        <v>46309</v>
      </c>
      <c r="B1185" s="0" t="n">
        <v>5</v>
      </c>
      <c r="C1185" s="0" t="n">
        <v>5045</v>
      </c>
      <c r="D1185" s="0" t="n">
        <v>470</v>
      </c>
      <c r="E1185" s="0" t="n">
        <v>1</v>
      </c>
      <c r="F1185" s="23" t="s">
        <v>788</v>
      </c>
      <c r="G1185" s="0" t="n">
        <v>26.7</v>
      </c>
      <c r="H1185" s="0" t="n">
        <v>30</v>
      </c>
      <c r="I1185" s="23" t="s">
        <v>506</v>
      </c>
      <c r="J1185" s="0" t="n">
        <v>470</v>
      </c>
      <c r="K1185" s="0" t="n">
        <v>189</v>
      </c>
      <c r="M1185" s="0" t="n">
        <v>1024.96</v>
      </c>
      <c r="N1185" s="0" t="n">
        <v>55.79</v>
      </c>
      <c r="O1185" s="0" t="n">
        <v>31.82</v>
      </c>
      <c r="P1185" s="0" t="n">
        <v>5.1</v>
      </c>
      <c r="Q1185" s="0" t="n">
        <v>3.99</v>
      </c>
      <c r="R1185" s="0" t="n">
        <v>3351</v>
      </c>
      <c r="S1185" s="0" t="n">
        <v>6788</v>
      </c>
      <c r="T1185" s="0" t="n">
        <v>35.75</v>
      </c>
      <c r="U1185" s="0" t="n">
        <v>1089</v>
      </c>
      <c r="V1185" s="0" t="n">
        <v>9</v>
      </c>
      <c r="W1185" s="0" t="str">
        <f aca="false">IF(OR(AND(B1185&gt;=1,B1185&lt;=6),B1185=10),"Vaca em lactação",IF(I1185="Male","Macho",IF(E1185&gt;=1,"Vaca seca",IF(I1185="Youngstock","Bezerra/recria","Novilha"))))</f>
        <v>Vaca em lactação</v>
      </c>
      <c r="X1185" s="0" t="str">
        <f aca="false">IF(AND(B1185&gt;=1,B1185&lt;=6),"Tanque",IF(B1185=10,"Descarte",""))</f>
        <v>Tanque</v>
      </c>
    </row>
    <row r="1186" customFormat="false" ht="15" hidden="false" customHeight="false" outlineLevel="0" collapsed="false">
      <c r="A1186" s="22" t="n">
        <v>46309</v>
      </c>
      <c r="B1186" s="0" t="n">
        <v>5</v>
      </c>
      <c r="C1186" s="0" t="n">
        <v>5051</v>
      </c>
      <c r="D1186" s="0" t="n">
        <v>389</v>
      </c>
      <c r="E1186" s="0" t="n">
        <v>1</v>
      </c>
      <c r="F1186" s="23" t="s">
        <v>789</v>
      </c>
      <c r="G1186" s="0" t="n">
        <v>39.9</v>
      </c>
      <c r="H1186" s="0" t="n">
        <v>36</v>
      </c>
      <c r="I1186" s="23" t="s">
        <v>97</v>
      </c>
      <c r="J1186" s="0" t="n">
        <v>389</v>
      </c>
      <c r="K1186" s="0" t="n">
        <v>67</v>
      </c>
      <c r="M1186" s="0" t="n">
        <v>852.72</v>
      </c>
      <c r="N1186" s="0" t="n">
        <v>70.65</v>
      </c>
      <c r="O1186" s="0" t="n">
        <v>34.92</v>
      </c>
      <c r="P1186" s="0" t="n">
        <v>4.38</v>
      </c>
      <c r="Q1186" s="0" t="n">
        <v>4.47</v>
      </c>
      <c r="R1186" s="0" t="n">
        <v>4935</v>
      </c>
      <c r="S1186" s="0" t="n">
        <v>10551</v>
      </c>
      <c r="T1186" s="0" t="n">
        <v>55.55</v>
      </c>
      <c r="U1186" s="0" t="n">
        <v>1087</v>
      </c>
      <c r="V1186" s="0" t="n">
        <v>10</v>
      </c>
      <c r="W1186" s="0" t="str">
        <f aca="false">IF(OR(AND(B1186&gt;=1,B1186&lt;=6),B1186=10),"Vaca em lactação",IF(I1186="Male","Macho",IF(E1186&gt;=1,"Vaca seca",IF(I1186="Youngstock","Bezerra/recria","Novilha"))))</f>
        <v>Vaca em lactação</v>
      </c>
      <c r="X1186" s="0" t="str">
        <f aca="false">IF(AND(B1186&gt;=1,B1186&lt;=6),"Tanque",IF(B1186=10,"Descarte",""))</f>
        <v>Tanque</v>
      </c>
    </row>
    <row r="1187" customFormat="false" ht="15" hidden="false" customHeight="false" outlineLevel="0" collapsed="false">
      <c r="A1187" s="22" t="n">
        <v>46309</v>
      </c>
      <c r="B1187" s="0" t="n">
        <v>5</v>
      </c>
      <c r="C1187" s="0" t="n">
        <v>5058</v>
      </c>
      <c r="D1187" s="0" t="n">
        <v>421</v>
      </c>
      <c r="E1187" s="0" t="n">
        <v>1</v>
      </c>
      <c r="F1187" s="23" t="s">
        <v>790</v>
      </c>
      <c r="G1187" s="0" t="n">
        <v>30.5</v>
      </c>
      <c r="H1187" s="0" t="n">
        <v>32</v>
      </c>
      <c r="I1187" s="23" t="s">
        <v>92</v>
      </c>
      <c r="J1187" s="0" t="n">
        <v>344</v>
      </c>
      <c r="K1187" s="0" t="n">
        <v>64</v>
      </c>
      <c r="L1187" s="0" t="n">
        <v>77</v>
      </c>
      <c r="M1187" s="0" t="n">
        <v>323.66</v>
      </c>
      <c r="N1187" s="0" t="n">
        <v>45.79</v>
      </c>
      <c r="O1187" s="0" t="n">
        <v>26.22</v>
      </c>
      <c r="P1187" s="0" t="n">
        <v>5.08</v>
      </c>
      <c r="Q1187" s="0" t="n">
        <v>4.37</v>
      </c>
      <c r="R1187" s="0" t="n">
        <v>4211</v>
      </c>
      <c r="S1187" s="0" t="n">
        <v>8818</v>
      </c>
      <c r="T1187" s="0" t="n">
        <v>47.35</v>
      </c>
      <c r="U1187" s="0" t="n">
        <v>1082</v>
      </c>
      <c r="V1187" s="0" t="n">
        <v>7</v>
      </c>
      <c r="W1187" s="0" t="str">
        <f aca="false">IF(OR(AND(B1187&gt;=1,B1187&lt;=6),B1187=10),"Vaca em lactação",IF(I1187="Male","Macho",IF(E1187&gt;=1,"Vaca seca",IF(I1187="Youngstock","Bezerra/recria","Novilha"))))</f>
        <v>Vaca em lactação</v>
      </c>
      <c r="X1187" s="0" t="str">
        <f aca="false">IF(AND(B1187&gt;=1,B1187&lt;=6),"Tanque",IF(B1187=10,"Descarte",""))</f>
        <v>Tanque</v>
      </c>
    </row>
    <row r="1188" customFormat="false" ht="15" hidden="false" customHeight="false" outlineLevel="0" collapsed="false">
      <c r="A1188" s="22" t="n">
        <v>46309</v>
      </c>
      <c r="B1188" s="0" t="n">
        <v>5</v>
      </c>
      <c r="C1188" s="0" t="n">
        <v>5108</v>
      </c>
      <c r="D1188" s="0" t="n">
        <v>392</v>
      </c>
      <c r="E1188" s="0" t="n">
        <v>1</v>
      </c>
      <c r="F1188" s="23" t="s">
        <v>791</v>
      </c>
      <c r="G1188" s="0" t="n">
        <v>42.5</v>
      </c>
      <c r="H1188" s="0" t="n">
        <v>38</v>
      </c>
      <c r="I1188" s="23" t="s">
        <v>92</v>
      </c>
      <c r="J1188" s="0" t="n">
        <v>238</v>
      </c>
      <c r="K1188" s="0" t="n">
        <v>63</v>
      </c>
      <c r="L1188" s="0" t="n">
        <v>154</v>
      </c>
      <c r="M1188" s="0" t="n">
        <v>956.65</v>
      </c>
      <c r="N1188" s="0" t="n">
        <v>78.76</v>
      </c>
      <c r="O1188" s="0" t="n">
        <v>48.78</v>
      </c>
      <c r="P1188" s="0" t="n">
        <v>5.42</v>
      </c>
      <c r="Q1188" s="0" t="n">
        <v>4.01</v>
      </c>
      <c r="R1188" s="0" t="n">
        <v>3969</v>
      </c>
      <c r="S1188" s="0" t="n">
        <v>8026</v>
      </c>
      <c r="T1188" s="0" t="n">
        <v>42.05</v>
      </c>
      <c r="U1188" s="0" t="n">
        <v>1062</v>
      </c>
      <c r="V1188" s="0" t="n">
        <v>6</v>
      </c>
      <c r="W1188" s="0" t="str">
        <f aca="false">IF(OR(AND(B1188&gt;=1,B1188&lt;=6),B1188=10),"Vaca em lactação",IF(I1188="Male","Macho",IF(E1188&gt;=1,"Vaca seca",IF(I1188="Youngstock","Bezerra/recria","Novilha"))))</f>
        <v>Vaca em lactação</v>
      </c>
      <c r="X1188" s="0" t="str">
        <f aca="false">IF(AND(B1188&gt;=1,B1188&lt;=6),"Tanque",IF(B1188=10,"Descarte",""))</f>
        <v>Tanque</v>
      </c>
    </row>
    <row r="1189" customFormat="false" ht="15" hidden="false" customHeight="false" outlineLevel="0" collapsed="false">
      <c r="A1189" s="22" t="n">
        <v>46309</v>
      </c>
      <c r="B1189" s="0" t="n">
        <v>5</v>
      </c>
      <c r="C1189" s="0" t="n">
        <v>5106</v>
      </c>
      <c r="D1189" s="0" t="n">
        <v>66</v>
      </c>
      <c r="E1189" s="0" t="n">
        <v>2</v>
      </c>
      <c r="F1189" s="23" t="s">
        <v>792</v>
      </c>
      <c r="G1189" s="0" t="n">
        <v>40</v>
      </c>
      <c r="H1189" s="0" t="n">
        <v>41</v>
      </c>
      <c r="I1189" s="23" t="s">
        <v>109</v>
      </c>
      <c r="J1189" s="0" t="n">
        <v>66</v>
      </c>
      <c r="M1189" s="0" t="n">
        <v>-116.63</v>
      </c>
      <c r="N1189" s="0" t="n">
        <v>60.01</v>
      </c>
      <c r="O1189" s="0" t="n">
        <v>20.72</v>
      </c>
      <c r="P1189" s="0" t="n">
        <v>4.46</v>
      </c>
      <c r="Q1189" s="0" t="n">
        <v>3.86</v>
      </c>
      <c r="R1189" s="0" t="n">
        <v>3214</v>
      </c>
      <c r="S1189" s="0" t="n">
        <v>6462</v>
      </c>
      <c r="U1189" s="0" t="n">
        <v>1063</v>
      </c>
      <c r="V1189" s="0" t="n">
        <v>0</v>
      </c>
      <c r="W1189" s="0" t="str">
        <f aca="false">IF(OR(AND(B1189&gt;=1,B1189&lt;=6),B1189=10),"Vaca em lactação",IF(I1189="Male","Macho",IF(E1189&gt;=1,"Vaca seca",IF(I1189="Youngstock","Bezerra/recria","Novilha"))))</f>
        <v>Vaca em lactação</v>
      </c>
      <c r="X1189" s="0" t="str">
        <f aca="false">IF(AND(B1189&gt;=1,B1189&lt;=6),"Tanque",IF(B1189=10,"Descarte",""))</f>
        <v>Tanque</v>
      </c>
    </row>
    <row r="1190" customFormat="false" ht="15" hidden="false" customHeight="false" outlineLevel="0" collapsed="false">
      <c r="A1190" s="22" t="n">
        <v>46309</v>
      </c>
      <c r="B1190" s="0" t="n">
        <v>5</v>
      </c>
      <c r="C1190" s="0" t="n">
        <v>5115</v>
      </c>
      <c r="D1190" s="0" t="n">
        <v>154</v>
      </c>
      <c r="E1190" s="0" t="n">
        <v>2</v>
      </c>
      <c r="F1190" s="23" t="s">
        <v>461</v>
      </c>
      <c r="G1190" s="0" t="n">
        <v>44.9</v>
      </c>
      <c r="H1190" s="0" t="n">
        <v>42</v>
      </c>
      <c r="I1190" s="23" t="s">
        <v>92</v>
      </c>
      <c r="J1190" s="0" t="n">
        <v>84</v>
      </c>
      <c r="K1190" s="0" t="n">
        <v>84</v>
      </c>
      <c r="L1190" s="0" t="n">
        <v>70</v>
      </c>
      <c r="M1190" s="0" t="n">
        <v>949.67</v>
      </c>
      <c r="N1190" s="0" t="n">
        <v>31.69</v>
      </c>
      <c r="O1190" s="0" t="n">
        <v>32.84</v>
      </c>
      <c r="P1190" s="0" t="n">
        <v>3.1</v>
      </c>
      <c r="Q1190" s="0" t="n">
        <v>4.05</v>
      </c>
      <c r="R1190" s="0" t="n">
        <v>3848</v>
      </c>
      <c r="S1190" s="0" t="n">
        <v>8004</v>
      </c>
      <c r="T1190" s="0" t="n">
        <v>39.65</v>
      </c>
      <c r="U1190" s="0" t="n">
        <v>1058</v>
      </c>
      <c r="V1190" s="0" t="n">
        <v>1</v>
      </c>
      <c r="W1190" s="0" t="str">
        <f aca="false">IF(OR(AND(B1190&gt;=1,B1190&lt;=6),B1190=10),"Vaca em lactação",IF(I1190="Male","Macho",IF(E1190&gt;=1,"Vaca seca",IF(I1190="Youngstock","Bezerra/recria","Novilha"))))</f>
        <v>Vaca em lactação</v>
      </c>
      <c r="X1190" s="0" t="str">
        <f aca="false">IF(AND(B1190&gt;=1,B1190&lt;=6),"Tanque",IF(B1190=10,"Descarte",""))</f>
        <v>Tanque</v>
      </c>
    </row>
    <row r="1191" customFormat="false" ht="15" hidden="false" customHeight="false" outlineLevel="0" collapsed="false">
      <c r="A1191" s="22" t="n">
        <v>46309</v>
      </c>
      <c r="B1191" s="0" t="n">
        <v>5</v>
      </c>
      <c r="C1191" s="0" t="n">
        <v>5111</v>
      </c>
      <c r="D1191" s="0" t="n">
        <v>438</v>
      </c>
      <c r="E1191" s="0" t="n">
        <v>1</v>
      </c>
      <c r="F1191" s="23" t="s">
        <v>793</v>
      </c>
      <c r="G1191" s="0" t="n">
        <v>26.8</v>
      </c>
      <c r="H1191" s="0" t="n">
        <v>33</v>
      </c>
      <c r="I1191" s="23" t="s">
        <v>92</v>
      </c>
      <c r="J1191" s="0" t="n">
        <v>354</v>
      </c>
      <c r="K1191" s="0" t="n">
        <v>60</v>
      </c>
      <c r="L1191" s="0" t="n">
        <v>84</v>
      </c>
      <c r="M1191" s="0" t="n">
        <v>837.56</v>
      </c>
      <c r="N1191" s="0" t="n">
        <v>79.41</v>
      </c>
      <c r="O1191" s="0" t="n">
        <v>41.79</v>
      </c>
      <c r="P1191" s="0" t="n">
        <v>5.8</v>
      </c>
      <c r="Q1191" s="0" t="n">
        <v>5.05</v>
      </c>
      <c r="R1191" s="0" t="n">
        <v>4336</v>
      </c>
      <c r="S1191" s="0" t="n">
        <v>7797</v>
      </c>
      <c r="T1191" s="0" t="n">
        <v>46.8</v>
      </c>
      <c r="U1191" s="0" t="n">
        <v>1061</v>
      </c>
      <c r="V1191" s="0" t="n">
        <v>8</v>
      </c>
      <c r="W1191" s="0" t="str">
        <f aca="false">IF(OR(AND(B1191&gt;=1,B1191&lt;=6),B1191=10),"Vaca em lactação",IF(I1191="Male","Macho",IF(E1191&gt;=1,"Vaca seca",IF(I1191="Youngstock","Bezerra/recria","Novilha"))))</f>
        <v>Vaca em lactação</v>
      </c>
      <c r="X1191" s="0" t="str">
        <f aca="false">IF(AND(B1191&gt;=1,B1191&lt;=6),"Tanque",IF(B1191=10,"Descarte",""))</f>
        <v>Tanque</v>
      </c>
    </row>
    <row r="1192" customFormat="false" ht="15" hidden="false" customHeight="false" outlineLevel="0" collapsed="false">
      <c r="A1192" s="22" t="n">
        <v>46309</v>
      </c>
      <c r="B1192" s="0" t="n">
        <v>5</v>
      </c>
      <c r="C1192" s="0" t="n">
        <v>5123</v>
      </c>
      <c r="D1192" s="0" t="n">
        <v>109</v>
      </c>
      <c r="E1192" s="0" t="n">
        <v>2</v>
      </c>
      <c r="F1192" s="23" t="s">
        <v>280</v>
      </c>
      <c r="G1192" s="0" t="n">
        <v>16.6</v>
      </c>
      <c r="H1192" s="0" t="n">
        <v>25</v>
      </c>
      <c r="I1192" s="23" t="s">
        <v>92</v>
      </c>
      <c r="J1192" s="0" t="n">
        <v>67</v>
      </c>
      <c r="K1192" s="0" t="n">
        <v>67</v>
      </c>
      <c r="L1192" s="0" t="n">
        <v>42</v>
      </c>
      <c r="M1192" s="0" t="n">
        <v>173.11</v>
      </c>
      <c r="N1192" s="0" t="n">
        <v>80.95</v>
      </c>
      <c r="O1192" s="0" t="n">
        <v>26.43</v>
      </c>
      <c r="P1192" s="0" t="n">
        <v>5.51</v>
      </c>
      <c r="Q1192" s="0" t="n">
        <v>3.97</v>
      </c>
      <c r="R1192" s="0" t="n">
        <v>3056</v>
      </c>
      <c r="S1192" s="0" t="n">
        <v>6079</v>
      </c>
      <c r="T1192" s="0" t="n">
        <v>36.95</v>
      </c>
      <c r="U1192" s="0" t="n">
        <v>1056</v>
      </c>
      <c r="V1192" s="0" t="n">
        <v>1</v>
      </c>
      <c r="W1192" s="0" t="str">
        <f aca="false">IF(OR(AND(B1192&gt;=1,B1192&lt;=6),B1192=10),"Vaca em lactação",IF(I1192="Male","Macho",IF(E1192&gt;=1,"Vaca seca",IF(I1192="Youngstock","Bezerra/recria","Novilha"))))</f>
        <v>Vaca em lactação</v>
      </c>
      <c r="X1192" s="0" t="str">
        <f aca="false">IF(AND(B1192&gt;=1,B1192&lt;=6),"Tanque",IF(B1192=10,"Descarte",""))</f>
        <v>Tanque</v>
      </c>
    </row>
    <row r="1193" customFormat="false" ht="15" hidden="false" customHeight="false" outlineLevel="0" collapsed="false">
      <c r="A1193" s="22" t="n">
        <v>46309</v>
      </c>
      <c r="B1193" s="0" t="n">
        <v>5</v>
      </c>
      <c r="C1193" s="0" t="n">
        <v>5085</v>
      </c>
      <c r="D1193" s="0" t="n">
        <v>145</v>
      </c>
      <c r="E1193" s="0" t="n">
        <v>2</v>
      </c>
      <c r="F1193" s="23" t="s">
        <v>462</v>
      </c>
      <c r="G1193" s="0" t="n">
        <v>51.9</v>
      </c>
      <c r="H1193" s="0" t="n">
        <v>48</v>
      </c>
      <c r="I1193" s="23" t="s">
        <v>92</v>
      </c>
      <c r="J1193" s="0" t="n">
        <v>68</v>
      </c>
      <c r="K1193" s="0" t="n">
        <v>68</v>
      </c>
      <c r="L1193" s="0" t="n">
        <v>77</v>
      </c>
      <c r="M1193" s="0" t="n">
        <v>618.99</v>
      </c>
      <c r="N1193" s="0" t="n">
        <v>65.2</v>
      </c>
      <c r="O1193" s="0" t="n">
        <v>24.79</v>
      </c>
      <c r="P1193" s="0" t="n">
        <v>4.83</v>
      </c>
      <c r="Q1193" s="0" t="n">
        <v>3.41</v>
      </c>
      <c r="R1193" s="0" t="n">
        <v>4471</v>
      </c>
      <c r="S1193" s="0" t="n">
        <v>9244</v>
      </c>
      <c r="T1193" s="0" t="n">
        <v>49.7</v>
      </c>
      <c r="U1193" s="0" t="n">
        <v>1069</v>
      </c>
      <c r="V1193" s="0" t="n">
        <v>1</v>
      </c>
      <c r="W1193" s="0" t="str">
        <f aca="false">IF(OR(AND(B1193&gt;=1,B1193&lt;=6),B1193=10),"Vaca em lactação",IF(I1193="Male","Macho",IF(E1193&gt;=1,"Vaca seca",IF(I1193="Youngstock","Bezerra/recria","Novilha"))))</f>
        <v>Vaca em lactação</v>
      </c>
      <c r="X1193" s="0" t="str">
        <f aca="false">IF(AND(B1193&gt;=1,B1193&lt;=6),"Tanque",IF(B1193=10,"Descarte",""))</f>
        <v>Tanque</v>
      </c>
    </row>
    <row r="1194" customFormat="false" ht="15" hidden="false" customHeight="false" outlineLevel="0" collapsed="false">
      <c r="A1194" s="22" t="n">
        <v>46309</v>
      </c>
      <c r="B1194" s="0" t="n">
        <v>5</v>
      </c>
      <c r="C1194" s="0" t="n">
        <v>5082</v>
      </c>
      <c r="D1194" s="0" t="n">
        <v>97</v>
      </c>
      <c r="E1194" s="0" t="n">
        <v>2</v>
      </c>
      <c r="F1194" s="23" t="s">
        <v>462</v>
      </c>
      <c r="G1194" s="0" t="n">
        <v>44</v>
      </c>
      <c r="H1194" s="0" t="n">
        <v>41</v>
      </c>
      <c r="I1194" s="23" t="s">
        <v>92</v>
      </c>
      <c r="J1194" s="0" t="n">
        <v>62</v>
      </c>
      <c r="K1194" s="0" t="n">
        <v>62</v>
      </c>
      <c r="L1194" s="0" t="n">
        <v>35</v>
      </c>
      <c r="M1194" s="0" t="n">
        <v>-471.42</v>
      </c>
      <c r="N1194" s="0" t="n">
        <v>83.17</v>
      </c>
      <c r="O1194" s="0" t="n">
        <v>22.6</v>
      </c>
      <c r="P1194" s="0" t="n">
        <v>4.59</v>
      </c>
      <c r="Q1194" s="0" t="n">
        <v>3.92</v>
      </c>
      <c r="R1194" s="0" t="n">
        <v>3680</v>
      </c>
      <c r="S1194" s="0" t="n">
        <v>7397</v>
      </c>
      <c r="T1194" s="0" t="n">
        <v>39.25</v>
      </c>
      <c r="U1194" s="0" t="n">
        <v>1069</v>
      </c>
      <c r="V1194" s="0" t="n">
        <v>1</v>
      </c>
      <c r="W1194" s="0" t="str">
        <f aca="false">IF(OR(AND(B1194&gt;=1,B1194&lt;=6),B1194=10),"Vaca em lactação",IF(I1194="Male","Macho",IF(E1194&gt;=1,"Vaca seca",IF(I1194="Youngstock","Bezerra/recria","Novilha"))))</f>
        <v>Vaca em lactação</v>
      </c>
      <c r="X1194" s="0" t="str">
        <f aca="false">IF(AND(B1194&gt;=1,B1194&lt;=6),"Tanque",IF(B1194=10,"Descarte",""))</f>
        <v>Tanque</v>
      </c>
    </row>
    <row r="1195" customFormat="false" ht="15" hidden="false" customHeight="false" outlineLevel="0" collapsed="false">
      <c r="A1195" s="22" t="n">
        <v>46309</v>
      </c>
      <c r="B1195" s="0" t="n">
        <v>5</v>
      </c>
      <c r="C1195" s="0" t="n">
        <v>5089</v>
      </c>
      <c r="D1195" s="0" t="n">
        <v>64</v>
      </c>
      <c r="E1195" s="0" t="n">
        <v>2</v>
      </c>
      <c r="F1195" s="23" t="s">
        <v>281</v>
      </c>
      <c r="G1195" s="0" t="n">
        <v>41.8</v>
      </c>
      <c r="H1195" s="0" t="n">
        <v>38</v>
      </c>
      <c r="I1195" s="23" t="s">
        <v>94</v>
      </c>
      <c r="J1195" s="0" t="n">
        <v>64</v>
      </c>
      <c r="M1195" s="0" t="n">
        <v>394.83</v>
      </c>
      <c r="N1195" s="0" t="n">
        <v>58.46</v>
      </c>
      <c r="O1195" s="0" t="n">
        <v>31.93</v>
      </c>
      <c r="P1195" s="0" t="n">
        <v>3.78</v>
      </c>
      <c r="Q1195" s="0" t="n">
        <v>3.32</v>
      </c>
      <c r="R1195" s="0" t="n">
        <v>2917</v>
      </c>
      <c r="S1195" s="0" t="n">
        <v>5863</v>
      </c>
      <c r="U1195" s="0" t="n">
        <v>1068</v>
      </c>
      <c r="V1195" s="0" t="n">
        <v>0</v>
      </c>
      <c r="W1195" s="0" t="str">
        <f aca="false">IF(OR(AND(B1195&gt;=1,B1195&lt;=6),B1195=10),"Vaca em lactação",IF(I1195="Male","Macho",IF(E1195&gt;=1,"Vaca seca",IF(I1195="Youngstock","Bezerra/recria","Novilha"))))</f>
        <v>Vaca em lactação</v>
      </c>
      <c r="X1195" s="0" t="str">
        <f aca="false">IF(AND(B1195&gt;=1,B1195&lt;=6),"Tanque",IF(B1195=10,"Descarte",""))</f>
        <v>Tanque</v>
      </c>
    </row>
    <row r="1196" customFormat="false" ht="15" hidden="false" customHeight="false" outlineLevel="0" collapsed="false">
      <c r="A1196" s="22" t="n">
        <v>46309</v>
      </c>
      <c r="B1196" s="0" t="n">
        <v>5</v>
      </c>
      <c r="C1196" s="0" t="n">
        <v>5096</v>
      </c>
      <c r="D1196" s="0" t="n">
        <v>391</v>
      </c>
      <c r="E1196" s="0" t="n">
        <v>1</v>
      </c>
      <c r="F1196" s="23" t="s">
        <v>282</v>
      </c>
      <c r="G1196" s="0" t="n">
        <v>40.2</v>
      </c>
      <c r="H1196" s="0" t="n">
        <v>40</v>
      </c>
      <c r="I1196" s="23" t="s">
        <v>92</v>
      </c>
      <c r="J1196" s="0" t="n">
        <v>206</v>
      </c>
      <c r="K1196" s="0" t="n">
        <v>76</v>
      </c>
      <c r="L1196" s="0" t="n">
        <v>185</v>
      </c>
      <c r="M1196" s="0" t="n">
        <v>1106.73</v>
      </c>
      <c r="N1196" s="0" t="n">
        <v>63.03</v>
      </c>
      <c r="O1196" s="0" t="n">
        <v>36.48</v>
      </c>
      <c r="P1196" s="0" t="n">
        <v>3.34</v>
      </c>
      <c r="Q1196" s="0" t="n">
        <v>3.81</v>
      </c>
      <c r="R1196" s="0" t="n">
        <v>4662</v>
      </c>
      <c r="S1196" s="0" t="n">
        <v>10030</v>
      </c>
      <c r="T1196" s="0" t="n">
        <v>51.2</v>
      </c>
      <c r="U1196" s="0" t="n">
        <v>1067</v>
      </c>
      <c r="V1196" s="0" t="n">
        <v>5</v>
      </c>
      <c r="W1196" s="0" t="str">
        <f aca="false">IF(OR(AND(B1196&gt;=1,B1196&lt;=6),B1196=10),"Vaca em lactação",IF(I1196="Male","Macho",IF(E1196&gt;=1,"Vaca seca",IF(I1196="Youngstock","Bezerra/recria","Novilha"))))</f>
        <v>Vaca em lactação</v>
      </c>
      <c r="X1196" s="0" t="str">
        <f aca="false">IF(AND(B1196&gt;=1,B1196&lt;=6),"Tanque",IF(B1196=10,"Descarte",""))</f>
        <v>Tanque</v>
      </c>
    </row>
    <row r="1197" customFormat="false" ht="15" hidden="false" customHeight="false" outlineLevel="0" collapsed="false">
      <c r="A1197" s="22" t="n">
        <v>46309</v>
      </c>
      <c r="B1197" s="0" t="n">
        <v>5</v>
      </c>
      <c r="C1197" s="0" t="n">
        <v>5094</v>
      </c>
      <c r="D1197" s="0" t="n">
        <v>113</v>
      </c>
      <c r="E1197" s="0" t="n">
        <v>2</v>
      </c>
      <c r="F1197" s="23" t="s">
        <v>282</v>
      </c>
      <c r="G1197" s="0" t="n">
        <v>39.8</v>
      </c>
      <c r="H1197" s="0" t="n">
        <v>39</v>
      </c>
      <c r="I1197" s="23" t="s">
        <v>97</v>
      </c>
      <c r="J1197" s="0" t="n">
        <v>113</v>
      </c>
      <c r="K1197" s="0" t="n">
        <v>64</v>
      </c>
      <c r="M1197" s="0" t="n">
        <v>554.65</v>
      </c>
      <c r="N1197" s="0" t="n">
        <v>62.66</v>
      </c>
      <c r="O1197" s="0" t="n">
        <v>34.44</v>
      </c>
      <c r="P1197" s="0" t="n">
        <v>3.8</v>
      </c>
      <c r="Q1197" s="0" t="n">
        <v>3.53</v>
      </c>
      <c r="R1197" s="0" t="n">
        <v>3921</v>
      </c>
      <c r="S1197" s="0" t="n">
        <v>7924</v>
      </c>
      <c r="T1197" s="0" t="n">
        <v>44.65</v>
      </c>
      <c r="U1197" s="0" t="n">
        <v>1067</v>
      </c>
      <c r="V1197" s="0" t="n">
        <v>2</v>
      </c>
      <c r="W1197" s="0" t="str">
        <f aca="false">IF(OR(AND(B1197&gt;=1,B1197&lt;=6),B1197=10),"Vaca em lactação",IF(I1197="Male","Macho",IF(E1197&gt;=1,"Vaca seca",IF(I1197="Youngstock","Bezerra/recria","Novilha"))))</f>
        <v>Vaca em lactação</v>
      </c>
      <c r="X1197" s="0" t="str">
        <f aca="false">IF(AND(B1197&gt;=1,B1197&lt;=6),"Tanque",IF(B1197=10,"Descarte",""))</f>
        <v>Tanque</v>
      </c>
    </row>
    <row r="1198" customFormat="false" ht="15" hidden="false" customHeight="false" outlineLevel="0" collapsed="false">
      <c r="A1198" s="22" t="n">
        <v>46309</v>
      </c>
      <c r="B1198" s="0" t="n">
        <v>5</v>
      </c>
      <c r="C1198" s="0" t="n">
        <v>5102</v>
      </c>
      <c r="D1198" s="0" t="n">
        <v>443</v>
      </c>
      <c r="E1198" s="0" t="n">
        <v>1</v>
      </c>
      <c r="F1198" s="23" t="s">
        <v>596</v>
      </c>
      <c r="G1198" s="0" t="n">
        <v>31.5</v>
      </c>
      <c r="H1198" s="0" t="n">
        <v>23</v>
      </c>
      <c r="I1198" s="23" t="s">
        <v>92</v>
      </c>
      <c r="J1198" s="0" t="n">
        <v>290</v>
      </c>
      <c r="K1198" s="0" t="n">
        <v>65</v>
      </c>
      <c r="L1198" s="0" t="n">
        <v>153</v>
      </c>
      <c r="M1198" s="0" t="n">
        <v>809.34</v>
      </c>
      <c r="N1198" s="0" t="n">
        <v>66.23</v>
      </c>
      <c r="O1198" s="0" t="n">
        <v>32.33</v>
      </c>
      <c r="P1198" s="0" t="n">
        <v>4.76</v>
      </c>
      <c r="Q1198" s="0" t="n">
        <v>4.12</v>
      </c>
      <c r="R1198" s="0" t="n">
        <v>3489</v>
      </c>
      <c r="S1198" s="0" t="n">
        <v>6596</v>
      </c>
      <c r="T1198" s="0" t="n">
        <v>38.5</v>
      </c>
      <c r="U1198" s="0" t="n">
        <v>1065</v>
      </c>
      <c r="V1198" s="0" t="n">
        <v>3</v>
      </c>
      <c r="W1198" s="0" t="str">
        <f aca="false">IF(OR(AND(B1198&gt;=1,B1198&lt;=6),B1198=10),"Vaca em lactação",IF(I1198="Male","Macho",IF(E1198&gt;=1,"Vaca seca",IF(I1198="Youngstock","Bezerra/recria","Novilha"))))</f>
        <v>Vaca em lactação</v>
      </c>
      <c r="X1198" s="0" t="str">
        <f aca="false">IF(AND(B1198&gt;=1,B1198&lt;=6),"Tanque",IF(B1198=10,"Descarte",""))</f>
        <v>Tanque</v>
      </c>
    </row>
    <row r="1199" customFormat="false" ht="15" hidden="false" customHeight="false" outlineLevel="0" collapsed="false">
      <c r="A1199" s="22" t="n">
        <v>46309</v>
      </c>
      <c r="B1199" s="0" t="n">
        <v>5</v>
      </c>
      <c r="C1199" s="0" t="n">
        <v>5003</v>
      </c>
      <c r="D1199" s="0" t="n">
        <v>66</v>
      </c>
      <c r="E1199" s="0" t="n">
        <v>2</v>
      </c>
      <c r="F1199" s="23" t="s">
        <v>794</v>
      </c>
      <c r="G1199" s="0" t="n">
        <v>35</v>
      </c>
      <c r="H1199" s="0" t="n">
        <v>35</v>
      </c>
      <c r="I1199" s="23" t="s">
        <v>109</v>
      </c>
      <c r="J1199" s="0" t="n">
        <v>66</v>
      </c>
      <c r="M1199" s="0" t="n">
        <v>346.12</v>
      </c>
      <c r="N1199" s="0" t="n">
        <v>52.43</v>
      </c>
      <c r="O1199" s="0" t="n">
        <v>25.62</v>
      </c>
      <c r="P1199" s="0" t="n">
        <v>5.37</v>
      </c>
      <c r="Q1199" s="0" t="n">
        <v>4.2</v>
      </c>
      <c r="R1199" s="0" t="n">
        <v>2995</v>
      </c>
      <c r="S1199" s="0" t="n">
        <v>6020</v>
      </c>
      <c r="U1199" s="0" t="n">
        <v>1118</v>
      </c>
      <c r="V1199" s="0" t="n">
        <v>0</v>
      </c>
      <c r="W1199" s="0" t="str">
        <f aca="false">IF(OR(AND(B1199&gt;=1,B1199&lt;=6),B1199=10),"Vaca em lactação",IF(I1199="Male","Macho",IF(E1199&gt;=1,"Vaca seca",IF(I1199="Youngstock","Bezerra/recria","Novilha"))))</f>
        <v>Vaca em lactação</v>
      </c>
      <c r="X1199" s="0" t="str">
        <f aca="false">IF(AND(B1199&gt;=1,B1199&lt;=6),"Tanque",IF(B1199=10,"Descarte",""))</f>
        <v>Tanque</v>
      </c>
    </row>
    <row r="1200" customFormat="false" ht="15" hidden="false" customHeight="false" outlineLevel="0" collapsed="false">
      <c r="A1200" s="22" t="n">
        <v>46309</v>
      </c>
      <c r="B1200" s="0" t="n">
        <v>5</v>
      </c>
      <c r="C1200" s="0" t="n">
        <v>5009</v>
      </c>
      <c r="D1200" s="0" t="n">
        <v>93</v>
      </c>
      <c r="E1200" s="0" t="n">
        <v>2</v>
      </c>
      <c r="F1200" s="23" t="s">
        <v>795</v>
      </c>
      <c r="G1200" s="0" t="n">
        <v>48.3</v>
      </c>
      <c r="H1200" s="0" t="n">
        <v>43</v>
      </c>
      <c r="I1200" s="23" t="s">
        <v>506</v>
      </c>
      <c r="J1200" s="0" t="n">
        <v>93</v>
      </c>
      <c r="M1200" s="0" t="n">
        <v>1195</v>
      </c>
      <c r="N1200" s="0" t="n">
        <v>44.88</v>
      </c>
      <c r="O1200" s="0" t="n">
        <v>41.64</v>
      </c>
      <c r="P1200" s="0" t="n">
        <v>4.04</v>
      </c>
      <c r="Q1200" s="0" t="n">
        <v>3.52</v>
      </c>
      <c r="R1200" s="0" t="n">
        <v>3424</v>
      </c>
      <c r="S1200" s="0" t="n">
        <v>6883</v>
      </c>
      <c r="T1200" s="0" t="n">
        <v>35.55</v>
      </c>
      <c r="U1200" s="0" t="n">
        <v>1114</v>
      </c>
      <c r="V1200" s="0" t="n">
        <v>0</v>
      </c>
      <c r="W1200" s="0" t="str">
        <f aca="false">IF(OR(AND(B1200&gt;=1,B1200&lt;=6),B1200=10),"Vaca em lactação",IF(I1200="Male","Macho",IF(E1200&gt;=1,"Vaca seca",IF(I1200="Youngstock","Bezerra/recria","Novilha"))))</f>
        <v>Vaca em lactação</v>
      </c>
      <c r="X1200" s="0" t="str">
        <f aca="false">IF(AND(B1200&gt;=1,B1200&lt;=6),"Tanque",IF(B1200=10,"Descarte",""))</f>
        <v>Tanque</v>
      </c>
    </row>
    <row r="1201" customFormat="false" ht="15" hidden="false" customHeight="false" outlineLevel="0" collapsed="false">
      <c r="A1201" s="22" t="n">
        <v>46309</v>
      </c>
      <c r="B1201" s="0" t="n">
        <v>5</v>
      </c>
      <c r="C1201" s="0" t="n">
        <v>4980</v>
      </c>
      <c r="D1201" s="0" t="n">
        <v>171</v>
      </c>
      <c r="E1201" s="0" t="n">
        <v>2</v>
      </c>
      <c r="F1201" s="23" t="s">
        <v>796</v>
      </c>
      <c r="G1201" s="0" t="n">
        <v>44.2</v>
      </c>
      <c r="H1201" s="0" t="n">
        <v>43</v>
      </c>
      <c r="I1201" s="23" t="s">
        <v>97</v>
      </c>
      <c r="J1201" s="0" t="n">
        <v>171</v>
      </c>
      <c r="K1201" s="0" t="n">
        <v>66</v>
      </c>
      <c r="M1201" s="0" t="n">
        <v>943.15</v>
      </c>
      <c r="N1201" s="0" t="n">
        <v>41.14</v>
      </c>
      <c r="O1201" s="0" t="n">
        <v>42.99</v>
      </c>
      <c r="P1201" s="0" t="n">
        <v>3.19</v>
      </c>
      <c r="Q1201" s="0" t="n">
        <v>3.94</v>
      </c>
      <c r="R1201" s="0" t="n">
        <v>4144</v>
      </c>
      <c r="S1201" s="0" t="n">
        <v>8932</v>
      </c>
      <c r="T1201" s="0" t="n">
        <v>48.7</v>
      </c>
      <c r="U1201" s="0" t="n">
        <v>1129</v>
      </c>
      <c r="V1201" s="0" t="n">
        <v>3</v>
      </c>
      <c r="W1201" s="0" t="str">
        <f aca="false">IF(OR(AND(B1201&gt;=1,B1201&lt;=6),B1201=10),"Vaca em lactação",IF(I1201="Male","Macho",IF(E1201&gt;=1,"Vaca seca",IF(I1201="Youngstock","Bezerra/recria","Novilha"))))</f>
        <v>Vaca em lactação</v>
      </c>
      <c r="X1201" s="0" t="str">
        <f aca="false">IF(AND(B1201&gt;=1,B1201&lt;=6),"Tanque",IF(B1201=10,"Descarte",""))</f>
        <v>Tanque</v>
      </c>
    </row>
    <row r="1202" customFormat="false" ht="15" hidden="false" customHeight="false" outlineLevel="0" collapsed="false">
      <c r="A1202" s="22" t="n">
        <v>46309</v>
      </c>
      <c r="B1202" s="0" t="n">
        <v>5</v>
      </c>
      <c r="C1202" s="0" t="n">
        <v>4979</v>
      </c>
      <c r="D1202" s="0" t="n">
        <v>128</v>
      </c>
      <c r="E1202" s="0" t="n">
        <v>2</v>
      </c>
      <c r="F1202" s="23" t="s">
        <v>797</v>
      </c>
      <c r="G1202" s="0" t="n">
        <v>46.8</v>
      </c>
      <c r="H1202" s="0" t="n">
        <v>43</v>
      </c>
      <c r="I1202" s="23" t="s">
        <v>97</v>
      </c>
      <c r="J1202" s="0" t="n">
        <v>128</v>
      </c>
      <c r="K1202" s="0" t="n">
        <v>65</v>
      </c>
      <c r="M1202" s="0" t="n">
        <v>-139.39</v>
      </c>
      <c r="N1202" s="0" t="n">
        <v>50.31</v>
      </c>
      <c r="O1202" s="0" t="n">
        <v>21.79</v>
      </c>
      <c r="P1202" s="0" t="n">
        <v>5.08</v>
      </c>
      <c r="Q1202" s="0" t="n">
        <v>3.98</v>
      </c>
      <c r="R1202" s="0" t="n">
        <v>3997</v>
      </c>
      <c r="S1202" s="0" t="n">
        <v>8150</v>
      </c>
      <c r="T1202" s="0" t="n">
        <v>41.4</v>
      </c>
      <c r="U1202" s="0" t="n">
        <v>1130</v>
      </c>
      <c r="V1202" s="0" t="n">
        <v>3</v>
      </c>
      <c r="W1202" s="0" t="str">
        <f aca="false">IF(OR(AND(B1202&gt;=1,B1202&lt;=6),B1202=10),"Vaca em lactação",IF(I1202="Male","Macho",IF(E1202&gt;=1,"Vaca seca",IF(I1202="Youngstock","Bezerra/recria","Novilha"))))</f>
        <v>Vaca em lactação</v>
      </c>
      <c r="X1202" s="0" t="str">
        <f aca="false">IF(AND(B1202&gt;=1,B1202&lt;=6),"Tanque",IF(B1202=10,"Descarte",""))</f>
        <v>Tanque</v>
      </c>
    </row>
    <row r="1203" customFormat="false" ht="15" hidden="false" customHeight="false" outlineLevel="0" collapsed="false">
      <c r="A1203" s="22" t="n">
        <v>46309</v>
      </c>
      <c r="B1203" s="0" t="n">
        <v>5</v>
      </c>
      <c r="C1203" s="0" t="n">
        <v>4977</v>
      </c>
      <c r="D1203" s="0" t="n">
        <v>74</v>
      </c>
      <c r="E1203" s="0" t="n">
        <v>2</v>
      </c>
      <c r="F1203" s="23" t="s">
        <v>798</v>
      </c>
      <c r="G1203" s="0" t="n">
        <v>38.4</v>
      </c>
      <c r="H1203" s="0" t="n">
        <v>41</v>
      </c>
      <c r="I1203" s="23" t="s">
        <v>97</v>
      </c>
      <c r="J1203" s="0" t="n">
        <v>74</v>
      </c>
      <c r="K1203" s="0" t="n">
        <v>67</v>
      </c>
      <c r="M1203" s="0" t="n">
        <v>37.62</v>
      </c>
      <c r="N1203" s="0" t="n">
        <v>47.82</v>
      </c>
      <c r="O1203" s="0" t="n">
        <v>22.81</v>
      </c>
      <c r="P1203" s="0" t="n">
        <v>3.1</v>
      </c>
      <c r="Q1203" s="0" t="n">
        <v>3.59</v>
      </c>
      <c r="R1203" s="0" t="n">
        <v>3717</v>
      </c>
      <c r="S1203" s="0" t="n">
        <v>7472</v>
      </c>
      <c r="U1203" s="0" t="n">
        <v>1131</v>
      </c>
      <c r="V1203" s="0" t="n">
        <v>1</v>
      </c>
      <c r="W1203" s="0" t="str">
        <f aca="false">IF(OR(AND(B1203&gt;=1,B1203&lt;=6),B1203=10),"Vaca em lactação",IF(I1203="Male","Macho",IF(E1203&gt;=1,"Vaca seca",IF(I1203="Youngstock","Bezerra/recria","Novilha"))))</f>
        <v>Vaca em lactação</v>
      </c>
      <c r="X1203" s="0" t="str">
        <f aca="false">IF(AND(B1203&gt;=1,B1203&lt;=6),"Tanque",IF(B1203=10,"Descarte",""))</f>
        <v>Tanque</v>
      </c>
    </row>
    <row r="1204" customFormat="false" ht="15" hidden="false" customHeight="false" outlineLevel="0" collapsed="false">
      <c r="A1204" s="22" t="n">
        <v>46309</v>
      </c>
      <c r="B1204" s="0" t="n">
        <v>5</v>
      </c>
      <c r="C1204" s="0" t="n">
        <v>4984</v>
      </c>
      <c r="D1204" s="0" t="n">
        <v>270</v>
      </c>
      <c r="E1204" s="0" t="n">
        <v>2</v>
      </c>
      <c r="F1204" s="23" t="s">
        <v>799</v>
      </c>
      <c r="G1204" s="0" t="n">
        <v>44.5</v>
      </c>
      <c r="H1204" s="0" t="n">
        <v>40</v>
      </c>
      <c r="I1204" s="23" t="s">
        <v>92</v>
      </c>
      <c r="J1204" s="0" t="n">
        <v>67</v>
      </c>
      <c r="K1204" s="0" t="n">
        <v>67</v>
      </c>
      <c r="L1204" s="0" t="n">
        <v>203</v>
      </c>
      <c r="M1204" s="0" t="n">
        <v>581.32</v>
      </c>
      <c r="N1204" s="0" t="n">
        <v>50.68</v>
      </c>
      <c r="O1204" s="0" t="n">
        <v>26.71</v>
      </c>
      <c r="P1204" s="0" t="n">
        <v>4.34</v>
      </c>
      <c r="Q1204" s="0" t="n">
        <v>3.76</v>
      </c>
      <c r="R1204" s="0" t="n">
        <v>4966</v>
      </c>
      <c r="S1204" s="0" t="n">
        <v>10465</v>
      </c>
      <c r="T1204" s="0" t="n">
        <v>49.7</v>
      </c>
      <c r="U1204" s="0" t="n">
        <v>1127</v>
      </c>
      <c r="V1204" s="0" t="n">
        <v>1</v>
      </c>
      <c r="W1204" s="0" t="str">
        <f aca="false">IF(OR(AND(B1204&gt;=1,B1204&lt;=6),B1204=10),"Vaca em lactação",IF(I1204="Male","Macho",IF(E1204&gt;=1,"Vaca seca",IF(I1204="Youngstock","Bezerra/recria","Novilha"))))</f>
        <v>Vaca em lactação</v>
      </c>
      <c r="X1204" s="0" t="str">
        <f aca="false">IF(AND(B1204&gt;=1,B1204&lt;=6),"Tanque",IF(B1204=10,"Descarte",""))</f>
        <v>Tanque</v>
      </c>
    </row>
    <row r="1205" customFormat="false" ht="15" hidden="false" customHeight="false" outlineLevel="0" collapsed="false">
      <c r="A1205" s="22" t="n">
        <v>46309</v>
      </c>
      <c r="B1205" s="0" t="n">
        <v>5</v>
      </c>
      <c r="C1205" s="0" t="n">
        <v>4983</v>
      </c>
      <c r="D1205" s="0" t="n">
        <v>111</v>
      </c>
      <c r="E1205" s="0" t="n">
        <v>2</v>
      </c>
      <c r="F1205" s="23" t="s">
        <v>800</v>
      </c>
      <c r="G1205" s="0" t="n">
        <v>44.8</v>
      </c>
      <c r="H1205" s="0" t="n">
        <v>43</v>
      </c>
      <c r="I1205" s="23" t="s">
        <v>109</v>
      </c>
      <c r="J1205" s="0" t="n">
        <v>111</v>
      </c>
      <c r="K1205" s="0" t="n">
        <v>69</v>
      </c>
      <c r="M1205" s="0" t="n">
        <v>959.55</v>
      </c>
      <c r="N1205" s="0" t="n">
        <v>89.25</v>
      </c>
      <c r="O1205" s="0" t="n">
        <v>44.89</v>
      </c>
      <c r="P1205" s="0" t="n">
        <v>4.73</v>
      </c>
      <c r="Q1205" s="0" t="n">
        <v>3.28</v>
      </c>
      <c r="R1205" s="0" t="n">
        <v>4082</v>
      </c>
      <c r="S1205" s="0" t="n">
        <v>8249</v>
      </c>
      <c r="T1205" s="0" t="n">
        <v>42</v>
      </c>
      <c r="U1205" s="0" t="n">
        <v>1128</v>
      </c>
      <c r="V1205" s="0" t="n">
        <v>1</v>
      </c>
      <c r="W1205" s="0" t="str">
        <f aca="false">IF(OR(AND(B1205&gt;=1,B1205&lt;=6),B1205=10),"Vaca em lactação",IF(I1205="Male","Macho",IF(E1205&gt;=1,"Vaca seca",IF(I1205="Youngstock","Bezerra/recria","Novilha"))))</f>
        <v>Vaca em lactação</v>
      </c>
      <c r="X1205" s="0" t="str">
        <f aca="false">IF(AND(B1205&gt;=1,B1205&lt;=6),"Tanque",IF(B1205=10,"Descarte",""))</f>
        <v>Tanque</v>
      </c>
    </row>
    <row r="1206" customFormat="false" ht="15" hidden="false" customHeight="false" outlineLevel="0" collapsed="false">
      <c r="A1206" s="22" t="n">
        <v>46309</v>
      </c>
      <c r="B1206" s="0" t="n">
        <v>5</v>
      </c>
      <c r="C1206" s="0" t="n">
        <v>4981</v>
      </c>
      <c r="D1206" s="0" t="n">
        <v>89</v>
      </c>
      <c r="E1206" s="0" t="n">
        <v>2</v>
      </c>
      <c r="F1206" s="23" t="s">
        <v>796</v>
      </c>
      <c r="G1206" s="0" t="n">
        <v>40.3</v>
      </c>
      <c r="H1206" s="0" t="n">
        <v>41</v>
      </c>
      <c r="I1206" s="23" t="s">
        <v>97</v>
      </c>
      <c r="J1206" s="0" t="n">
        <v>89</v>
      </c>
      <c r="K1206" s="0" t="n">
        <v>68</v>
      </c>
      <c r="M1206" s="0" t="n">
        <v>1037.47</v>
      </c>
      <c r="N1206" s="0" t="n">
        <v>57.61</v>
      </c>
      <c r="O1206" s="0" t="n">
        <v>44.24</v>
      </c>
      <c r="P1206" s="0" t="n">
        <v>3.16</v>
      </c>
      <c r="Q1206" s="0" t="n">
        <v>3.31</v>
      </c>
      <c r="R1206" s="0" t="n">
        <v>4189</v>
      </c>
      <c r="S1206" s="0" t="n">
        <v>8422</v>
      </c>
      <c r="U1206" s="0" t="n">
        <v>1129</v>
      </c>
      <c r="V1206" s="0" t="n">
        <v>1</v>
      </c>
      <c r="W1206" s="0" t="str">
        <f aca="false">IF(OR(AND(B1206&gt;=1,B1206&lt;=6),B1206=10),"Vaca em lactação",IF(I1206="Male","Macho",IF(E1206&gt;=1,"Vaca seca",IF(I1206="Youngstock","Bezerra/recria","Novilha"))))</f>
        <v>Vaca em lactação</v>
      </c>
      <c r="X1206" s="0" t="str">
        <f aca="false">IF(AND(B1206&gt;=1,B1206&lt;=6),"Tanque",IF(B1206=10,"Descarte",""))</f>
        <v>Tanque</v>
      </c>
    </row>
    <row r="1207" customFormat="false" ht="15" hidden="false" customHeight="false" outlineLevel="0" collapsed="false">
      <c r="A1207" s="22" t="n">
        <v>46309</v>
      </c>
      <c r="B1207" s="0" t="n">
        <v>5</v>
      </c>
      <c r="C1207" s="0" t="n">
        <v>4990</v>
      </c>
      <c r="D1207" s="0" t="n">
        <v>88</v>
      </c>
      <c r="E1207" s="0" t="n">
        <v>2</v>
      </c>
      <c r="F1207" s="23" t="s">
        <v>801</v>
      </c>
      <c r="G1207" s="0" t="n">
        <v>40.8</v>
      </c>
      <c r="H1207" s="0" t="n">
        <v>39</v>
      </c>
      <c r="I1207" s="23" t="s">
        <v>97</v>
      </c>
      <c r="J1207" s="0" t="n">
        <v>88</v>
      </c>
      <c r="K1207" s="0" t="n">
        <v>67</v>
      </c>
      <c r="M1207" s="0" t="n">
        <v>703.67</v>
      </c>
      <c r="N1207" s="0" t="n">
        <v>78.95</v>
      </c>
      <c r="O1207" s="0" t="n">
        <v>35.12</v>
      </c>
      <c r="P1207" s="0" t="n">
        <v>4.53</v>
      </c>
      <c r="Q1207" s="0" t="n">
        <v>3.45</v>
      </c>
      <c r="R1207" s="0" t="n">
        <v>3624</v>
      </c>
      <c r="S1207" s="0" t="n">
        <v>7286</v>
      </c>
      <c r="U1207" s="0" t="n">
        <v>1124</v>
      </c>
      <c r="V1207" s="0" t="n">
        <v>1</v>
      </c>
      <c r="W1207" s="0" t="str">
        <f aca="false">IF(OR(AND(B1207&gt;=1,B1207&lt;=6),B1207=10),"Vaca em lactação",IF(I1207="Male","Macho",IF(E1207&gt;=1,"Vaca seca",IF(I1207="Youngstock","Bezerra/recria","Novilha"))))</f>
        <v>Vaca em lactação</v>
      </c>
      <c r="X1207" s="0" t="str">
        <f aca="false">IF(AND(B1207&gt;=1,B1207&lt;=6),"Tanque",IF(B1207=10,"Descarte",""))</f>
        <v>Tanque</v>
      </c>
    </row>
    <row r="1208" customFormat="false" ht="15" hidden="false" customHeight="false" outlineLevel="0" collapsed="false">
      <c r="A1208" s="22" t="n">
        <v>46309</v>
      </c>
      <c r="B1208" s="0" t="n">
        <v>5</v>
      </c>
      <c r="C1208" s="0" t="n">
        <v>4989</v>
      </c>
      <c r="D1208" s="0" t="n">
        <v>111</v>
      </c>
      <c r="E1208" s="0" t="n">
        <v>2</v>
      </c>
      <c r="F1208" s="23" t="s">
        <v>801</v>
      </c>
      <c r="G1208" s="0" t="n">
        <v>46.2</v>
      </c>
      <c r="H1208" s="0" t="n">
        <v>44</v>
      </c>
      <c r="I1208" s="23" t="s">
        <v>92</v>
      </c>
      <c r="J1208" s="0" t="n">
        <v>69</v>
      </c>
      <c r="K1208" s="0" t="n">
        <v>69</v>
      </c>
      <c r="L1208" s="0" t="n">
        <v>42</v>
      </c>
      <c r="M1208" s="0" t="n">
        <v>1179.58</v>
      </c>
      <c r="N1208" s="0" t="n">
        <v>79.63</v>
      </c>
      <c r="O1208" s="0" t="n">
        <v>55.56</v>
      </c>
      <c r="P1208" s="0" t="n">
        <v>4.74</v>
      </c>
      <c r="Q1208" s="0" t="n">
        <v>3.74</v>
      </c>
      <c r="R1208" s="0" t="n">
        <v>3429</v>
      </c>
      <c r="S1208" s="0" t="n">
        <v>7106</v>
      </c>
      <c r="T1208" s="0" t="n">
        <v>43.3</v>
      </c>
      <c r="U1208" s="0" t="n">
        <v>1124</v>
      </c>
      <c r="V1208" s="0" t="n">
        <v>1</v>
      </c>
      <c r="W1208" s="0" t="str">
        <f aca="false">IF(OR(AND(B1208&gt;=1,B1208&lt;=6),B1208=10),"Vaca em lactação",IF(I1208="Male","Macho",IF(E1208&gt;=1,"Vaca seca",IF(I1208="Youngstock","Bezerra/recria","Novilha"))))</f>
        <v>Vaca em lactação</v>
      </c>
      <c r="X1208" s="0" t="str">
        <f aca="false">IF(AND(B1208&gt;=1,B1208&lt;=6),"Tanque",IF(B1208=10,"Descarte",""))</f>
        <v>Tanque</v>
      </c>
    </row>
    <row r="1209" customFormat="false" ht="15" hidden="false" customHeight="false" outlineLevel="0" collapsed="false">
      <c r="A1209" s="22" t="n">
        <v>46309</v>
      </c>
      <c r="B1209" s="0" t="n">
        <v>5</v>
      </c>
      <c r="C1209" s="0" t="n">
        <v>5038</v>
      </c>
      <c r="D1209" s="0" t="n">
        <v>475</v>
      </c>
      <c r="E1209" s="0" t="n">
        <v>1</v>
      </c>
      <c r="F1209" s="23" t="s">
        <v>802</v>
      </c>
      <c r="G1209" s="0" t="n">
        <v>39.7</v>
      </c>
      <c r="H1209" s="0" t="n">
        <v>39</v>
      </c>
      <c r="I1209" s="23" t="s">
        <v>92</v>
      </c>
      <c r="J1209" s="0" t="n">
        <v>300</v>
      </c>
      <c r="K1209" s="0" t="n">
        <v>62</v>
      </c>
      <c r="L1209" s="0" t="n">
        <v>175</v>
      </c>
      <c r="M1209" s="0" t="n">
        <v>1013.17</v>
      </c>
      <c r="N1209" s="0" t="n">
        <v>33.77</v>
      </c>
      <c r="O1209" s="0" t="n">
        <v>34.02</v>
      </c>
      <c r="P1209" s="0" t="n">
        <v>3.9</v>
      </c>
      <c r="Q1209" s="0" t="n">
        <v>3.53</v>
      </c>
      <c r="R1209" s="0" t="n">
        <v>4194</v>
      </c>
      <c r="S1209" s="0" t="n">
        <v>8862</v>
      </c>
      <c r="T1209" s="0" t="n">
        <v>48</v>
      </c>
      <c r="U1209" s="0" t="n">
        <v>1094</v>
      </c>
      <c r="V1209" s="0" t="n">
        <v>7</v>
      </c>
      <c r="W1209" s="0" t="str">
        <f aca="false">IF(OR(AND(B1209&gt;=1,B1209&lt;=6),B1209=10),"Vaca em lactação",IF(I1209="Male","Macho",IF(E1209&gt;=1,"Vaca seca",IF(I1209="Youngstock","Bezerra/recria","Novilha"))))</f>
        <v>Vaca em lactação</v>
      </c>
      <c r="X1209" s="0" t="str">
        <f aca="false">IF(AND(B1209&gt;=1,B1209&lt;=6),"Tanque",IF(B1209=10,"Descarte",""))</f>
        <v>Tanque</v>
      </c>
    </row>
    <row r="1210" customFormat="false" ht="15" hidden="false" customHeight="false" outlineLevel="0" collapsed="false">
      <c r="A1210" s="22" t="n">
        <v>46309</v>
      </c>
      <c r="B1210" s="0" t="n">
        <v>5</v>
      </c>
      <c r="C1210" s="0" t="n">
        <v>5036</v>
      </c>
      <c r="D1210" s="0" t="n">
        <v>114</v>
      </c>
      <c r="E1210" s="0" t="n">
        <v>2</v>
      </c>
      <c r="F1210" s="23" t="s">
        <v>286</v>
      </c>
      <c r="G1210" s="0" t="n">
        <v>32.9</v>
      </c>
      <c r="H1210" s="0" t="n">
        <v>32</v>
      </c>
      <c r="I1210" s="23" t="s">
        <v>97</v>
      </c>
      <c r="J1210" s="0" t="n">
        <v>114</v>
      </c>
      <c r="K1210" s="0" t="n">
        <v>72</v>
      </c>
      <c r="M1210" s="0" t="n">
        <v>1269.7</v>
      </c>
      <c r="N1210" s="0" t="n">
        <v>70.79</v>
      </c>
      <c r="O1210" s="0" t="n">
        <v>39.48</v>
      </c>
      <c r="P1210" s="0" t="n">
        <v>5.26</v>
      </c>
      <c r="Q1210" s="0" t="n">
        <v>4.22</v>
      </c>
      <c r="R1210" s="0" t="n">
        <v>2697</v>
      </c>
      <c r="S1210" s="0" t="n">
        <v>5564</v>
      </c>
      <c r="T1210" s="0" t="n">
        <v>30.05</v>
      </c>
      <c r="U1210" s="0" t="n">
        <v>1096</v>
      </c>
      <c r="V1210" s="0" t="n">
        <v>2</v>
      </c>
      <c r="W1210" s="0" t="str">
        <f aca="false">IF(OR(AND(B1210&gt;=1,B1210&lt;=6),B1210=10),"Vaca em lactação",IF(I1210="Male","Macho",IF(E1210&gt;=1,"Vaca seca",IF(I1210="Youngstock","Bezerra/recria","Novilha"))))</f>
        <v>Vaca em lactação</v>
      </c>
      <c r="X1210" s="0" t="str">
        <f aca="false">IF(AND(B1210&gt;=1,B1210&lt;=6),"Tanque",IF(B1210=10,"Descarte",""))</f>
        <v>Tanque</v>
      </c>
    </row>
    <row r="1211" customFormat="false" ht="15" hidden="false" customHeight="false" outlineLevel="0" collapsed="false">
      <c r="A1211" s="22" t="n">
        <v>46309</v>
      </c>
      <c r="B1211" s="0" t="n">
        <v>5</v>
      </c>
      <c r="C1211" s="0" t="n">
        <v>5017</v>
      </c>
      <c r="D1211" s="0" t="n">
        <v>144</v>
      </c>
      <c r="E1211" s="0" t="n">
        <v>2</v>
      </c>
      <c r="F1211" s="23" t="s">
        <v>469</v>
      </c>
      <c r="G1211" s="0" t="n">
        <v>43.1</v>
      </c>
      <c r="H1211" s="0" t="n">
        <v>38</v>
      </c>
      <c r="I1211" s="23" t="s">
        <v>97</v>
      </c>
      <c r="J1211" s="0" t="n">
        <v>144</v>
      </c>
      <c r="K1211" s="0" t="n">
        <v>67</v>
      </c>
      <c r="M1211" s="0" t="n">
        <v>137.2</v>
      </c>
      <c r="N1211" s="0" t="n">
        <v>68.56</v>
      </c>
      <c r="O1211" s="0" t="n">
        <v>19.94</v>
      </c>
      <c r="P1211" s="0" t="n">
        <v>5.15</v>
      </c>
      <c r="Q1211" s="0" t="n">
        <v>3.81</v>
      </c>
      <c r="R1211" s="0" t="n">
        <v>2854</v>
      </c>
      <c r="S1211" s="0" t="n">
        <v>6249</v>
      </c>
      <c r="T1211" s="0" t="n">
        <v>40.9</v>
      </c>
      <c r="U1211" s="0" t="n">
        <v>1112</v>
      </c>
      <c r="V1211" s="0" t="n">
        <v>4</v>
      </c>
      <c r="W1211" s="0" t="str">
        <f aca="false">IF(OR(AND(B1211&gt;=1,B1211&lt;=6),B1211=10),"Vaca em lactação",IF(I1211="Male","Macho",IF(E1211&gt;=1,"Vaca seca",IF(I1211="Youngstock","Bezerra/recria","Novilha"))))</f>
        <v>Vaca em lactação</v>
      </c>
      <c r="X1211" s="0" t="str">
        <f aca="false">IF(AND(B1211&gt;=1,B1211&lt;=6),"Tanque",IF(B1211=10,"Descarte",""))</f>
        <v>Tanque</v>
      </c>
    </row>
    <row r="1212" customFormat="false" ht="15" hidden="false" customHeight="false" outlineLevel="0" collapsed="false">
      <c r="A1212" s="22" t="n">
        <v>46309</v>
      </c>
      <c r="B1212" s="0" t="n">
        <v>5</v>
      </c>
      <c r="C1212" s="0" t="n">
        <v>5019</v>
      </c>
      <c r="D1212" s="0" t="n">
        <v>179</v>
      </c>
      <c r="E1212" s="0" t="n">
        <v>2</v>
      </c>
      <c r="F1212" s="23" t="s">
        <v>288</v>
      </c>
      <c r="G1212" s="0" t="n">
        <v>40.4</v>
      </c>
      <c r="H1212" s="0" t="n">
        <v>38</v>
      </c>
      <c r="I1212" s="23" t="s">
        <v>92</v>
      </c>
      <c r="J1212" s="0" t="n">
        <v>67</v>
      </c>
      <c r="K1212" s="0" t="n">
        <v>67</v>
      </c>
      <c r="L1212" s="0" t="n">
        <v>112</v>
      </c>
      <c r="M1212" s="0" t="n">
        <v>881.85</v>
      </c>
      <c r="N1212" s="0" t="n">
        <v>64.44</v>
      </c>
      <c r="O1212" s="0" t="n">
        <v>42.68</v>
      </c>
      <c r="P1212" s="0" t="n">
        <v>5.35</v>
      </c>
      <c r="Q1212" s="0" t="n">
        <v>4.28</v>
      </c>
      <c r="R1212" s="0" t="n">
        <v>3553</v>
      </c>
      <c r="S1212" s="0" t="n">
        <v>7497</v>
      </c>
      <c r="T1212" s="0" t="n">
        <v>43.4</v>
      </c>
      <c r="U1212" s="0" t="n">
        <v>1110</v>
      </c>
      <c r="V1212" s="0" t="n">
        <v>1</v>
      </c>
      <c r="W1212" s="0" t="str">
        <f aca="false">IF(OR(AND(B1212&gt;=1,B1212&lt;=6),B1212=10),"Vaca em lactação",IF(I1212="Male","Macho",IF(E1212&gt;=1,"Vaca seca",IF(I1212="Youngstock","Bezerra/recria","Novilha"))))</f>
        <v>Vaca em lactação</v>
      </c>
      <c r="X1212" s="0" t="str">
        <f aca="false">IF(AND(B1212&gt;=1,B1212&lt;=6),"Tanque",IF(B1212=10,"Descarte",""))</f>
        <v>Tanque</v>
      </c>
    </row>
    <row r="1213" customFormat="false" ht="15" hidden="false" customHeight="false" outlineLevel="0" collapsed="false">
      <c r="A1213" s="22" t="n">
        <v>46309</v>
      </c>
      <c r="B1213" s="0" t="n">
        <v>5</v>
      </c>
      <c r="C1213" s="0" t="n">
        <v>5222</v>
      </c>
      <c r="D1213" s="0" t="n">
        <v>361</v>
      </c>
      <c r="E1213" s="0" t="n">
        <v>1</v>
      </c>
      <c r="F1213" s="23" t="s">
        <v>597</v>
      </c>
      <c r="G1213" s="0" t="n">
        <v>40</v>
      </c>
      <c r="H1213" s="0" t="n">
        <v>35</v>
      </c>
      <c r="I1213" s="23" t="s">
        <v>92</v>
      </c>
      <c r="J1213" s="0" t="n">
        <v>235</v>
      </c>
      <c r="K1213" s="0" t="n">
        <v>68</v>
      </c>
      <c r="L1213" s="0" t="n">
        <v>126</v>
      </c>
      <c r="M1213" s="0" t="n">
        <v>746.39</v>
      </c>
      <c r="N1213" s="0" t="n">
        <v>33.2</v>
      </c>
      <c r="O1213" s="0" t="n">
        <v>31.17</v>
      </c>
      <c r="P1213" s="0" t="n">
        <v>3.57</v>
      </c>
      <c r="Q1213" s="0" t="n">
        <v>3.4</v>
      </c>
      <c r="R1213" s="0" t="n">
        <v>4064</v>
      </c>
      <c r="S1213" s="0" t="n">
        <v>9178</v>
      </c>
      <c r="T1213" s="0" t="n">
        <v>48.9</v>
      </c>
      <c r="U1213" s="0" t="n">
        <v>1010</v>
      </c>
      <c r="V1213" s="0" t="n">
        <v>6</v>
      </c>
      <c r="W1213" s="0" t="str">
        <f aca="false">IF(OR(AND(B1213&gt;=1,B1213&lt;=6),B1213=10),"Vaca em lactação",IF(I1213="Male","Macho",IF(E1213&gt;=1,"Vaca seca",IF(I1213="Youngstock","Bezerra/recria","Novilha"))))</f>
        <v>Vaca em lactação</v>
      </c>
      <c r="X1213" s="0" t="str">
        <f aca="false">IF(AND(B1213&gt;=1,B1213&lt;=6),"Tanque",IF(B1213=10,"Descarte",""))</f>
        <v>Tanque</v>
      </c>
    </row>
    <row r="1214" customFormat="false" ht="15" hidden="false" customHeight="false" outlineLevel="0" collapsed="false">
      <c r="A1214" s="22" t="n">
        <v>46309</v>
      </c>
      <c r="B1214" s="0" t="n">
        <v>5</v>
      </c>
      <c r="C1214" s="0" t="n">
        <v>5220</v>
      </c>
      <c r="D1214" s="0" t="n">
        <v>392</v>
      </c>
      <c r="E1214" s="0" t="n">
        <v>1</v>
      </c>
      <c r="F1214" s="23" t="s">
        <v>597</v>
      </c>
      <c r="G1214" s="0" t="n">
        <v>39.8</v>
      </c>
      <c r="H1214" s="0" t="n">
        <v>32</v>
      </c>
      <c r="I1214" s="23" t="s">
        <v>92</v>
      </c>
      <c r="J1214" s="0" t="n">
        <v>210</v>
      </c>
      <c r="K1214" s="0" t="n">
        <v>63</v>
      </c>
      <c r="L1214" s="0" t="n">
        <v>182</v>
      </c>
      <c r="M1214" s="0" t="n">
        <v>244.13</v>
      </c>
      <c r="N1214" s="0" t="n">
        <v>38.99</v>
      </c>
      <c r="O1214" s="0" t="n">
        <v>15.67</v>
      </c>
      <c r="P1214" s="0" t="n">
        <v>5.48</v>
      </c>
      <c r="Q1214" s="0" t="n">
        <v>3.76</v>
      </c>
      <c r="R1214" s="0" t="n">
        <v>1807</v>
      </c>
      <c r="S1214" s="0" t="n">
        <v>5164</v>
      </c>
      <c r="T1214" s="0" t="n">
        <v>24.15</v>
      </c>
      <c r="U1214" s="0" t="n">
        <v>1010</v>
      </c>
      <c r="V1214" s="0" t="n">
        <v>6</v>
      </c>
      <c r="W1214" s="0" t="str">
        <f aca="false">IF(OR(AND(B1214&gt;=1,B1214&lt;=6),B1214=10),"Vaca em lactação",IF(I1214="Male","Macho",IF(E1214&gt;=1,"Vaca seca",IF(I1214="Youngstock","Bezerra/recria","Novilha"))))</f>
        <v>Vaca em lactação</v>
      </c>
      <c r="X1214" s="0" t="str">
        <f aca="false">IF(AND(B1214&gt;=1,B1214&lt;=6),"Tanque",IF(B1214=10,"Descarte",""))</f>
        <v>Tanque</v>
      </c>
    </row>
    <row r="1215" customFormat="false" ht="15" hidden="false" customHeight="false" outlineLevel="0" collapsed="false">
      <c r="A1215" s="22" t="n">
        <v>46309</v>
      </c>
      <c r="B1215" s="0" t="n">
        <v>5</v>
      </c>
      <c r="C1215" s="0" t="n">
        <v>5229</v>
      </c>
      <c r="D1215" s="0" t="n">
        <v>373</v>
      </c>
      <c r="E1215" s="0" t="n">
        <v>1</v>
      </c>
      <c r="F1215" s="23" t="s">
        <v>600</v>
      </c>
      <c r="G1215" s="0" t="n">
        <v>45.8</v>
      </c>
      <c r="H1215" s="0" t="n">
        <v>41</v>
      </c>
      <c r="I1215" s="23" t="s">
        <v>92</v>
      </c>
      <c r="J1215" s="0" t="n">
        <v>228</v>
      </c>
      <c r="K1215" s="0" t="n">
        <v>65</v>
      </c>
      <c r="L1215" s="0" t="n">
        <v>145</v>
      </c>
      <c r="M1215" s="0" t="n">
        <v>802.16</v>
      </c>
      <c r="N1215" s="0" t="n">
        <v>63.33</v>
      </c>
      <c r="O1215" s="0" t="n">
        <v>38.99</v>
      </c>
      <c r="P1215" s="0" t="n">
        <v>3.57</v>
      </c>
      <c r="Q1215" s="0" t="n">
        <v>3.56</v>
      </c>
      <c r="R1215" s="0" t="n">
        <v>3717</v>
      </c>
      <c r="S1215" s="0" t="n">
        <v>8917</v>
      </c>
      <c r="T1215" s="0" t="n">
        <v>41.05</v>
      </c>
      <c r="U1215" s="0" t="n">
        <v>1007</v>
      </c>
      <c r="V1215" s="0" t="n">
        <v>6</v>
      </c>
      <c r="W1215" s="0" t="str">
        <f aca="false">IF(OR(AND(B1215&gt;=1,B1215&lt;=6),B1215=10),"Vaca em lactação",IF(I1215="Male","Macho",IF(E1215&gt;=1,"Vaca seca",IF(I1215="Youngstock","Bezerra/recria","Novilha"))))</f>
        <v>Vaca em lactação</v>
      </c>
      <c r="X1215" s="0" t="str">
        <f aca="false">IF(AND(B1215&gt;=1,B1215&lt;=6),"Tanque",IF(B1215=10,"Descarte",""))</f>
        <v>Tanque</v>
      </c>
    </row>
    <row r="1216" customFormat="false" ht="15" hidden="false" customHeight="false" outlineLevel="0" collapsed="false">
      <c r="A1216" s="22" t="n">
        <v>46309</v>
      </c>
      <c r="B1216" s="0" t="n">
        <v>5</v>
      </c>
      <c r="C1216" s="0" t="n">
        <v>5233</v>
      </c>
      <c r="D1216" s="0" t="n">
        <v>371</v>
      </c>
      <c r="E1216" s="0" t="n">
        <v>1</v>
      </c>
      <c r="F1216" s="23" t="s">
        <v>803</v>
      </c>
      <c r="G1216" s="0" t="n">
        <v>54.7</v>
      </c>
      <c r="H1216" s="0" t="n">
        <v>49</v>
      </c>
      <c r="I1216" s="23" t="s">
        <v>92</v>
      </c>
      <c r="J1216" s="0" t="n">
        <v>322</v>
      </c>
      <c r="K1216" s="0" t="n">
        <v>63</v>
      </c>
      <c r="L1216" s="0" t="n">
        <v>49</v>
      </c>
      <c r="M1216" s="0" t="n">
        <v>423.11</v>
      </c>
      <c r="N1216" s="0" t="n">
        <v>73.11</v>
      </c>
      <c r="O1216" s="0" t="n">
        <v>41.92</v>
      </c>
      <c r="P1216" s="0" t="n">
        <v>3.78</v>
      </c>
      <c r="Q1216" s="0" t="n">
        <v>3.97</v>
      </c>
      <c r="R1216" s="0" t="n">
        <v>5494</v>
      </c>
      <c r="S1216" s="0" t="n">
        <v>10917</v>
      </c>
      <c r="T1216" s="0" t="n">
        <v>57.35</v>
      </c>
      <c r="U1216" s="0" t="n">
        <v>1006</v>
      </c>
      <c r="V1216" s="0" t="n">
        <v>8</v>
      </c>
      <c r="W1216" s="0" t="str">
        <f aca="false">IF(OR(AND(B1216&gt;=1,B1216&lt;=6),B1216=10),"Vaca em lactação",IF(I1216="Male","Macho",IF(E1216&gt;=1,"Vaca seca",IF(I1216="Youngstock","Bezerra/recria","Novilha"))))</f>
        <v>Vaca em lactação</v>
      </c>
      <c r="X1216" s="0" t="str">
        <f aca="false">IF(AND(B1216&gt;=1,B1216&lt;=6),"Tanque",IF(B1216=10,"Descarte",""))</f>
        <v>Tanque</v>
      </c>
    </row>
    <row r="1217" customFormat="false" ht="15" hidden="false" customHeight="false" outlineLevel="0" collapsed="false">
      <c r="A1217" s="22" t="n">
        <v>46309</v>
      </c>
      <c r="B1217" s="0" t="n">
        <v>5</v>
      </c>
      <c r="C1217" s="0" t="n">
        <v>5232</v>
      </c>
      <c r="D1217" s="0" t="n">
        <v>381</v>
      </c>
      <c r="E1217" s="0" t="n">
        <v>1</v>
      </c>
      <c r="F1217" s="23" t="s">
        <v>803</v>
      </c>
      <c r="G1217" s="0" t="n">
        <v>37.1</v>
      </c>
      <c r="H1217" s="0" t="n">
        <v>33</v>
      </c>
      <c r="I1217" s="23" t="s">
        <v>92</v>
      </c>
      <c r="J1217" s="0" t="n">
        <v>332</v>
      </c>
      <c r="K1217" s="0" t="n">
        <v>66</v>
      </c>
      <c r="L1217" s="0" t="n">
        <v>49</v>
      </c>
      <c r="M1217" s="0" t="n">
        <v>493.39</v>
      </c>
      <c r="N1217" s="0" t="n">
        <v>66.4</v>
      </c>
      <c r="O1217" s="0" t="n">
        <v>32.08</v>
      </c>
      <c r="P1217" s="0" t="n">
        <v>5.16</v>
      </c>
      <c r="Q1217" s="0" t="n">
        <v>4.17</v>
      </c>
      <c r="R1217" s="0" t="n">
        <v>4616</v>
      </c>
      <c r="S1217" s="0" t="n">
        <v>9550</v>
      </c>
      <c r="T1217" s="0" t="n">
        <v>51.3</v>
      </c>
      <c r="U1217" s="0" t="n">
        <v>1006</v>
      </c>
      <c r="V1217" s="0" t="n">
        <v>7</v>
      </c>
      <c r="W1217" s="0" t="str">
        <f aca="false">IF(OR(AND(B1217&gt;=1,B1217&lt;=6),B1217=10),"Vaca em lactação",IF(I1217="Male","Macho",IF(E1217&gt;=1,"Vaca seca",IF(I1217="Youngstock","Bezerra/recria","Novilha"))))</f>
        <v>Vaca em lactação</v>
      </c>
      <c r="X1217" s="0" t="str">
        <f aca="false">IF(AND(B1217&gt;=1,B1217&lt;=6),"Tanque",IF(B1217=10,"Descarte",""))</f>
        <v>Tanque</v>
      </c>
    </row>
    <row r="1218" customFormat="false" ht="15" hidden="false" customHeight="false" outlineLevel="0" collapsed="false">
      <c r="A1218" s="22" t="n">
        <v>46309</v>
      </c>
      <c r="B1218" s="0" t="n">
        <v>5</v>
      </c>
      <c r="C1218" s="0" t="n">
        <v>5235</v>
      </c>
      <c r="D1218" s="0" t="n">
        <v>46</v>
      </c>
      <c r="E1218" s="0" t="n">
        <v>2</v>
      </c>
      <c r="F1218" s="23" t="s">
        <v>291</v>
      </c>
      <c r="G1218" s="0" t="n">
        <v>41.1</v>
      </c>
      <c r="H1218" s="0" t="n">
        <v>42</v>
      </c>
      <c r="I1218" s="23" t="s">
        <v>94</v>
      </c>
      <c r="J1218" s="0" t="n">
        <v>46</v>
      </c>
      <c r="M1218" s="0" t="n">
        <v>425.16</v>
      </c>
      <c r="N1218" s="0" t="n">
        <v>89.41</v>
      </c>
      <c r="O1218" s="0" t="n">
        <v>43.97</v>
      </c>
      <c r="P1218" s="0" t="n">
        <v>3.65</v>
      </c>
      <c r="Q1218" s="0" t="n">
        <v>4.16</v>
      </c>
      <c r="R1218" s="0" t="n">
        <v>3371</v>
      </c>
      <c r="S1218" s="0" t="n">
        <v>6776</v>
      </c>
      <c r="U1218" s="0" t="n">
        <v>1005</v>
      </c>
      <c r="V1218" s="0" t="n">
        <v>0</v>
      </c>
      <c r="W1218" s="0" t="str">
        <f aca="false">IF(OR(AND(B1218&gt;=1,B1218&lt;=6),B1218=10),"Vaca em lactação",IF(I1218="Male","Macho",IF(E1218&gt;=1,"Vaca seca",IF(I1218="Youngstock","Bezerra/recria","Novilha"))))</f>
        <v>Vaca em lactação</v>
      </c>
      <c r="X1218" s="0" t="str">
        <f aca="false">IF(AND(B1218&gt;=1,B1218&lt;=6),"Tanque",IF(B1218=10,"Descarte",""))</f>
        <v>Tanque</v>
      </c>
    </row>
    <row r="1219" customFormat="false" ht="15" hidden="false" customHeight="false" outlineLevel="0" collapsed="false">
      <c r="A1219" s="22" t="n">
        <v>46309</v>
      </c>
      <c r="B1219" s="0" t="n">
        <v>5</v>
      </c>
      <c r="C1219" s="0" t="n">
        <v>5217</v>
      </c>
      <c r="D1219" s="0" t="n">
        <v>46</v>
      </c>
      <c r="E1219" s="0" t="n">
        <v>2</v>
      </c>
      <c r="F1219" s="23" t="s">
        <v>294</v>
      </c>
      <c r="G1219" s="0" t="n">
        <v>33.9</v>
      </c>
      <c r="H1219" s="0" t="n">
        <v>39</v>
      </c>
      <c r="I1219" s="23" t="s">
        <v>94</v>
      </c>
      <c r="J1219" s="0" t="n">
        <v>46</v>
      </c>
      <c r="M1219" s="0" t="n">
        <v>164.92</v>
      </c>
      <c r="N1219" s="0" t="n">
        <v>71.99</v>
      </c>
      <c r="O1219" s="0" t="n">
        <v>28.02</v>
      </c>
      <c r="P1219" s="0" t="n">
        <v>4.18</v>
      </c>
      <c r="Q1219" s="0" t="n">
        <v>4</v>
      </c>
      <c r="R1219" s="0" t="n">
        <v>3245</v>
      </c>
      <c r="S1219" s="0" t="n">
        <v>6523</v>
      </c>
      <c r="U1219" s="0" t="n">
        <v>1014</v>
      </c>
      <c r="V1219" s="0" t="n">
        <v>0</v>
      </c>
      <c r="W1219" s="0" t="str">
        <f aca="false">IF(OR(AND(B1219&gt;=1,B1219&lt;=6),B1219=10),"Vaca em lactação",IF(I1219="Male","Macho",IF(E1219&gt;=1,"Vaca seca",IF(I1219="Youngstock","Bezerra/recria","Novilha"))))</f>
        <v>Vaca em lactação</v>
      </c>
      <c r="X1219" s="0" t="str">
        <f aca="false">IF(AND(B1219&gt;=1,B1219&lt;=6),"Tanque",IF(B1219=10,"Descarte",""))</f>
        <v>Tanque</v>
      </c>
    </row>
    <row r="1220" customFormat="false" ht="15" hidden="false" customHeight="false" outlineLevel="0" collapsed="false">
      <c r="A1220" s="22" t="n">
        <v>46309</v>
      </c>
      <c r="B1220" s="0" t="n">
        <v>5</v>
      </c>
      <c r="C1220" s="0" t="n">
        <v>5270</v>
      </c>
      <c r="D1220" s="0" t="n">
        <v>364</v>
      </c>
      <c r="E1220" s="0" t="n">
        <v>1</v>
      </c>
      <c r="F1220" s="23" t="s">
        <v>804</v>
      </c>
      <c r="G1220" s="0" t="n">
        <v>42.9</v>
      </c>
      <c r="H1220" s="0" t="n">
        <v>43</v>
      </c>
      <c r="I1220" s="23" t="s">
        <v>92</v>
      </c>
      <c r="J1220" s="0" t="n">
        <v>168</v>
      </c>
      <c r="K1220" s="0" t="n">
        <v>64</v>
      </c>
      <c r="L1220" s="0" t="n">
        <v>196</v>
      </c>
      <c r="M1220" s="0" t="n">
        <v>479.99</v>
      </c>
      <c r="N1220" s="0" t="n">
        <v>57.77</v>
      </c>
      <c r="O1220" s="0" t="n">
        <v>41.28</v>
      </c>
      <c r="P1220" s="0" t="n">
        <v>4.15</v>
      </c>
      <c r="Q1220" s="0" t="n">
        <v>3.84</v>
      </c>
      <c r="R1220" s="0" t="n">
        <v>4499</v>
      </c>
      <c r="S1220" s="0" t="n">
        <v>9317</v>
      </c>
      <c r="T1220" s="0" t="n">
        <v>52.25</v>
      </c>
      <c r="U1220" s="0" t="n">
        <v>989</v>
      </c>
      <c r="V1220" s="0" t="n">
        <v>4</v>
      </c>
      <c r="W1220" s="0" t="str">
        <f aca="false">IF(OR(AND(B1220&gt;=1,B1220&lt;=6),B1220=10),"Vaca em lactação",IF(I1220="Male","Macho",IF(E1220&gt;=1,"Vaca seca",IF(I1220="Youngstock","Bezerra/recria","Novilha"))))</f>
        <v>Vaca em lactação</v>
      </c>
      <c r="X1220" s="0" t="str">
        <f aca="false">IF(AND(B1220&gt;=1,B1220&lt;=6),"Tanque",IF(B1220=10,"Descarte",""))</f>
        <v>Tanque</v>
      </c>
    </row>
    <row r="1221" customFormat="false" ht="15" hidden="false" customHeight="false" outlineLevel="0" collapsed="false">
      <c r="A1221" s="22" t="n">
        <v>46309</v>
      </c>
      <c r="B1221" s="0" t="n">
        <v>5</v>
      </c>
      <c r="C1221" s="0" t="n">
        <v>5245</v>
      </c>
      <c r="D1221" s="0" t="n">
        <v>370</v>
      </c>
      <c r="E1221" s="0" t="n">
        <v>1</v>
      </c>
      <c r="F1221" s="23" t="s">
        <v>604</v>
      </c>
      <c r="G1221" s="0" t="n">
        <v>32.8</v>
      </c>
      <c r="H1221" s="0" t="n">
        <v>29</v>
      </c>
      <c r="I1221" s="23" t="s">
        <v>92</v>
      </c>
      <c r="J1221" s="0" t="n">
        <v>167</v>
      </c>
      <c r="K1221" s="0" t="n">
        <v>70</v>
      </c>
      <c r="L1221" s="0" t="n">
        <v>203</v>
      </c>
      <c r="M1221" s="0" t="n">
        <v>1575.81</v>
      </c>
      <c r="N1221" s="0" t="n">
        <v>31.44</v>
      </c>
      <c r="O1221" s="0" t="n">
        <v>47.99</v>
      </c>
      <c r="P1221" s="0" t="n">
        <v>2.92</v>
      </c>
      <c r="Q1221" s="0" t="n">
        <v>4.02</v>
      </c>
      <c r="R1221" s="0" t="n">
        <v>4468</v>
      </c>
      <c r="S1221" s="0" t="n">
        <v>9147</v>
      </c>
      <c r="T1221" s="0" t="n">
        <v>49.45</v>
      </c>
      <c r="U1221" s="0" t="n">
        <v>1000</v>
      </c>
      <c r="V1221" s="0" t="n">
        <v>5</v>
      </c>
      <c r="W1221" s="0" t="str">
        <f aca="false">IF(OR(AND(B1221&gt;=1,B1221&lt;=6),B1221=10),"Vaca em lactação",IF(I1221="Male","Macho",IF(E1221&gt;=1,"Vaca seca",IF(I1221="Youngstock","Bezerra/recria","Novilha"))))</f>
        <v>Vaca em lactação</v>
      </c>
      <c r="X1221" s="0" t="str">
        <f aca="false">IF(AND(B1221&gt;=1,B1221&lt;=6),"Tanque",IF(B1221=10,"Descarte",""))</f>
        <v>Tanque</v>
      </c>
    </row>
    <row r="1222" customFormat="false" ht="15" hidden="false" customHeight="false" outlineLevel="0" collapsed="false">
      <c r="A1222" s="22" t="n">
        <v>46309</v>
      </c>
      <c r="B1222" s="0" t="n">
        <v>5</v>
      </c>
      <c r="C1222" s="0" t="n">
        <v>5244</v>
      </c>
      <c r="D1222" s="0" t="n">
        <v>222</v>
      </c>
      <c r="E1222" s="0" t="n">
        <v>1</v>
      </c>
      <c r="F1222" s="23" t="s">
        <v>603</v>
      </c>
      <c r="G1222" s="0" t="n">
        <v>43.6</v>
      </c>
      <c r="H1222" s="0" t="n">
        <v>40</v>
      </c>
      <c r="I1222" s="23" t="s">
        <v>92</v>
      </c>
      <c r="J1222" s="0" t="n">
        <v>68</v>
      </c>
      <c r="K1222" s="0" t="n">
        <v>68</v>
      </c>
      <c r="L1222" s="0" t="n">
        <v>154</v>
      </c>
      <c r="M1222" s="0" t="n">
        <v>1011.48</v>
      </c>
      <c r="N1222" s="0" t="n">
        <v>28.59</v>
      </c>
      <c r="O1222" s="0" t="n">
        <v>33.99</v>
      </c>
      <c r="P1222" s="0" t="n">
        <v>4.29</v>
      </c>
      <c r="Q1222" s="0" t="n">
        <v>3.12</v>
      </c>
      <c r="R1222" s="0" t="n">
        <v>3992</v>
      </c>
      <c r="S1222" s="0" t="n">
        <v>8848</v>
      </c>
      <c r="T1222" s="0" t="n">
        <v>46.2</v>
      </c>
      <c r="U1222" s="0" t="n">
        <v>1002</v>
      </c>
      <c r="V1222" s="0" t="n">
        <v>1</v>
      </c>
      <c r="W1222" s="0" t="str">
        <f aca="false">IF(OR(AND(B1222&gt;=1,B1222&lt;=6),B1222=10),"Vaca em lactação",IF(I1222="Male","Macho",IF(E1222&gt;=1,"Vaca seca",IF(I1222="Youngstock","Bezerra/recria","Novilha"))))</f>
        <v>Vaca em lactação</v>
      </c>
      <c r="X1222" s="0" t="str">
        <f aca="false">IF(AND(B1222&gt;=1,B1222&lt;=6),"Tanque",IF(B1222=10,"Descarte",""))</f>
        <v>Tanque</v>
      </c>
    </row>
    <row r="1223" customFormat="false" ht="15" hidden="false" customHeight="false" outlineLevel="0" collapsed="false">
      <c r="A1223" s="22" t="n">
        <v>46309</v>
      </c>
      <c r="B1223" s="0" t="n">
        <v>5</v>
      </c>
      <c r="C1223" s="0" t="n">
        <v>5250</v>
      </c>
      <c r="D1223" s="0" t="n">
        <v>379</v>
      </c>
      <c r="E1223" s="0" t="n">
        <v>1</v>
      </c>
      <c r="F1223" s="23" t="s">
        <v>606</v>
      </c>
      <c r="G1223" s="0" t="n">
        <v>37.5</v>
      </c>
      <c r="H1223" s="0" t="n">
        <v>34</v>
      </c>
      <c r="I1223" s="23" t="s">
        <v>97</v>
      </c>
      <c r="J1223" s="0" t="n">
        <v>379</v>
      </c>
      <c r="K1223" s="0" t="n">
        <v>64</v>
      </c>
      <c r="M1223" s="0" t="n">
        <v>1000.39</v>
      </c>
      <c r="N1223" s="0" t="n">
        <v>52.82</v>
      </c>
      <c r="O1223" s="0" t="n">
        <v>32.2</v>
      </c>
      <c r="P1223" s="0" t="n">
        <v>4.6</v>
      </c>
      <c r="Q1223" s="0" t="n">
        <v>4.02</v>
      </c>
      <c r="R1223" s="0" t="n">
        <v>4290</v>
      </c>
      <c r="S1223" s="0" t="n">
        <v>8311</v>
      </c>
      <c r="T1223" s="0" t="n">
        <v>43.85</v>
      </c>
      <c r="U1223" s="0" t="n">
        <v>998</v>
      </c>
      <c r="V1223" s="0" t="n">
        <v>9</v>
      </c>
      <c r="W1223" s="0" t="str">
        <f aca="false">IF(OR(AND(B1223&gt;=1,B1223&lt;=6),B1223=10),"Vaca em lactação",IF(I1223="Male","Macho",IF(E1223&gt;=1,"Vaca seca",IF(I1223="Youngstock","Bezerra/recria","Novilha"))))</f>
        <v>Vaca em lactação</v>
      </c>
      <c r="X1223" s="0" t="str">
        <f aca="false">IF(AND(B1223&gt;=1,B1223&lt;=6),"Tanque",IF(B1223=10,"Descarte",""))</f>
        <v>Tanque</v>
      </c>
    </row>
    <row r="1224" customFormat="false" ht="15" hidden="false" customHeight="false" outlineLevel="0" collapsed="false">
      <c r="A1224" s="22" t="n">
        <v>46309</v>
      </c>
      <c r="B1224" s="0" t="n">
        <v>5</v>
      </c>
      <c r="C1224" s="0" t="n">
        <v>5162</v>
      </c>
      <c r="D1224" s="0" t="n">
        <v>368</v>
      </c>
      <c r="E1224" s="0" t="n">
        <v>1</v>
      </c>
      <c r="F1224" s="23" t="s">
        <v>608</v>
      </c>
      <c r="G1224" s="0" t="n">
        <v>41.8</v>
      </c>
      <c r="H1224" s="0" t="n">
        <v>36</v>
      </c>
      <c r="I1224" s="23" t="s">
        <v>109</v>
      </c>
      <c r="J1224" s="0" t="n">
        <v>368</v>
      </c>
      <c r="K1224" s="0" t="n">
        <v>68</v>
      </c>
      <c r="M1224" s="0" t="n">
        <v>690.53</v>
      </c>
      <c r="N1224" s="0" t="n">
        <v>26.41</v>
      </c>
      <c r="O1224" s="0" t="n">
        <v>28.03</v>
      </c>
      <c r="P1224" s="0" t="n">
        <v>4.52</v>
      </c>
      <c r="Q1224" s="0" t="n">
        <v>4.25</v>
      </c>
      <c r="R1224" s="0" t="n">
        <v>4912</v>
      </c>
      <c r="S1224" s="0" t="n">
        <v>9857</v>
      </c>
      <c r="T1224" s="0" t="n">
        <v>49.65</v>
      </c>
      <c r="U1224" s="0" t="n">
        <v>1041</v>
      </c>
      <c r="V1224" s="0" t="n">
        <v>3</v>
      </c>
      <c r="W1224" s="0" t="str">
        <f aca="false">IF(OR(AND(B1224&gt;=1,B1224&lt;=6),B1224=10),"Vaca em lactação",IF(I1224="Male","Macho",IF(E1224&gt;=1,"Vaca seca",IF(I1224="Youngstock","Bezerra/recria","Novilha"))))</f>
        <v>Vaca em lactação</v>
      </c>
      <c r="X1224" s="0" t="str">
        <f aca="false">IF(AND(B1224&gt;=1,B1224&lt;=6),"Tanque",IF(B1224=10,"Descarte",""))</f>
        <v>Tanque</v>
      </c>
    </row>
    <row r="1225" customFormat="false" ht="15" hidden="false" customHeight="false" outlineLevel="0" collapsed="false">
      <c r="A1225" s="22" t="n">
        <v>46309</v>
      </c>
      <c r="B1225" s="0" t="n">
        <v>5</v>
      </c>
      <c r="C1225" s="0" t="n">
        <v>5160</v>
      </c>
      <c r="D1225" s="0" t="n">
        <v>357</v>
      </c>
      <c r="E1225" s="0" t="n">
        <v>1</v>
      </c>
      <c r="F1225" s="23" t="s">
        <v>805</v>
      </c>
      <c r="G1225" s="0" t="n">
        <v>40</v>
      </c>
      <c r="H1225" s="0" t="n">
        <v>41</v>
      </c>
      <c r="I1225" s="23" t="s">
        <v>92</v>
      </c>
      <c r="J1225" s="0" t="n">
        <v>301</v>
      </c>
      <c r="K1225" s="0" t="n">
        <v>64</v>
      </c>
      <c r="L1225" s="0" t="n">
        <v>56</v>
      </c>
      <c r="M1225" s="0" t="n">
        <v>366.64</v>
      </c>
      <c r="N1225" s="0" t="n">
        <v>43.6</v>
      </c>
      <c r="O1225" s="0" t="n">
        <v>16.51</v>
      </c>
      <c r="P1225" s="0" t="n">
        <v>5.45</v>
      </c>
      <c r="Q1225" s="0" t="n">
        <v>4.08</v>
      </c>
      <c r="R1225" s="0" t="n">
        <v>4052</v>
      </c>
      <c r="S1225" s="0" t="n">
        <v>9095</v>
      </c>
      <c r="T1225" s="0" t="n">
        <v>45.05</v>
      </c>
      <c r="U1225" s="0" t="n">
        <v>1042</v>
      </c>
      <c r="V1225" s="0" t="n">
        <v>7</v>
      </c>
      <c r="W1225" s="0" t="str">
        <f aca="false">IF(OR(AND(B1225&gt;=1,B1225&lt;=6),B1225=10),"Vaca em lactação",IF(I1225="Male","Macho",IF(E1225&gt;=1,"Vaca seca",IF(I1225="Youngstock","Bezerra/recria","Novilha"))))</f>
        <v>Vaca em lactação</v>
      </c>
      <c r="X1225" s="0" t="str">
        <f aca="false">IF(AND(B1225&gt;=1,B1225&lt;=6),"Tanque",IF(B1225=10,"Descarte",""))</f>
        <v>Tanque</v>
      </c>
    </row>
    <row r="1226" customFormat="false" ht="15" hidden="false" customHeight="false" outlineLevel="0" collapsed="false">
      <c r="A1226" s="22" t="n">
        <v>46309</v>
      </c>
      <c r="B1226" s="0" t="n">
        <v>5</v>
      </c>
      <c r="C1226" s="0" t="n">
        <v>5159</v>
      </c>
      <c r="D1226" s="0" t="n">
        <v>353</v>
      </c>
      <c r="E1226" s="0" t="n">
        <v>1</v>
      </c>
      <c r="F1226" s="23" t="s">
        <v>806</v>
      </c>
      <c r="G1226" s="0" t="n">
        <v>45.6</v>
      </c>
      <c r="H1226" s="0" t="n">
        <v>40</v>
      </c>
      <c r="I1226" s="23" t="s">
        <v>92</v>
      </c>
      <c r="J1226" s="0" t="n">
        <v>227</v>
      </c>
      <c r="K1226" s="0" t="n">
        <v>67</v>
      </c>
      <c r="L1226" s="0" t="n">
        <v>126</v>
      </c>
      <c r="M1226" s="0" t="n">
        <v>252.6</v>
      </c>
      <c r="N1226" s="0" t="n">
        <v>77.83</v>
      </c>
      <c r="O1226" s="0" t="n">
        <v>32.62</v>
      </c>
      <c r="P1226" s="0" t="n">
        <v>4.42</v>
      </c>
      <c r="Q1226" s="0" t="n">
        <v>3.78</v>
      </c>
      <c r="R1226" s="0" t="n">
        <v>3953</v>
      </c>
      <c r="S1226" s="0" t="n">
        <v>8986</v>
      </c>
      <c r="T1226" s="0" t="n">
        <v>42.5</v>
      </c>
      <c r="U1226" s="0" t="n">
        <v>1043</v>
      </c>
      <c r="V1226" s="0" t="n">
        <v>6</v>
      </c>
      <c r="W1226" s="0" t="str">
        <f aca="false">IF(OR(AND(B1226&gt;=1,B1226&lt;=6),B1226=10),"Vaca em lactação",IF(I1226="Male","Macho",IF(E1226&gt;=1,"Vaca seca",IF(I1226="Youngstock","Bezerra/recria","Novilha"))))</f>
        <v>Vaca em lactação</v>
      </c>
      <c r="X1226" s="0" t="str">
        <f aca="false">IF(AND(B1226&gt;=1,B1226&lt;=6),"Tanque",IF(B1226=10,"Descarte",""))</f>
        <v>Tanque</v>
      </c>
    </row>
    <row r="1227" customFormat="false" ht="15" hidden="false" customHeight="false" outlineLevel="0" collapsed="false">
      <c r="A1227" s="22" t="n">
        <v>46309</v>
      </c>
      <c r="B1227" s="0" t="n">
        <v>5</v>
      </c>
      <c r="C1227" s="0" t="n">
        <v>5167</v>
      </c>
      <c r="D1227" s="0" t="n">
        <v>393</v>
      </c>
      <c r="E1227" s="0" t="n">
        <v>1</v>
      </c>
      <c r="F1227" s="23" t="s">
        <v>297</v>
      </c>
      <c r="G1227" s="0" t="n">
        <v>39.7</v>
      </c>
      <c r="H1227" s="0" t="n">
        <v>39</v>
      </c>
      <c r="I1227" s="23" t="s">
        <v>92</v>
      </c>
      <c r="J1227" s="0" t="n">
        <v>190</v>
      </c>
      <c r="K1227" s="0" t="n">
        <v>64</v>
      </c>
      <c r="L1227" s="0" t="n">
        <v>203</v>
      </c>
      <c r="M1227" s="0" t="n">
        <v>871.55</v>
      </c>
      <c r="N1227" s="0" t="n">
        <v>33.43</v>
      </c>
      <c r="O1227" s="0" t="n">
        <v>41.26</v>
      </c>
      <c r="P1227" s="0" t="n">
        <v>4</v>
      </c>
      <c r="Q1227" s="0" t="n">
        <v>4.36</v>
      </c>
      <c r="R1227" s="0" t="n">
        <v>4570</v>
      </c>
      <c r="S1227" s="0" t="n">
        <v>10055</v>
      </c>
      <c r="T1227" s="0" t="n">
        <v>50.45</v>
      </c>
      <c r="U1227" s="0" t="n">
        <v>1039</v>
      </c>
      <c r="V1227" s="0" t="n">
        <v>4</v>
      </c>
      <c r="W1227" s="0" t="str">
        <f aca="false">IF(OR(AND(B1227&gt;=1,B1227&lt;=6),B1227=10),"Vaca em lactação",IF(I1227="Male","Macho",IF(E1227&gt;=1,"Vaca seca",IF(I1227="Youngstock","Bezerra/recria","Novilha"))))</f>
        <v>Vaca em lactação</v>
      </c>
      <c r="X1227" s="0" t="str">
        <f aca="false">IF(AND(B1227&gt;=1,B1227&lt;=6),"Tanque",IF(B1227=10,"Descarte",""))</f>
        <v>Tanque</v>
      </c>
    </row>
    <row r="1228" customFormat="false" ht="15" hidden="false" customHeight="false" outlineLevel="0" collapsed="false">
      <c r="A1228" s="22" t="n">
        <v>46309</v>
      </c>
      <c r="B1228" s="0" t="n">
        <v>5</v>
      </c>
      <c r="C1228" s="0" t="n">
        <v>5129</v>
      </c>
      <c r="D1228" s="0" t="n">
        <v>417</v>
      </c>
      <c r="E1228" s="0" t="n">
        <v>1</v>
      </c>
      <c r="F1228" s="23" t="s">
        <v>609</v>
      </c>
      <c r="G1228" s="0" t="n">
        <v>21.9</v>
      </c>
      <c r="H1228" s="0" t="n">
        <v>21</v>
      </c>
      <c r="I1228" s="23" t="s">
        <v>92</v>
      </c>
      <c r="J1228" s="0" t="n">
        <v>200</v>
      </c>
      <c r="K1228" s="0" t="n">
        <v>67</v>
      </c>
      <c r="L1228" s="0" t="n">
        <v>217</v>
      </c>
      <c r="M1228" s="0" t="n">
        <v>1030.88</v>
      </c>
      <c r="N1228" s="0" t="n">
        <v>48.11</v>
      </c>
      <c r="O1228" s="0" t="n">
        <v>28.06</v>
      </c>
      <c r="P1228" s="0" t="n">
        <v>5.43</v>
      </c>
      <c r="Q1228" s="0" t="n">
        <v>4.15</v>
      </c>
      <c r="R1228" s="0" t="n">
        <v>3849</v>
      </c>
      <c r="S1228" s="0" t="n">
        <v>9000</v>
      </c>
      <c r="T1228" s="0" t="n">
        <v>46.3</v>
      </c>
      <c r="U1228" s="0" t="n">
        <v>1053</v>
      </c>
      <c r="V1228" s="0" t="n">
        <v>5</v>
      </c>
      <c r="W1228" s="0" t="str">
        <f aca="false">IF(OR(AND(B1228&gt;=1,B1228&lt;=6),B1228=10),"Vaca em lactação",IF(I1228="Male","Macho",IF(E1228&gt;=1,"Vaca seca",IF(I1228="Youngstock","Bezerra/recria","Novilha"))))</f>
        <v>Vaca em lactação</v>
      </c>
      <c r="X1228" s="0" t="str">
        <f aca="false">IF(AND(B1228&gt;=1,B1228&lt;=6),"Tanque",IF(B1228=10,"Descarte",""))</f>
        <v>Tanque</v>
      </c>
    </row>
    <row r="1229" customFormat="false" ht="15" hidden="false" customHeight="false" outlineLevel="0" collapsed="false">
      <c r="A1229" s="22" t="n">
        <v>46309</v>
      </c>
      <c r="B1229" s="0" t="n">
        <v>5</v>
      </c>
      <c r="C1229" s="0" t="n">
        <v>5131</v>
      </c>
      <c r="D1229" s="0" t="n">
        <v>379</v>
      </c>
      <c r="E1229" s="0" t="n">
        <v>1</v>
      </c>
      <c r="F1229" s="23" t="s">
        <v>807</v>
      </c>
      <c r="G1229" s="0" t="n">
        <v>40.8</v>
      </c>
      <c r="H1229" s="0" t="n">
        <v>36</v>
      </c>
      <c r="I1229" s="23" t="s">
        <v>97</v>
      </c>
      <c r="J1229" s="0" t="n">
        <v>379</v>
      </c>
      <c r="K1229" s="0" t="n">
        <v>64</v>
      </c>
      <c r="M1229" s="0" t="n">
        <v>529.73</v>
      </c>
      <c r="N1229" s="0" t="n">
        <v>58.24</v>
      </c>
      <c r="O1229" s="0" t="n">
        <v>35.93</v>
      </c>
      <c r="P1229" s="0" t="n">
        <v>3.81</v>
      </c>
      <c r="Q1229" s="0" t="n">
        <v>4.12</v>
      </c>
      <c r="R1229" s="0" t="n">
        <v>4592</v>
      </c>
      <c r="S1229" s="0" t="n">
        <v>8846</v>
      </c>
      <c r="T1229" s="0" t="n">
        <v>47.9</v>
      </c>
      <c r="U1229" s="0" t="n">
        <v>1052</v>
      </c>
      <c r="V1229" s="0" t="n">
        <v>9</v>
      </c>
      <c r="W1229" s="0" t="str">
        <f aca="false">IF(OR(AND(B1229&gt;=1,B1229&lt;=6),B1229=10),"Vaca em lactação",IF(I1229="Male","Macho",IF(E1229&gt;=1,"Vaca seca",IF(I1229="Youngstock","Bezerra/recria","Novilha"))))</f>
        <v>Vaca em lactação</v>
      </c>
      <c r="X1229" s="0" t="str">
        <f aca="false">IF(AND(B1229&gt;=1,B1229&lt;=6),"Tanque",IF(B1229=10,"Descarte",""))</f>
        <v>Tanque</v>
      </c>
    </row>
    <row r="1230" customFormat="false" ht="15" hidden="false" customHeight="false" outlineLevel="0" collapsed="false">
      <c r="A1230" s="22" t="n">
        <v>46309</v>
      </c>
      <c r="B1230" s="0" t="n">
        <v>5</v>
      </c>
      <c r="C1230" s="0" t="n">
        <v>5141</v>
      </c>
      <c r="D1230" s="0" t="n">
        <v>416</v>
      </c>
      <c r="E1230" s="0" t="n">
        <v>1</v>
      </c>
      <c r="F1230" s="23" t="s">
        <v>298</v>
      </c>
      <c r="G1230" s="0" t="n">
        <v>25.7</v>
      </c>
      <c r="H1230" s="0" t="n">
        <v>24</v>
      </c>
      <c r="I1230" s="23" t="s">
        <v>92</v>
      </c>
      <c r="J1230" s="0" t="n">
        <v>297</v>
      </c>
      <c r="K1230" s="0" t="n">
        <v>66</v>
      </c>
      <c r="L1230" s="0" t="n">
        <v>119</v>
      </c>
      <c r="M1230" s="0" t="n">
        <v>796.49</v>
      </c>
      <c r="N1230" s="0" t="n">
        <v>38.45</v>
      </c>
      <c r="O1230" s="0" t="n">
        <v>43.43</v>
      </c>
      <c r="P1230" s="0" t="n">
        <v>6.04</v>
      </c>
      <c r="Q1230" s="0" t="n">
        <v>4.14</v>
      </c>
      <c r="R1230" s="0" t="n">
        <v>4024</v>
      </c>
      <c r="S1230" s="0" t="n">
        <v>8797</v>
      </c>
      <c r="T1230" s="0" t="n">
        <v>47.1</v>
      </c>
      <c r="U1230" s="0" t="n">
        <v>1049</v>
      </c>
      <c r="V1230" s="0" t="n">
        <v>4</v>
      </c>
      <c r="W1230" s="0" t="str">
        <f aca="false">IF(OR(AND(B1230&gt;=1,B1230&lt;=6),B1230=10),"Vaca em lactação",IF(I1230="Male","Macho",IF(E1230&gt;=1,"Vaca seca",IF(I1230="Youngstock","Bezerra/recria","Novilha"))))</f>
        <v>Vaca em lactação</v>
      </c>
      <c r="X1230" s="0" t="str">
        <f aca="false">IF(AND(B1230&gt;=1,B1230&lt;=6),"Tanque",IF(B1230=10,"Descarte",""))</f>
        <v>Tanque</v>
      </c>
    </row>
    <row r="1231" customFormat="false" ht="15" hidden="false" customHeight="false" outlineLevel="0" collapsed="false">
      <c r="A1231" s="22" t="n">
        <v>46309</v>
      </c>
      <c r="B1231" s="0" t="n">
        <v>5</v>
      </c>
      <c r="C1231" s="0" t="n">
        <v>5192</v>
      </c>
      <c r="D1231" s="0" t="n">
        <v>92</v>
      </c>
      <c r="E1231" s="0" t="n">
        <v>2</v>
      </c>
      <c r="F1231" s="23" t="s">
        <v>808</v>
      </c>
      <c r="G1231" s="0" t="n">
        <v>33.7</v>
      </c>
      <c r="H1231" s="0" t="n">
        <v>29</v>
      </c>
      <c r="I1231" s="23" t="s">
        <v>97</v>
      </c>
      <c r="J1231" s="0" t="n">
        <v>92</v>
      </c>
      <c r="K1231" s="0" t="n">
        <v>64</v>
      </c>
      <c r="M1231" s="0" t="n">
        <v>1481.05</v>
      </c>
      <c r="N1231" s="0" t="n">
        <v>57.99</v>
      </c>
      <c r="O1231" s="0" t="n">
        <v>39.38</v>
      </c>
      <c r="P1231" s="0" t="n">
        <v>4.26</v>
      </c>
      <c r="Q1231" s="0" t="n">
        <v>3.56</v>
      </c>
      <c r="R1231" s="0" t="n">
        <v>3731</v>
      </c>
      <c r="S1231" s="0" t="n">
        <v>7501</v>
      </c>
      <c r="T1231" s="0" t="n">
        <v>47</v>
      </c>
      <c r="U1231" s="0" t="n">
        <v>1030</v>
      </c>
      <c r="V1231" s="0" t="n">
        <v>1</v>
      </c>
      <c r="W1231" s="0" t="str">
        <f aca="false">IF(OR(AND(B1231&gt;=1,B1231&lt;=6),B1231=10),"Vaca em lactação",IF(I1231="Male","Macho",IF(E1231&gt;=1,"Vaca seca",IF(I1231="Youngstock","Bezerra/recria","Novilha"))))</f>
        <v>Vaca em lactação</v>
      </c>
      <c r="X1231" s="0" t="str">
        <f aca="false">IF(AND(B1231&gt;=1,B1231&lt;=6),"Tanque",IF(B1231=10,"Descarte",""))</f>
        <v>Tanque</v>
      </c>
    </row>
    <row r="1232" customFormat="false" ht="15" hidden="false" customHeight="false" outlineLevel="0" collapsed="false">
      <c r="A1232" s="22" t="n">
        <v>46309</v>
      </c>
      <c r="B1232" s="0" t="n">
        <v>5</v>
      </c>
      <c r="C1232" s="0" t="n">
        <v>5199</v>
      </c>
      <c r="D1232" s="0" t="n">
        <v>74</v>
      </c>
      <c r="E1232" s="0" t="n">
        <v>2</v>
      </c>
      <c r="F1232" s="23" t="s">
        <v>809</v>
      </c>
      <c r="G1232" s="0" t="n">
        <v>42.8</v>
      </c>
      <c r="H1232" s="0" t="n">
        <v>38</v>
      </c>
      <c r="I1232" s="23" t="s">
        <v>97</v>
      </c>
      <c r="J1232" s="0" t="n">
        <v>74</v>
      </c>
      <c r="K1232" s="0" t="n">
        <v>67</v>
      </c>
      <c r="M1232" s="0" t="n">
        <v>643.33</v>
      </c>
      <c r="N1232" s="0" t="n">
        <v>37.07</v>
      </c>
      <c r="O1232" s="0" t="n">
        <v>29.54</v>
      </c>
      <c r="P1232" s="0" t="n">
        <v>3.68</v>
      </c>
      <c r="Q1232" s="0" t="n">
        <v>3.75</v>
      </c>
      <c r="R1232" s="0" t="n">
        <v>3163</v>
      </c>
      <c r="S1232" s="0" t="n">
        <v>6359</v>
      </c>
      <c r="U1232" s="0" t="n">
        <v>1027</v>
      </c>
      <c r="V1232" s="0" t="n">
        <v>1</v>
      </c>
      <c r="W1232" s="0" t="str">
        <f aca="false">IF(OR(AND(B1232&gt;=1,B1232&lt;=6),B1232=10),"Vaca em lactação",IF(I1232="Male","Macho",IF(E1232&gt;=1,"Vaca seca",IF(I1232="Youngstock","Bezerra/recria","Novilha"))))</f>
        <v>Vaca em lactação</v>
      </c>
      <c r="X1232" s="0" t="str">
        <f aca="false">IF(AND(B1232&gt;=1,B1232&lt;=6),"Tanque",IF(B1232=10,"Descarte",""))</f>
        <v>Tanque</v>
      </c>
    </row>
    <row r="1233" customFormat="false" ht="15" hidden="false" customHeight="false" outlineLevel="0" collapsed="false">
      <c r="A1233" s="22" t="n">
        <v>46309</v>
      </c>
      <c r="B1233" s="0" t="n">
        <v>5</v>
      </c>
      <c r="C1233" s="0" t="n">
        <v>5181</v>
      </c>
      <c r="D1233" s="0" t="n">
        <v>416</v>
      </c>
      <c r="E1233" s="0" t="n">
        <v>1</v>
      </c>
      <c r="F1233" s="23" t="s">
        <v>613</v>
      </c>
      <c r="G1233" s="0" t="n">
        <v>41.6</v>
      </c>
      <c r="H1233" s="0" t="n">
        <v>41</v>
      </c>
      <c r="I1233" s="23" t="s">
        <v>92</v>
      </c>
      <c r="J1233" s="0" t="n">
        <v>300</v>
      </c>
      <c r="K1233" s="0" t="n">
        <v>66</v>
      </c>
      <c r="L1233" s="0" t="n">
        <v>116</v>
      </c>
      <c r="M1233" s="0" t="n">
        <v>357.04</v>
      </c>
      <c r="N1233" s="0" t="n">
        <v>37.04</v>
      </c>
      <c r="O1233" s="0" t="n">
        <v>5.89</v>
      </c>
      <c r="P1233" s="0" t="n">
        <v>3.84</v>
      </c>
      <c r="Q1233" s="0" t="n">
        <v>3.45</v>
      </c>
      <c r="R1233" s="0" t="n">
        <v>4060</v>
      </c>
      <c r="S1233" s="0" t="n">
        <v>8840</v>
      </c>
      <c r="T1233" s="0" t="n">
        <v>45.45</v>
      </c>
      <c r="U1233" s="0" t="n">
        <v>1036</v>
      </c>
      <c r="V1233" s="0" t="n">
        <v>7</v>
      </c>
      <c r="W1233" s="0" t="str">
        <f aca="false">IF(OR(AND(B1233&gt;=1,B1233&lt;=6),B1233=10),"Vaca em lactação",IF(I1233="Male","Macho",IF(E1233&gt;=1,"Vaca seca",IF(I1233="Youngstock","Bezerra/recria","Novilha"))))</f>
        <v>Vaca em lactação</v>
      </c>
      <c r="X1233" s="0" t="str">
        <f aca="false">IF(AND(B1233&gt;=1,B1233&lt;=6),"Tanque",IF(B1233=10,"Descarte",""))</f>
        <v>Tanque</v>
      </c>
    </row>
    <row r="1234" customFormat="false" ht="15" hidden="false" customHeight="false" outlineLevel="0" collapsed="false">
      <c r="A1234" s="22" t="n">
        <v>46309</v>
      </c>
      <c r="B1234" s="0" t="n">
        <v>5</v>
      </c>
      <c r="C1234" s="0" t="n">
        <v>5187</v>
      </c>
      <c r="D1234" s="0" t="n">
        <v>416</v>
      </c>
      <c r="E1234" s="0" t="n">
        <v>1</v>
      </c>
      <c r="F1234" s="23" t="s">
        <v>301</v>
      </c>
      <c r="G1234" s="0" t="n">
        <v>38.7</v>
      </c>
      <c r="H1234" s="0" t="n">
        <v>36</v>
      </c>
      <c r="I1234" s="23" t="s">
        <v>92</v>
      </c>
      <c r="J1234" s="0" t="n">
        <v>335</v>
      </c>
      <c r="K1234" s="0" t="n">
        <v>66</v>
      </c>
      <c r="L1234" s="0" t="n">
        <v>81</v>
      </c>
      <c r="M1234" s="0" t="n">
        <v>445.7</v>
      </c>
      <c r="N1234" s="0" t="n">
        <v>60.56</v>
      </c>
      <c r="O1234" s="0" t="n">
        <v>32.22</v>
      </c>
      <c r="P1234" s="0" t="n">
        <v>5.05</v>
      </c>
      <c r="Q1234" s="0" t="n">
        <v>3.9</v>
      </c>
      <c r="R1234" s="0" t="n">
        <v>4430</v>
      </c>
      <c r="S1234" s="0" t="n">
        <v>9004</v>
      </c>
      <c r="T1234" s="0" t="n">
        <v>46.85</v>
      </c>
      <c r="U1234" s="0" t="n">
        <v>1033</v>
      </c>
      <c r="V1234" s="0" t="n">
        <v>9</v>
      </c>
      <c r="W1234" s="0" t="str">
        <f aca="false">IF(OR(AND(B1234&gt;=1,B1234&lt;=6),B1234=10),"Vaca em lactação",IF(I1234="Male","Macho",IF(E1234&gt;=1,"Vaca seca",IF(I1234="Youngstock","Bezerra/recria","Novilha"))))</f>
        <v>Vaca em lactação</v>
      </c>
      <c r="X1234" s="0" t="str">
        <f aca="false">IF(AND(B1234&gt;=1,B1234&lt;=6),"Tanque",IF(B1234=10,"Descarte",""))</f>
        <v>Tanque</v>
      </c>
    </row>
    <row r="1235" customFormat="false" ht="15" hidden="false" customHeight="false" outlineLevel="0" collapsed="false">
      <c r="A1235" s="22" t="n">
        <v>46309</v>
      </c>
      <c r="B1235" s="0" t="n">
        <v>5</v>
      </c>
      <c r="C1235" s="0" t="n">
        <v>5189</v>
      </c>
      <c r="D1235" s="0" t="n">
        <v>412</v>
      </c>
      <c r="E1235" s="0" t="n">
        <v>1</v>
      </c>
      <c r="F1235" s="23" t="s">
        <v>301</v>
      </c>
      <c r="G1235" s="0" t="n">
        <v>35.5</v>
      </c>
      <c r="H1235" s="0" t="n">
        <v>26</v>
      </c>
      <c r="I1235" s="23" t="s">
        <v>92</v>
      </c>
      <c r="J1235" s="0" t="n">
        <v>328</v>
      </c>
      <c r="K1235" s="0" t="n">
        <v>69</v>
      </c>
      <c r="L1235" s="0" t="n">
        <v>84</v>
      </c>
      <c r="M1235" s="0" t="n">
        <v>631.37</v>
      </c>
      <c r="N1235" s="0" t="n">
        <v>29.77</v>
      </c>
      <c r="O1235" s="0" t="n">
        <v>21.08</v>
      </c>
      <c r="P1235" s="0" t="n">
        <v>5.59</v>
      </c>
      <c r="Q1235" s="0" t="n">
        <v>4.15</v>
      </c>
      <c r="R1235" s="0" t="n">
        <v>4986</v>
      </c>
      <c r="S1235" s="0" t="n">
        <v>10505</v>
      </c>
      <c r="T1235" s="0" t="n">
        <v>56.4</v>
      </c>
      <c r="U1235" s="0" t="n">
        <v>1033</v>
      </c>
      <c r="V1235" s="0" t="n">
        <v>5</v>
      </c>
      <c r="W1235" s="0" t="str">
        <f aca="false">IF(OR(AND(B1235&gt;=1,B1235&lt;=6),B1235=10),"Vaca em lactação",IF(I1235="Male","Macho",IF(E1235&gt;=1,"Vaca seca",IF(I1235="Youngstock","Bezerra/recria","Novilha"))))</f>
        <v>Vaca em lactação</v>
      </c>
      <c r="X1235" s="0" t="str">
        <f aca="false">IF(AND(B1235&gt;=1,B1235&lt;=6),"Tanque",IF(B1235=10,"Descarte",""))</f>
        <v>Tanque</v>
      </c>
    </row>
    <row r="1236" customFormat="false" ht="15" hidden="false" customHeight="false" outlineLevel="0" collapsed="false">
      <c r="A1236" s="22" t="n">
        <v>46309</v>
      </c>
      <c r="B1236" s="0" t="n">
        <v>5</v>
      </c>
      <c r="C1236" s="0" t="n">
        <v>4782</v>
      </c>
      <c r="D1236" s="0" t="n">
        <v>257</v>
      </c>
      <c r="E1236" s="0" t="n">
        <v>2</v>
      </c>
      <c r="F1236" s="23" t="s">
        <v>810</v>
      </c>
      <c r="G1236" s="0" t="n">
        <v>32.1</v>
      </c>
      <c r="H1236" s="0" t="n">
        <v>31</v>
      </c>
      <c r="I1236" s="23" t="s">
        <v>109</v>
      </c>
      <c r="J1236" s="0" t="n">
        <v>257</v>
      </c>
      <c r="K1236" s="0" t="n">
        <v>68</v>
      </c>
      <c r="M1236" s="0" t="n">
        <v>600.32</v>
      </c>
      <c r="N1236" s="0" t="n">
        <v>56.87</v>
      </c>
      <c r="O1236" s="0" t="n">
        <v>28.03</v>
      </c>
      <c r="P1236" s="0" t="n">
        <v>3.74</v>
      </c>
      <c r="Q1236" s="0" t="n">
        <v>4.09</v>
      </c>
      <c r="R1236" s="0" t="n">
        <v>5337</v>
      </c>
      <c r="S1236" s="0" t="n">
        <v>10126</v>
      </c>
      <c r="T1236" s="0" t="n">
        <v>54.7</v>
      </c>
      <c r="U1236" s="0" t="n">
        <v>1213</v>
      </c>
      <c r="V1236" s="0" t="n">
        <v>5</v>
      </c>
      <c r="W1236" s="0" t="str">
        <f aca="false">IF(OR(AND(B1236&gt;=1,B1236&lt;=6),B1236=10),"Vaca em lactação",IF(I1236="Male","Macho",IF(E1236&gt;=1,"Vaca seca",IF(I1236="Youngstock","Bezerra/recria","Novilha"))))</f>
        <v>Vaca em lactação</v>
      </c>
      <c r="X1236" s="0" t="str">
        <f aca="false">IF(AND(B1236&gt;=1,B1236&lt;=6),"Tanque",IF(B1236=10,"Descarte",""))</f>
        <v>Tanque</v>
      </c>
    </row>
    <row r="1237" customFormat="false" ht="15" hidden="false" customHeight="false" outlineLevel="0" collapsed="false">
      <c r="A1237" s="22" t="n">
        <v>46309</v>
      </c>
      <c r="B1237" s="0" t="n">
        <v>5</v>
      </c>
      <c r="C1237" s="0" t="n">
        <v>4779</v>
      </c>
      <c r="D1237" s="0" t="n">
        <v>211</v>
      </c>
      <c r="E1237" s="0" t="n">
        <v>2</v>
      </c>
      <c r="F1237" s="23" t="s">
        <v>476</v>
      </c>
      <c r="G1237" s="0" t="n">
        <v>42.9</v>
      </c>
      <c r="H1237" s="0" t="n">
        <v>40</v>
      </c>
      <c r="I1237" s="23" t="s">
        <v>92</v>
      </c>
      <c r="J1237" s="0" t="n">
        <v>64</v>
      </c>
      <c r="K1237" s="0" t="n">
        <v>64</v>
      </c>
      <c r="L1237" s="0" t="n">
        <v>147</v>
      </c>
      <c r="M1237" s="0" t="n">
        <v>1101.33</v>
      </c>
      <c r="N1237" s="0" t="n">
        <v>51.98</v>
      </c>
      <c r="O1237" s="0" t="n">
        <v>32.48</v>
      </c>
      <c r="P1237" s="0" t="n">
        <v>4.36</v>
      </c>
      <c r="Q1237" s="0" t="n">
        <v>4.03</v>
      </c>
      <c r="R1237" s="0" t="n">
        <v>4240</v>
      </c>
      <c r="S1237" s="0" t="n">
        <v>9043</v>
      </c>
      <c r="T1237" s="0" t="n">
        <v>48.35</v>
      </c>
      <c r="U1237" s="0" t="n">
        <v>1215</v>
      </c>
      <c r="V1237" s="0" t="n">
        <v>1</v>
      </c>
      <c r="W1237" s="0" t="str">
        <f aca="false">IF(OR(AND(B1237&gt;=1,B1237&lt;=6),B1237=10),"Vaca em lactação",IF(I1237="Male","Macho",IF(E1237&gt;=1,"Vaca seca",IF(I1237="Youngstock","Bezerra/recria","Novilha"))))</f>
        <v>Vaca em lactação</v>
      </c>
      <c r="X1237" s="0" t="str">
        <f aca="false">IF(AND(B1237&gt;=1,B1237&lt;=6),"Tanque",IF(B1237=10,"Descarte",""))</f>
        <v>Tanque</v>
      </c>
    </row>
    <row r="1238" customFormat="false" ht="15" hidden="false" customHeight="false" outlineLevel="0" collapsed="false">
      <c r="A1238" s="22" t="n">
        <v>46309</v>
      </c>
      <c r="B1238" s="0" t="n">
        <v>5</v>
      </c>
      <c r="C1238" s="0" t="n">
        <v>4789</v>
      </c>
      <c r="D1238" s="0" t="n">
        <v>155</v>
      </c>
      <c r="E1238" s="0" t="n">
        <v>2</v>
      </c>
      <c r="F1238" s="23" t="s">
        <v>304</v>
      </c>
      <c r="G1238" s="0" t="n">
        <v>38.1</v>
      </c>
      <c r="H1238" s="0" t="n">
        <v>40</v>
      </c>
      <c r="I1238" s="23" t="s">
        <v>97</v>
      </c>
      <c r="J1238" s="0" t="n">
        <v>155</v>
      </c>
      <c r="K1238" s="0" t="n">
        <v>64</v>
      </c>
      <c r="M1238" s="0" t="n">
        <v>-21.97</v>
      </c>
      <c r="N1238" s="0" t="n">
        <v>75.48</v>
      </c>
      <c r="O1238" s="0" t="n">
        <v>20.56</v>
      </c>
      <c r="P1238" s="0" t="n">
        <v>5.9</v>
      </c>
      <c r="Q1238" s="0" t="n">
        <v>4.02</v>
      </c>
      <c r="R1238" s="0" t="n">
        <v>4076</v>
      </c>
      <c r="S1238" s="0" t="n">
        <v>8249</v>
      </c>
      <c r="T1238" s="0" t="n">
        <v>43.7</v>
      </c>
      <c r="U1238" s="0" t="n">
        <v>1211</v>
      </c>
      <c r="V1238" s="0" t="n">
        <v>2</v>
      </c>
      <c r="W1238" s="0" t="str">
        <f aca="false">IF(OR(AND(B1238&gt;=1,B1238&lt;=6),B1238=10),"Vaca em lactação",IF(I1238="Male","Macho",IF(E1238&gt;=1,"Vaca seca",IF(I1238="Youngstock","Bezerra/recria","Novilha"))))</f>
        <v>Vaca em lactação</v>
      </c>
      <c r="X1238" s="0" t="str">
        <f aca="false">IF(AND(B1238&gt;=1,B1238&lt;=6),"Tanque",IF(B1238=10,"Descarte",""))</f>
        <v>Tanque</v>
      </c>
    </row>
    <row r="1239" customFormat="false" ht="15" hidden="false" customHeight="false" outlineLevel="0" collapsed="false">
      <c r="A1239" s="22" t="n">
        <v>46309</v>
      </c>
      <c r="B1239" s="0" t="n">
        <v>5</v>
      </c>
      <c r="C1239" s="0" t="n">
        <v>4794</v>
      </c>
      <c r="D1239" s="0" t="n">
        <v>209</v>
      </c>
      <c r="E1239" s="0" t="n">
        <v>2</v>
      </c>
      <c r="F1239" s="23" t="s">
        <v>811</v>
      </c>
      <c r="G1239" s="0" t="n">
        <v>40.7</v>
      </c>
      <c r="H1239" s="0" t="n">
        <v>38</v>
      </c>
      <c r="I1239" s="23" t="s">
        <v>92</v>
      </c>
      <c r="J1239" s="0" t="n">
        <v>62</v>
      </c>
      <c r="K1239" s="0" t="n">
        <v>62</v>
      </c>
      <c r="L1239" s="0" t="n">
        <v>147</v>
      </c>
      <c r="M1239" s="0" t="n">
        <v>571.55</v>
      </c>
      <c r="N1239" s="0" t="n">
        <v>67.44</v>
      </c>
      <c r="O1239" s="0" t="n">
        <v>34.18</v>
      </c>
      <c r="P1239" s="0" t="n">
        <v>4.83</v>
      </c>
      <c r="Q1239" s="0" t="n">
        <v>3.49</v>
      </c>
      <c r="R1239" s="0" t="n">
        <v>4218</v>
      </c>
      <c r="S1239" s="0" t="n">
        <v>9258</v>
      </c>
      <c r="T1239" s="0" t="n">
        <v>45.2</v>
      </c>
      <c r="U1239" s="0" t="n">
        <v>1209</v>
      </c>
      <c r="V1239" s="0" t="n">
        <v>1</v>
      </c>
      <c r="W1239" s="0" t="str">
        <f aca="false">IF(OR(AND(B1239&gt;=1,B1239&lt;=6),B1239=10),"Vaca em lactação",IF(I1239="Male","Macho",IF(E1239&gt;=1,"Vaca seca",IF(I1239="Youngstock","Bezerra/recria","Novilha"))))</f>
        <v>Vaca em lactação</v>
      </c>
      <c r="X1239" s="0" t="str">
        <f aca="false">IF(AND(B1239&gt;=1,B1239&lt;=6),"Tanque",IF(B1239=10,"Descarte",""))</f>
        <v>Tanque</v>
      </c>
    </row>
    <row r="1240" customFormat="false" ht="15" hidden="false" customHeight="false" outlineLevel="0" collapsed="false">
      <c r="A1240" s="22" t="n">
        <v>46309</v>
      </c>
      <c r="B1240" s="0" t="n">
        <v>5</v>
      </c>
      <c r="C1240" s="0" t="n">
        <v>4788</v>
      </c>
      <c r="D1240" s="0" t="n">
        <v>218</v>
      </c>
      <c r="E1240" s="0" t="n">
        <v>2</v>
      </c>
      <c r="F1240" s="23" t="s">
        <v>303</v>
      </c>
      <c r="G1240" s="0" t="n">
        <v>21.3</v>
      </c>
      <c r="H1240" s="0" t="n">
        <v>22</v>
      </c>
      <c r="I1240" s="23" t="s">
        <v>97</v>
      </c>
      <c r="J1240" s="0" t="n">
        <v>218</v>
      </c>
      <c r="K1240" s="0" t="n">
        <v>64</v>
      </c>
      <c r="M1240" s="0" t="n">
        <v>1384.71</v>
      </c>
      <c r="N1240" s="0" t="n">
        <v>43.38</v>
      </c>
      <c r="O1240" s="0" t="n">
        <v>54.09</v>
      </c>
      <c r="P1240" s="0" t="n">
        <v>4.87</v>
      </c>
      <c r="Q1240" s="0" t="n">
        <v>4.09</v>
      </c>
      <c r="R1240" s="0" t="n">
        <v>3574</v>
      </c>
      <c r="S1240" s="0" t="n">
        <v>6728</v>
      </c>
      <c r="T1240" s="0" t="n">
        <v>38.9</v>
      </c>
      <c r="U1240" s="0" t="n">
        <v>1210</v>
      </c>
      <c r="V1240" s="0" t="n">
        <v>3</v>
      </c>
      <c r="W1240" s="0" t="str">
        <f aca="false">IF(OR(AND(B1240&gt;=1,B1240&lt;=6),B1240=10),"Vaca em lactação",IF(I1240="Male","Macho",IF(E1240&gt;=1,"Vaca seca",IF(I1240="Youngstock","Bezerra/recria","Novilha"))))</f>
        <v>Vaca em lactação</v>
      </c>
      <c r="X1240" s="0" t="str">
        <f aca="false">IF(AND(B1240&gt;=1,B1240&lt;=6),"Tanque",IF(B1240=10,"Descarte",""))</f>
        <v>Tanque</v>
      </c>
    </row>
    <row r="1241" customFormat="false" ht="15" hidden="false" customHeight="false" outlineLevel="0" collapsed="false">
      <c r="A1241" s="22" t="n">
        <v>46309</v>
      </c>
      <c r="B1241" s="0" t="n">
        <v>5</v>
      </c>
      <c r="C1241" s="0" t="n">
        <v>4791</v>
      </c>
      <c r="D1241" s="0" t="n">
        <v>247</v>
      </c>
      <c r="E1241" s="0" t="n">
        <v>2</v>
      </c>
      <c r="F1241" s="23" t="s">
        <v>303</v>
      </c>
      <c r="G1241" s="0" t="n">
        <v>29.2</v>
      </c>
      <c r="H1241" s="0" t="n">
        <v>24</v>
      </c>
      <c r="I1241" s="23" t="s">
        <v>92</v>
      </c>
      <c r="J1241" s="0" t="n">
        <v>195</v>
      </c>
      <c r="K1241" s="0" t="n">
        <v>65</v>
      </c>
      <c r="L1241" s="0" t="n">
        <v>52</v>
      </c>
      <c r="M1241" s="0" t="n">
        <v>332.02</v>
      </c>
      <c r="N1241" s="0" t="n">
        <v>25.2</v>
      </c>
      <c r="O1241" s="0" t="n">
        <v>17.54</v>
      </c>
      <c r="P1241" s="0" t="n">
        <v>4.85</v>
      </c>
      <c r="Q1241" s="0" t="n">
        <v>3.83</v>
      </c>
      <c r="R1241" s="0" t="n">
        <v>3788</v>
      </c>
      <c r="S1241" s="0" t="n">
        <v>6584</v>
      </c>
      <c r="T1241" s="0" t="n">
        <v>46.5</v>
      </c>
      <c r="U1241" s="0" t="n">
        <v>1210</v>
      </c>
      <c r="V1241" s="0" t="n">
        <v>2</v>
      </c>
      <c r="W1241" s="0" t="str">
        <f aca="false">IF(OR(AND(B1241&gt;=1,B1241&lt;=6),B1241=10),"Vaca em lactação",IF(I1241="Male","Macho",IF(E1241&gt;=1,"Vaca seca",IF(I1241="Youngstock","Bezerra/recria","Novilha"))))</f>
        <v>Vaca em lactação</v>
      </c>
      <c r="X1241" s="0" t="str">
        <f aca="false">IF(AND(B1241&gt;=1,B1241&lt;=6),"Tanque",IF(B1241=10,"Descarte",""))</f>
        <v>Tanque</v>
      </c>
    </row>
    <row r="1242" customFormat="false" ht="15" hidden="false" customHeight="false" outlineLevel="0" collapsed="false">
      <c r="A1242" s="22" t="n">
        <v>46309</v>
      </c>
      <c r="B1242" s="0" t="n">
        <v>5</v>
      </c>
      <c r="C1242" s="0" t="n">
        <v>4760</v>
      </c>
      <c r="D1242" s="0" t="n">
        <v>173</v>
      </c>
      <c r="E1242" s="0" t="n">
        <v>2</v>
      </c>
      <c r="F1242" s="23" t="s">
        <v>477</v>
      </c>
      <c r="G1242" s="0" t="n">
        <v>35.3</v>
      </c>
      <c r="H1242" s="0" t="n">
        <v>35</v>
      </c>
      <c r="I1242" s="23" t="s">
        <v>92</v>
      </c>
      <c r="J1242" s="0" t="n">
        <v>68</v>
      </c>
      <c r="K1242" s="0" t="n">
        <v>68</v>
      </c>
      <c r="L1242" s="0" t="n">
        <v>105</v>
      </c>
      <c r="M1242" s="0" t="n">
        <v>918.2</v>
      </c>
      <c r="N1242" s="0" t="n">
        <v>53.93</v>
      </c>
      <c r="O1242" s="0" t="n">
        <v>43.67</v>
      </c>
      <c r="P1242" s="0" t="n">
        <v>5.18</v>
      </c>
      <c r="Q1242" s="0" t="n">
        <v>4.54</v>
      </c>
      <c r="R1242" s="0" t="n">
        <v>3079</v>
      </c>
      <c r="S1242" s="0" t="n">
        <v>6874</v>
      </c>
      <c r="T1242" s="0" t="n">
        <v>35.85</v>
      </c>
      <c r="U1242" s="0" t="n">
        <v>1224</v>
      </c>
      <c r="V1242" s="0" t="n">
        <v>1</v>
      </c>
      <c r="W1242" s="0" t="str">
        <f aca="false">IF(OR(AND(B1242&gt;=1,B1242&lt;=6),B1242=10),"Vaca em lactação",IF(I1242="Male","Macho",IF(E1242&gt;=1,"Vaca seca",IF(I1242="Youngstock","Bezerra/recria","Novilha"))))</f>
        <v>Vaca em lactação</v>
      </c>
      <c r="X1242" s="0" t="str">
        <f aca="false">IF(AND(B1242&gt;=1,B1242&lt;=6),"Tanque",IF(B1242=10,"Descarte",""))</f>
        <v>Tanque</v>
      </c>
    </row>
    <row r="1243" customFormat="false" ht="15" hidden="false" customHeight="false" outlineLevel="0" collapsed="false">
      <c r="A1243" s="22" t="n">
        <v>46309</v>
      </c>
      <c r="B1243" s="0" t="n">
        <v>5</v>
      </c>
      <c r="C1243" s="0" t="n">
        <v>4758</v>
      </c>
      <c r="D1243" s="0" t="n">
        <v>203</v>
      </c>
      <c r="E1243" s="0" t="n">
        <v>2</v>
      </c>
      <c r="F1243" s="23" t="s">
        <v>478</v>
      </c>
      <c r="G1243" s="0" t="n">
        <v>32.3</v>
      </c>
      <c r="H1243" s="0" t="n">
        <v>29</v>
      </c>
      <c r="I1243" s="23" t="s">
        <v>97</v>
      </c>
      <c r="J1243" s="0" t="n">
        <v>203</v>
      </c>
      <c r="K1243" s="0" t="n">
        <v>63</v>
      </c>
      <c r="M1243" s="0" t="n">
        <v>798.12</v>
      </c>
      <c r="N1243" s="0" t="n">
        <v>45.68</v>
      </c>
      <c r="O1243" s="0" t="n">
        <v>39.78</v>
      </c>
      <c r="P1243" s="0" t="n">
        <v>4.62</v>
      </c>
      <c r="Q1243" s="0" t="n">
        <v>4.01</v>
      </c>
      <c r="R1243" s="0" t="n">
        <v>3776</v>
      </c>
      <c r="S1243" s="0" t="n">
        <v>7288</v>
      </c>
      <c r="T1243" s="0" t="n">
        <v>44.45</v>
      </c>
      <c r="U1243" s="0" t="n">
        <v>1225</v>
      </c>
      <c r="V1243" s="0" t="n">
        <v>3</v>
      </c>
      <c r="W1243" s="0" t="str">
        <f aca="false">IF(OR(AND(B1243&gt;=1,B1243&lt;=6),B1243=10),"Vaca em lactação",IF(I1243="Male","Macho",IF(E1243&gt;=1,"Vaca seca",IF(I1243="Youngstock","Bezerra/recria","Novilha"))))</f>
        <v>Vaca em lactação</v>
      </c>
      <c r="X1243" s="0" t="str">
        <f aca="false">IF(AND(B1243&gt;=1,B1243&lt;=6),"Tanque",IF(B1243=10,"Descarte",""))</f>
        <v>Tanque</v>
      </c>
    </row>
    <row r="1244" customFormat="false" ht="15" hidden="false" customHeight="false" outlineLevel="0" collapsed="false">
      <c r="A1244" s="22" t="n">
        <v>46309</v>
      </c>
      <c r="B1244" s="0" t="n">
        <v>5</v>
      </c>
      <c r="C1244" s="0" t="n">
        <v>4757</v>
      </c>
      <c r="D1244" s="0" t="n">
        <v>253</v>
      </c>
      <c r="E1244" s="0" t="n">
        <v>2</v>
      </c>
      <c r="F1244" s="23" t="s">
        <v>478</v>
      </c>
      <c r="H1244" s="0" t="n">
        <v>17</v>
      </c>
      <c r="I1244" s="23" t="s">
        <v>92</v>
      </c>
      <c r="J1244" s="0" t="n">
        <v>64</v>
      </c>
      <c r="K1244" s="0" t="n">
        <v>64</v>
      </c>
      <c r="L1244" s="0" t="n">
        <v>189</v>
      </c>
      <c r="M1244" s="0" t="n">
        <v>222.1</v>
      </c>
      <c r="N1244" s="0" t="n">
        <v>68.1</v>
      </c>
      <c r="O1244" s="0" t="n">
        <v>34.82</v>
      </c>
      <c r="P1244" s="0" t="n">
        <v>3.97</v>
      </c>
      <c r="Q1244" s="0" t="n">
        <v>3.95</v>
      </c>
      <c r="R1244" s="0" t="n">
        <v>5393</v>
      </c>
      <c r="S1244" s="0" t="n">
        <v>11281</v>
      </c>
      <c r="T1244" s="0" t="n">
        <v>59.55</v>
      </c>
      <c r="U1244" s="0" t="n">
        <v>1225</v>
      </c>
      <c r="V1244" s="0" t="n">
        <v>1</v>
      </c>
      <c r="W1244" s="0" t="str">
        <f aca="false">IF(OR(AND(B1244&gt;=1,B1244&lt;=6),B1244=10),"Vaca em lactação",IF(I1244="Male","Macho",IF(E1244&gt;=1,"Vaca seca",IF(I1244="Youngstock","Bezerra/recria","Novilha"))))</f>
        <v>Vaca em lactação</v>
      </c>
      <c r="X1244" s="0" t="str">
        <f aca="false">IF(AND(B1244&gt;=1,B1244&lt;=6),"Tanque",IF(B1244=10,"Descarte",""))</f>
        <v>Tanque</v>
      </c>
    </row>
    <row r="1245" customFormat="false" ht="15" hidden="false" customHeight="false" outlineLevel="0" collapsed="false">
      <c r="A1245" s="22" t="n">
        <v>46309</v>
      </c>
      <c r="B1245" s="0" t="n">
        <v>5</v>
      </c>
      <c r="C1245" s="0" t="n">
        <v>4768</v>
      </c>
      <c r="D1245" s="0" t="n">
        <v>96</v>
      </c>
      <c r="E1245" s="0" t="n">
        <v>2</v>
      </c>
      <c r="F1245" s="23" t="s">
        <v>307</v>
      </c>
      <c r="G1245" s="0" t="n">
        <v>42.7</v>
      </c>
      <c r="H1245" s="0" t="n">
        <v>39</v>
      </c>
      <c r="I1245" s="23" t="s">
        <v>109</v>
      </c>
      <c r="J1245" s="0" t="n">
        <v>96</v>
      </c>
      <c r="M1245" s="0" t="n">
        <v>440.77</v>
      </c>
      <c r="N1245" s="0" t="n">
        <v>41.17</v>
      </c>
      <c r="O1245" s="0" t="n">
        <v>31.42</v>
      </c>
      <c r="P1245" s="0" t="n">
        <v>6.02</v>
      </c>
      <c r="Q1245" s="0" t="n">
        <v>3.71</v>
      </c>
      <c r="R1245" s="0" t="n">
        <v>3760</v>
      </c>
      <c r="S1245" s="0" t="n">
        <v>7558</v>
      </c>
      <c r="T1245" s="0" t="n">
        <v>40.2</v>
      </c>
      <c r="U1245" s="0" t="n">
        <v>1221</v>
      </c>
      <c r="V1245" s="0" t="n">
        <v>0</v>
      </c>
      <c r="W1245" s="0" t="str">
        <f aca="false">IF(OR(AND(B1245&gt;=1,B1245&lt;=6),B1245=10),"Vaca em lactação",IF(I1245="Male","Macho",IF(E1245&gt;=1,"Vaca seca",IF(I1245="Youngstock","Bezerra/recria","Novilha"))))</f>
        <v>Vaca em lactação</v>
      </c>
      <c r="X1245" s="0" t="str">
        <f aca="false">IF(AND(B1245&gt;=1,B1245&lt;=6),"Tanque",IF(B1245=10,"Descarte",""))</f>
        <v>Tanque</v>
      </c>
    </row>
    <row r="1246" customFormat="false" ht="15" hidden="false" customHeight="false" outlineLevel="0" collapsed="false">
      <c r="A1246" s="22" t="n">
        <v>46309</v>
      </c>
      <c r="B1246" s="0" t="n">
        <v>5</v>
      </c>
      <c r="C1246" s="0" t="n">
        <v>4762</v>
      </c>
      <c r="D1246" s="0" t="n">
        <v>413</v>
      </c>
      <c r="E1246" s="0" t="n">
        <v>1</v>
      </c>
      <c r="F1246" s="23" t="s">
        <v>305</v>
      </c>
      <c r="G1246" s="0" t="n">
        <v>47.6</v>
      </c>
      <c r="H1246" s="0" t="n">
        <v>42</v>
      </c>
      <c r="I1246" s="23" t="s">
        <v>92</v>
      </c>
      <c r="J1246" s="0" t="n">
        <v>203</v>
      </c>
      <c r="K1246" s="0" t="n">
        <v>63</v>
      </c>
      <c r="L1246" s="0" t="n">
        <v>210</v>
      </c>
      <c r="M1246" s="0" t="n">
        <v>1108.58</v>
      </c>
      <c r="N1246" s="0" t="n">
        <v>45.47</v>
      </c>
      <c r="O1246" s="0" t="n">
        <v>46.25</v>
      </c>
      <c r="P1246" s="0" t="n">
        <v>2.94</v>
      </c>
      <c r="Q1246" s="0" t="n">
        <v>3.81</v>
      </c>
      <c r="R1246" s="0" t="n">
        <v>5201</v>
      </c>
      <c r="S1246" s="0" t="n">
        <v>11084</v>
      </c>
      <c r="T1246" s="0" t="n">
        <v>57.95</v>
      </c>
      <c r="U1246" s="0" t="n">
        <v>1223</v>
      </c>
      <c r="V1246" s="0" t="n">
        <v>5</v>
      </c>
      <c r="W1246" s="0" t="str">
        <f aca="false">IF(OR(AND(B1246&gt;=1,B1246&lt;=6),B1246=10),"Vaca em lactação",IF(I1246="Male","Macho",IF(E1246&gt;=1,"Vaca seca",IF(I1246="Youngstock","Bezerra/recria","Novilha"))))</f>
        <v>Vaca em lactação</v>
      </c>
      <c r="X1246" s="0" t="str">
        <f aca="false">IF(AND(B1246&gt;=1,B1246&lt;=6),"Tanque",IF(B1246=10,"Descarte",""))</f>
        <v>Tanque</v>
      </c>
    </row>
    <row r="1247" customFormat="false" ht="15" hidden="false" customHeight="false" outlineLevel="0" collapsed="false">
      <c r="A1247" s="22" t="n">
        <v>46309</v>
      </c>
      <c r="B1247" s="0" t="n">
        <v>5</v>
      </c>
      <c r="C1247" s="0" t="n">
        <v>4775</v>
      </c>
      <c r="D1247" s="0" t="n">
        <v>246</v>
      </c>
      <c r="E1247" s="0" t="n">
        <v>2</v>
      </c>
      <c r="F1247" s="23" t="s">
        <v>479</v>
      </c>
      <c r="G1247" s="0" t="n">
        <v>33.1</v>
      </c>
      <c r="H1247" s="0" t="n">
        <v>32</v>
      </c>
      <c r="I1247" s="23" t="s">
        <v>92</v>
      </c>
      <c r="J1247" s="0" t="n">
        <v>176</v>
      </c>
      <c r="K1247" s="0" t="n">
        <v>64</v>
      </c>
      <c r="L1247" s="0" t="n">
        <v>70</v>
      </c>
      <c r="M1247" s="0" t="n">
        <v>1494.24</v>
      </c>
      <c r="N1247" s="0" t="n">
        <v>47.48</v>
      </c>
      <c r="O1247" s="0" t="n">
        <v>56.62</v>
      </c>
      <c r="P1247" s="0" t="n">
        <v>3.72</v>
      </c>
      <c r="Q1247" s="0" t="n">
        <v>3.87</v>
      </c>
      <c r="R1247" s="0" t="n">
        <v>5762</v>
      </c>
      <c r="S1247" s="0" t="n">
        <v>10772</v>
      </c>
      <c r="T1247" s="0" t="n">
        <v>64.85</v>
      </c>
      <c r="U1247" s="0" t="n">
        <v>1217</v>
      </c>
      <c r="V1247" s="0" t="n">
        <v>4</v>
      </c>
      <c r="W1247" s="0" t="str">
        <f aca="false">IF(OR(AND(B1247&gt;=1,B1247&lt;=6),B1247=10),"Vaca em lactação",IF(I1247="Male","Macho",IF(E1247&gt;=1,"Vaca seca",IF(I1247="Youngstock","Bezerra/recria","Novilha"))))</f>
        <v>Vaca em lactação</v>
      </c>
      <c r="X1247" s="0" t="str">
        <f aca="false">IF(AND(B1247&gt;=1,B1247&lt;=6),"Tanque",IF(B1247=10,"Descarte",""))</f>
        <v>Tanque</v>
      </c>
    </row>
    <row r="1248" customFormat="false" ht="15" hidden="false" customHeight="false" outlineLevel="0" collapsed="false">
      <c r="A1248" s="22" t="n">
        <v>46309</v>
      </c>
      <c r="B1248" s="0" t="n">
        <v>5</v>
      </c>
      <c r="C1248" s="0" t="n">
        <v>4773</v>
      </c>
      <c r="D1248" s="0" t="n">
        <v>185</v>
      </c>
      <c r="E1248" s="0" t="n">
        <v>2</v>
      </c>
      <c r="F1248" s="23" t="s">
        <v>812</v>
      </c>
      <c r="G1248" s="0" t="n">
        <v>43.5</v>
      </c>
      <c r="H1248" s="0" t="n">
        <v>39</v>
      </c>
      <c r="I1248" s="23" t="s">
        <v>97</v>
      </c>
      <c r="J1248" s="0" t="n">
        <v>185</v>
      </c>
      <c r="K1248" s="0" t="n">
        <v>66</v>
      </c>
      <c r="M1248" s="0" t="n">
        <v>-565.33</v>
      </c>
      <c r="N1248" s="0" t="n">
        <v>64.58</v>
      </c>
      <c r="O1248" s="0" t="n">
        <v>23.79</v>
      </c>
      <c r="P1248" s="0" t="n">
        <v>6.59</v>
      </c>
      <c r="Q1248" s="0" t="n">
        <v>4.44</v>
      </c>
      <c r="R1248" s="0" t="n">
        <v>4262</v>
      </c>
      <c r="S1248" s="0" t="n">
        <v>8506</v>
      </c>
      <c r="T1248" s="0" t="n">
        <v>48.9</v>
      </c>
      <c r="U1248" s="0" t="n">
        <v>1218</v>
      </c>
      <c r="V1248" s="0" t="n">
        <v>3</v>
      </c>
      <c r="W1248" s="0" t="str">
        <f aca="false">IF(OR(AND(B1248&gt;=1,B1248&lt;=6),B1248=10),"Vaca em lactação",IF(I1248="Male","Macho",IF(E1248&gt;=1,"Vaca seca",IF(I1248="Youngstock","Bezerra/recria","Novilha"))))</f>
        <v>Vaca em lactação</v>
      </c>
      <c r="X1248" s="0" t="str">
        <f aca="false">IF(AND(B1248&gt;=1,B1248&lt;=6),"Tanque",IF(B1248=10,"Descarte",""))</f>
        <v>Tanque</v>
      </c>
    </row>
    <row r="1249" customFormat="false" ht="15" hidden="false" customHeight="false" outlineLevel="0" collapsed="false">
      <c r="A1249" s="22" t="n">
        <v>46309</v>
      </c>
      <c r="B1249" s="0" t="n">
        <v>5</v>
      </c>
      <c r="C1249" s="0" t="n">
        <v>4823</v>
      </c>
      <c r="D1249" s="0" t="n">
        <v>577</v>
      </c>
      <c r="E1249" s="0" t="n">
        <v>1</v>
      </c>
      <c r="F1249" s="23" t="s">
        <v>308</v>
      </c>
      <c r="G1249" s="0" t="n">
        <v>20.9</v>
      </c>
      <c r="H1249" s="0" t="n">
        <v>20</v>
      </c>
      <c r="I1249" s="23" t="s">
        <v>92</v>
      </c>
      <c r="J1249" s="0" t="n">
        <v>472</v>
      </c>
      <c r="K1249" s="0" t="n">
        <v>60</v>
      </c>
      <c r="L1249" s="0" t="n">
        <v>105</v>
      </c>
      <c r="M1249" s="0" t="n">
        <v>769.93</v>
      </c>
      <c r="N1249" s="0" t="n">
        <v>74.63</v>
      </c>
      <c r="O1249" s="0" t="n">
        <v>43.94</v>
      </c>
      <c r="P1249" s="0" t="n">
        <v>5.69</v>
      </c>
      <c r="Q1249" s="0" t="n">
        <v>4.31</v>
      </c>
      <c r="R1249" s="0" t="n">
        <v>4656</v>
      </c>
      <c r="S1249" s="0" t="n">
        <v>9105</v>
      </c>
      <c r="T1249" s="0" t="n">
        <v>52.6</v>
      </c>
      <c r="U1249" s="0" t="n">
        <v>1199</v>
      </c>
      <c r="V1249" s="0" t="n">
        <v>11</v>
      </c>
      <c r="W1249" s="0" t="str">
        <f aca="false">IF(OR(AND(B1249&gt;=1,B1249&lt;=6),B1249=10),"Vaca em lactação",IF(I1249="Male","Macho",IF(E1249&gt;=1,"Vaca seca",IF(I1249="Youngstock","Bezerra/recria","Novilha"))))</f>
        <v>Vaca em lactação</v>
      </c>
      <c r="X1249" s="0" t="str">
        <f aca="false">IF(AND(B1249&gt;=1,B1249&lt;=6),"Tanque",IF(B1249=10,"Descarte",""))</f>
        <v>Tanque</v>
      </c>
    </row>
    <row r="1250" customFormat="false" ht="15" hidden="false" customHeight="false" outlineLevel="0" collapsed="false">
      <c r="A1250" s="22" t="n">
        <v>46309</v>
      </c>
      <c r="B1250" s="0" t="n">
        <v>5</v>
      </c>
      <c r="C1250" s="0" t="n">
        <v>4819</v>
      </c>
      <c r="D1250" s="0" t="n">
        <v>539</v>
      </c>
      <c r="E1250" s="0" t="n">
        <v>1</v>
      </c>
      <c r="F1250" s="23" t="s">
        <v>308</v>
      </c>
      <c r="G1250" s="0" t="n">
        <v>30.2</v>
      </c>
      <c r="H1250" s="0" t="n">
        <v>27</v>
      </c>
      <c r="I1250" s="23" t="s">
        <v>92</v>
      </c>
      <c r="J1250" s="0" t="n">
        <v>441</v>
      </c>
      <c r="K1250" s="0" t="n">
        <v>63</v>
      </c>
      <c r="L1250" s="0" t="n">
        <v>98</v>
      </c>
      <c r="M1250" s="0" t="n">
        <v>957.28</v>
      </c>
      <c r="N1250" s="0" t="n">
        <v>54.45</v>
      </c>
      <c r="O1250" s="0" t="n">
        <v>35.18</v>
      </c>
      <c r="P1250" s="0" t="n">
        <v>4.79</v>
      </c>
      <c r="Q1250" s="0" t="n">
        <v>3.79</v>
      </c>
      <c r="R1250" s="0" t="n">
        <v>4387</v>
      </c>
      <c r="S1250" s="0" t="n">
        <v>9955</v>
      </c>
      <c r="T1250" s="0" t="n">
        <v>50.65</v>
      </c>
      <c r="U1250" s="0" t="n">
        <v>1199</v>
      </c>
      <c r="V1250" s="0" t="n">
        <v>8</v>
      </c>
      <c r="W1250" s="0" t="str">
        <f aca="false">IF(OR(AND(B1250&gt;=1,B1250&lt;=6),B1250=10),"Vaca em lactação",IF(I1250="Male","Macho",IF(E1250&gt;=1,"Vaca seca",IF(I1250="Youngstock","Bezerra/recria","Novilha"))))</f>
        <v>Vaca em lactação</v>
      </c>
      <c r="X1250" s="0" t="str">
        <f aca="false">IF(AND(B1250&gt;=1,B1250&lt;=6),"Tanque",IF(B1250=10,"Descarte",""))</f>
        <v>Tanque</v>
      </c>
    </row>
    <row r="1251" customFormat="false" ht="15" hidden="false" customHeight="false" outlineLevel="0" collapsed="false">
      <c r="A1251" s="22" t="n">
        <v>46309</v>
      </c>
      <c r="B1251" s="0" t="n">
        <v>5</v>
      </c>
      <c r="C1251" s="0" t="n">
        <v>4826</v>
      </c>
      <c r="D1251" s="0" t="n">
        <v>225</v>
      </c>
      <c r="E1251" s="0" t="n">
        <v>2</v>
      </c>
      <c r="F1251" s="23" t="s">
        <v>406</v>
      </c>
      <c r="G1251" s="0" t="n">
        <v>39</v>
      </c>
      <c r="H1251" s="0" t="n">
        <v>34</v>
      </c>
      <c r="I1251" s="23" t="s">
        <v>92</v>
      </c>
      <c r="J1251" s="0" t="n">
        <v>64</v>
      </c>
      <c r="K1251" s="0" t="n">
        <v>64</v>
      </c>
      <c r="L1251" s="0" t="n">
        <v>161</v>
      </c>
      <c r="M1251" s="0" t="n">
        <v>421.98</v>
      </c>
      <c r="N1251" s="0" t="n">
        <v>14.3</v>
      </c>
      <c r="O1251" s="0" t="n">
        <v>37.21</v>
      </c>
      <c r="P1251" s="0" t="n">
        <v>3.74</v>
      </c>
      <c r="Q1251" s="0" t="n">
        <v>4.48</v>
      </c>
      <c r="R1251" s="0" t="n">
        <v>4161</v>
      </c>
      <c r="S1251" s="0" t="n">
        <v>9040</v>
      </c>
      <c r="T1251" s="0" t="n">
        <v>43.95</v>
      </c>
      <c r="U1251" s="0" t="n">
        <v>1198</v>
      </c>
      <c r="V1251" s="0" t="n">
        <v>1</v>
      </c>
      <c r="W1251" s="0" t="str">
        <f aca="false">IF(OR(AND(B1251&gt;=1,B1251&lt;=6),B1251=10),"Vaca em lactação",IF(I1251="Male","Macho",IF(E1251&gt;=1,"Vaca seca",IF(I1251="Youngstock","Bezerra/recria","Novilha"))))</f>
        <v>Vaca em lactação</v>
      </c>
      <c r="X1251" s="0" t="str">
        <f aca="false">IF(AND(B1251&gt;=1,B1251&lt;=6),"Tanque",IF(B1251=10,"Descarte",""))</f>
        <v>Tanque</v>
      </c>
    </row>
    <row r="1252" customFormat="false" ht="15" hidden="false" customHeight="false" outlineLevel="0" collapsed="false">
      <c r="A1252" s="22" t="n">
        <v>46309</v>
      </c>
      <c r="B1252" s="0" t="n">
        <v>5</v>
      </c>
      <c r="C1252" s="0" t="n">
        <v>4832</v>
      </c>
      <c r="D1252" s="0" t="n">
        <v>222</v>
      </c>
      <c r="E1252" s="0" t="n">
        <v>2</v>
      </c>
      <c r="F1252" s="23" t="s">
        <v>310</v>
      </c>
      <c r="G1252" s="0" t="n">
        <v>38.5</v>
      </c>
      <c r="H1252" s="0" t="n">
        <v>33</v>
      </c>
      <c r="I1252" s="23" t="s">
        <v>92</v>
      </c>
      <c r="J1252" s="0" t="n">
        <v>68</v>
      </c>
      <c r="K1252" s="0" t="n">
        <v>68</v>
      </c>
      <c r="L1252" s="0" t="n">
        <v>154</v>
      </c>
      <c r="M1252" s="0" t="n">
        <v>603.28</v>
      </c>
      <c r="N1252" s="0" t="n">
        <v>51.32</v>
      </c>
      <c r="O1252" s="0" t="n">
        <v>37.15</v>
      </c>
      <c r="P1252" s="0" t="n">
        <v>5.05</v>
      </c>
      <c r="Q1252" s="0" t="n">
        <v>4</v>
      </c>
      <c r="R1252" s="0" t="n">
        <v>4688</v>
      </c>
      <c r="S1252" s="0" t="n">
        <v>9351</v>
      </c>
      <c r="T1252" s="0" t="n">
        <v>52.7</v>
      </c>
      <c r="U1252" s="0" t="n">
        <v>1197</v>
      </c>
      <c r="V1252" s="0" t="n">
        <v>1</v>
      </c>
      <c r="W1252" s="0" t="str">
        <f aca="false">IF(OR(AND(B1252&gt;=1,B1252&lt;=6),B1252=10),"Vaca em lactação",IF(I1252="Male","Macho",IF(E1252&gt;=1,"Vaca seca",IF(I1252="Youngstock","Bezerra/recria","Novilha"))))</f>
        <v>Vaca em lactação</v>
      </c>
      <c r="X1252" s="0" t="str">
        <f aca="false">IF(AND(B1252&gt;=1,B1252&lt;=6),"Tanque",IF(B1252=10,"Descarte",""))</f>
        <v>Tanque</v>
      </c>
    </row>
    <row r="1253" customFormat="false" ht="15" hidden="false" customHeight="false" outlineLevel="0" collapsed="false">
      <c r="A1253" s="22" t="n">
        <v>46309</v>
      </c>
      <c r="B1253" s="0" t="n">
        <v>5</v>
      </c>
      <c r="C1253" s="0" t="n">
        <v>4831</v>
      </c>
      <c r="D1253" s="0" t="n">
        <v>231</v>
      </c>
      <c r="E1253" s="0" t="n">
        <v>2</v>
      </c>
      <c r="F1253" s="23" t="s">
        <v>310</v>
      </c>
      <c r="G1253" s="0" t="n">
        <v>43</v>
      </c>
      <c r="H1253" s="0" t="n">
        <v>40</v>
      </c>
      <c r="I1253" s="23" t="s">
        <v>92</v>
      </c>
      <c r="J1253" s="0" t="n">
        <v>168</v>
      </c>
      <c r="K1253" s="0" t="n">
        <v>63</v>
      </c>
      <c r="L1253" s="0" t="n">
        <v>63</v>
      </c>
      <c r="M1253" s="0" t="n">
        <v>1761.3</v>
      </c>
      <c r="N1253" s="0" t="n">
        <v>71.07</v>
      </c>
      <c r="O1253" s="0" t="n">
        <v>52.28</v>
      </c>
      <c r="P1253" s="0" t="n">
        <v>4.26</v>
      </c>
      <c r="Q1253" s="0" t="n">
        <v>3.68</v>
      </c>
      <c r="R1253" s="0" t="n">
        <v>3476</v>
      </c>
      <c r="S1253" s="0" t="n">
        <v>8326</v>
      </c>
      <c r="T1253" s="0" t="n">
        <v>40.55</v>
      </c>
      <c r="U1253" s="0" t="n">
        <v>1197</v>
      </c>
      <c r="V1253" s="0" t="n">
        <v>2</v>
      </c>
      <c r="W1253" s="0" t="str">
        <f aca="false">IF(OR(AND(B1253&gt;=1,B1253&lt;=6),B1253=10),"Vaca em lactação",IF(I1253="Male","Macho",IF(E1253&gt;=1,"Vaca seca",IF(I1253="Youngstock","Bezerra/recria","Novilha"))))</f>
        <v>Vaca em lactação</v>
      </c>
      <c r="X1253" s="0" t="str">
        <f aca="false">IF(AND(B1253&gt;=1,B1253&lt;=6),"Tanque",IF(B1253=10,"Descarte",""))</f>
        <v>Tanque</v>
      </c>
    </row>
    <row r="1254" customFormat="false" ht="15" hidden="false" customHeight="false" outlineLevel="0" collapsed="false">
      <c r="A1254" s="22" t="n">
        <v>46309</v>
      </c>
      <c r="B1254" s="0" t="n">
        <v>5</v>
      </c>
      <c r="C1254" s="0" t="n">
        <v>4829</v>
      </c>
      <c r="D1254" s="0" t="n">
        <v>141</v>
      </c>
      <c r="E1254" s="0" t="n">
        <v>2</v>
      </c>
      <c r="F1254" s="23" t="s">
        <v>310</v>
      </c>
      <c r="G1254" s="0" t="n">
        <v>39</v>
      </c>
      <c r="H1254" s="0" t="n">
        <v>38</v>
      </c>
      <c r="I1254" s="23" t="s">
        <v>92</v>
      </c>
      <c r="J1254" s="0" t="n">
        <v>64</v>
      </c>
      <c r="K1254" s="0" t="n">
        <v>64</v>
      </c>
      <c r="L1254" s="0" t="n">
        <v>77</v>
      </c>
      <c r="M1254" s="0" t="n">
        <v>1173.55</v>
      </c>
      <c r="N1254" s="0" t="n">
        <v>34.86</v>
      </c>
      <c r="O1254" s="0" t="n">
        <v>27.83</v>
      </c>
      <c r="P1254" s="0" t="n">
        <v>4.1</v>
      </c>
      <c r="Q1254" s="0" t="n">
        <v>3.25</v>
      </c>
      <c r="R1254" s="0" t="n">
        <v>4282</v>
      </c>
      <c r="S1254" s="0" t="n">
        <v>8586</v>
      </c>
      <c r="T1254" s="0" t="n">
        <v>45.25</v>
      </c>
      <c r="U1254" s="0" t="n">
        <v>1197</v>
      </c>
      <c r="V1254" s="0" t="n">
        <v>1</v>
      </c>
      <c r="W1254" s="0" t="str">
        <f aca="false">IF(OR(AND(B1254&gt;=1,B1254&lt;=6),B1254=10),"Vaca em lactação",IF(I1254="Male","Macho",IF(E1254&gt;=1,"Vaca seca",IF(I1254="Youngstock","Bezerra/recria","Novilha"))))</f>
        <v>Vaca em lactação</v>
      </c>
      <c r="X1254" s="0" t="str">
        <f aca="false">IF(AND(B1254&gt;=1,B1254&lt;=6),"Tanque",IF(B1254=10,"Descarte",""))</f>
        <v>Tanque</v>
      </c>
    </row>
    <row r="1255" customFormat="false" ht="15" hidden="false" customHeight="false" outlineLevel="0" collapsed="false">
      <c r="A1255" s="22" t="n">
        <v>46309</v>
      </c>
      <c r="B1255" s="0" t="n">
        <v>5</v>
      </c>
      <c r="C1255" s="0" t="n">
        <v>4796</v>
      </c>
      <c r="D1255" s="0" t="n">
        <v>240</v>
      </c>
      <c r="E1255" s="0" t="n">
        <v>2</v>
      </c>
      <c r="F1255" s="23" t="s">
        <v>811</v>
      </c>
      <c r="G1255" s="0" t="n">
        <v>35.2</v>
      </c>
      <c r="H1255" s="0" t="n">
        <v>33</v>
      </c>
      <c r="I1255" s="23" t="s">
        <v>97</v>
      </c>
      <c r="J1255" s="0" t="n">
        <v>240</v>
      </c>
      <c r="K1255" s="0" t="n">
        <v>65</v>
      </c>
      <c r="M1255" s="0" t="n">
        <v>1280.66</v>
      </c>
      <c r="N1255" s="0" t="n">
        <v>45.48</v>
      </c>
      <c r="O1255" s="0" t="n">
        <v>43.49</v>
      </c>
      <c r="P1255" s="0" t="n">
        <v>4.53</v>
      </c>
      <c r="Q1255" s="0" t="n">
        <v>3.9</v>
      </c>
      <c r="R1255" s="0" t="n">
        <v>3972</v>
      </c>
      <c r="S1255" s="0" t="n">
        <v>6910</v>
      </c>
      <c r="T1255" s="0" t="n">
        <v>46</v>
      </c>
      <c r="U1255" s="0" t="n">
        <v>1209</v>
      </c>
      <c r="V1255" s="0" t="n">
        <v>4</v>
      </c>
      <c r="W1255" s="0" t="str">
        <f aca="false">IF(OR(AND(B1255&gt;=1,B1255&lt;=6),B1255=10),"Vaca em lactação",IF(I1255="Male","Macho",IF(E1255&gt;=1,"Vaca seca",IF(I1255="Youngstock","Bezerra/recria","Novilha"))))</f>
        <v>Vaca em lactação</v>
      </c>
      <c r="X1255" s="0" t="str">
        <f aca="false">IF(AND(B1255&gt;=1,B1255&lt;=6),"Tanque",IF(B1255=10,"Descarte",""))</f>
        <v>Tanque</v>
      </c>
    </row>
    <row r="1256" customFormat="false" ht="15" hidden="false" customHeight="false" outlineLevel="0" collapsed="false">
      <c r="A1256" s="22" t="n">
        <v>46309</v>
      </c>
      <c r="B1256" s="0" t="n">
        <v>5</v>
      </c>
      <c r="C1256" s="0" t="n">
        <v>4797</v>
      </c>
      <c r="D1256" s="0" t="n">
        <v>531</v>
      </c>
      <c r="E1256" s="0" t="n">
        <v>1</v>
      </c>
      <c r="F1256" s="23" t="s">
        <v>811</v>
      </c>
      <c r="G1256" s="0" t="n">
        <v>14.9</v>
      </c>
      <c r="H1256" s="0" t="n">
        <v>21</v>
      </c>
      <c r="I1256" s="23" t="s">
        <v>92</v>
      </c>
      <c r="J1256" s="0" t="n">
        <v>356</v>
      </c>
      <c r="K1256" s="0" t="n">
        <v>62</v>
      </c>
      <c r="L1256" s="0" t="n">
        <v>175</v>
      </c>
      <c r="M1256" s="0" t="n">
        <v>181.7</v>
      </c>
      <c r="N1256" s="0" t="n">
        <v>62.99</v>
      </c>
      <c r="O1256" s="0" t="n">
        <v>12.27</v>
      </c>
      <c r="P1256" s="0" t="n">
        <v>4.66</v>
      </c>
      <c r="Q1256" s="0" t="n">
        <v>3.99</v>
      </c>
      <c r="R1256" s="0" t="n">
        <v>4515</v>
      </c>
      <c r="S1256" s="0" t="n">
        <v>9391</v>
      </c>
      <c r="T1256" s="0" t="n">
        <v>47.25</v>
      </c>
      <c r="U1256" s="0" t="n">
        <v>1209</v>
      </c>
      <c r="V1256" s="0" t="n">
        <v>11</v>
      </c>
      <c r="W1256" s="0" t="str">
        <f aca="false">IF(OR(AND(B1256&gt;=1,B1256&lt;=6),B1256=10),"Vaca em lactação",IF(I1256="Male","Macho",IF(E1256&gt;=1,"Vaca seca",IF(I1256="Youngstock","Bezerra/recria","Novilha"))))</f>
        <v>Vaca em lactação</v>
      </c>
      <c r="X1256" s="0" t="str">
        <f aca="false">IF(AND(B1256&gt;=1,B1256&lt;=6),"Tanque",IF(B1256=10,"Descarte",""))</f>
        <v>Tanque</v>
      </c>
    </row>
    <row r="1257" customFormat="false" ht="15" hidden="false" customHeight="false" outlineLevel="0" collapsed="false">
      <c r="A1257" s="22" t="n">
        <v>46309</v>
      </c>
      <c r="B1257" s="0" t="n">
        <v>5</v>
      </c>
      <c r="C1257" s="0" t="n">
        <v>4809</v>
      </c>
      <c r="D1257" s="0" t="n">
        <v>129</v>
      </c>
      <c r="E1257" s="0" t="n">
        <v>2</v>
      </c>
      <c r="F1257" s="23" t="s">
        <v>813</v>
      </c>
      <c r="G1257" s="0" t="n">
        <v>37.6</v>
      </c>
      <c r="H1257" s="0" t="n">
        <v>35</v>
      </c>
      <c r="I1257" s="23" t="s">
        <v>92</v>
      </c>
      <c r="J1257" s="0" t="n">
        <v>91</v>
      </c>
      <c r="K1257" s="0" t="n">
        <v>66</v>
      </c>
      <c r="L1257" s="0" t="n">
        <v>38</v>
      </c>
      <c r="M1257" s="0" t="n">
        <v>265.23</v>
      </c>
      <c r="N1257" s="0" t="n">
        <v>40.77</v>
      </c>
      <c r="O1257" s="0" t="n">
        <v>32.65</v>
      </c>
      <c r="P1257" s="0" t="n">
        <v>3.67</v>
      </c>
      <c r="Q1257" s="0" t="n">
        <v>3.72</v>
      </c>
      <c r="R1257" s="0" t="n">
        <v>4225</v>
      </c>
      <c r="S1257" s="0" t="n">
        <v>8303</v>
      </c>
      <c r="T1257" s="0" t="n">
        <v>48.5</v>
      </c>
      <c r="U1257" s="0" t="n">
        <v>1204</v>
      </c>
      <c r="V1257" s="0" t="n">
        <v>2</v>
      </c>
      <c r="W1257" s="0" t="str">
        <f aca="false">IF(OR(AND(B1257&gt;=1,B1257&lt;=6),B1257=10),"Vaca em lactação",IF(I1257="Male","Macho",IF(E1257&gt;=1,"Vaca seca",IF(I1257="Youngstock","Bezerra/recria","Novilha"))))</f>
        <v>Vaca em lactação</v>
      </c>
      <c r="X1257" s="0" t="str">
        <f aca="false">IF(AND(B1257&gt;=1,B1257&lt;=6),"Tanque",IF(B1257=10,"Descarte",""))</f>
        <v>Tanque</v>
      </c>
    </row>
    <row r="1258" customFormat="false" ht="15" hidden="false" customHeight="false" outlineLevel="0" collapsed="false">
      <c r="A1258" s="22" t="n">
        <v>46309</v>
      </c>
      <c r="B1258" s="0" t="n">
        <v>5</v>
      </c>
      <c r="C1258" s="0" t="n">
        <v>4808</v>
      </c>
      <c r="D1258" s="0" t="n">
        <v>163</v>
      </c>
      <c r="E1258" s="0" t="n">
        <v>2</v>
      </c>
      <c r="F1258" s="23" t="s">
        <v>813</v>
      </c>
      <c r="G1258" s="0" t="n">
        <v>50.6</v>
      </c>
      <c r="H1258" s="0" t="n">
        <v>49</v>
      </c>
      <c r="I1258" s="23" t="s">
        <v>109</v>
      </c>
      <c r="J1258" s="0" t="n">
        <v>163</v>
      </c>
      <c r="K1258" s="0" t="n">
        <v>65</v>
      </c>
      <c r="M1258" s="0" t="n">
        <v>1408.57</v>
      </c>
      <c r="N1258" s="0" t="n">
        <v>69.27</v>
      </c>
      <c r="O1258" s="0" t="n">
        <v>55.25</v>
      </c>
      <c r="P1258" s="0" t="n">
        <v>2.9</v>
      </c>
      <c r="Q1258" s="0" t="n">
        <v>3.56</v>
      </c>
      <c r="R1258" s="0" t="n">
        <v>6012</v>
      </c>
      <c r="S1258" s="0" t="n">
        <v>11654</v>
      </c>
      <c r="T1258" s="0" t="n">
        <v>71.1</v>
      </c>
      <c r="U1258" s="0" t="n">
        <v>1204</v>
      </c>
      <c r="V1258" s="0" t="n">
        <v>2</v>
      </c>
      <c r="W1258" s="0" t="str">
        <f aca="false">IF(OR(AND(B1258&gt;=1,B1258&lt;=6),B1258=10),"Vaca em lactação",IF(I1258="Male","Macho",IF(E1258&gt;=1,"Vaca seca",IF(I1258="Youngstock","Bezerra/recria","Novilha"))))</f>
        <v>Vaca em lactação</v>
      </c>
      <c r="X1258" s="0" t="str">
        <f aca="false">IF(AND(B1258&gt;=1,B1258&lt;=6),"Tanque",IF(B1258=10,"Descarte",""))</f>
        <v>Tanque</v>
      </c>
    </row>
    <row r="1259" customFormat="false" ht="15" hidden="false" customHeight="false" outlineLevel="0" collapsed="false">
      <c r="A1259" s="22" t="n">
        <v>46309</v>
      </c>
      <c r="B1259" s="0" t="n">
        <v>5</v>
      </c>
      <c r="C1259" s="0" t="n">
        <v>4662</v>
      </c>
      <c r="D1259" s="0" t="n">
        <v>274</v>
      </c>
      <c r="E1259" s="0" t="n">
        <v>2</v>
      </c>
      <c r="F1259" s="23" t="s">
        <v>814</v>
      </c>
      <c r="G1259" s="0" t="n">
        <v>45.9</v>
      </c>
      <c r="H1259" s="0" t="n">
        <v>45</v>
      </c>
      <c r="I1259" s="23" t="s">
        <v>97</v>
      </c>
      <c r="J1259" s="0" t="n">
        <v>274</v>
      </c>
      <c r="K1259" s="0" t="n">
        <v>64</v>
      </c>
      <c r="M1259" s="0" t="n">
        <v>1080.13</v>
      </c>
      <c r="N1259" s="0" t="n">
        <v>55.04</v>
      </c>
      <c r="O1259" s="0" t="n">
        <v>43.2</v>
      </c>
      <c r="P1259" s="0" t="n">
        <v>4.69</v>
      </c>
      <c r="Q1259" s="0" t="n">
        <v>4.03</v>
      </c>
      <c r="R1259" s="0" t="n">
        <v>5683</v>
      </c>
      <c r="S1259" s="0" t="n">
        <v>11611</v>
      </c>
      <c r="T1259" s="0" t="n">
        <v>62.7</v>
      </c>
      <c r="U1259" s="0" t="n">
        <v>1276</v>
      </c>
      <c r="V1259" s="0" t="n">
        <v>7</v>
      </c>
      <c r="W1259" s="0" t="str">
        <f aca="false">IF(OR(AND(B1259&gt;=1,B1259&lt;=6),B1259=10),"Vaca em lactação",IF(I1259="Male","Macho",IF(E1259&gt;=1,"Vaca seca",IF(I1259="Youngstock","Bezerra/recria","Novilha"))))</f>
        <v>Vaca em lactação</v>
      </c>
      <c r="X1259" s="0" t="str">
        <f aca="false">IF(AND(B1259&gt;=1,B1259&lt;=6),"Tanque",IF(B1259=10,"Descarte",""))</f>
        <v>Tanque</v>
      </c>
    </row>
    <row r="1260" customFormat="false" ht="15" hidden="false" customHeight="false" outlineLevel="0" collapsed="false">
      <c r="A1260" s="22" t="n">
        <v>46309</v>
      </c>
      <c r="B1260" s="0" t="n">
        <v>5</v>
      </c>
      <c r="C1260" s="0" t="n">
        <v>4658</v>
      </c>
      <c r="D1260" s="0" t="n">
        <v>296</v>
      </c>
      <c r="E1260" s="0" t="n">
        <v>2</v>
      </c>
      <c r="F1260" s="23" t="s">
        <v>815</v>
      </c>
      <c r="G1260" s="0" t="n">
        <v>34.5</v>
      </c>
      <c r="H1260" s="0" t="n">
        <v>31</v>
      </c>
      <c r="I1260" s="23" t="s">
        <v>92</v>
      </c>
      <c r="J1260" s="0" t="n">
        <v>107</v>
      </c>
      <c r="K1260" s="0" t="n">
        <v>65</v>
      </c>
      <c r="L1260" s="0" t="n">
        <v>189</v>
      </c>
      <c r="M1260" s="0" t="n">
        <v>495.38</v>
      </c>
      <c r="N1260" s="0" t="n">
        <v>88.21</v>
      </c>
      <c r="O1260" s="0" t="n">
        <v>30.21</v>
      </c>
      <c r="P1260" s="0" t="n">
        <v>7.47</v>
      </c>
      <c r="Q1260" s="0" t="n">
        <v>4.4</v>
      </c>
      <c r="R1260" s="0" t="n">
        <v>5135</v>
      </c>
      <c r="S1260" s="0" t="n">
        <v>9774</v>
      </c>
      <c r="T1260" s="0" t="n">
        <v>52.2</v>
      </c>
      <c r="U1260" s="0" t="n">
        <v>1280</v>
      </c>
      <c r="V1260" s="0" t="n">
        <v>2</v>
      </c>
      <c r="W1260" s="0" t="str">
        <f aca="false">IF(OR(AND(B1260&gt;=1,B1260&lt;=6),B1260=10),"Vaca em lactação",IF(I1260="Male","Macho",IF(E1260&gt;=1,"Vaca seca",IF(I1260="Youngstock","Bezerra/recria","Novilha"))))</f>
        <v>Vaca em lactação</v>
      </c>
      <c r="X1260" s="0" t="str">
        <f aca="false">IF(AND(B1260&gt;=1,B1260&lt;=6),"Tanque",IF(B1260=10,"Descarte",""))</f>
        <v>Tanque</v>
      </c>
    </row>
    <row r="1261" customFormat="false" ht="15" hidden="false" customHeight="false" outlineLevel="0" collapsed="false">
      <c r="A1261" s="22" t="n">
        <v>46309</v>
      </c>
      <c r="B1261" s="0" t="n">
        <v>5</v>
      </c>
      <c r="C1261" s="0" t="n">
        <v>4655</v>
      </c>
      <c r="D1261" s="0" t="n">
        <v>445</v>
      </c>
      <c r="E1261" s="0" t="n">
        <v>1</v>
      </c>
      <c r="F1261" s="23" t="s">
        <v>816</v>
      </c>
      <c r="G1261" s="0" t="n">
        <v>33.9</v>
      </c>
      <c r="H1261" s="0" t="n">
        <v>35</v>
      </c>
      <c r="I1261" s="23" t="s">
        <v>92</v>
      </c>
      <c r="J1261" s="0" t="n">
        <v>305</v>
      </c>
      <c r="K1261" s="0" t="n">
        <v>66</v>
      </c>
      <c r="L1261" s="0" t="n">
        <v>140</v>
      </c>
      <c r="M1261" s="0" t="n">
        <v>938.74</v>
      </c>
      <c r="N1261" s="0" t="n">
        <v>51.11</v>
      </c>
      <c r="O1261" s="0" t="n">
        <v>29.39</v>
      </c>
      <c r="P1261" s="0" t="n">
        <v>5.22</v>
      </c>
      <c r="Q1261" s="0" t="n">
        <v>4.47</v>
      </c>
      <c r="R1261" s="0" t="n">
        <v>4955</v>
      </c>
      <c r="S1261" s="0" t="n">
        <v>9644</v>
      </c>
      <c r="T1261" s="0" t="n">
        <v>56.75</v>
      </c>
      <c r="U1261" s="0" t="n">
        <v>1281</v>
      </c>
      <c r="V1261" s="0" t="n">
        <v>6</v>
      </c>
      <c r="W1261" s="0" t="str">
        <f aca="false">IF(OR(AND(B1261&gt;=1,B1261&lt;=6),B1261=10),"Vaca em lactação",IF(I1261="Male","Macho",IF(E1261&gt;=1,"Vaca seca",IF(I1261="Youngstock","Bezerra/recria","Novilha"))))</f>
        <v>Vaca em lactação</v>
      </c>
      <c r="X1261" s="0" t="str">
        <f aca="false">IF(AND(B1261&gt;=1,B1261&lt;=6),"Tanque",IF(B1261=10,"Descarte",""))</f>
        <v>Tanque</v>
      </c>
    </row>
    <row r="1262" customFormat="false" ht="15" hidden="false" customHeight="false" outlineLevel="0" collapsed="false">
      <c r="A1262" s="22" t="n">
        <v>46309</v>
      </c>
      <c r="B1262" s="0" t="n">
        <v>5</v>
      </c>
      <c r="C1262" s="0" t="n">
        <v>4664</v>
      </c>
      <c r="D1262" s="0" t="n">
        <v>596</v>
      </c>
      <c r="E1262" s="0" t="n">
        <v>1</v>
      </c>
      <c r="F1262" s="23" t="s">
        <v>817</v>
      </c>
      <c r="G1262" s="0" t="n">
        <v>41.2</v>
      </c>
      <c r="H1262" s="0" t="n">
        <v>38</v>
      </c>
      <c r="I1262" s="23" t="s">
        <v>506</v>
      </c>
      <c r="J1262" s="0" t="n">
        <v>596</v>
      </c>
      <c r="K1262" s="0" t="n">
        <v>65</v>
      </c>
      <c r="M1262" s="0" t="n">
        <v>989.2</v>
      </c>
      <c r="N1262" s="0" t="n">
        <v>73.83</v>
      </c>
      <c r="O1262" s="0" t="n">
        <v>39.17</v>
      </c>
      <c r="P1262" s="0" t="n">
        <v>4.8</v>
      </c>
      <c r="Q1262" s="0" t="n">
        <v>4.09</v>
      </c>
      <c r="R1262" s="0" t="n">
        <v>4132</v>
      </c>
      <c r="S1262" s="0" t="n">
        <v>8688</v>
      </c>
      <c r="T1262" s="0" t="n">
        <v>48.1</v>
      </c>
      <c r="U1262" s="0" t="n">
        <v>1275</v>
      </c>
      <c r="V1262" s="0" t="n">
        <v>10</v>
      </c>
      <c r="W1262" s="0" t="str">
        <f aca="false">IF(OR(AND(B1262&gt;=1,B1262&lt;=6),B1262=10),"Vaca em lactação",IF(I1262="Male","Macho",IF(E1262&gt;=1,"Vaca seca",IF(I1262="Youngstock","Bezerra/recria","Novilha"))))</f>
        <v>Vaca em lactação</v>
      </c>
      <c r="X1262" s="0" t="str">
        <f aca="false">IF(AND(B1262&gt;=1,B1262&lt;=6),"Tanque",IF(B1262=10,"Descarte",""))</f>
        <v>Tanque</v>
      </c>
    </row>
    <row r="1263" customFormat="false" ht="15" hidden="false" customHeight="false" outlineLevel="0" collapsed="false">
      <c r="A1263" s="22" t="n">
        <v>46309</v>
      </c>
      <c r="B1263" s="0" t="n">
        <v>5</v>
      </c>
      <c r="C1263" s="0" t="n">
        <v>4677</v>
      </c>
      <c r="D1263" s="0" t="n">
        <v>83</v>
      </c>
      <c r="E1263" s="0" t="n">
        <v>2</v>
      </c>
      <c r="F1263" s="23" t="s">
        <v>483</v>
      </c>
      <c r="G1263" s="0" t="n">
        <v>30.8</v>
      </c>
      <c r="H1263" s="0" t="n">
        <v>29</v>
      </c>
      <c r="I1263" s="23" t="s">
        <v>97</v>
      </c>
      <c r="J1263" s="0" t="n">
        <v>83</v>
      </c>
      <c r="K1263" s="0" t="n">
        <v>62</v>
      </c>
      <c r="M1263" s="0" t="n">
        <v>991.81</v>
      </c>
      <c r="N1263" s="0" t="n">
        <v>17.81</v>
      </c>
      <c r="O1263" s="0" t="n">
        <v>26.85</v>
      </c>
      <c r="P1263" s="0" t="n">
        <v>3.27</v>
      </c>
      <c r="Q1263" s="0" t="n">
        <v>3.33</v>
      </c>
      <c r="R1263" s="0" t="n">
        <v>3383</v>
      </c>
      <c r="S1263" s="0" t="n">
        <v>6801</v>
      </c>
      <c r="U1263" s="0" t="n">
        <v>1268</v>
      </c>
      <c r="V1263" s="0" t="n">
        <v>1</v>
      </c>
      <c r="W1263" s="0" t="str">
        <f aca="false">IF(OR(AND(B1263&gt;=1,B1263&lt;=6),B1263=10),"Vaca em lactação",IF(I1263="Male","Macho",IF(E1263&gt;=1,"Vaca seca",IF(I1263="Youngstock","Bezerra/recria","Novilha"))))</f>
        <v>Vaca em lactação</v>
      </c>
      <c r="X1263" s="0" t="str">
        <f aca="false">IF(AND(B1263&gt;=1,B1263&lt;=6),"Tanque",IF(B1263=10,"Descarte",""))</f>
        <v>Tanque</v>
      </c>
    </row>
    <row r="1264" customFormat="false" ht="15" hidden="false" customHeight="false" outlineLevel="0" collapsed="false">
      <c r="A1264" s="22" t="n">
        <v>46309</v>
      </c>
      <c r="B1264" s="0" t="n">
        <v>5</v>
      </c>
      <c r="C1264" s="0" t="n">
        <v>4675</v>
      </c>
      <c r="D1264" s="0" t="n">
        <v>268</v>
      </c>
      <c r="E1264" s="0" t="n">
        <v>2</v>
      </c>
      <c r="F1264" s="23" t="s">
        <v>483</v>
      </c>
      <c r="G1264" s="0" t="n">
        <v>45.9</v>
      </c>
      <c r="H1264" s="0" t="n">
        <v>42</v>
      </c>
      <c r="I1264" s="23" t="s">
        <v>92</v>
      </c>
      <c r="J1264" s="0" t="n">
        <v>212</v>
      </c>
      <c r="K1264" s="0" t="n">
        <v>72</v>
      </c>
      <c r="L1264" s="0" t="n">
        <v>56</v>
      </c>
      <c r="M1264" s="0" t="n">
        <v>380.97</v>
      </c>
      <c r="N1264" s="0" t="n">
        <v>49.57</v>
      </c>
      <c r="O1264" s="0" t="n">
        <v>30.38</v>
      </c>
      <c r="P1264" s="0" t="n">
        <v>3.68</v>
      </c>
      <c r="Q1264" s="0" t="n">
        <v>3.99</v>
      </c>
      <c r="R1264" s="0" t="n">
        <v>5174</v>
      </c>
      <c r="S1264" s="0" t="n">
        <v>10407</v>
      </c>
      <c r="T1264" s="0" t="n">
        <v>52.75</v>
      </c>
      <c r="U1264" s="0" t="n">
        <v>1268</v>
      </c>
      <c r="V1264" s="0" t="n">
        <v>3</v>
      </c>
      <c r="W1264" s="0" t="str">
        <f aca="false">IF(OR(AND(B1264&gt;=1,B1264&lt;=6),B1264=10),"Vaca em lactação",IF(I1264="Male","Macho",IF(E1264&gt;=1,"Vaca seca",IF(I1264="Youngstock","Bezerra/recria","Novilha"))))</f>
        <v>Vaca em lactação</v>
      </c>
      <c r="X1264" s="0" t="str">
        <f aca="false">IF(AND(B1264&gt;=1,B1264&lt;=6),"Tanque",IF(B1264=10,"Descarte",""))</f>
        <v>Tanque</v>
      </c>
    </row>
    <row r="1265" customFormat="false" ht="15" hidden="false" customHeight="false" outlineLevel="0" collapsed="false">
      <c r="A1265" s="22" t="n">
        <v>46309</v>
      </c>
      <c r="B1265" s="0" t="n">
        <v>5</v>
      </c>
      <c r="C1265" s="0" t="n">
        <v>4681</v>
      </c>
      <c r="D1265" s="0" t="n">
        <v>255</v>
      </c>
      <c r="E1265" s="0" t="n">
        <v>2</v>
      </c>
      <c r="F1265" s="23" t="s">
        <v>482</v>
      </c>
      <c r="G1265" s="0" t="n">
        <v>40.5</v>
      </c>
      <c r="H1265" s="0" t="n">
        <v>36</v>
      </c>
      <c r="I1265" s="23" t="s">
        <v>92</v>
      </c>
      <c r="J1265" s="0" t="n">
        <v>185</v>
      </c>
      <c r="K1265" s="0" t="n">
        <v>70</v>
      </c>
      <c r="L1265" s="0" t="n">
        <v>70</v>
      </c>
      <c r="M1265" s="0" t="n">
        <v>637.12</v>
      </c>
      <c r="N1265" s="0" t="n">
        <v>75.16</v>
      </c>
      <c r="O1265" s="0" t="n">
        <v>34.39</v>
      </c>
      <c r="P1265" s="0" t="n">
        <v>6.28</v>
      </c>
      <c r="Q1265" s="0" t="n">
        <v>3.99</v>
      </c>
      <c r="R1265" s="0" t="n">
        <v>3206</v>
      </c>
      <c r="S1265" s="0" t="n">
        <v>6863</v>
      </c>
      <c r="T1265" s="0" t="n">
        <v>40.85</v>
      </c>
      <c r="U1265" s="0" t="n">
        <v>1266</v>
      </c>
      <c r="V1265" s="0" t="n">
        <v>4</v>
      </c>
      <c r="W1265" s="0" t="str">
        <f aca="false">IF(OR(AND(B1265&gt;=1,B1265&lt;=6),B1265=10),"Vaca em lactação",IF(I1265="Male","Macho",IF(E1265&gt;=1,"Vaca seca",IF(I1265="Youngstock","Bezerra/recria","Novilha"))))</f>
        <v>Vaca em lactação</v>
      </c>
      <c r="X1265" s="0" t="str">
        <f aca="false">IF(AND(B1265&gt;=1,B1265&lt;=6),"Tanque",IF(B1265=10,"Descarte",""))</f>
        <v>Tanque</v>
      </c>
    </row>
    <row r="1266" customFormat="false" ht="15" hidden="false" customHeight="false" outlineLevel="0" collapsed="false">
      <c r="A1266" s="22" t="n">
        <v>46309</v>
      </c>
      <c r="B1266" s="0" t="n">
        <v>5</v>
      </c>
      <c r="C1266" s="0" t="n">
        <v>4680</v>
      </c>
      <c r="D1266" s="0" t="n">
        <v>241</v>
      </c>
      <c r="E1266" s="0" t="n">
        <v>2</v>
      </c>
      <c r="F1266" s="23" t="s">
        <v>482</v>
      </c>
      <c r="G1266" s="0" t="n">
        <v>44</v>
      </c>
      <c r="H1266" s="0" t="n">
        <v>38</v>
      </c>
      <c r="I1266" s="23" t="s">
        <v>92</v>
      </c>
      <c r="J1266" s="0" t="n">
        <v>192</v>
      </c>
      <c r="K1266" s="0" t="n">
        <v>73</v>
      </c>
      <c r="L1266" s="0" t="n">
        <v>49</v>
      </c>
      <c r="M1266" s="0" t="n">
        <v>601.51</v>
      </c>
      <c r="N1266" s="0" t="n">
        <v>39.96</v>
      </c>
      <c r="O1266" s="0" t="n">
        <v>25.35</v>
      </c>
      <c r="P1266" s="0" t="n">
        <v>3.88</v>
      </c>
      <c r="Q1266" s="0" t="n">
        <v>3.92</v>
      </c>
      <c r="R1266" s="0" t="n">
        <v>5342</v>
      </c>
      <c r="S1266" s="0" t="n">
        <v>9651</v>
      </c>
      <c r="T1266" s="0" t="n">
        <v>62.05</v>
      </c>
      <c r="U1266" s="0" t="n">
        <v>1266</v>
      </c>
      <c r="V1266" s="0" t="n">
        <v>5</v>
      </c>
      <c r="W1266" s="0" t="str">
        <f aca="false">IF(OR(AND(B1266&gt;=1,B1266&lt;=6),B1266=10),"Vaca em lactação",IF(I1266="Male","Macho",IF(E1266&gt;=1,"Vaca seca",IF(I1266="Youngstock","Bezerra/recria","Novilha"))))</f>
        <v>Vaca em lactação</v>
      </c>
      <c r="X1266" s="0" t="str">
        <f aca="false">IF(AND(B1266&gt;=1,B1266&lt;=6),"Tanque",IF(B1266=10,"Descarte",""))</f>
        <v>Tanque</v>
      </c>
    </row>
    <row r="1267" customFormat="false" ht="15" hidden="false" customHeight="false" outlineLevel="0" collapsed="false">
      <c r="A1267" s="22" t="n">
        <v>46309</v>
      </c>
      <c r="B1267" s="0" t="n">
        <v>5</v>
      </c>
      <c r="C1267" s="0" t="n">
        <v>4626</v>
      </c>
      <c r="D1267" s="0" t="n">
        <v>294</v>
      </c>
      <c r="E1267" s="0" t="n">
        <v>2</v>
      </c>
      <c r="F1267" s="23" t="s">
        <v>818</v>
      </c>
      <c r="G1267" s="0" t="n">
        <v>32.3</v>
      </c>
      <c r="H1267" s="0" t="n">
        <v>30</v>
      </c>
      <c r="I1267" s="23" t="s">
        <v>92</v>
      </c>
      <c r="J1267" s="0" t="n">
        <v>98</v>
      </c>
      <c r="K1267" s="0" t="n">
        <v>63</v>
      </c>
      <c r="L1267" s="0" t="n">
        <v>196</v>
      </c>
      <c r="M1267" s="0" t="n">
        <v>-21.41</v>
      </c>
      <c r="N1267" s="0" t="n">
        <v>42.41</v>
      </c>
      <c r="O1267" s="0" t="n">
        <v>21.78</v>
      </c>
      <c r="P1267" s="0" t="n">
        <v>5.34</v>
      </c>
      <c r="Q1267" s="0" t="n">
        <v>4.05</v>
      </c>
      <c r="R1267" s="0" t="n">
        <v>5132</v>
      </c>
      <c r="S1267" s="0" t="n">
        <v>10375</v>
      </c>
      <c r="T1267" s="0" t="n">
        <v>54.45</v>
      </c>
      <c r="U1267" s="0" t="n">
        <v>1302</v>
      </c>
      <c r="V1267" s="0" t="n">
        <v>2</v>
      </c>
      <c r="W1267" s="0" t="str">
        <f aca="false">IF(OR(AND(B1267&gt;=1,B1267&lt;=6),B1267=10),"Vaca em lactação",IF(I1267="Male","Macho",IF(E1267&gt;=1,"Vaca seca",IF(I1267="Youngstock","Bezerra/recria","Novilha"))))</f>
        <v>Vaca em lactação</v>
      </c>
      <c r="X1267" s="0" t="str">
        <f aca="false">IF(AND(B1267&gt;=1,B1267&lt;=6),"Tanque",IF(B1267=10,"Descarte",""))</f>
        <v>Tanque</v>
      </c>
    </row>
    <row r="1268" customFormat="false" ht="15" hidden="false" customHeight="false" outlineLevel="0" collapsed="false">
      <c r="A1268" s="22" t="n">
        <v>46309</v>
      </c>
      <c r="B1268" s="0" t="n">
        <v>5</v>
      </c>
      <c r="C1268" s="0" t="n">
        <v>4640</v>
      </c>
      <c r="D1268" s="0" t="n">
        <v>270</v>
      </c>
      <c r="E1268" s="0" t="n">
        <v>2</v>
      </c>
      <c r="F1268" s="23" t="s">
        <v>317</v>
      </c>
      <c r="G1268" s="0" t="n">
        <v>41.5</v>
      </c>
      <c r="H1268" s="0" t="n">
        <v>38</v>
      </c>
      <c r="I1268" s="23" t="s">
        <v>92</v>
      </c>
      <c r="J1268" s="0" t="n">
        <v>235</v>
      </c>
      <c r="K1268" s="0" t="n">
        <v>67</v>
      </c>
      <c r="L1268" s="0" t="n">
        <v>35</v>
      </c>
      <c r="M1268" s="0" t="n">
        <v>592.75</v>
      </c>
      <c r="N1268" s="0" t="n">
        <v>49.84</v>
      </c>
      <c r="O1268" s="0" t="n">
        <v>31.95</v>
      </c>
      <c r="P1268" s="0" t="n">
        <v>5.57</v>
      </c>
      <c r="Q1268" s="0" t="n">
        <v>4.2</v>
      </c>
      <c r="R1268" s="0" t="n">
        <v>4139</v>
      </c>
      <c r="S1268" s="0" t="n">
        <v>8518</v>
      </c>
      <c r="T1268" s="0" t="n">
        <v>50.05</v>
      </c>
      <c r="U1268" s="0" t="n">
        <v>1289</v>
      </c>
      <c r="V1268" s="0" t="n">
        <v>5</v>
      </c>
      <c r="W1268" s="0" t="str">
        <f aca="false">IF(OR(AND(B1268&gt;=1,B1268&lt;=6),B1268=10),"Vaca em lactação",IF(I1268="Male","Macho",IF(E1268&gt;=1,"Vaca seca",IF(I1268="Youngstock","Bezerra/recria","Novilha"))))</f>
        <v>Vaca em lactação</v>
      </c>
      <c r="X1268" s="0" t="str">
        <f aca="false">IF(AND(B1268&gt;=1,B1268&lt;=6),"Tanque",IF(B1268=10,"Descarte",""))</f>
        <v>Tanque</v>
      </c>
    </row>
    <row r="1269" customFormat="false" ht="15" hidden="false" customHeight="false" outlineLevel="0" collapsed="false">
      <c r="A1269" s="22" t="n">
        <v>46309</v>
      </c>
      <c r="B1269" s="0" t="n">
        <v>5</v>
      </c>
      <c r="C1269" s="0" t="n">
        <v>4643</v>
      </c>
      <c r="D1269" s="0" t="n">
        <v>190</v>
      </c>
      <c r="E1269" s="0" t="n">
        <v>2</v>
      </c>
      <c r="F1269" s="23" t="s">
        <v>321</v>
      </c>
      <c r="G1269" s="0" t="n">
        <v>33.9</v>
      </c>
      <c r="H1269" s="0" t="n">
        <v>31</v>
      </c>
      <c r="I1269" s="23" t="s">
        <v>97</v>
      </c>
      <c r="J1269" s="0" t="n">
        <v>190</v>
      </c>
      <c r="K1269" s="0" t="n">
        <v>64</v>
      </c>
      <c r="M1269" s="0" t="n">
        <v>407.05</v>
      </c>
      <c r="N1269" s="0" t="n">
        <v>23.25</v>
      </c>
      <c r="O1269" s="0" t="n">
        <v>24.79</v>
      </c>
      <c r="P1269" s="0" t="n">
        <v>4.77</v>
      </c>
      <c r="Q1269" s="0" t="n">
        <v>3.89</v>
      </c>
      <c r="R1269" s="0" t="n">
        <v>4230</v>
      </c>
      <c r="S1269" s="0" t="n">
        <v>8371</v>
      </c>
      <c r="T1269" s="0" t="n">
        <v>46.3</v>
      </c>
      <c r="U1269" s="0" t="n">
        <v>1288</v>
      </c>
      <c r="V1269" s="0" t="n">
        <v>3</v>
      </c>
      <c r="W1269" s="0" t="str">
        <f aca="false">IF(OR(AND(B1269&gt;=1,B1269&lt;=6),B1269=10),"Vaca em lactação",IF(I1269="Male","Macho",IF(E1269&gt;=1,"Vaca seca",IF(I1269="Youngstock","Bezerra/recria","Novilha"))))</f>
        <v>Vaca em lactação</v>
      </c>
      <c r="X1269" s="0" t="str">
        <f aca="false">IF(AND(B1269&gt;=1,B1269&lt;=6),"Tanque",IF(B1269=10,"Descarte",""))</f>
        <v>Tanque</v>
      </c>
    </row>
    <row r="1270" customFormat="false" ht="15" hidden="false" customHeight="false" outlineLevel="0" collapsed="false">
      <c r="A1270" s="22" t="n">
        <v>46309</v>
      </c>
      <c r="B1270" s="0" t="n">
        <v>5</v>
      </c>
      <c r="C1270" s="0" t="n">
        <v>4653</v>
      </c>
      <c r="D1270" s="0" t="n">
        <v>294</v>
      </c>
      <c r="E1270" s="0" t="n">
        <v>2</v>
      </c>
      <c r="F1270" s="23" t="s">
        <v>322</v>
      </c>
      <c r="G1270" s="0" t="n">
        <v>37.6</v>
      </c>
      <c r="H1270" s="0" t="n">
        <v>37</v>
      </c>
      <c r="I1270" s="23" t="s">
        <v>109</v>
      </c>
      <c r="J1270" s="0" t="n">
        <v>294</v>
      </c>
      <c r="K1270" s="0" t="n">
        <v>70</v>
      </c>
      <c r="M1270" s="0" t="n">
        <v>486.88</v>
      </c>
      <c r="N1270" s="0" t="n">
        <v>61.26</v>
      </c>
      <c r="O1270" s="0" t="n">
        <v>39.69</v>
      </c>
      <c r="P1270" s="0" t="n">
        <v>4.16</v>
      </c>
      <c r="Q1270" s="0" t="n">
        <v>3.82</v>
      </c>
      <c r="R1270" s="0" t="n">
        <v>4193</v>
      </c>
      <c r="S1270" s="0" t="n">
        <v>8399</v>
      </c>
      <c r="T1270" s="0" t="n">
        <v>47.45</v>
      </c>
      <c r="U1270" s="0" t="n">
        <v>1282</v>
      </c>
      <c r="V1270" s="0" t="n">
        <v>3</v>
      </c>
      <c r="W1270" s="0" t="str">
        <f aca="false">IF(OR(AND(B1270&gt;=1,B1270&lt;=6),B1270=10),"Vaca em lactação",IF(I1270="Male","Macho",IF(E1270&gt;=1,"Vaca seca",IF(I1270="Youngstock","Bezerra/recria","Novilha"))))</f>
        <v>Vaca em lactação</v>
      </c>
      <c r="X1270" s="0" t="str">
        <f aca="false">IF(AND(B1270&gt;=1,B1270&lt;=6),"Tanque",IF(B1270=10,"Descarte",""))</f>
        <v>Tanque</v>
      </c>
    </row>
    <row r="1271" customFormat="false" ht="15" hidden="false" customHeight="false" outlineLevel="0" collapsed="false">
      <c r="A1271" s="22" t="n">
        <v>46309</v>
      </c>
      <c r="B1271" s="0" t="n">
        <v>5</v>
      </c>
      <c r="C1271" s="0" t="n">
        <v>4651</v>
      </c>
      <c r="D1271" s="0" t="n">
        <v>621</v>
      </c>
      <c r="E1271" s="0" t="n">
        <v>1</v>
      </c>
      <c r="F1271" s="23" t="s">
        <v>819</v>
      </c>
      <c r="G1271" s="0" t="n">
        <v>36.6</v>
      </c>
      <c r="H1271" s="0" t="n">
        <v>37</v>
      </c>
      <c r="I1271" s="23" t="s">
        <v>92</v>
      </c>
      <c r="J1271" s="0" t="n">
        <v>432</v>
      </c>
      <c r="K1271" s="0" t="n">
        <v>62</v>
      </c>
      <c r="L1271" s="0" t="n">
        <v>189</v>
      </c>
      <c r="M1271" s="0" t="n">
        <v>467.26</v>
      </c>
      <c r="N1271" s="0" t="n">
        <v>30.85</v>
      </c>
      <c r="O1271" s="0" t="n">
        <v>22.92</v>
      </c>
      <c r="P1271" s="0" t="n">
        <v>5.14</v>
      </c>
      <c r="Q1271" s="0" t="n">
        <v>4.02</v>
      </c>
      <c r="R1271" s="0" t="n">
        <v>4114</v>
      </c>
      <c r="S1271" s="0" t="n">
        <v>9004</v>
      </c>
      <c r="T1271" s="0" t="n">
        <v>44.75</v>
      </c>
      <c r="U1271" s="0" t="n">
        <v>1283</v>
      </c>
      <c r="V1271" s="0" t="n">
        <v>11</v>
      </c>
      <c r="W1271" s="0" t="str">
        <f aca="false">IF(OR(AND(B1271&gt;=1,B1271&lt;=6),B1271=10),"Vaca em lactação",IF(I1271="Male","Macho",IF(E1271&gt;=1,"Vaca seca",IF(I1271="Youngstock","Bezerra/recria","Novilha"))))</f>
        <v>Vaca em lactação</v>
      </c>
      <c r="X1271" s="0" t="str">
        <f aca="false">IF(AND(B1271&gt;=1,B1271&lt;=6),"Tanque",IF(B1271=10,"Descarte",""))</f>
        <v>Tanque</v>
      </c>
    </row>
    <row r="1272" customFormat="false" ht="15" hidden="false" customHeight="false" outlineLevel="0" collapsed="false">
      <c r="A1272" s="22" t="n">
        <v>46309</v>
      </c>
      <c r="B1272" s="0" t="n">
        <v>5</v>
      </c>
      <c r="C1272" s="0" t="n">
        <v>4648</v>
      </c>
      <c r="D1272" s="0" t="n">
        <v>324</v>
      </c>
      <c r="E1272" s="0" t="n">
        <v>2</v>
      </c>
      <c r="F1272" s="23" t="s">
        <v>320</v>
      </c>
      <c r="G1272" s="0" t="n">
        <v>39.6</v>
      </c>
      <c r="H1272" s="0" t="n">
        <v>35</v>
      </c>
      <c r="I1272" s="23" t="s">
        <v>92</v>
      </c>
      <c r="J1272" s="0" t="n">
        <v>139</v>
      </c>
      <c r="K1272" s="0" t="n">
        <v>65</v>
      </c>
      <c r="L1272" s="0" t="n">
        <v>185</v>
      </c>
      <c r="M1272" s="0" t="n">
        <v>934.26</v>
      </c>
      <c r="N1272" s="0" t="n">
        <v>61.59</v>
      </c>
      <c r="O1272" s="0" t="n">
        <v>51.97</v>
      </c>
      <c r="P1272" s="0" t="n">
        <v>4.26</v>
      </c>
      <c r="Q1272" s="0" t="n">
        <v>4.34</v>
      </c>
      <c r="R1272" s="0" t="n">
        <v>5069</v>
      </c>
      <c r="S1272" s="0" t="n">
        <v>10329</v>
      </c>
      <c r="T1272" s="0" t="n">
        <v>54.15</v>
      </c>
      <c r="U1272" s="0" t="n">
        <v>1285</v>
      </c>
      <c r="V1272" s="0" t="n">
        <v>3</v>
      </c>
      <c r="W1272" s="0" t="str">
        <f aca="false">IF(OR(AND(B1272&gt;=1,B1272&lt;=6),B1272=10),"Vaca em lactação",IF(I1272="Male","Macho",IF(E1272&gt;=1,"Vaca seca",IF(I1272="Youngstock","Bezerra/recria","Novilha"))))</f>
        <v>Vaca em lactação</v>
      </c>
      <c r="X1272" s="0" t="str">
        <f aca="false">IF(AND(B1272&gt;=1,B1272&lt;=6),"Tanque",IF(B1272=10,"Descarte",""))</f>
        <v>Tanque</v>
      </c>
    </row>
    <row r="1273" customFormat="false" ht="15" hidden="false" customHeight="false" outlineLevel="0" collapsed="false">
      <c r="A1273" s="22" t="n">
        <v>46309</v>
      </c>
      <c r="B1273" s="0" t="n">
        <v>5</v>
      </c>
      <c r="C1273" s="0" t="n">
        <v>4724</v>
      </c>
      <c r="D1273" s="0" t="n">
        <v>231</v>
      </c>
      <c r="E1273" s="0" t="n">
        <v>2</v>
      </c>
      <c r="F1273" s="23" t="s">
        <v>820</v>
      </c>
      <c r="G1273" s="0" t="n">
        <v>47.3</v>
      </c>
      <c r="H1273" s="0" t="n">
        <v>37</v>
      </c>
      <c r="I1273" s="23" t="s">
        <v>92</v>
      </c>
      <c r="J1273" s="0" t="n">
        <v>161</v>
      </c>
      <c r="K1273" s="0" t="n">
        <v>63</v>
      </c>
      <c r="L1273" s="0" t="n">
        <v>70</v>
      </c>
      <c r="M1273" s="0" t="n">
        <v>842.09</v>
      </c>
      <c r="N1273" s="0" t="n">
        <v>30.89</v>
      </c>
      <c r="O1273" s="0" t="n">
        <v>18.61</v>
      </c>
      <c r="P1273" s="0" t="n">
        <v>4.04</v>
      </c>
      <c r="Q1273" s="0" t="n">
        <v>3.73</v>
      </c>
      <c r="R1273" s="0" t="n">
        <v>5287</v>
      </c>
      <c r="S1273" s="0" t="n">
        <v>9685</v>
      </c>
      <c r="T1273" s="0" t="n">
        <v>59.2</v>
      </c>
      <c r="U1273" s="0" t="n">
        <v>1240</v>
      </c>
      <c r="V1273" s="0" t="n">
        <v>3</v>
      </c>
      <c r="W1273" s="0" t="str">
        <f aca="false">IF(OR(AND(B1273&gt;=1,B1273&lt;=6),B1273=10),"Vaca em lactação",IF(I1273="Male","Macho",IF(E1273&gt;=1,"Vaca seca",IF(I1273="Youngstock","Bezerra/recria","Novilha"))))</f>
        <v>Vaca em lactação</v>
      </c>
      <c r="X1273" s="0" t="str">
        <f aca="false">IF(AND(B1273&gt;=1,B1273&lt;=6),"Tanque",IF(B1273=10,"Descarte",""))</f>
        <v>Tanque</v>
      </c>
    </row>
    <row r="1274" customFormat="false" ht="15" hidden="false" customHeight="false" outlineLevel="0" collapsed="false">
      <c r="A1274" s="22" t="n">
        <v>46309</v>
      </c>
      <c r="B1274" s="0" t="n">
        <v>5</v>
      </c>
      <c r="C1274" s="0" t="n">
        <v>4736</v>
      </c>
      <c r="D1274" s="0" t="n">
        <v>236</v>
      </c>
      <c r="E1274" s="0" t="n">
        <v>2</v>
      </c>
      <c r="F1274" s="23" t="s">
        <v>325</v>
      </c>
      <c r="G1274" s="0" t="n">
        <v>43.8</v>
      </c>
      <c r="H1274" s="0" t="n">
        <v>42</v>
      </c>
      <c r="I1274" s="23" t="s">
        <v>92</v>
      </c>
      <c r="J1274" s="0" t="n">
        <v>68</v>
      </c>
      <c r="K1274" s="0" t="n">
        <v>68</v>
      </c>
      <c r="L1274" s="0" t="n">
        <v>168</v>
      </c>
      <c r="M1274" s="0" t="n">
        <v>583.42</v>
      </c>
      <c r="N1274" s="0" t="n">
        <v>33.2</v>
      </c>
      <c r="O1274" s="0" t="n">
        <v>19.24</v>
      </c>
      <c r="P1274" s="0" t="n">
        <v>4.94</v>
      </c>
      <c r="Q1274" s="0" t="n">
        <v>3.54</v>
      </c>
      <c r="R1274" s="0" t="n">
        <v>4025</v>
      </c>
      <c r="S1274" s="0" t="n">
        <v>8909</v>
      </c>
      <c r="T1274" s="0" t="n">
        <v>46.25</v>
      </c>
      <c r="U1274" s="0" t="n">
        <v>1233</v>
      </c>
      <c r="V1274" s="0" t="n">
        <v>1</v>
      </c>
      <c r="W1274" s="0" t="str">
        <f aca="false">IF(OR(AND(B1274&gt;=1,B1274&lt;=6),B1274=10),"Vaca em lactação",IF(I1274="Male","Macho",IF(E1274&gt;=1,"Vaca seca",IF(I1274="Youngstock","Bezerra/recria","Novilha"))))</f>
        <v>Vaca em lactação</v>
      </c>
      <c r="X1274" s="0" t="str">
        <f aca="false">IF(AND(B1274&gt;=1,B1274&lt;=6),"Tanque",IF(B1274=10,"Descarte",""))</f>
        <v>Tanque</v>
      </c>
    </row>
    <row r="1275" customFormat="false" ht="15" hidden="false" customHeight="false" outlineLevel="0" collapsed="false">
      <c r="A1275" s="22" t="n">
        <v>46309</v>
      </c>
      <c r="B1275" s="0" t="n">
        <v>5</v>
      </c>
      <c r="C1275" s="0" t="n">
        <v>4734</v>
      </c>
      <c r="D1275" s="0" t="n">
        <v>129</v>
      </c>
      <c r="E1275" s="0" t="n">
        <v>2</v>
      </c>
      <c r="F1275" s="23" t="s">
        <v>325</v>
      </c>
      <c r="G1275" s="0" t="n">
        <v>41.6</v>
      </c>
      <c r="H1275" s="0" t="n">
        <v>36</v>
      </c>
      <c r="I1275" s="23" t="s">
        <v>97</v>
      </c>
      <c r="J1275" s="0" t="n">
        <v>129</v>
      </c>
      <c r="K1275" s="0" t="n">
        <v>66</v>
      </c>
      <c r="M1275" s="0" t="n">
        <v>484.24</v>
      </c>
      <c r="N1275" s="0" t="n">
        <v>85.24</v>
      </c>
      <c r="O1275" s="0" t="n">
        <v>46.21</v>
      </c>
      <c r="P1275" s="0" t="n">
        <v>4.32</v>
      </c>
      <c r="Q1275" s="0" t="n">
        <v>3.7</v>
      </c>
      <c r="R1275" s="0" t="n">
        <v>3514</v>
      </c>
      <c r="S1275" s="0" t="n">
        <v>7098</v>
      </c>
      <c r="T1275" s="0" t="n">
        <v>43.4</v>
      </c>
      <c r="U1275" s="0" t="n">
        <v>1233</v>
      </c>
      <c r="V1275" s="0" t="n">
        <v>2</v>
      </c>
      <c r="W1275" s="0" t="str">
        <f aca="false">IF(OR(AND(B1275&gt;=1,B1275&lt;=6),B1275=10),"Vaca em lactação",IF(I1275="Male","Macho",IF(E1275&gt;=1,"Vaca seca",IF(I1275="Youngstock","Bezerra/recria","Novilha"))))</f>
        <v>Vaca em lactação</v>
      </c>
      <c r="X1275" s="0" t="str">
        <f aca="false">IF(AND(B1275&gt;=1,B1275&lt;=6),"Tanque",IF(B1275=10,"Descarte",""))</f>
        <v>Tanque</v>
      </c>
    </row>
    <row r="1276" customFormat="false" ht="15" hidden="false" customHeight="false" outlineLevel="0" collapsed="false">
      <c r="A1276" s="22" t="n">
        <v>46309</v>
      </c>
      <c r="B1276" s="0" t="n">
        <v>5</v>
      </c>
      <c r="C1276" s="0" t="n">
        <v>4732</v>
      </c>
      <c r="D1276" s="0" t="n">
        <v>448</v>
      </c>
      <c r="E1276" s="0" t="n">
        <v>1</v>
      </c>
      <c r="F1276" s="23" t="s">
        <v>821</v>
      </c>
      <c r="G1276" s="0" t="n">
        <v>32.1</v>
      </c>
      <c r="H1276" s="0" t="n">
        <v>33</v>
      </c>
      <c r="I1276" s="23" t="s">
        <v>97</v>
      </c>
      <c r="J1276" s="0" t="n">
        <v>448</v>
      </c>
      <c r="K1276" s="0" t="n">
        <v>63</v>
      </c>
      <c r="M1276" s="0" t="n">
        <v>1577.17</v>
      </c>
      <c r="N1276" s="0" t="n">
        <v>67.36</v>
      </c>
      <c r="O1276" s="0" t="n">
        <v>58.77</v>
      </c>
      <c r="P1276" s="0" t="n">
        <v>4.02</v>
      </c>
      <c r="Q1276" s="0" t="n">
        <v>3.95</v>
      </c>
      <c r="R1276" s="0" t="n">
        <v>5482</v>
      </c>
      <c r="S1276" s="0" t="n">
        <v>11261</v>
      </c>
      <c r="T1276" s="0" t="n">
        <v>55.85</v>
      </c>
      <c r="U1276" s="0" t="n">
        <v>1234</v>
      </c>
      <c r="V1276" s="0" t="n">
        <v>8</v>
      </c>
      <c r="W1276" s="0" t="str">
        <f aca="false">IF(OR(AND(B1276&gt;=1,B1276&lt;=6),B1276=10),"Vaca em lactação",IF(I1276="Male","Macho",IF(E1276&gt;=1,"Vaca seca",IF(I1276="Youngstock","Bezerra/recria","Novilha"))))</f>
        <v>Vaca em lactação</v>
      </c>
      <c r="X1276" s="0" t="str">
        <f aca="false">IF(AND(B1276&gt;=1,B1276&lt;=6),"Tanque",IF(B1276=10,"Descarte",""))</f>
        <v>Tanque</v>
      </c>
    </row>
    <row r="1277" customFormat="false" ht="15" hidden="false" customHeight="false" outlineLevel="0" collapsed="false">
      <c r="A1277" s="22" t="n">
        <v>46309</v>
      </c>
      <c r="B1277" s="0" t="n">
        <v>5</v>
      </c>
      <c r="C1277" s="0" t="n">
        <v>4743</v>
      </c>
      <c r="D1277" s="0" t="n">
        <v>246</v>
      </c>
      <c r="E1277" s="0" t="n">
        <v>2</v>
      </c>
      <c r="F1277" s="23" t="s">
        <v>326</v>
      </c>
      <c r="G1277" s="0" t="n">
        <v>42.8</v>
      </c>
      <c r="H1277" s="0" t="n">
        <v>40</v>
      </c>
      <c r="I1277" s="23" t="s">
        <v>92</v>
      </c>
      <c r="J1277" s="0" t="n">
        <v>120</v>
      </c>
      <c r="K1277" s="0" t="n">
        <v>64</v>
      </c>
      <c r="L1277" s="0" t="n">
        <v>126</v>
      </c>
      <c r="M1277" s="0" t="n">
        <v>759.61</v>
      </c>
      <c r="N1277" s="0" t="n">
        <v>87.24</v>
      </c>
      <c r="O1277" s="0" t="n">
        <v>43.34</v>
      </c>
      <c r="P1277" s="0" t="n">
        <v>5.02</v>
      </c>
      <c r="Q1277" s="0" t="n">
        <v>3.93</v>
      </c>
      <c r="R1277" s="0" t="n">
        <v>3734</v>
      </c>
      <c r="S1277" s="0" t="n">
        <v>8392</v>
      </c>
      <c r="T1277" s="0" t="n">
        <v>42.65</v>
      </c>
      <c r="U1277" s="0" t="n">
        <v>1231</v>
      </c>
      <c r="V1277" s="0" t="n">
        <v>3</v>
      </c>
      <c r="W1277" s="0" t="str">
        <f aca="false">IF(OR(AND(B1277&gt;=1,B1277&lt;=6),B1277=10),"Vaca em lactação",IF(I1277="Male","Macho",IF(E1277&gt;=1,"Vaca seca",IF(I1277="Youngstock","Bezerra/recria","Novilha"))))</f>
        <v>Vaca em lactação</v>
      </c>
      <c r="X1277" s="0" t="str">
        <f aca="false">IF(AND(B1277&gt;=1,B1277&lt;=6),"Tanque",IF(B1277=10,"Descarte",""))</f>
        <v>Tanque</v>
      </c>
    </row>
    <row r="1278" customFormat="false" ht="15" hidden="false" customHeight="false" outlineLevel="0" collapsed="false">
      <c r="A1278" s="22" t="n">
        <v>46309</v>
      </c>
      <c r="B1278" s="0" t="n">
        <v>5</v>
      </c>
      <c r="C1278" s="0" t="n">
        <v>4740</v>
      </c>
      <c r="D1278" s="0" t="n">
        <v>314</v>
      </c>
      <c r="E1278" s="0" t="n">
        <v>2</v>
      </c>
      <c r="F1278" s="23" t="s">
        <v>324</v>
      </c>
      <c r="G1278" s="0" t="n">
        <v>27.9</v>
      </c>
      <c r="H1278" s="0" t="n">
        <v>36</v>
      </c>
      <c r="I1278" s="23" t="s">
        <v>92</v>
      </c>
      <c r="J1278" s="0" t="n">
        <v>139</v>
      </c>
      <c r="K1278" s="0" t="n">
        <v>69</v>
      </c>
      <c r="L1278" s="0" t="n">
        <v>175</v>
      </c>
      <c r="M1278" s="0" t="n">
        <v>1056.47</v>
      </c>
      <c r="N1278" s="0" t="n">
        <v>55.83</v>
      </c>
      <c r="O1278" s="0" t="n">
        <v>37.92</v>
      </c>
      <c r="P1278" s="0" t="n">
        <v>4.4</v>
      </c>
      <c r="Q1278" s="0" t="n">
        <v>3.96</v>
      </c>
      <c r="R1278" s="0" t="n">
        <v>5577</v>
      </c>
      <c r="S1278" s="0" t="n">
        <v>11477</v>
      </c>
      <c r="T1278" s="0" t="n">
        <v>58.5</v>
      </c>
      <c r="U1278" s="0" t="n">
        <v>1232</v>
      </c>
      <c r="V1278" s="0" t="n">
        <v>3</v>
      </c>
      <c r="W1278" s="0" t="str">
        <f aca="false">IF(OR(AND(B1278&gt;=1,B1278&lt;=6),B1278=10),"Vaca em lactação",IF(I1278="Male","Macho",IF(E1278&gt;=1,"Vaca seca",IF(I1278="Youngstock","Bezerra/recria","Novilha"))))</f>
        <v>Vaca em lactação</v>
      </c>
      <c r="X1278" s="0" t="str">
        <f aca="false">IF(AND(B1278&gt;=1,B1278&lt;=6),"Tanque",IF(B1278=10,"Descarte",""))</f>
        <v>Tanque</v>
      </c>
    </row>
    <row r="1279" customFormat="false" ht="15" hidden="false" customHeight="false" outlineLevel="0" collapsed="false">
      <c r="A1279" s="22" t="n">
        <v>46309</v>
      </c>
      <c r="B1279" s="0" t="n">
        <v>5</v>
      </c>
      <c r="C1279" s="0" t="n">
        <v>4738</v>
      </c>
      <c r="D1279" s="0" t="n">
        <v>220</v>
      </c>
      <c r="E1279" s="0" t="n">
        <v>2</v>
      </c>
      <c r="F1279" s="23" t="s">
        <v>324</v>
      </c>
      <c r="G1279" s="0" t="n">
        <v>40</v>
      </c>
      <c r="H1279" s="0" t="n">
        <v>33</v>
      </c>
      <c r="I1279" s="23" t="s">
        <v>97</v>
      </c>
      <c r="J1279" s="0" t="n">
        <v>220</v>
      </c>
      <c r="K1279" s="0" t="n">
        <v>66</v>
      </c>
      <c r="M1279" s="0" t="n">
        <v>1126.42</v>
      </c>
      <c r="N1279" s="0" t="n">
        <v>53.28</v>
      </c>
      <c r="O1279" s="0" t="n">
        <v>42.34</v>
      </c>
      <c r="P1279" s="0" t="n">
        <v>4.79</v>
      </c>
      <c r="Q1279" s="0" t="n">
        <v>3.75</v>
      </c>
      <c r="R1279" s="0" t="n">
        <v>3483</v>
      </c>
      <c r="S1279" s="0" t="n">
        <v>7503</v>
      </c>
      <c r="T1279" s="0" t="n">
        <v>36.45</v>
      </c>
      <c r="U1279" s="0" t="n">
        <v>1232</v>
      </c>
      <c r="V1279" s="0" t="n">
        <v>5</v>
      </c>
      <c r="W1279" s="0" t="str">
        <f aca="false">IF(OR(AND(B1279&gt;=1,B1279&lt;=6),B1279=10),"Vaca em lactação",IF(I1279="Male","Macho",IF(E1279&gt;=1,"Vaca seca",IF(I1279="Youngstock","Bezerra/recria","Novilha"))))</f>
        <v>Vaca em lactação</v>
      </c>
      <c r="X1279" s="0" t="str">
        <f aca="false">IF(AND(B1279&gt;=1,B1279&lt;=6),"Tanque",IF(B1279=10,"Descarte",""))</f>
        <v>Tanque</v>
      </c>
    </row>
    <row r="1280" customFormat="false" ht="15" hidden="false" customHeight="false" outlineLevel="0" collapsed="false">
      <c r="A1280" s="22" t="n">
        <v>46309</v>
      </c>
      <c r="B1280" s="0" t="n">
        <v>5</v>
      </c>
      <c r="C1280" s="0" t="n">
        <v>4752</v>
      </c>
      <c r="D1280" s="0" t="n">
        <v>207</v>
      </c>
      <c r="E1280" s="0" t="n">
        <v>2</v>
      </c>
      <c r="F1280" s="23" t="s">
        <v>822</v>
      </c>
      <c r="G1280" s="0" t="n">
        <v>46.2</v>
      </c>
      <c r="H1280" s="0" t="n">
        <v>37</v>
      </c>
      <c r="I1280" s="23" t="s">
        <v>92</v>
      </c>
      <c r="J1280" s="0" t="n">
        <v>67</v>
      </c>
      <c r="K1280" s="0" t="n">
        <v>67</v>
      </c>
      <c r="L1280" s="0" t="n">
        <v>140</v>
      </c>
      <c r="M1280" s="0" t="n">
        <v>885.62</v>
      </c>
      <c r="N1280" s="0" t="n">
        <v>54.54</v>
      </c>
      <c r="O1280" s="0" t="n">
        <v>37.23</v>
      </c>
      <c r="P1280" s="0" t="n">
        <v>5.2</v>
      </c>
      <c r="Q1280" s="0" t="n">
        <v>3.84</v>
      </c>
      <c r="R1280" s="0" t="n">
        <v>3783</v>
      </c>
      <c r="S1280" s="0" t="n">
        <v>7829</v>
      </c>
      <c r="T1280" s="0" t="n">
        <v>41.6</v>
      </c>
      <c r="U1280" s="0" t="n">
        <v>1228</v>
      </c>
      <c r="V1280" s="0" t="n">
        <v>1</v>
      </c>
      <c r="W1280" s="0" t="str">
        <f aca="false">IF(OR(AND(B1280&gt;=1,B1280&lt;=6),B1280=10),"Vaca em lactação",IF(I1280="Male","Macho",IF(E1280&gt;=1,"Vaca seca",IF(I1280="Youngstock","Bezerra/recria","Novilha"))))</f>
        <v>Vaca em lactação</v>
      </c>
      <c r="X1280" s="0" t="str">
        <f aca="false">IF(AND(B1280&gt;=1,B1280&lt;=6),"Tanque",IF(B1280=10,"Descarte",""))</f>
        <v>Tanque</v>
      </c>
    </row>
    <row r="1281" customFormat="false" ht="15" hidden="false" customHeight="false" outlineLevel="0" collapsed="false">
      <c r="A1281" s="22" t="n">
        <v>46309</v>
      </c>
      <c r="B1281" s="0" t="n">
        <v>5</v>
      </c>
      <c r="C1281" s="0" t="n">
        <v>4751</v>
      </c>
      <c r="D1281" s="0" t="n">
        <v>190</v>
      </c>
      <c r="E1281" s="0" t="n">
        <v>2</v>
      </c>
      <c r="F1281" s="23" t="s">
        <v>822</v>
      </c>
      <c r="G1281" s="0" t="n">
        <v>45.3</v>
      </c>
      <c r="H1281" s="0" t="n">
        <v>45</v>
      </c>
      <c r="I1281" s="23" t="s">
        <v>97</v>
      </c>
      <c r="J1281" s="0" t="n">
        <v>190</v>
      </c>
      <c r="K1281" s="0" t="n">
        <v>64</v>
      </c>
      <c r="M1281" s="0" t="n">
        <v>902.86</v>
      </c>
      <c r="N1281" s="0" t="n">
        <v>52.87</v>
      </c>
      <c r="O1281" s="0" t="n">
        <v>36.97</v>
      </c>
      <c r="P1281" s="0" t="n">
        <v>4.89</v>
      </c>
      <c r="Q1281" s="0" t="n">
        <v>4.04</v>
      </c>
      <c r="R1281" s="0" t="n">
        <v>4403</v>
      </c>
      <c r="S1281" s="0" t="n">
        <v>8936</v>
      </c>
      <c r="T1281" s="0" t="n">
        <v>46.8</v>
      </c>
      <c r="U1281" s="0" t="n">
        <v>1228</v>
      </c>
      <c r="V1281" s="0" t="n">
        <v>3</v>
      </c>
      <c r="W1281" s="0" t="str">
        <f aca="false">IF(OR(AND(B1281&gt;=1,B1281&lt;=6),B1281=10),"Vaca em lactação",IF(I1281="Male","Macho",IF(E1281&gt;=1,"Vaca seca",IF(I1281="Youngstock","Bezerra/recria","Novilha"))))</f>
        <v>Vaca em lactação</v>
      </c>
      <c r="X1281" s="0" t="str">
        <f aca="false">IF(AND(B1281&gt;=1,B1281&lt;=6),"Tanque",IF(B1281=10,"Descarte",""))</f>
        <v>Tanque</v>
      </c>
    </row>
    <row r="1282" customFormat="false" ht="15" hidden="false" customHeight="false" outlineLevel="0" collapsed="false">
      <c r="A1282" s="22" t="n">
        <v>46309</v>
      </c>
      <c r="B1282" s="0" t="n">
        <v>5</v>
      </c>
      <c r="C1282" s="0" t="n">
        <v>4747</v>
      </c>
      <c r="D1282" s="0" t="n">
        <v>240</v>
      </c>
      <c r="E1282" s="0" t="n">
        <v>2</v>
      </c>
      <c r="F1282" s="23" t="s">
        <v>823</v>
      </c>
      <c r="G1282" s="0" t="n">
        <v>43.1</v>
      </c>
      <c r="H1282" s="0" t="n">
        <v>43</v>
      </c>
      <c r="I1282" s="23" t="s">
        <v>92</v>
      </c>
      <c r="J1282" s="0" t="n">
        <v>135</v>
      </c>
      <c r="K1282" s="0" t="n">
        <v>65</v>
      </c>
      <c r="L1282" s="0" t="n">
        <v>105</v>
      </c>
      <c r="M1282" s="0" t="n">
        <v>-285.28</v>
      </c>
      <c r="N1282" s="0" t="n">
        <v>21.97</v>
      </c>
      <c r="O1282" s="0" t="n">
        <v>-2.95</v>
      </c>
      <c r="P1282" s="0" t="n">
        <v>2.85</v>
      </c>
      <c r="Q1282" s="0" t="n">
        <v>3.76</v>
      </c>
      <c r="R1282" s="0" t="n">
        <v>4965</v>
      </c>
      <c r="S1282" s="0" t="n">
        <v>10079</v>
      </c>
      <c r="T1282" s="0" t="n">
        <v>58.65</v>
      </c>
      <c r="U1282" s="0" t="n">
        <v>1230</v>
      </c>
      <c r="V1282" s="0" t="n">
        <v>3</v>
      </c>
      <c r="W1282" s="0" t="str">
        <f aca="false">IF(OR(AND(B1282&gt;=1,B1282&lt;=6),B1282=10),"Vaca em lactação",IF(I1282="Male","Macho",IF(E1282&gt;=1,"Vaca seca",IF(I1282="Youngstock","Bezerra/recria","Novilha"))))</f>
        <v>Vaca em lactação</v>
      </c>
      <c r="X1282" s="0" t="str">
        <f aca="false">IF(AND(B1282&gt;=1,B1282&lt;=6),"Tanque",IF(B1282=10,"Descarte",""))</f>
        <v>Tanque</v>
      </c>
    </row>
    <row r="1283" customFormat="false" ht="15" hidden="false" customHeight="false" outlineLevel="0" collapsed="false">
      <c r="A1283" s="22" t="n">
        <v>46309</v>
      </c>
      <c r="B1283" s="0" t="n">
        <v>5</v>
      </c>
      <c r="C1283" s="0" t="n">
        <v>4696</v>
      </c>
      <c r="D1283" s="0" t="n">
        <v>593</v>
      </c>
      <c r="E1283" s="0" t="n">
        <v>1</v>
      </c>
      <c r="F1283" s="23" t="s">
        <v>487</v>
      </c>
      <c r="G1283" s="0" t="n">
        <v>36.3</v>
      </c>
      <c r="H1283" s="0" t="n">
        <v>37</v>
      </c>
      <c r="I1283" s="23" t="s">
        <v>97</v>
      </c>
      <c r="J1283" s="0" t="n">
        <v>593</v>
      </c>
      <c r="K1283" s="0" t="n">
        <v>62</v>
      </c>
      <c r="M1283" s="0" t="n">
        <v>767.77</v>
      </c>
      <c r="N1283" s="0" t="n">
        <v>59.91</v>
      </c>
      <c r="O1283" s="0" t="n">
        <v>37.69</v>
      </c>
      <c r="P1283" s="0" t="n">
        <v>5.2</v>
      </c>
      <c r="Q1283" s="0" t="n">
        <v>4.82</v>
      </c>
      <c r="R1283" s="0" t="n">
        <v>4795</v>
      </c>
      <c r="S1283" s="0" t="n">
        <v>10734</v>
      </c>
      <c r="T1283" s="0" t="n">
        <v>53.25</v>
      </c>
      <c r="U1283" s="0" t="n">
        <v>1256</v>
      </c>
      <c r="V1283" s="0" t="n">
        <v>12</v>
      </c>
      <c r="W1283" s="0" t="str">
        <f aca="false">IF(OR(AND(B1283&gt;=1,B1283&lt;=6),B1283=10),"Vaca em lactação",IF(I1283="Male","Macho",IF(E1283&gt;=1,"Vaca seca",IF(I1283="Youngstock","Bezerra/recria","Novilha"))))</f>
        <v>Vaca em lactação</v>
      </c>
      <c r="X1283" s="0" t="str">
        <f aca="false">IF(AND(B1283&gt;=1,B1283&lt;=6),"Tanque",IF(B1283=10,"Descarte",""))</f>
        <v>Tanque</v>
      </c>
    </row>
    <row r="1284" customFormat="false" ht="15" hidden="false" customHeight="false" outlineLevel="0" collapsed="false">
      <c r="A1284" s="22" t="n">
        <v>46309</v>
      </c>
      <c r="B1284" s="0" t="n">
        <v>5</v>
      </c>
      <c r="C1284" s="0" t="n">
        <v>4695</v>
      </c>
      <c r="D1284" s="0" t="n">
        <v>236</v>
      </c>
      <c r="E1284" s="0" t="n">
        <v>2</v>
      </c>
      <c r="F1284" s="23" t="s">
        <v>824</v>
      </c>
      <c r="G1284" s="0" t="n">
        <v>36.3</v>
      </c>
      <c r="H1284" s="0" t="n">
        <v>34</v>
      </c>
      <c r="I1284" s="23" t="s">
        <v>92</v>
      </c>
      <c r="J1284" s="0" t="n">
        <v>103</v>
      </c>
      <c r="K1284" s="0" t="n">
        <v>68</v>
      </c>
      <c r="L1284" s="0" t="n">
        <v>133</v>
      </c>
      <c r="M1284" s="0" t="n">
        <v>278.64</v>
      </c>
      <c r="N1284" s="0" t="n">
        <v>43.4</v>
      </c>
      <c r="O1284" s="0" t="n">
        <v>16.35</v>
      </c>
      <c r="P1284" s="0" t="n">
        <v>5.31</v>
      </c>
      <c r="Q1284" s="0" t="n">
        <v>4.19</v>
      </c>
      <c r="R1284" s="0" t="n">
        <v>4194</v>
      </c>
      <c r="S1284" s="0" t="n">
        <v>8750</v>
      </c>
      <c r="T1284" s="0" t="n">
        <v>46.15</v>
      </c>
      <c r="U1284" s="0" t="n">
        <v>1257</v>
      </c>
      <c r="V1284" s="0" t="n">
        <v>2</v>
      </c>
      <c r="W1284" s="0" t="str">
        <f aca="false">IF(OR(AND(B1284&gt;=1,B1284&lt;=6),B1284=10),"Vaca em lactação",IF(I1284="Male","Macho",IF(E1284&gt;=1,"Vaca seca",IF(I1284="Youngstock","Bezerra/recria","Novilha"))))</f>
        <v>Vaca em lactação</v>
      </c>
      <c r="X1284" s="0" t="str">
        <f aca="false">IF(AND(B1284&gt;=1,B1284&lt;=6),"Tanque",IF(B1284=10,"Descarte",""))</f>
        <v>Tanque</v>
      </c>
    </row>
    <row r="1285" customFormat="false" ht="15" hidden="false" customHeight="false" outlineLevel="0" collapsed="false">
      <c r="A1285" s="22" t="n">
        <v>46309</v>
      </c>
      <c r="B1285" s="0" t="n">
        <v>5</v>
      </c>
      <c r="C1285" s="0" t="n">
        <v>4691</v>
      </c>
      <c r="D1285" s="0" t="n">
        <v>248</v>
      </c>
      <c r="E1285" s="0" t="n">
        <v>2</v>
      </c>
      <c r="F1285" s="23" t="s">
        <v>825</v>
      </c>
      <c r="G1285" s="0" t="n">
        <v>35.5</v>
      </c>
      <c r="H1285" s="0" t="n">
        <v>34</v>
      </c>
      <c r="I1285" s="23" t="s">
        <v>92</v>
      </c>
      <c r="J1285" s="0" t="n">
        <v>66</v>
      </c>
      <c r="K1285" s="0" t="n">
        <v>66</v>
      </c>
      <c r="L1285" s="0" t="n">
        <v>182</v>
      </c>
      <c r="M1285" s="0" t="n">
        <v>328.23</v>
      </c>
      <c r="N1285" s="0" t="n">
        <v>60.18</v>
      </c>
      <c r="O1285" s="0" t="n">
        <v>18.58</v>
      </c>
      <c r="P1285" s="0" t="n">
        <v>4.99</v>
      </c>
      <c r="Q1285" s="0" t="n">
        <v>3.62</v>
      </c>
      <c r="R1285" s="0" t="n">
        <v>4665</v>
      </c>
      <c r="S1285" s="0" t="n">
        <v>8325</v>
      </c>
      <c r="T1285" s="0" t="n">
        <v>54.35</v>
      </c>
      <c r="U1285" s="0" t="n">
        <v>1258</v>
      </c>
      <c r="V1285" s="0" t="n">
        <v>1</v>
      </c>
      <c r="W1285" s="0" t="str">
        <f aca="false">IF(OR(AND(B1285&gt;=1,B1285&lt;=6),B1285=10),"Vaca em lactação",IF(I1285="Male","Macho",IF(E1285&gt;=1,"Vaca seca",IF(I1285="Youngstock","Bezerra/recria","Novilha"))))</f>
        <v>Vaca em lactação</v>
      </c>
      <c r="X1285" s="0" t="str">
        <f aca="false">IF(AND(B1285&gt;=1,B1285&lt;=6),"Tanque",IF(B1285=10,"Descarte",""))</f>
        <v>Tanque</v>
      </c>
    </row>
    <row r="1286" customFormat="false" ht="15" hidden="false" customHeight="false" outlineLevel="0" collapsed="false">
      <c r="A1286" s="22" t="n">
        <v>46309</v>
      </c>
      <c r="B1286" s="0" t="n">
        <v>5</v>
      </c>
      <c r="C1286" s="0" t="n">
        <v>4704</v>
      </c>
      <c r="D1286" s="0" t="n">
        <v>164</v>
      </c>
      <c r="E1286" s="0" t="n">
        <v>2</v>
      </c>
      <c r="F1286" s="23" t="s">
        <v>826</v>
      </c>
      <c r="G1286" s="0" t="n">
        <v>41.9</v>
      </c>
      <c r="H1286" s="0" t="n">
        <v>38</v>
      </c>
      <c r="I1286" s="23" t="s">
        <v>92</v>
      </c>
      <c r="J1286" s="0" t="n">
        <v>66</v>
      </c>
      <c r="K1286" s="0" t="n">
        <v>66</v>
      </c>
      <c r="L1286" s="0" t="n">
        <v>98</v>
      </c>
      <c r="M1286" s="0" t="n">
        <v>956.93</v>
      </c>
      <c r="N1286" s="0" t="n">
        <v>40.48</v>
      </c>
      <c r="O1286" s="0" t="n">
        <v>32.59</v>
      </c>
      <c r="P1286" s="0" t="n">
        <v>2.86</v>
      </c>
      <c r="Q1286" s="0" t="n">
        <v>3.79</v>
      </c>
      <c r="R1286" s="0" t="n">
        <v>4723</v>
      </c>
      <c r="S1286" s="0" t="n">
        <v>9312</v>
      </c>
      <c r="T1286" s="0" t="n">
        <v>51.95</v>
      </c>
      <c r="U1286" s="0" t="n">
        <v>1251</v>
      </c>
      <c r="V1286" s="0" t="n">
        <v>1</v>
      </c>
      <c r="W1286" s="0" t="str">
        <f aca="false">IF(OR(AND(B1286&gt;=1,B1286&lt;=6),B1286=10),"Vaca em lactação",IF(I1286="Male","Macho",IF(E1286&gt;=1,"Vaca seca",IF(I1286="Youngstock","Bezerra/recria","Novilha"))))</f>
        <v>Vaca em lactação</v>
      </c>
      <c r="X1286" s="0" t="str">
        <f aca="false">IF(AND(B1286&gt;=1,B1286&lt;=6),"Tanque",IF(B1286=10,"Descarte",""))</f>
        <v>Tanque</v>
      </c>
    </row>
    <row r="1287" customFormat="false" ht="15" hidden="false" customHeight="false" outlineLevel="0" collapsed="false">
      <c r="A1287" s="22" t="n">
        <v>46309</v>
      </c>
      <c r="B1287" s="0" t="n">
        <v>5</v>
      </c>
      <c r="C1287" s="0" t="n">
        <v>4699</v>
      </c>
      <c r="D1287" s="0" t="n">
        <v>202</v>
      </c>
      <c r="E1287" s="0" t="n">
        <v>2</v>
      </c>
      <c r="F1287" s="23" t="s">
        <v>827</v>
      </c>
      <c r="G1287" s="0" t="n">
        <v>47.1</v>
      </c>
      <c r="H1287" s="0" t="n">
        <v>44</v>
      </c>
      <c r="I1287" s="23" t="s">
        <v>92</v>
      </c>
      <c r="J1287" s="0" t="n">
        <v>69</v>
      </c>
      <c r="K1287" s="0" t="n">
        <v>69</v>
      </c>
      <c r="L1287" s="0" t="n">
        <v>133</v>
      </c>
      <c r="M1287" s="0" t="n">
        <v>509.84</v>
      </c>
      <c r="N1287" s="0" t="n">
        <v>41.96</v>
      </c>
      <c r="O1287" s="0" t="n">
        <v>37.35</v>
      </c>
      <c r="P1287" s="0" t="n">
        <v>4.93</v>
      </c>
      <c r="Q1287" s="0" t="n">
        <v>4.18</v>
      </c>
      <c r="R1287" s="0" t="n">
        <v>4302</v>
      </c>
      <c r="S1287" s="0" t="n">
        <v>8931</v>
      </c>
      <c r="T1287" s="0" t="n">
        <v>53.15</v>
      </c>
      <c r="U1287" s="0" t="n">
        <v>1255</v>
      </c>
      <c r="V1287" s="0" t="n">
        <v>1</v>
      </c>
      <c r="W1287" s="0" t="str">
        <f aca="false">IF(OR(AND(B1287&gt;=1,B1287&lt;=6),B1287=10),"Vaca em lactação",IF(I1287="Male","Macho",IF(E1287&gt;=1,"Vaca seca",IF(I1287="Youngstock","Bezerra/recria","Novilha"))))</f>
        <v>Vaca em lactação</v>
      </c>
      <c r="X1287" s="0" t="str">
        <f aca="false">IF(AND(B1287&gt;=1,B1287&lt;=6),"Tanque",IF(B1287=10,"Descarte",""))</f>
        <v>Tanque</v>
      </c>
    </row>
    <row r="1288" customFormat="false" ht="15" hidden="false" customHeight="false" outlineLevel="0" collapsed="false">
      <c r="A1288" s="22" t="n">
        <v>46309</v>
      </c>
      <c r="B1288" s="0" t="n">
        <v>5</v>
      </c>
      <c r="C1288" s="0" t="n">
        <v>4697</v>
      </c>
      <c r="D1288" s="0" t="n">
        <v>271</v>
      </c>
      <c r="E1288" s="0" t="n">
        <v>2</v>
      </c>
      <c r="F1288" s="23" t="s">
        <v>487</v>
      </c>
      <c r="G1288" s="0" t="n">
        <v>30.5</v>
      </c>
      <c r="H1288" s="0" t="n">
        <v>29</v>
      </c>
      <c r="I1288" s="23" t="s">
        <v>109</v>
      </c>
      <c r="J1288" s="0" t="n">
        <v>271</v>
      </c>
      <c r="K1288" s="0" t="n">
        <v>68</v>
      </c>
      <c r="M1288" s="0" t="n">
        <v>1318.65</v>
      </c>
      <c r="N1288" s="0" t="n">
        <v>55.57</v>
      </c>
      <c r="O1288" s="0" t="n">
        <v>41.73</v>
      </c>
      <c r="P1288" s="0" t="n">
        <v>4.3</v>
      </c>
      <c r="Q1288" s="0" t="n">
        <v>3.59</v>
      </c>
      <c r="R1288" s="0" t="n">
        <v>5803</v>
      </c>
      <c r="S1288" s="0" t="n">
        <v>9138</v>
      </c>
      <c r="T1288" s="0" t="n">
        <v>64.55</v>
      </c>
      <c r="U1288" s="0" t="n">
        <v>1256</v>
      </c>
      <c r="V1288" s="0" t="n">
        <v>4</v>
      </c>
      <c r="W1288" s="0" t="str">
        <f aca="false">IF(OR(AND(B1288&gt;=1,B1288&lt;=6),B1288=10),"Vaca em lactação",IF(I1288="Male","Macho",IF(E1288&gt;=1,"Vaca seca",IF(I1288="Youngstock","Bezerra/recria","Novilha"))))</f>
        <v>Vaca em lactação</v>
      </c>
      <c r="X1288" s="0" t="str">
        <f aca="false">IF(AND(B1288&gt;=1,B1288&lt;=6),"Tanque",IF(B1288=10,"Descarte",""))</f>
        <v>Tanque</v>
      </c>
    </row>
    <row r="1289" customFormat="false" ht="15" hidden="false" customHeight="false" outlineLevel="0" collapsed="false">
      <c r="A1289" s="22" t="n">
        <v>46309</v>
      </c>
      <c r="B1289" s="0" t="n">
        <v>5</v>
      </c>
      <c r="C1289" s="0" t="n">
        <v>4711</v>
      </c>
      <c r="D1289" s="0" t="n">
        <v>216</v>
      </c>
      <c r="E1289" s="0" t="n">
        <v>2</v>
      </c>
      <c r="F1289" s="23" t="s">
        <v>828</v>
      </c>
      <c r="G1289" s="0" t="n">
        <v>34.8</v>
      </c>
      <c r="H1289" s="0" t="n">
        <v>35</v>
      </c>
      <c r="I1289" s="23" t="s">
        <v>92</v>
      </c>
      <c r="J1289" s="0" t="n">
        <v>69</v>
      </c>
      <c r="K1289" s="0" t="n">
        <v>69</v>
      </c>
      <c r="L1289" s="0" t="n">
        <v>147</v>
      </c>
      <c r="M1289" s="0" t="n">
        <v>259.14</v>
      </c>
      <c r="N1289" s="0" t="n">
        <v>51.32</v>
      </c>
      <c r="O1289" s="0" t="n">
        <v>16.52</v>
      </c>
      <c r="P1289" s="0" t="n">
        <v>4.85</v>
      </c>
      <c r="Q1289" s="0" t="n">
        <v>3.77</v>
      </c>
      <c r="R1289" s="0" t="n">
        <v>2456</v>
      </c>
      <c r="S1289" s="0" t="n">
        <v>6002</v>
      </c>
      <c r="T1289" s="0" t="n">
        <v>31.9</v>
      </c>
      <c r="U1289" s="0" t="n">
        <v>1247</v>
      </c>
      <c r="V1289" s="0" t="n">
        <v>1</v>
      </c>
      <c r="W1289" s="0" t="str">
        <f aca="false">IF(OR(AND(B1289&gt;=1,B1289&lt;=6),B1289=10),"Vaca em lactação",IF(I1289="Male","Macho",IF(E1289&gt;=1,"Vaca seca",IF(I1289="Youngstock","Bezerra/recria","Novilha"))))</f>
        <v>Vaca em lactação</v>
      </c>
      <c r="X1289" s="0" t="str">
        <f aca="false">IF(AND(B1289&gt;=1,B1289&lt;=6),"Tanque",IF(B1289=10,"Descarte",""))</f>
        <v>Tanque</v>
      </c>
    </row>
    <row r="1290" customFormat="false" ht="15" hidden="false" customHeight="false" outlineLevel="0" collapsed="false">
      <c r="A1290" s="22" t="n">
        <v>46309</v>
      </c>
      <c r="B1290" s="0" t="n">
        <v>5</v>
      </c>
      <c r="C1290" s="0" t="n">
        <v>4710</v>
      </c>
      <c r="D1290" s="0" t="n">
        <v>222</v>
      </c>
      <c r="E1290" s="0" t="n">
        <v>2</v>
      </c>
      <c r="F1290" s="23" t="s">
        <v>828</v>
      </c>
      <c r="G1290" s="0" t="n">
        <v>38.2</v>
      </c>
      <c r="H1290" s="0" t="n">
        <v>35</v>
      </c>
      <c r="I1290" s="23" t="s">
        <v>97</v>
      </c>
      <c r="J1290" s="0" t="n">
        <v>222</v>
      </c>
      <c r="K1290" s="0" t="n">
        <v>68</v>
      </c>
      <c r="M1290" s="0" t="n">
        <v>225.49</v>
      </c>
      <c r="N1290" s="0" t="n">
        <v>74.44</v>
      </c>
      <c r="O1290" s="0" t="n">
        <v>28.79</v>
      </c>
      <c r="P1290" s="0" t="n">
        <v>5.54</v>
      </c>
      <c r="Q1290" s="0" t="n">
        <v>4.33</v>
      </c>
      <c r="R1290" s="0" t="n">
        <v>4409</v>
      </c>
      <c r="S1290" s="0" t="n">
        <v>8039</v>
      </c>
      <c r="T1290" s="0" t="n">
        <v>50.3</v>
      </c>
      <c r="U1290" s="0" t="n">
        <v>1247</v>
      </c>
      <c r="V1290" s="0" t="n">
        <v>5</v>
      </c>
      <c r="W1290" s="0" t="str">
        <f aca="false">IF(OR(AND(B1290&gt;=1,B1290&lt;=6),B1290=10),"Vaca em lactação",IF(I1290="Male","Macho",IF(E1290&gt;=1,"Vaca seca",IF(I1290="Youngstock","Bezerra/recria","Novilha"))))</f>
        <v>Vaca em lactação</v>
      </c>
      <c r="X1290" s="0" t="str">
        <f aca="false">IF(AND(B1290&gt;=1,B1290&lt;=6),"Tanque",IF(B1290=10,"Descarte",""))</f>
        <v>Tanque</v>
      </c>
    </row>
    <row r="1291" customFormat="false" ht="15" hidden="false" customHeight="false" outlineLevel="0" collapsed="false">
      <c r="A1291" s="22" t="n">
        <v>46309</v>
      </c>
      <c r="B1291" s="0" t="n">
        <v>5</v>
      </c>
      <c r="C1291" s="0" t="n">
        <v>4722</v>
      </c>
      <c r="D1291" s="0" t="n">
        <v>33</v>
      </c>
      <c r="E1291" s="0" t="n">
        <v>2</v>
      </c>
      <c r="F1291" s="23" t="s">
        <v>829</v>
      </c>
      <c r="G1291" s="0" t="n">
        <v>34.5</v>
      </c>
      <c r="H1291" s="0" t="n">
        <v>37</v>
      </c>
      <c r="I1291" s="23" t="s">
        <v>94</v>
      </c>
      <c r="J1291" s="0" t="n">
        <v>33</v>
      </c>
      <c r="M1291" s="0" t="n">
        <v>144.49</v>
      </c>
      <c r="N1291" s="0" t="n">
        <v>30.02</v>
      </c>
      <c r="O1291" s="0" t="n">
        <v>19.83</v>
      </c>
      <c r="P1291" s="0" t="n">
        <v>4.65</v>
      </c>
      <c r="Q1291" s="0" t="n">
        <v>4.54</v>
      </c>
      <c r="R1291" s="0" t="n">
        <v>3263</v>
      </c>
      <c r="S1291" s="0" t="n">
        <v>6559</v>
      </c>
      <c r="U1291" s="0" t="n">
        <v>1242</v>
      </c>
      <c r="V1291" s="0" t="n">
        <v>0</v>
      </c>
      <c r="W1291" s="0" t="str">
        <f aca="false">IF(OR(AND(B1291&gt;=1,B1291&lt;=6),B1291=10),"Vaca em lactação",IF(I1291="Male","Macho",IF(E1291&gt;=1,"Vaca seca",IF(I1291="Youngstock","Bezerra/recria","Novilha"))))</f>
        <v>Vaca em lactação</v>
      </c>
      <c r="X1291" s="0" t="str">
        <f aca="false">IF(AND(B1291&gt;=1,B1291&lt;=6),"Tanque",IF(B1291=10,"Descarte",""))</f>
        <v>Tanque</v>
      </c>
    </row>
    <row r="1292" customFormat="false" ht="15" hidden="false" customHeight="false" outlineLevel="0" collapsed="false">
      <c r="A1292" s="22" t="n">
        <v>46309</v>
      </c>
      <c r="B1292" s="0" t="n">
        <v>5</v>
      </c>
      <c r="C1292" s="0" t="n">
        <v>4720</v>
      </c>
      <c r="D1292" s="0" t="n">
        <v>82</v>
      </c>
      <c r="E1292" s="0" t="n">
        <v>2</v>
      </c>
      <c r="F1292" s="23" t="s">
        <v>329</v>
      </c>
      <c r="G1292" s="0" t="n">
        <v>48.1</v>
      </c>
      <c r="H1292" s="0" t="n">
        <v>43</v>
      </c>
      <c r="I1292" s="23" t="s">
        <v>97</v>
      </c>
      <c r="J1292" s="0" t="n">
        <v>82</v>
      </c>
      <c r="K1292" s="0" t="n">
        <v>68</v>
      </c>
      <c r="M1292" s="0" t="n">
        <v>1408.29</v>
      </c>
      <c r="N1292" s="0" t="n">
        <v>29.54</v>
      </c>
      <c r="O1292" s="0" t="n">
        <v>23.83</v>
      </c>
      <c r="P1292" s="0" t="n">
        <v>3.59</v>
      </c>
      <c r="Q1292" s="0" t="n">
        <v>3.35</v>
      </c>
      <c r="R1292" s="0" t="n">
        <v>3495</v>
      </c>
      <c r="S1292" s="0" t="n">
        <v>7025</v>
      </c>
      <c r="U1292" s="0" t="n">
        <v>1243</v>
      </c>
      <c r="V1292" s="0" t="n">
        <v>1</v>
      </c>
      <c r="W1292" s="0" t="str">
        <f aca="false">IF(OR(AND(B1292&gt;=1,B1292&lt;=6),B1292=10),"Vaca em lactação",IF(I1292="Male","Macho",IF(E1292&gt;=1,"Vaca seca",IF(I1292="Youngstock","Bezerra/recria","Novilha"))))</f>
        <v>Vaca em lactação</v>
      </c>
      <c r="X1292" s="0" t="str">
        <f aca="false">IF(AND(B1292&gt;=1,B1292&lt;=6),"Tanque",IF(B1292=10,"Descarte",""))</f>
        <v>Tanque</v>
      </c>
    </row>
    <row r="1293" customFormat="false" ht="15" hidden="false" customHeight="false" outlineLevel="0" collapsed="false">
      <c r="A1293" s="22" t="n">
        <v>46309</v>
      </c>
      <c r="B1293" s="0" t="n">
        <v>5</v>
      </c>
      <c r="C1293" s="0" t="n">
        <v>4930</v>
      </c>
      <c r="D1293" s="0" t="n">
        <v>144</v>
      </c>
      <c r="E1293" s="0" t="n">
        <v>2</v>
      </c>
      <c r="F1293" s="23" t="s">
        <v>830</v>
      </c>
      <c r="G1293" s="0" t="n">
        <v>36</v>
      </c>
      <c r="H1293" s="0" t="n">
        <v>42</v>
      </c>
      <c r="I1293" s="23" t="s">
        <v>109</v>
      </c>
      <c r="J1293" s="0" t="n">
        <v>144</v>
      </c>
      <c r="K1293" s="0" t="n">
        <v>67</v>
      </c>
      <c r="M1293" s="0" t="n">
        <v>-94.98</v>
      </c>
      <c r="N1293" s="0" t="n">
        <v>46.7</v>
      </c>
      <c r="O1293" s="0" t="n">
        <v>8.71</v>
      </c>
      <c r="P1293" s="0" t="n">
        <v>3.85</v>
      </c>
      <c r="Q1293" s="0" t="n">
        <v>3.29</v>
      </c>
      <c r="R1293" s="0" t="n">
        <v>4616</v>
      </c>
      <c r="S1293" s="0" t="n">
        <v>9440</v>
      </c>
      <c r="T1293" s="0" t="n">
        <v>49.8</v>
      </c>
      <c r="U1293" s="0" t="n">
        <v>1153</v>
      </c>
      <c r="V1293" s="0" t="n">
        <v>2</v>
      </c>
      <c r="W1293" s="0" t="str">
        <f aca="false">IF(OR(AND(B1293&gt;=1,B1293&lt;=6),B1293=10),"Vaca em lactação",IF(I1293="Male","Macho",IF(E1293&gt;=1,"Vaca seca",IF(I1293="Youngstock","Bezerra/recria","Novilha"))))</f>
        <v>Vaca em lactação</v>
      </c>
      <c r="X1293" s="0" t="str">
        <f aca="false">IF(AND(B1293&gt;=1,B1293&lt;=6),"Tanque",IF(B1293=10,"Descarte",""))</f>
        <v>Tanque</v>
      </c>
    </row>
    <row r="1294" customFormat="false" ht="15" hidden="false" customHeight="false" outlineLevel="0" collapsed="false">
      <c r="A1294" s="22" t="n">
        <v>46309</v>
      </c>
      <c r="B1294" s="0" t="n">
        <v>5</v>
      </c>
      <c r="C1294" s="0" t="n">
        <v>4945</v>
      </c>
      <c r="D1294" s="0" t="n">
        <v>57</v>
      </c>
      <c r="E1294" s="0" t="n">
        <v>2</v>
      </c>
      <c r="F1294" s="23" t="s">
        <v>831</v>
      </c>
      <c r="G1294" s="0" t="n">
        <v>24.7</v>
      </c>
      <c r="H1294" s="0" t="n">
        <v>27</v>
      </c>
      <c r="I1294" s="23" t="s">
        <v>94</v>
      </c>
      <c r="J1294" s="0" t="n">
        <v>57</v>
      </c>
      <c r="M1294" s="0" t="n">
        <v>1086.47</v>
      </c>
      <c r="N1294" s="0" t="n">
        <v>81.44</v>
      </c>
      <c r="O1294" s="0" t="n">
        <v>55.81</v>
      </c>
      <c r="P1294" s="0" t="n">
        <v>4.14</v>
      </c>
      <c r="Q1294" s="0" t="n">
        <v>3.86</v>
      </c>
      <c r="R1294" s="0" t="n">
        <v>2840</v>
      </c>
      <c r="S1294" s="0" t="n">
        <v>5710</v>
      </c>
      <c r="U1294" s="0" t="n">
        <v>1148</v>
      </c>
      <c r="V1294" s="0" t="n">
        <v>0</v>
      </c>
      <c r="W1294" s="0" t="str">
        <f aca="false">IF(OR(AND(B1294&gt;=1,B1294&lt;=6),B1294=10),"Vaca em lactação",IF(I1294="Male","Macho",IF(E1294&gt;=1,"Vaca seca",IF(I1294="Youngstock","Bezerra/recria","Novilha"))))</f>
        <v>Vaca em lactação</v>
      </c>
      <c r="X1294" s="0" t="str">
        <f aca="false">IF(AND(B1294&gt;=1,B1294&lt;=6),"Tanque",IF(B1294=10,"Descarte",""))</f>
        <v>Tanque</v>
      </c>
    </row>
    <row r="1295" customFormat="false" ht="15" hidden="false" customHeight="false" outlineLevel="0" collapsed="false">
      <c r="A1295" s="22" t="n">
        <v>46309</v>
      </c>
      <c r="B1295" s="0" t="n">
        <v>5</v>
      </c>
      <c r="C1295" s="0" t="n">
        <v>4943</v>
      </c>
      <c r="D1295" s="0" t="n">
        <v>154</v>
      </c>
      <c r="E1295" s="0" t="n">
        <v>2</v>
      </c>
      <c r="F1295" s="23" t="s">
        <v>832</v>
      </c>
      <c r="G1295" s="0" t="n">
        <v>28.9</v>
      </c>
      <c r="H1295" s="0" t="n">
        <v>33</v>
      </c>
      <c r="I1295" s="23" t="s">
        <v>109</v>
      </c>
      <c r="J1295" s="0" t="n">
        <v>154</v>
      </c>
      <c r="K1295" s="0" t="n">
        <v>63</v>
      </c>
      <c r="M1295" s="0" t="n">
        <v>517.77</v>
      </c>
      <c r="N1295" s="0" t="n">
        <v>54.77</v>
      </c>
      <c r="O1295" s="0" t="n">
        <v>25.9</v>
      </c>
      <c r="P1295" s="0" t="n">
        <v>3.93</v>
      </c>
      <c r="Q1295" s="0" t="n">
        <v>3.31</v>
      </c>
      <c r="R1295" s="0" t="n">
        <v>4043</v>
      </c>
      <c r="S1295" s="0" t="n">
        <v>8160</v>
      </c>
      <c r="T1295" s="0" t="n">
        <v>44.6</v>
      </c>
      <c r="U1295" s="0" t="n">
        <v>1149</v>
      </c>
      <c r="V1295" s="0" t="n">
        <v>3</v>
      </c>
      <c r="W1295" s="0" t="str">
        <f aca="false">IF(OR(AND(B1295&gt;=1,B1295&lt;=6),B1295=10),"Vaca em lactação",IF(I1295="Male","Macho",IF(E1295&gt;=1,"Vaca seca",IF(I1295="Youngstock","Bezerra/recria","Novilha"))))</f>
        <v>Vaca em lactação</v>
      </c>
      <c r="X1295" s="0" t="str">
        <f aca="false">IF(AND(B1295&gt;=1,B1295&lt;=6),"Tanque",IF(B1295=10,"Descarte",""))</f>
        <v>Tanque</v>
      </c>
    </row>
    <row r="1296" customFormat="false" ht="15" hidden="false" customHeight="false" outlineLevel="0" collapsed="false">
      <c r="A1296" s="22" t="n">
        <v>46309</v>
      </c>
      <c r="B1296" s="0" t="n">
        <v>5</v>
      </c>
      <c r="C1296" s="0" t="n">
        <v>4940</v>
      </c>
      <c r="D1296" s="0" t="n">
        <v>140</v>
      </c>
      <c r="E1296" s="0" t="n">
        <v>2</v>
      </c>
      <c r="F1296" s="23" t="s">
        <v>332</v>
      </c>
      <c r="G1296" s="0" t="n">
        <v>42.7</v>
      </c>
      <c r="H1296" s="0" t="n">
        <v>41</v>
      </c>
      <c r="I1296" s="23" t="s">
        <v>97</v>
      </c>
      <c r="J1296" s="0" t="n">
        <v>140</v>
      </c>
      <c r="K1296" s="0" t="n">
        <v>63</v>
      </c>
      <c r="M1296" s="0" t="n">
        <v>1187.35</v>
      </c>
      <c r="N1296" s="0" t="n">
        <v>50.47</v>
      </c>
      <c r="O1296" s="0" t="n">
        <v>31.53</v>
      </c>
      <c r="P1296" s="0" t="n">
        <v>4.52</v>
      </c>
      <c r="Q1296" s="0" t="n">
        <v>3.67</v>
      </c>
      <c r="R1296" s="0" t="n">
        <v>3667</v>
      </c>
      <c r="S1296" s="0" t="n">
        <v>7477</v>
      </c>
      <c r="T1296" s="0" t="n">
        <v>42.8</v>
      </c>
      <c r="U1296" s="0" t="n">
        <v>1150</v>
      </c>
      <c r="V1296" s="0" t="n">
        <v>2</v>
      </c>
      <c r="W1296" s="0" t="str">
        <f aca="false">IF(OR(AND(B1296&gt;=1,B1296&lt;=6),B1296=10),"Vaca em lactação",IF(I1296="Male","Macho",IF(E1296&gt;=1,"Vaca seca",IF(I1296="Youngstock","Bezerra/recria","Novilha"))))</f>
        <v>Vaca em lactação</v>
      </c>
      <c r="X1296" s="0" t="str">
        <f aca="false">IF(AND(B1296&gt;=1,B1296&lt;=6),"Tanque",IF(B1296=10,"Descarte",""))</f>
        <v>Tanque</v>
      </c>
    </row>
    <row r="1297" customFormat="false" ht="15" hidden="false" customHeight="false" outlineLevel="0" collapsed="false">
      <c r="A1297" s="22" t="n">
        <v>46309</v>
      </c>
      <c r="B1297" s="0" t="n">
        <v>5</v>
      </c>
      <c r="C1297" s="0" t="n">
        <v>4919</v>
      </c>
      <c r="D1297" s="0" t="n">
        <v>179</v>
      </c>
      <c r="E1297" s="0" t="n">
        <v>2</v>
      </c>
      <c r="F1297" s="23" t="s">
        <v>350</v>
      </c>
      <c r="G1297" s="0" t="n">
        <v>41</v>
      </c>
      <c r="H1297" s="0" t="n">
        <v>39</v>
      </c>
      <c r="I1297" s="23" t="s">
        <v>109</v>
      </c>
      <c r="J1297" s="0" t="n">
        <v>179</v>
      </c>
      <c r="K1297" s="0" t="n">
        <v>83</v>
      </c>
      <c r="M1297" s="0" t="n">
        <v>-85.71</v>
      </c>
      <c r="N1297" s="0" t="n">
        <v>58.77</v>
      </c>
      <c r="O1297" s="0" t="n">
        <v>22.34</v>
      </c>
      <c r="P1297" s="0" t="n">
        <v>4.91</v>
      </c>
      <c r="Q1297" s="0" t="n">
        <v>3.81</v>
      </c>
      <c r="R1297" s="0" t="n">
        <v>4356</v>
      </c>
      <c r="S1297" s="0" t="n">
        <v>8623</v>
      </c>
      <c r="T1297" s="0" t="n">
        <v>51.25</v>
      </c>
      <c r="U1297" s="0" t="n">
        <v>1159</v>
      </c>
      <c r="V1297" s="0" t="n">
        <v>4</v>
      </c>
      <c r="W1297" s="0" t="str">
        <f aca="false">IF(OR(AND(B1297&gt;=1,B1297&lt;=6),B1297=10),"Vaca em lactação",IF(I1297="Male","Macho",IF(E1297&gt;=1,"Vaca seca",IF(I1297="Youngstock","Bezerra/recria","Novilha"))))</f>
        <v>Vaca em lactação</v>
      </c>
      <c r="X1297" s="0" t="str">
        <f aca="false">IF(AND(B1297&gt;=1,B1297&lt;=6),"Tanque",IF(B1297=10,"Descarte",""))</f>
        <v>Tanque</v>
      </c>
    </row>
    <row r="1298" customFormat="false" ht="15" hidden="false" customHeight="false" outlineLevel="0" collapsed="false">
      <c r="A1298" s="22" t="n">
        <v>46309</v>
      </c>
      <c r="B1298" s="0" t="n">
        <v>5</v>
      </c>
      <c r="C1298" s="0" t="n">
        <v>4918</v>
      </c>
      <c r="D1298" s="0" t="n">
        <v>147</v>
      </c>
      <c r="E1298" s="0" t="n">
        <v>2</v>
      </c>
      <c r="F1298" s="23" t="s">
        <v>350</v>
      </c>
      <c r="G1298" s="0" t="n">
        <v>21.1</v>
      </c>
      <c r="H1298" s="0" t="n">
        <v>21</v>
      </c>
      <c r="I1298" s="23" t="s">
        <v>92</v>
      </c>
      <c r="J1298" s="0" t="n">
        <v>70</v>
      </c>
      <c r="K1298" s="0" t="n">
        <v>70</v>
      </c>
      <c r="L1298" s="0" t="n">
        <v>77</v>
      </c>
      <c r="M1298" s="0" t="n">
        <v>648.74</v>
      </c>
      <c r="N1298" s="0" t="n">
        <v>75.28</v>
      </c>
      <c r="O1298" s="0" t="n">
        <v>39.19</v>
      </c>
      <c r="P1298" s="0" t="n">
        <v>5.31</v>
      </c>
      <c r="Q1298" s="0" t="n">
        <v>4.19</v>
      </c>
      <c r="R1298" s="0" t="n">
        <v>2912</v>
      </c>
      <c r="S1298" s="0" t="n">
        <v>5845</v>
      </c>
      <c r="T1298" s="0" t="n">
        <v>33.35</v>
      </c>
      <c r="U1298" s="0" t="n">
        <v>1159</v>
      </c>
      <c r="V1298" s="0" t="n">
        <v>1</v>
      </c>
      <c r="W1298" s="0" t="str">
        <f aca="false">IF(OR(AND(B1298&gt;=1,B1298&lt;=6),B1298=10),"Vaca em lactação",IF(I1298="Male","Macho",IF(E1298&gt;=1,"Vaca seca",IF(I1298="Youngstock","Bezerra/recria","Novilha"))))</f>
        <v>Vaca em lactação</v>
      </c>
      <c r="X1298" s="0" t="str">
        <f aca="false">IF(AND(B1298&gt;=1,B1298&lt;=6),"Tanque",IF(B1298=10,"Descarte",""))</f>
        <v>Tanque</v>
      </c>
    </row>
    <row r="1299" customFormat="false" ht="15" hidden="false" customHeight="false" outlineLevel="0" collapsed="false">
      <c r="A1299" s="22" t="n">
        <v>46309</v>
      </c>
      <c r="B1299" s="0" t="n">
        <v>5</v>
      </c>
      <c r="C1299" s="0" t="n">
        <v>4921</v>
      </c>
      <c r="D1299" s="0" t="n">
        <v>178</v>
      </c>
      <c r="E1299" s="0" t="n">
        <v>2</v>
      </c>
      <c r="F1299" s="23" t="s">
        <v>333</v>
      </c>
      <c r="G1299" s="0" t="n">
        <v>41.3</v>
      </c>
      <c r="H1299" s="0" t="n">
        <v>38</v>
      </c>
      <c r="I1299" s="23" t="s">
        <v>92</v>
      </c>
      <c r="J1299" s="0" t="n">
        <v>101</v>
      </c>
      <c r="K1299" s="0" t="n">
        <v>66</v>
      </c>
      <c r="L1299" s="0" t="n">
        <v>77</v>
      </c>
      <c r="M1299" s="0" t="n">
        <v>1504.7</v>
      </c>
      <c r="N1299" s="0" t="n">
        <v>62.83</v>
      </c>
      <c r="O1299" s="0" t="n">
        <v>58.02</v>
      </c>
      <c r="P1299" s="0" t="n">
        <v>4.33</v>
      </c>
      <c r="Q1299" s="0" t="n">
        <v>3.73</v>
      </c>
      <c r="R1299" s="0" t="n">
        <v>5007</v>
      </c>
      <c r="S1299" s="0" t="n">
        <v>8788</v>
      </c>
      <c r="T1299" s="0" t="n">
        <v>57.75</v>
      </c>
      <c r="U1299" s="0" t="n">
        <v>1158</v>
      </c>
      <c r="V1299" s="0" t="n">
        <v>2</v>
      </c>
      <c r="W1299" s="0" t="str">
        <f aca="false">IF(OR(AND(B1299&gt;=1,B1299&lt;=6),B1299=10),"Vaca em lactação",IF(I1299="Male","Macho",IF(E1299&gt;=1,"Vaca seca",IF(I1299="Youngstock","Bezerra/recria","Novilha"))))</f>
        <v>Vaca em lactação</v>
      </c>
      <c r="X1299" s="0" t="str">
        <f aca="false">IF(AND(B1299&gt;=1,B1299&lt;=6),"Tanque",IF(B1299=10,"Descarte",""))</f>
        <v>Tanque</v>
      </c>
    </row>
    <row r="1300" customFormat="false" ht="15" hidden="false" customHeight="false" outlineLevel="0" collapsed="false">
      <c r="A1300" s="22" t="n">
        <v>46309</v>
      </c>
      <c r="B1300" s="0" t="n">
        <v>5</v>
      </c>
      <c r="C1300" s="0" t="n">
        <v>4922</v>
      </c>
      <c r="D1300" s="0" t="n">
        <v>97</v>
      </c>
      <c r="E1300" s="0" t="n">
        <v>2</v>
      </c>
      <c r="F1300" s="23" t="s">
        <v>333</v>
      </c>
      <c r="G1300" s="0" t="n">
        <v>44.1</v>
      </c>
      <c r="H1300" s="0" t="n">
        <v>45</v>
      </c>
      <c r="I1300" s="23" t="s">
        <v>109</v>
      </c>
      <c r="J1300" s="0" t="n">
        <v>97</v>
      </c>
      <c r="K1300" s="0" t="n">
        <v>62</v>
      </c>
      <c r="M1300" s="0" t="n">
        <v>-79.11</v>
      </c>
      <c r="N1300" s="0" t="n">
        <v>36.12</v>
      </c>
      <c r="O1300" s="0" t="n">
        <v>17.64</v>
      </c>
      <c r="P1300" s="0" t="n">
        <v>3.75</v>
      </c>
      <c r="Q1300" s="0" t="n">
        <v>3.82</v>
      </c>
      <c r="R1300" s="0" t="n">
        <v>3794</v>
      </c>
      <c r="S1300" s="0" t="n">
        <v>7627</v>
      </c>
      <c r="T1300" s="0" t="n">
        <v>41.15</v>
      </c>
      <c r="U1300" s="0" t="n">
        <v>1158</v>
      </c>
      <c r="V1300" s="0" t="n">
        <v>1</v>
      </c>
      <c r="W1300" s="0" t="str">
        <f aca="false">IF(OR(AND(B1300&gt;=1,B1300&lt;=6),B1300=10),"Vaca em lactação",IF(I1300="Male","Macho",IF(E1300&gt;=1,"Vaca seca",IF(I1300="Youngstock","Bezerra/recria","Novilha"))))</f>
        <v>Vaca em lactação</v>
      </c>
      <c r="X1300" s="0" t="str">
        <f aca="false">IF(AND(B1300&gt;=1,B1300&lt;=6),"Tanque",IF(B1300=10,"Descarte",""))</f>
        <v>Tanque</v>
      </c>
    </row>
    <row r="1301" customFormat="false" ht="15" hidden="false" customHeight="false" outlineLevel="0" collapsed="false">
      <c r="A1301" s="22" t="n">
        <v>46309</v>
      </c>
      <c r="B1301" s="0" t="n">
        <v>5</v>
      </c>
      <c r="C1301" s="0" t="n">
        <v>4925</v>
      </c>
      <c r="D1301" s="0" t="n">
        <v>187</v>
      </c>
      <c r="E1301" s="0" t="n">
        <v>2</v>
      </c>
      <c r="F1301" s="23" t="s">
        <v>833</v>
      </c>
      <c r="G1301" s="0" t="n">
        <v>40.6</v>
      </c>
      <c r="H1301" s="0" t="n">
        <v>41</v>
      </c>
      <c r="I1301" s="23" t="s">
        <v>92</v>
      </c>
      <c r="J1301" s="0" t="n">
        <v>76</v>
      </c>
      <c r="K1301" s="0" t="n">
        <v>83</v>
      </c>
      <c r="L1301" s="0" t="n">
        <v>111</v>
      </c>
      <c r="M1301" s="0" t="n">
        <v>502.07</v>
      </c>
      <c r="N1301" s="0" t="n">
        <v>46.16</v>
      </c>
      <c r="O1301" s="0" t="n">
        <v>20.17</v>
      </c>
      <c r="P1301" s="0" t="n">
        <v>5.45</v>
      </c>
      <c r="Q1301" s="0" t="n">
        <v>3.44</v>
      </c>
      <c r="R1301" s="0" t="n">
        <v>3367</v>
      </c>
      <c r="S1301" s="0" t="n">
        <v>7431</v>
      </c>
      <c r="T1301" s="0" t="n">
        <v>36.7</v>
      </c>
      <c r="U1301" s="0" t="n">
        <v>1157</v>
      </c>
      <c r="V1301" s="0" t="n">
        <v>1</v>
      </c>
      <c r="W1301" s="0" t="str">
        <f aca="false">IF(OR(AND(B1301&gt;=1,B1301&lt;=6),B1301=10),"Vaca em lactação",IF(I1301="Male","Macho",IF(E1301&gt;=1,"Vaca seca",IF(I1301="Youngstock","Bezerra/recria","Novilha"))))</f>
        <v>Vaca em lactação</v>
      </c>
      <c r="X1301" s="0" t="str">
        <f aca="false">IF(AND(B1301&gt;=1,B1301&lt;=6),"Tanque",IF(B1301=10,"Descarte",""))</f>
        <v>Tanque</v>
      </c>
    </row>
    <row r="1302" customFormat="false" ht="15" hidden="false" customHeight="false" outlineLevel="0" collapsed="false">
      <c r="A1302" s="22" t="n">
        <v>46309</v>
      </c>
      <c r="B1302" s="0" t="n">
        <v>5</v>
      </c>
      <c r="C1302" s="0" t="n">
        <v>4924</v>
      </c>
      <c r="D1302" s="0" t="n">
        <v>120</v>
      </c>
      <c r="E1302" s="0" t="n">
        <v>2</v>
      </c>
      <c r="F1302" s="23" t="s">
        <v>833</v>
      </c>
      <c r="G1302" s="0" t="n">
        <v>51.1</v>
      </c>
      <c r="H1302" s="0" t="n">
        <v>48</v>
      </c>
      <c r="I1302" s="23" t="s">
        <v>97</v>
      </c>
      <c r="J1302" s="0" t="n">
        <v>120</v>
      </c>
      <c r="K1302" s="0" t="n">
        <v>64</v>
      </c>
      <c r="M1302" s="0" t="n">
        <v>782.82</v>
      </c>
      <c r="N1302" s="0" t="n">
        <v>52.92</v>
      </c>
      <c r="O1302" s="0" t="n">
        <v>25.7</v>
      </c>
      <c r="P1302" s="0" t="n">
        <v>3.84</v>
      </c>
      <c r="Q1302" s="0" t="n">
        <v>3.38</v>
      </c>
      <c r="R1302" s="0" t="n">
        <v>5155</v>
      </c>
      <c r="S1302" s="0" t="n">
        <v>10362</v>
      </c>
      <c r="T1302" s="0" t="n">
        <v>56.2</v>
      </c>
      <c r="U1302" s="0" t="n">
        <v>1157</v>
      </c>
      <c r="V1302" s="0" t="n">
        <v>2</v>
      </c>
      <c r="W1302" s="0" t="str">
        <f aca="false">IF(OR(AND(B1302&gt;=1,B1302&lt;=6),B1302=10),"Vaca em lactação",IF(I1302="Male","Macho",IF(E1302&gt;=1,"Vaca seca",IF(I1302="Youngstock","Bezerra/recria","Novilha"))))</f>
        <v>Vaca em lactação</v>
      </c>
      <c r="X1302" s="0" t="str">
        <f aca="false">IF(AND(B1302&gt;=1,B1302&lt;=6),"Tanque",IF(B1302=10,"Descarte",""))</f>
        <v>Tanque</v>
      </c>
    </row>
    <row r="1303" customFormat="false" ht="15" hidden="false" customHeight="false" outlineLevel="0" collapsed="false">
      <c r="A1303" s="22" t="n">
        <v>46309</v>
      </c>
      <c r="B1303" s="0" t="n">
        <v>5</v>
      </c>
      <c r="C1303" s="0" t="n">
        <v>4965</v>
      </c>
      <c r="D1303" s="0" t="n">
        <v>97</v>
      </c>
      <c r="E1303" s="0" t="n">
        <v>2</v>
      </c>
      <c r="F1303" s="23" t="s">
        <v>834</v>
      </c>
      <c r="G1303" s="0" t="n">
        <v>44.4</v>
      </c>
      <c r="H1303" s="0" t="n">
        <v>40</v>
      </c>
      <c r="I1303" s="23" t="s">
        <v>97</v>
      </c>
      <c r="J1303" s="0" t="n">
        <v>97</v>
      </c>
      <c r="K1303" s="0" t="n">
        <v>69</v>
      </c>
      <c r="M1303" s="0" t="n">
        <v>728.87</v>
      </c>
      <c r="N1303" s="0" t="n">
        <v>50.8</v>
      </c>
      <c r="O1303" s="0" t="n">
        <v>34.98</v>
      </c>
      <c r="P1303" s="0" t="n">
        <v>3.97</v>
      </c>
      <c r="Q1303" s="0" t="n">
        <v>3.44</v>
      </c>
      <c r="R1303" s="0" t="n">
        <v>3278</v>
      </c>
      <c r="S1303" s="0" t="n">
        <v>6589</v>
      </c>
      <c r="T1303" s="0" t="n">
        <v>33.55</v>
      </c>
      <c r="U1303" s="0" t="n">
        <v>1140</v>
      </c>
      <c r="V1303" s="0" t="n">
        <v>1</v>
      </c>
      <c r="W1303" s="0" t="str">
        <f aca="false">IF(OR(AND(B1303&gt;=1,B1303&lt;=6),B1303=10),"Vaca em lactação",IF(I1303="Male","Macho",IF(E1303&gt;=1,"Vaca seca",IF(I1303="Youngstock","Bezerra/recria","Novilha"))))</f>
        <v>Vaca em lactação</v>
      </c>
      <c r="X1303" s="0" t="str">
        <f aca="false">IF(AND(B1303&gt;=1,B1303&lt;=6),"Tanque",IF(B1303=10,"Descarte",""))</f>
        <v>Tanque</v>
      </c>
    </row>
    <row r="1304" customFormat="false" ht="15" hidden="false" customHeight="false" outlineLevel="0" collapsed="false">
      <c r="A1304" s="22" t="n">
        <v>46309</v>
      </c>
      <c r="B1304" s="0" t="n">
        <v>5</v>
      </c>
      <c r="C1304" s="0" t="n">
        <v>4968</v>
      </c>
      <c r="D1304" s="0" t="n">
        <v>172</v>
      </c>
      <c r="E1304" s="0" t="n">
        <v>2</v>
      </c>
      <c r="F1304" s="23" t="s">
        <v>835</v>
      </c>
      <c r="G1304" s="0" t="n">
        <v>23.5</v>
      </c>
      <c r="H1304" s="0" t="n">
        <v>25</v>
      </c>
      <c r="I1304" s="23" t="s">
        <v>92</v>
      </c>
      <c r="J1304" s="0" t="n">
        <v>109</v>
      </c>
      <c r="K1304" s="0" t="n">
        <v>67</v>
      </c>
      <c r="L1304" s="0" t="n">
        <v>63</v>
      </c>
      <c r="M1304" s="0" t="n">
        <v>890.36</v>
      </c>
      <c r="N1304" s="0" t="n">
        <v>67.39</v>
      </c>
      <c r="O1304" s="0" t="n">
        <v>38.16</v>
      </c>
      <c r="P1304" s="0" t="n">
        <v>4.93</v>
      </c>
      <c r="Q1304" s="0" t="n">
        <v>4.07</v>
      </c>
      <c r="R1304" s="0" t="n">
        <v>2487</v>
      </c>
      <c r="S1304" s="0" t="n">
        <v>5292</v>
      </c>
      <c r="T1304" s="0" t="n">
        <v>27.9</v>
      </c>
      <c r="U1304" s="0" t="n">
        <v>1138</v>
      </c>
      <c r="V1304" s="0" t="n">
        <v>2</v>
      </c>
      <c r="W1304" s="0" t="str">
        <f aca="false">IF(OR(AND(B1304&gt;=1,B1304&lt;=6),B1304=10),"Vaca em lactação",IF(I1304="Male","Macho",IF(E1304&gt;=1,"Vaca seca",IF(I1304="Youngstock","Bezerra/recria","Novilha"))))</f>
        <v>Vaca em lactação</v>
      </c>
      <c r="X1304" s="0" t="str">
        <f aca="false">IF(AND(B1304&gt;=1,B1304&lt;=6),"Tanque",IF(B1304=10,"Descarte",""))</f>
        <v>Tanque</v>
      </c>
    </row>
    <row r="1305" customFormat="false" ht="15" hidden="false" customHeight="false" outlineLevel="0" collapsed="false">
      <c r="A1305" s="22" t="n">
        <v>46309</v>
      </c>
      <c r="B1305" s="0" t="n">
        <v>5</v>
      </c>
      <c r="C1305" s="0" t="n">
        <v>4976</v>
      </c>
      <c r="D1305" s="0" t="n">
        <v>33</v>
      </c>
      <c r="E1305" s="0" t="n">
        <v>2</v>
      </c>
      <c r="F1305" s="23" t="s">
        <v>491</v>
      </c>
      <c r="H1305" s="0" t="n">
        <v>22</v>
      </c>
      <c r="I1305" s="23" t="s">
        <v>94</v>
      </c>
      <c r="J1305" s="0" t="n">
        <v>33</v>
      </c>
      <c r="M1305" s="0" t="n">
        <v>925.96</v>
      </c>
      <c r="N1305" s="0" t="n">
        <v>28.96</v>
      </c>
      <c r="O1305" s="0" t="n">
        <v>25.34</v>
      </c>
      <c r="P1305" s="0" t="n">
        <v>4.71</v>
      </c>
      <c r="Q1305" s="0" t="n">
        <v>4.06</v>
      </c>
      <c r="R1305" s="0" t="n">
        <v>2124</v>
      </c>
      <c r="S1305" s="0" t="n">
        <v>4270</v>
      </c>
      <c r="U1305" s="0" t="n">
        <v>1132</v>
      </c>
      <c r="V1305" s="0" t="n">
        <v>0</v>
      </c>
      <c r="W1305" s="0" t="str">
        <f aca="false">IF(OR(AND(B1305&gt;=1,B1305&lt;=6),B1305=10),"Vaca em lactação",IF(I1305="Male","Macho",IF(E1305&gt;=1,"Vaca seca",IF(I1305="Youngstock","Bezerra/recria","Novilha"))))</f>
        <v>Vaca em lactação</v>
      </c>
      <c r="X1305" s="0" t="str">
        <f aca="false">IF(AND(B1305&gt;=1,B1305&lt;=6),"Tanque",IF(B1305=10,"Descarte",""))</f>
        <v>Tanque</v>
      </c>
    </row>
    <row r="1306" customFormat="false" ht="15" hidden="false" customHeight="false" outlineLevel="0" collapsed="false">
      <c r="A1306" s="22" t="n">
        <v>46309</v>
      </c>
      <c r="B1306" s="0" t="n">
        <v>5</v>
      </c>
      <c r="C1306" s="0" t="n">
        <v>4944</v>
      </c>
      <c r="D1306" s="0" t="n">
        <v>112</v>
      </c>
      <c r="E1306" s="0" t="n">
        <v>2</v>
      </c>
      <c r="F1306" s="23" t="s">
        <v>831</v>
      </c>
      <c r="G1306" s="0" t="n">
        <v>45.8</v>
      </c>
      <c r="H1306" s="0" t="n">
        <v>45</v>
      </c>
      <c r="I1306" s="23" t="s">
        <v>92</v>
      </c>
      <c r="J1306" s="0" t="n">
        <v>63</v>
      </c>
      <c r="K1306" s="0" t="n">
        <v>63</v>
      </c>
      <c r="L1306" s="0" t="n">
        <v>49</v>
      </c>
      <c r="M1306" s="0" t="n">
        <v>140.78</v>
      </c>
      <c r="N1306" s="0" t="n">
        <v>58.88</v>
      </c>
      <c r="O1306" s="0" t="n">
        <v>28.44</v>
      </c>
      <c r="P1306" s="0" t="n">
        <v>5.34</v>
      </c>
      <c r="Q1306" s="0" t="n">
        <v>3.66</v>
      </c>
      <c r="R1306" s="0" t="n">
        <v>4457</v>
      </c>
      <c r="S1306" s="0" t="n">
        <v>9021</v>
      </c>
      <c r="T1306" s="0" t="n">
        <v>51.25</v>
      </c>
      <c r="U1306" s="0" t="n">
        <v>1148</v>
      </c>
      <c r="V1306" s="0" t="n">
        <v>1</v>
      </c>
      <c r="W1306" s="0" t="str">
        <f aca="false">IF(OR(AND(B1306&gt;=1,B1306&lt;=6),B1306=10),"Vaca em lactação",IF(I1306="Male","Macho",IF(E1306&gt;=1,"Vaca seca",IF(I1306="Youngstock","Bezerra/recria","Novilha"))))</f>
        <v>Vaca em lactação</v>
      </c>
      <c r="X1306" s="0" t="str">
        <f aca="false">IF(AND(B1306&gt;=1,B1306&lt;=6),"Tanque",IF(B1306=10,"Descarte",""))</f>
        <v>Tanque</v>
      </c>
    </row>
    <row r="1307" customFormat="false" ht="15" hidden="false" customHeight="false" outlineLevel="0" collapsed="false">
      <c r="A1307" s="22" t="n">
        <v>46309</v>
      </c>
      <c r="B1307" s="0" t="n">
        <v>5</v>
      </c>
      <c r="C1307" s="0" t="n">
        <v>4954</v>
      </c>
      <c r="D1307" s="0" t="n">
        <v>270</v>
      </c>
      <c r="E1307" s="0" t="n">
        <v>2</v>
      </c>
      <c r="F1307" s="23" t="s">
        <v>337</v>
      </c>
      <c r="G1307" s="0" t="n">
        <v>31.4</v>
      </c>
      <c r="H1307" s="0" t="n">
        <v>31</v>
      </c>
      <c r="I1307" s="23" t="s">
        <v>97</v>
      </c>
      <c r="J1307" s="0" t="n">
        <v>270</v>
      </c>
      <c r="K1307" s="0" t="n">
        <v>67</v>
      </c>
      <c r="M1307" s="0" t="n">
        <v>-27.31</v>
      </c>
      <c r="N1307" s="0" t="n">
        <v>82.53</v>
      </c>
      <c r="O1307" s="0" t="n">
        <v>17.9</v>
      </c>
      <c r="P1307" s="0" t="n">
        <v>8.03</v>
      </c>
      <c r="Q1307" s="0" t="n">
        <v>4.28</v>
      </c>
      <c r="R1307" s="0" t="n">
        <v>4178</v>
      </c>
      <c r="S1307" s="0" t="n">
        <v>7719</v>
      </c>
      <c r="T1307" s="0" t="n">
        <v>44.55</v>
      </c>
      <c r="U1307" s="0" t="n">
        <v>1145</v>
      </c>
      <c r="V1307" s="0" t="n">
        <v>5</v>
      </c>
      <c r="W1307" s="0" t="str">
        <f aca="false">IF(OR(AND(B1307&gt;=1,B1307&lt;=6),B1307=10),"Vaca em lactação",IF(I1307="Male","Macho",IF(E1307&gt;=1,"Vaca seca",IF(I1307="Youngstock","Bezerra/recria","Novilha"))))</f>
        <v>Vaca em lactação</v>
      </c>
      <c r="X1307" s="0" t="str">
        <f aca="false">IF(AND(B1307&gt;=1,B1307&lt;=6),"Tanque",IF(B1307=10,"Descarte",""))</f>
        <v>Tanque</v>
      </c>
    </row>
    <row r="1308" customFormat="false" ht="15" hidden="false" customHeight="false" outlineLevel="0" collapsed="false">
      <c r="A1308" s="22" t="n">
        <v>46309</v>
      </c>
      <c r="B1308" s="0" t="n">
        <v>5</v>
      </c>
      <c r="C1308" s="0" t="n">
        <v>4950</v>
      </c>
      <c r="D1308" s="0" t="n">
        <v>91</v>
      </c>
      <c r="E1308" s="0" t="n">
        <v>2</v>
      </c>
      <c r="F1308" s="23" t="s">
        <v>338</v>
      </c>
      <c r="G1308" s="0" t="n">
        <v>42.3</v>
      </c>
      <c r="H1308" s="0" t="n">
        <v>38</v>
      </c>
      <c r="I1308" s="23" t="s">
        <v>97</v>
      </c>
      <c r="J1308" s="0" t="n">
        <v>91</v>
      </c>
      <c r="K1308" s="0" t="n">
        <v>70</v>
      </c>
      <c r="M1308" s="0" t="n">
        <v>-243.89</v>
      </c>
      <c r="N1308" s="0" t="n">
        <v>49.38</v>
      </c>
      <c r="O1308" s="0" t="n">
        <v>15.57</v>
      </c>
      <c r="P1308" s="0" t="n">
        <v>3.83</v>
      </c>
      <c r="Q1308" s="0" t="n">
        <v>3.53</v>
      </c>
      <c r="R1308" s="0" t="n">
        <v>3576</v>
      </c>
      <c r="S1308" s="0" t="n">
        <v>7188</v>
      </c>
      <c r="T1308" s="0" t="n">
        <v>40.85</v>
      </c>
      <c r="U1308" s="0" t="n">
        <v>1146</v>
      </c>
      <c r="V1308" s="0" t="n">
        <v>1</v>
      </c>
      <c r="W1308" s="0" t="str">
        <f aca="false">IF(OR(AND(B1308&gt;=1,B1308&lt;=6),B1308=10),"Vaca em lactação",IF(I1308="Male","Macho",IF(E1308&gt;=1,"Vaca seca",IF(I1308="Youngstock","Bezerra/recria","Novilha"))))</f>
        <v>Vaca em lactação</v>
      </c>
      <c r="X1308" s="0" t="str">
        <f aca="false">IF(AND(B1308&gt;=1,B1308&lt;=6),"Tanque",IF(B1308=10,"Descarte",""))</f>
        <v>Tanque</v>
      </c>
    </row>
    <row r="1309" customFormat="false" ht="15" hidden="false" customHeight="false" outlineLevel="0" collapsed="false">
      <c r="A1309" s="22" t="n">
        <v>46309</v>
      </c>
      <c r="B1309" s="0" t="n">
        <v>5</v>
      </c>
      <c r="C1309" s="0" t="n">
        <v>4949</v>
      </c>
      <c r="D1309" s="0" t="n">
        <v>182</v>
      </c>
      <c r="E1309" s="0" t="n">
        <v>2</v>
      </c>
      <c r="F1309" s="23" t="s">
        <v>336</v>
      </c>
      <c r="G1309" s="0" t="n">
        <v>39.2</v>
      </c>
      <c r="H1309" s="0" t="n">
        <v>40</v>
      </c>
      <c r="I1309" s="23" t="s">
        <v>92</v>
      </c>
      <c r="J1309" s="0" t="n">
        <v>98</v>
      </c>
      <c r="K1309" s="0" t="n">
        <v>56</v>
      </c>
      <c r="L1309" s="0" t="n">
        <v>84</v>
      </c>
      <c r="M1309" s="0" t="n">
        <v>-228.95</v>
      </c>
      <c r="N1309" s="0" t="n">
        <v>69.21</v>
      </c>
      <c r="O1309" s="0" t="n">
        <v>11.47</v>
      </c>
      <c r="P1309" s="0" t="n">
        <v>5.71</v>
      </c>
      <c r="Q1309" s="0" t="n">
        <v>3.81</v>
      </c>
      <c r="R1309" s="0" t="n">
        <v>4206</v>
      </c>
      <c r="S1309" s="0" t="n">
        <v>8529</v>
      </c>
      <c r="T1309" s="0" t="n">
        <v>45.2</v>
      </c>
      <c r="U1309" s="0" t="n">
        <v>1147</v>
      </c>
      <c r="V1309" s="0" t="n">
        <v>2</v>
      </c>
      <c r="W1309" s="0" t="str">
        <f aca="false">IF(OR(AND(B1309&gt;=1,B1309&lt;=6),B1309=10),"Vaca em lactação",IF(I1309="Male","Macho",IF(E1309&gt;=1,"Vaca seca",IF(I1309="Youngstock","Bezerra/recria","Novilha"))))</f>
        <v>Vaca em lactação</v>
      </c>
      <c r="X1309" s="0" t="str">
        <f aca="false">IF(AND(B1309&gt;=1,B1309&lt;=6),"Tanque",IF(B1309=10,"Descarte",""))</f>
        <v>Tanque</v>
      </c>
    </row>
    <row r="1310" customFormat="false" ht="15" hidden="false" customHeight="false" outlineLevel="0" collapsed="false">
      <c r="A1310" s="22" t="n">
        <v>46309</v>
      </c>
      <c r="B1310" s="0" t="n">
        <v>5</v>
      </c>
      <c r="C1310" s="0" t="n">
        <v>4861</v>
      </c>
      <c r="D1310" s="0" t="n">
        <v>200</v>
      </c>
      <c r="E1310" s="0" t="n">
        <v>2</v>
      </c>
      <c r="F1310" s="23" t="s">
        <v>836</v>
      </c>
      <c r="G1310" s="0" t="n">
        <v>32.9</v>
      </c>
      <c r="H1310" s="0" t="n">
        <v>30</v>
      </c>
      <c r="I1310" s="23" t="s">
        <v>92</v>
      </c>
      <c r="J1310" s="0" t="n">
        <v>67</v>
      </c>
      <c r="K1310" s="0" t="n">
        <v>67</v>
      </c>
      <c r="L1310" s="0" t="n">
        <v>133</v>
      </c>
      <c r="M1310" s="0" t="n">
        <v>1082.26</v>
      </c>
      <c r="N1310" s="0" t="n">
        <v>53.42</v>
      </c>
      <c r="O1310" s="0" t="n">
        <v>41.51</v>
      </c>
      <c r="P1310" s="0" t="n">
        <v>4.17</v>
      </c>
      <c r="Q1310" s="0" t="n">
        <v>3.78</v>
      </c>
      <c r="R1310" s="0" t="n">
        <v>3267</v>
      </c>
      <c r="S1310" s="0" t="n">
        <v>6839</v>
      </c>
      <c r="T1310" s="0" t="n">
        <v>36.25</v>
      </c>
      <c r="U1310" s="0" t="n">
        <v>1186</v>
      </c>
      <c r="V1310" s="0" t="n">
        <v>1</v>
      </c>
      <c r="W1310" s="0" t="str">
        <f aca="false">IF(OR(AND(B1310&gt;=1,B1310&lt;=6),B1310=10),"Vaca em lactação",IF(I1310="Male","Macho",IF(E1310&gt;=1,"Vaca seca",IF(I1310="Youngstock","Bezerra/recria","Novilha"))))</f>
        <v>Vaca em lactação</v>
      </c>
      <c r="X1310" s="0" t="str">
        <f aca="false">IF(AND(B1310&gt;=1,B1310&lt;=6),"Tanque",IF(B1310=10,"Descarte",""))</f>
        <v>Tanque</v>
      </c>
    </row>
    <row r="1311" customFormat="false" ht="15" hidden="false" customHeight="false" outlineLevel="0" collapsed="false">
      <c r="A1311" s="22" t="n">
        <v>46309</v>
      </c>
      <c r="B1311" s="0" t="n">
        <v>5</v>
      </c>
      <c r="C1311" s="0" t="n">
        <v>4862</v>
      </c>
      <c r="D1311" s="0" t="n">
        <v>200</v>
      </c>
      <c r="E1311" s="0" t="n">
        <v>2</v>
      </c>
      <c r="F1311" s="23" t="s">
        <v>836</v>
      </c>
      <c r="G1311" s="0" t="n">
        <v>21.2</v>
      </c>
      <c r="H1311" s="0" t="n">
        <v>31</v>
      </c>
      <c r="I1311" s="23" t="s">
        <v>109</v>
      </c>
      <c r="J1311" s="0" t="n">
        <v>200</v>
      </c>
      <c r="K1311" s="0" t="n">
        <v>67</v>
      </c>
      <c r="M1311" s="0" t="n">
        <v>448.8</v>
      </c>
      <c r="N1311" s="0" t="n">
        <v>51.51</v>
      </c>
      <c r="O1311" s="0" t="n">
        <v>35.12</v>
      </c>
      <c r="P1311" s="0" t="n">
        <v>5.78</v>
      </c>
      <c r="Q1311" s="0" t="n">
        <v>3.97</v>
      </c>
      <c r="R1311" s="0" t="n">
        <v>4561</v>
      </c>
      <c r="S1311" s="0" t="n">
        <v>8781</v>
      </c>
      <c r="T1311" s="0" t="n">
        <v>51.1</v>
      </c>
      <c r="U1311" s="0" t="n">
        <v>1186</v>
      </c>
      <c r="V1311" s="0" t="n">
        <v>3</v>
      </c>
      <c r="W1311" s="0" t="str">
        <f aca="false">IF(OR(AND(B1311&gt;=1,B1311&lt;=6),B1311=10),"Vaca em lactação",IF(I1311="Male","Macho",IF(E1311&gt;=1,"Vaca seca",IF(I1311="Youngstock","Bezerra/recria","Novilha"))))</f>
        <v>Vaca em lactação</v>
      </c>
      <c r="X1311" s="0" t="str">
        <f aca="false">IF(AND(B1311&gt;=1,B1311&lt;=6),"Tanque",IF(B1311=10,"Descarte",""))</f>
        <v>Tanque</v>
      </c>
    </row>
    <row r="1312" customFormat="false" ht="15" hidden="false" customHeight="false" outlineLevel="0" collapsed="false">
      <c r="A1312" s="22" t="n">
        <v>46309</v>
      </c>
      <c r="B1312" s="0" t="n">
        <v>5</v>
      </c>
      <c r="C1312" s="0" t="n">
        <v>4873</v>
      </c>
      <c r="D1312" s="0" t="n">
        <v>448</v>
      </c>
      <c r="E1312" s="0" t="n">
        <v>1</v>
      </c>
      <c r="F1312" s="23" t="s">
        <v>341</v>
      </c>
      <c r="G1312" s="0" t="n">
        <v>40.3</v>
      </c>
      <c r="H1312" s="0" t="n">
        <v>38</v>
      </c>
      <c r="I1312" s="23" t="s">
        <v>92</v>
      </c>
      <c r="J1312" s="0" t="n">
        <v>385</v>
      </c>
      <c r="K1312" s="0" t="n">
        <v>63</v>
      </c>
      <c r="L1312" s="0" t="n">
        <v>63</v>
      </c>
      <c r="M1312" s="0" t="n">
        <v>329.75</v>
      </c>
      <c r="N1312" s="0" t="n">
        <v>39.49</v>
      </c>
      <c r="O1312" s="0" t="n">
        <v>21.84</v>
      </c>
      <c r="P1312" s="0" t="n">
        <v>0</v>
      </c>
      <c r="Q1312" s="0" t="n">
        <v>0</v>
      </c>
      <c r="R1312" s="0" t="n">
        <v>3976</v>
      </c>
      <c r="S1312" s="0" t="n">
        <v>8732</v>
      </c>
      <c r="T1312" s="0" t="n">
        <v>44.4</v>
      </c>
      <c r="U1312" s="0" t="n">
        <v>1182</v>
      </c>
      <c r="V1312" s="0" t="n">
        <v>9</v>
      </c>
      <c r="W1312" s="0" t="str">
        <f aca="false">IF(OR(AND(B1312&gt;=1,B1312&lt;=6),B1312=10),"Vaca em lactação",IF(I1312="Male","Macho",IF(E1312&gt;=1,"Vaca seca",IF(I1312="Youngstock","Bezerra/recria","Novilha"))))</f>
        <v>Vaca em lactação</v>
      </c>
      <c r="X1312" s="0" t="str">
        <f aca="false">IF(AND(B1312&gt;=1,B1312&lt;=6),"Tanque",IF(B1312=10,"Descarte",""))</f>
        <v>Tanque</v>
      </c>
    </row>
    <row r="1313" customFormat="false" ht="15" hidden="false" customHeight="false" outlineLevel="0" collapsed="false">
      <c r="A1313" s="22" t="n">
        <v>46309</v>
      </c>
      <c r="B1313" s="0" t="n">
        <v>5</v>
      </c>
      <c r="C1313" s="0" t="n">
        <v>4867</v>
      </c>
      <c r="D1313" s="0" t="n">
        <v>505</v>
      </c>
      <c r="E1313" s="0" t="n">
        <v>1</v>
      </c>
      <c r="F1313" s="23" t="s">
        <v>340</v>
      </c>
      <c r="G1313" s="0" t="n">
        <v>30.9</v>
      </c>
      <c r="H1313" s="0" t="n">
        <v>32</v>
      </c>
      <c r="I1313" s="23" t="s">
        <v>97</v>
      </c>
      <c r="J1313" s="0" t="n">
        <v>505</v>
      </c>
      <c r="K1313" s="0" t="n">
        <v>64</v>
      </c>
      <c r="M1313" s="0" t="n">
        <v>820.7</v>
      </c>
      <c r="N1313" s="0" t="n">
        <v>64.66</v>
      </c>
      <c r="O1313" s="0" t="n">
        <v>30.44</v>
      </c>
      <c r="P1313" s="0" t="n">
        <v>6.21</v>
      </c>
      <c r="Q1313" s="0" t="n">
        <v>4.54</v>
      </c>
      <c r="R1313" s="0" t="n">
        <v>4507</v>
      </c>
      <c r="S1313" s="0" t="n">
        <v>9493</v>
      </c>
      <c r="T1313" s="0" t="n">
        <v>54.5</v>
      </c>
      <c r="U1313" s="0" t="n">
        <v>1183</v>
      </c>
      <c r="V1313" s="0" t="n">
        <v>13</v>
      </c>
      <c r="W1313" s="0" t="str">
        <f aca="false">IF(OR(AND(B1313&gt;=1,B1313&lt;=6),B1313=10),"Vaca em lactação",IF(I1313="Male","Macho",IF(E1313&gt;=1,"Vaca seca",IF(I1313="Youngstock","Bezerra/recria","Novilha"))))</f>
        <v>Vaca em lactação</v>
      </c>
      <c r="X1313" s="0" t="str">
        <f aca="false">IF(AND(B1313&gt;=1,B1313&lt;=6),"Tanque",IF(B1313=10,"Descarte",""))</f>
        <v>Tanque</v>
      </c>
    </row>
    <row r="1314" customFormat="false" ht="15" hidden="false" customHeight="false" outlineLevel="0" collapsed="false">
      <c r="A1314" s="22" t="n">
        <v>46309</v>
      </c>
      <c r="B1314" s="0" t="n">
        <v>5</v>
      </c>
      <c r="C1314" s="0" t="n">
        <v>4875</v>
      </c>
      <c r="D1314" s="0" t="n">
        <v>541</v>
      </c>
      <c r="E1314" s="0" t="n">
        <v>1</v>
      </c>
      <c r="F1314" s="23" t="s">
        <v>341</v>
      </c>
      <c r="G1314" s="0" t="n">
        <v>32</v>
      </c>
      <c r="H1314" s="0" t="n">
        <v>36</v>
      </c>
      <c r="I1314" s="23" t="s">
        <v>92</v>
      </c>
      <c r="J1314" s="0" t="n">
        <v>415</v>
      </c>
      <c r="K1314" s="0" t="n">
        <v>65</v>
      </c>
      <c r="L1314" s="0" t="n">
        <v>126</v>
      </c>
      <c r="M1314" s="0" t="n">
        <v>889.27</v>
      </c>
      <c r="N1314" s="0" t="n">
        <v>67.06</v>
      </c>
      <c r="O1314" s="0" t="n">
        <v>40.84</v>
      </c>
      <c r="P1314" s="0" t="n">
        <v>4.86</v>
      </c>
      <c r="Q1314" s="0" t="n">
        <v>4.71</v>
      </c>
      <c r="R1314" s="0" t="n">
        <v>4739</v>
      </c>
      <c r="S1314" s="0" t="n">
        <v>10183</v>
      </c>
      <c r="T1314" s="0" t="n">
        <v>55.8</v>
      </c>
      <c r="U1314" s="0" t="n">
        <v>1182</v>
      </c>
      <c r="V1314" s="0" t="n">
        <v>11</v>
      </c>
      <c r="W1314" s="0" t="str">
        <f aca="false">IF(OR(AND(B1314&gt;=1,B1314&lt;=6),B1314=10),"Vaca em lactação",IF(I1314="Male","Macho",IF(E1314&gt;=1,"Vaca seca",IF(I1314="Youngstock","Bezerra/recria","Novilha"))))</f>
        <v>Vaca em lactação</v>
      </c>
      <c r="X1314" s="0" t="str">
        <f aca="false">IF(AND(B1314&gt;=1,B1314&lt;=6),"Tanque",IF(B1314=10,"Descarte",""))</f>
        <v>Tanque</v>
      </c>
    </row>
    <row r="1315" customFormat="false" ht="15" hidden="false" customHeight="false" outlineLevel="0" collapsed="false">
      <c r="A1315" s="22" t="n">
        <v>46309</v>
      </c>
      <c r="B1315" s="0" t="n">
        <v>5</v>
      </c>
      <c r="C1315" s="0" t="n">
        <v>4869</v>
      </c>
      <c r="D1315" s="0" t="n">
        <v>187</v>
      </c>
      <c r="E1315" s="0" t="n">
        <v>2</v>
      </c>
      <c r="F1315" s="23" t="s">
        <v>341</v>
      </c>
      <c r="G1315" s="0" t="n">
        <v>30.6</v>
      </c>
      <c r="H1315" s="0" t="n">
        <v>31</v>
      </c>
      <c r="I1315" s="23" t="s">
        <v>92</v>
      </c>
      <c r="J1315" s="0" t="n">
        <v>69</v>
      </c>
      <c r="K1315" s="0" t="n">
        <v>76</v>
      </c>
      <c r="L1315" s="0" t="n">
        <v>118</v>
      </c>
      <c r="M1315" s="0" t="n">
        <v>835.17</v>
      </c>
      <c r="N1315" s="0" t="n">
        <v>49.71</v>
      </c>
      <c r="O1315" s="0" t="n">
        <v>44.32</v>
      </c>
      <c r="P1315" s="0" t="n">
        <v>4.97</v>
      </c>
      <c r="Q1315" s="0" t="n">
        <v>3.78</v>
      </c>
      <c r="R1315" s="0" t="n">
        <v>3564</v>
      </c>
      <c r="S1315" s="0" t="n">
        <v>6628</v>
      </c>
      <c r="T1315" s="0" t="n">
        <v>38</v>
      </c>
      <c r="U1315" s="0" t="n">
        <v>1182</v>
      </c>
      <c r="V1315" s="0" t="n">
        <v>1</v>
      </c>
      <c r="W1315" s="0" t="str">
        <f aca="false">IF(OR(AND(B1315&gt;=1,B1315&lt;=6),B1315=10),"Vaca em lactação",IF(I1315="Male","Macho",IF(E1315&gt;=1,"Vaca seca",IF(I1315="Youngstock","Bezerra/recria","Novilha"))))</f>
        <v>Vaca em lactação</v>
      </c>
      <c r="X1315" s="0" t="str">
        <f aca="false">IF(AND(B1315&gt;=1,B1315&lt;=6),"Tanque",IF(B1315=10,"Descarte",""))</f>
        <v>Tanque</v>
      </c>
    </row>
    <row r="1316" customFormat="false" ht="15" hidden="false" customHeight="false" outlineLevel="0" collapsed="false">
      <c r="A1316" s="22" t="n">
        <v>46309</v>
      </c>
      <c r="B1316" s="0" t="n">
        <v>5</v>
      </c>
      <c r="C1316" s="0" t="n">
        <v>4872</v>
      </c>
      <c r="D1316" s="0" t="n">
        <v>165</v>
      </c>
      <c r="E1316" s="0" t="n">
        <v>2</v>
      </c>
      <c r="F1316" s="23" t="s">
        <v>341</v>
      </c>
      <c r="G1316" s="0" t="n">
        <v>41.2</v>
      </c>
      <c r="H1316" s="0" t="n">
        <v>43</v>
      </c>
      <c r="I1316" s="23" t="s">
        <v>92</v>
      </c>
      <c r="J1316" s="0" t="n">
        <v>110</v>
      </c>
      <c r="K1316" s="0" t="n">
        <v>67</v>
      </c>
      <c r="L1316" s="0" t="n">
        <v>55</v>
      </c>
      <c r="M1316" s="0" t="n">
        <v>895.62</v>
      </c>
      <c r="N1316" s="0" t="n">
        <v>88.35</v>
      </c>
      <c r="O1316" s="0" t="n">
        <v>42.83</v>
      </c>
      <c r="P1316" s="0" t="n">
        <v>5.19</v>
      </c>
      <c r="Q1316" s="0" t="n">
        <v>3.95</v>
      </c>
      <c r="R1316" s="0" t="n">
        <v>3880</v>
      </c>
      <c r="S1316" s="0" t="n">
        <v>8211</v>
      </c>
      <c r="T1316" s="0" t="n">
        <v>44.65</v>
      </c>
      <c r="U1316" s="0" t="n">
        <v>1182</v>
      </c>
      <c r="V1316" s="0" t="n">
        <v>2</v>
      </c>
      <c r="W1316" s="0" t="str">
        <f aca="false">IF(OR(AND(B1316&gt;=1,B1316&lt;=6),B1316=10),"Vaca em lactação",IF(I1316="Male","Macho",IF(E1316&gt;=1,"Vaca seca",IF(I1316="Youngstock","Bezerra/recria","Novilha"))))</f>
        <v>Vaca em lactação</v>
      </c>
      <c r="X1316" s="0" t="str">
        <f aca="false">IF(AND(B1316&gt;=1,B1316&lt;=6),"Tanque",IF(B1316=10,"Descarte",""))</f>
        <v>Tanque</v>
      </c>
    </row>
    <row r="1317" customFormat="false" ht="15" hidden="false" customHeight="false" outlineLevel="0" collapsed="false">
      <c r="A1317" s="22" t="n">
        <v>46309</v>
      </c>
      <c r="B1317" s="0" t="n">
        <v>5</v>
      </c>
      <c r="C1317" s="0" t="n">
        <v>4871</v>
      </c>
      <c r="D1317" s="0" t="n">
        <v>205</v>
      </c>
      <c r="E1317" s="0" t="n">
        <v>2</v>
      </c>
      <c r="F1317" s="23" t="s">
        <v>341</v>
      </c>
      <c r="G1317" s="0" t="n">
        <v>31.9</v>
      </c>
      <c r="H1317" s="0" t="n">
        <v>29</v>
      </c>
      <c r="I1317" s="23" t="s">
        <v>92</v>
      </c>
      <c r="J1317" s="0" t="n">
        <v>65</v>
      </c>
      <c r="K1317" s="0" t="n">
        <v>65</v>
      </c>
      <c r="L1317" s="0" t="n">
        <v>140</v>
      </c>
      <c r="M1317" s="0" t="n">
        <v>904</v>
      </c>
      <c r="N1317" s="0" t="n">
        <v>62.93</v>
      </c>
      <c r="O1317" s="0" t="n">
        <v>42</v>
      </c>
      <c r="P1317" s="0" t="n">
        <v>5.02</v>
      </c>
      <c r="Q1317" s="0" t="n">
        <v>3.55</v>
      </c>
      <c r="R1317" s="0" t="n">
        <v>3685</v>
      </c>
      <c r="S1317" s="0" t="n">
        <v>6665</v>
      </c>
      <c r="T1317" s="0" t="n">
        <v>42.45</v>
      </c>
      <c r="U1317" s="0" t="n">
        <v>1182</v>
      </c>
      <c r="V1317" s="0" t="n">
        <v>1</v>
      </c>
      <c r="W1317" s="0" t="str">
        <f aca="false">IF(OR(AND(B1317&gt;=1,B1317&lt;=6),B1317=10),"Vaca em lactação",IF(I1317="Male","Macho",IF(E1317&gt;=1,"Vaca seca",IF(I1317="Youngstock","Bezerra/recria","Novilha"))))</f>
        <v>Vaca em lactação</v>
      </c>
      <c r="X1317" s="0" t="str">
        <f aca="false">IF(AND(B1317&gt;=1,B1317&lt;=6),"Tanque",IF(B1317=10,"Descarte",""))</f>
        <v>Tanque</v>
      </c>
    </row>
    <row r="1318" customFormat="false" ht="15" hidden="false" customHeight="false" outlineLevel="0" collapsed="false">
      <c r="A1318" s="22" t="n">
        <v>46309</v>
      </c>
      <c r="B1318" s="0" t="n">
        <v>5</v>
      </c>
      <c r="C1318" s="0" t="n">
        <v>4840</v>
      </c>
      <c r="D1318" s="0" t="n">
        <v>155</v>
      </c>
      <c r="E1318" s="0" t="n">
        <v>2</v>
      </c>
      <c r="F1318" s="23" t="s">
        <v>342</v>
      </c>
      <c r="G1318" s="0" t="n">
        <v>20</v>
      </c>
      <c r="H1318" s="0" t="n">
        <v>23</v>
      </c>
      <c r="I1318" s="23" t="s">
        <v>92</v>
      </c>
      <c r="J1318" s="0" t="n">
        <v>106</v>
      </c>
      <c r="K1318" s="0" t="n">
        <v>64</v>
      </c>
      <c r="L1318" s="0" t="n">
        <v>49</v>
      </c>
      <c r="M1318" s="0" t="n">
        <v>315.95</v>
      </c>
      <c r="N1318" s="0" t="n">
        <v>68.76</v>
      </c>
      <c r="O1318" s="0" t="n">
        <v>27.45</v>
      </c>
      <c r="P1318" s="0" t="n">
        <v>4.66</v>
      </c>
      <c r="Q1318" s="0" t="n">
        <v>3.12</v>
      </c>
      <c r="R1318" s="0" t="n">
        <v>5118</v>
      </c>
      <c r="S1318" s="0" t="n">
        <v>10391</v>
      </c>
      <c r="U1318" s="0" t="n">
        <v>1194</v>
      </c>
      <c r="V1318" s="0" t="n">
        <v>2</v>
      </c>
      <c r="W1318" s="0" t="str">
        <f aca="false">IF(OR(AND(B1318&gt;=1,B1318&lt;=6),B1318=10),"Vaca em lactação",IF(I1318="Male","Macho",IF(E1318&gt;=1,"Vaca seca",IF(I1318="Youngstock","Bezerra/recria","Novilha"))))</f>
        <v>Vaca em lactação</v>
      </c>
      <c r="X1318" s="0" t="str">
        <f aca="false">IF(AND(B1318&gt;=1,B1318&lt;=6),"Tanque",IF(B1318=10,"Descarte",""))</f>
        <v>Tanque</v>
      </c>
    </row>
    <row r="1319" customFormat="false" ht="15" hidden="false" customHeight="false" outlineLevel="0" collapsed="false">
      <c r="A1319" s="22" t="n">
        <v>46309</v>
      </c>
      <c r="B1319" s="0" t="n">
        <v>5</v>
      </c>
      <c r="C1319" s="0" t="n">
        <v>4839</v>
      </c>
      <c r="D1319" s="0" t="n">
        <v>433</v>
      </c>
      <c r="E1319" s="0" t="n">
        <v>1</v>
      </c>
      <c r="F1319" s="23" t="s">
        <v>342</v>
      </c>
      <c r="G1319" s="0" t="n">
        <v>41.8</v>
      </c>
      <c r="H1319" s="0" t="n">
        <v>32</v>
      </c>
      <c r="I1319" s="23" t="s">
        <v>97</v>
      </c>
      <c r="J1319" s="0" t="n">
        <v>433</v>
      </c>
      <c r="K1319" s="0" t="n">
        <v>62</v>
      </c>
      <c r="M1319" s="0" t="n">
        <v>1557.08</v>
      </c>
      <c r="N1319" s="0" t="n">
        <v>37.3</v>
      </c>
      <c r="O1319" s="0" t="n">
        <v>42.11</v>
      </c>
      <c r="P1319" s="0" t="n">
        <v>3.46</v>
      </c>
      <c r="Q1319" s="0" t="n">
        <v>3.87</v>
      </c>
      <c r="R1319" s="0" t="n">
        <v>4301</v>
      </c>
      <c r="S1319" s="0" t="n">
        <v>9627</v>
      </c>
      <c r="T1319" s="0" t="n">
        <v>40.8</v>
      </c>
      <c r="U1319" s="0" t="n">
        <v>1194</v>
      </c>
      <c r="V1319" s="0" t="n">
        <v>10</v>
      </c>
      <c r="W1319" s="0" t="str">
        <f aca="false">IF(OR(AND(B1319&gt;=1,B1319&lt;=6),B1319=10),"Vaca em lactação",IF(I1319="Male","Macho",IF(E1319&gt;=1,"Vaca seca",IF(I1319="Youngstock","Bezerra/recria","Novilha"))))</f>
        <v>Vaca em lactação</v>
      </c>
      <c r="X1319" s="0" t="str">
        <f aca="false">IF(AND(B1319&gt;=1,B1319&lt;=6),"Tanque",IF(B1319=10,"Descarte",""))</f>
        <v>Tanque</v>
      </c>
    </row>
    <row r="1320" customFormat="false" ht="15" hidden="false" customHeight="false" outlineLevel="0" collapsed="false">
      <c r="A1320" s="22" t="n">
        <v>46309</v>
      </c>
      <c r="B1320" s="0" t="n">
        <v>5</v>
      </c>
      <c r="C1320" s="0" t="n">
        <v>4837</v>
      </c>
      <c r="D1320" s="0" t="n">
        <v>227</v>
      </c>
      <c r="E1320" s="0" t="n">
        <v>2</v>
      </c>
      <c r="F1320" s="23" t="s">
        <v>494</v>
      </c>
      <c r="G1320" s="0" t="n">
        <v>32.7</v>
      </c>
      <c r="H1320" s="0" t="n">
        <v>30</v>
      </c>
      <c r="I1320" s="23" t="s">
        <v>92</v>
      </c>
      <c r="J1320" s="0" t="n">
        <v>66</v>
      </c>
      <c r="K1320" s="0" t="n">
        <v>66</v>
      </c>
      <c r="L1320" s="0" t="n">
        <v>161</v>
      </c>
      <c r="M1320" s="0" t="n">
        <v>944.49</v>
      </c>
      <c r="N1320" s="0" t="n">
        <v>31.31</v>
      </c>
      <c r="O1320" s="0" t="n">
        <v>42.17</v>
      </c>
      <c r="P1320" s="0" t="n">
        <v>4.24</v>
      </c>
      <c r="Q1320" s="0" t="n">
        <v>4.18</v>
      </c>
      <c r="R1320" s="0" t="n">
        <v>3616</v>
      </c>
      <c r="S1320" s="0" t="n">
        <v>7328</v>
      </c>
      <c r="T1320" s="0" t="n">
        <v>35.85</v>
      </c>
      <c r="U1320" s="0" t="n">
        <v>1195</v>
      </c>
      <c r="V1320" s="0" t="n">
        <v>1</v>
      </c>
      <c r="W1320" s="0" t="str">
        <f aca="false">IF(OR(AND(B1320&gt;=1,B1320&lt;=6),B1320=10),"Vaca em lactação",IF(I1320="Male","Macho",IF(E1320&gt;=1,"Vaca seca",IF(I1320="Youngstock","Bezerra/recria","Novilha"))))</f>
        <v>Vaca em lactação</v>
      </c>
      <c r="X1320" s="0" t="str">
        <f aca="false">IF(AND(B1320&gt;=1,B1320&lt;=6),"Tanque",IF(B1320=10,"Descarte",""))</f>
        <v>Tanque</v>
      </c>
    </row>
    <row r="1321" customFormat="false" ht="15" hidden="false" customHeight="false" outlineLevel="0" collapsed="false">
      <c r="A1321" s="22" t="n">
        <v>46309</v>
      </c>
      <c r="B1321" s="0" t="n">
        <v>5</v>
      </c>
      <c r="C1321" s="0" t="n">
        <v>4834</v>
      </c>
      <c r="D1321" s="0" t="n">
        <v>195</v>
      </c>
      <c r="E1321" s="0" t="n">
        <v>2</v>
      </c>
      <c r="F1321" s="23" t="s">
        <v>309</v>
      </c>
      <c r="G1321" s="0" t="n">
        <v>39.4</v>
      </c>
      <c r="H1321" s="0" t="n">
        <v>39</v>
      </c>
      <c r="I1321" s="23" t="s">
        <v>92</v>
      </c>
      <c r="J1321" s="0" t="n">
        <v>153</v>
      </c>
      <c r="K1321" s="0" t="n">
        <v>62</v>
      </c>
      <c r="L1321" s="0" t="n">
        <v>42</v>
      </c>
      <c r="M1321" s="0" t="n">
        <v>567.93</v>
      </c>
      <c r="N1321" s="0" t="n">
        <v>82.15</v>
      </c>
      <c r="O1321" s="0" t="n">
        <v>23.9</v>
      </c>
      <c r="P1321" s="0" t="n">
        <v>5.09</v>
      </c>
      <c r="Q1321" s="0" t="n">
        <v>3.92</v>
      </c>
      <c r="R1321" s="0" t="n">
        <v>3838</v>
      </c>
      <c r="S1321" s="0" t="n">
        <v>7938</v>
      </c>
      <c r="T1321" s="0" t="n">
        <v>41</v>
      </c>
      <c r="U1321" s="0" t="n">
        <v>1196</v>
      </c>
      <c r="V1321" s="0" t="n">
        <v>3</v>
      </c>
      <c r="W1321" s="0" t="str">
        <f aca="false">IF(OR(AND(B1321&gt;=1,B1321&lt;=6),B1321=10),"Vaca em lactação",IF(I1321="Male","Macho",IF(E1321&gt;=1,"Vaca seca",IF(I1321="Youngstock","Bezerra/recria","Novilha"))))</f>
        <v>Vaca em lactação</v>
      </c>
      <c r="X1321" s="0" t="str">
        <f aca="false">IF(AND(B1321&gt;=1,B1321&lt;=6),"Tanque",IF(B1321=10,"Descarte",""))</f>
        <v>Tanque</v>
      </c>
    </row>
    <row r="1322" customFormat="false" ht="15" hidden="false" customHeight="false" outlineLevel="0" collapsed="false">
      <c r="A1322" s="22" t="n">
        <v>46309</v>
      </c>
      <c r="B1322" s="0" t="n">
        <v>5</v>
      </c>
      <c r="C1322" s="0" t="n">
        <v>4847</v>
      </c>
      <c r="D1322" s="0" t="n">
        <v>169</v>
      </c>
      <c r="E1322" s="0" t="n">
        <v>2</v>
      </c>
      <c r="F1322" s="23" t="s">
        <v>343</v>
      </c>
      <c r="G1322" s="0" t="n">
        <v>46.1</v>
      </c>
      <c r="H1322" s="0" t="n">
        <v>39</v>
      </c>
      <c r="I1322" s="23" t="s">
        <v>92</v>
      </c>
      <c r="J1322" s="0" t="n">
        <v>64</v>
      </c>
      <c r="K1322" s="0" t="n">
        <v>64</v>
      </c>
      <c r="L1322" s="0" t="n">
        <v>105</v>
      </c>
      <c r="M1322" s="0" t="n">
        <v>729.34</v>
      </c>
      <c r="N1322" s="0" t="n">
        <v>73.67</v>
      </c>
      <c r="O1322" s="0" t="n">
        <v>37.54</v>
      </c>
      <c r="P1322" s="0" t="n">
        <v>4.26</v>
      </c>
      <c r="Q1322" s="0" t="n">
        <v>3.56</v>
      </c>
      <c r="R1322" s="0" t="n">
        <v>5005</v>
      </c>
      <c r="S1322" s="0" t="n">
        <v>9567</v>
      </c>
      <c r="T1322" s="0" t="n">
        <v>54.8</v>
      </c>
      <c r="U1322" s="0" t="n">
        <v>1192</v>
      </c>
      <c r="V1322" s="0" t="n">
        <v>1</v>
      </c>
      <c r="W1322" s="0" t="str">
        <f aca="false">IF(OR(AND(B1322&gt;=1,B1322&lt;=6),B1322=10),"Vaca em lactação",IF(I1322="Male","Macho",IF(E1322&gt;=1,"Vaca seca",IF(I1322="Youngstock","Bezerra/recria","Novilha"))))</f>
        <v>Vaca em lactação</v>
      </c>
      <c r="X1322" s="0" t="str">
        <f aca="false">IF(AND(B1322&gt;=1,B1322&lt;=6),"Tanque",IF(B1322=10,"Descarte",""))</f>
        <v>Tanque</v>
      </c>
    </row>
    <row r="1323" customFormat="false" ht="15" hidden="false" customHeight="false" outlineLevel="0" collapsed="false">
      <c r="A1323" s="22" t="n">
        <v>46309</v>
      </c>
      <c r="B1323" s="0" t="n">
        <v>5</v>
      </c>
      <c r="C1323" s="0" t="n">
        <v>4845</v>
      </c>
      <c r="D1323" s="0" t="n">
        <v>120</v>
      </c>
      <c r="E1323" s="0" t="n">
        <v>2</v>
      </c>
      <c r="F1323" s="23" t="s">
        <v>343</v>
      </c>
      <c r="G1323" s="0" t="n">
        <v>42.4</v>
      </c>
      <c r="H1323" s="0" t="n">
        <v>40</v>
      </c>
      <c r="I1323" s="23" t="s">
        <v>92</v>
      </c>
      <c r="J1323" s="0" t="n">
        <v>64</v>
      </c>
      <c r="K1323" s="0" t="n">
        <v>64</v>
      </c>
      <c r="L1323" s="0" t="n">
        <v>56</v>
      </c>
      <c r="M1323" s="0" t="n">
        <v>1118.59</v>
      </c>
      <c r="N1323" s="0" t="n">
        <v>49.96</v>
      </c>
      <c r="O1323" s="0" t="n">
        <v>45.74</v>
      </c>
      <c r="P1323" s="0" t="n">
        <v>3.43</v>
      </c>
      <c r="Q1323" s="0" t="n">
        <v>3.79</v>
      </c>
      <c r="R1323" s="0" t="n">
        <v>3996</v>
      </c>
      <c r="S1323" s="0" t="n">
        <v>7903</v>
      </c>
      <c r="T1323" s="0" t="n">
        <v>43.35</v>
      </c>
      <c r="U1323" s="0" t="n">
        <v>1192</v>
      </c>
      <c r="V1323" s="0" t="n">
        <v>1</v>
      </c>
      <c r="W1323" s="0" t="str">
        <f aca="false">IF(OR(AND(B1323&gt;=1,B1323&lt;=6),B1323=10),"Vaca em lactação",IF(I1323="Male","Macho",IF(E1323&gt;=1,"Vaca seca",IF(I1323="Youngstock","Bezerra/recria","Novilha"))))</f>
        <v>Vaca em lactação</v>
      </c>
      <c r="X1323" s="0" t="str">
        <f aca="false">IF(AND(B1323&gt;=1,B1323&lt;=6),"Tanque",IF(B1323=10,"Descarte",""))</f>
        <v>Tanque</v>
      </c>
    </row>
    <row r="1324" customFormat="false" ht="15" hidden="false" customHeight="false" outlineLevel="0" collapsed="false">
      <c r="A1324" s="22" t="n">
        <v>46309</v>
      </c>
      <c r="B1324" s="0" t="n">
        <v>5</v>
      </c>
      <c r="C1324" s="0" t="n">
        <v>4838</v>
      </c>
      <c r="D1324" s="0" t="n">
        <v>123</v>
      </c>
      <c r="E1324" s="0" t="n">
        <v>2</v>
      </c>
      <c r="F1324" s="23" t="s">
        <v>342</v>
      </c>
      <c r="G1324" s="0" t="n">
        <v>41.9</v>
      </c>
      <c r="H1324" s="0" t="n">
        <v>39</v>
      </c>
      <c r="I1324" s="23" t="s">
        <v>92</v>
      </c>
      <c r="J1324" s="0" t="n">
        <v>67</v>
      </c>
      <c r="K1324" s="0" t="n">
        <v>67</v>
      </c>
      <c r="L1324" s="0" t="n">
        <v>56</v>
      </c>
      <c r="M1324" s="0" t="n">
        <v>219.89</v>
      </c>
      <c r="N1324" s="0" t="n">
        <v>109.85</v>
      </c>
      <c r="O1324" s="0" t="n">
        <v>35.64</v>
      </c>
      <c r="P1324" s="0" t="n">
        <v>5.75</v>
      </c>
      <c r="Q1324" s="0" t="n">
        <v>3.72</v>
      </c>
      <c r="R1324" s="0" t="n">
        <v>4647</v>
      </c>
      <c r="S1324" s="0" t="n">
        <v>9180</v>
      </c>
      <c r="T1324" s="0" t="n">
        <v>50.05</v>
      </c>
      <c r="U1324" s="0" t="n">
        <v>1194</v>
      </c>
      <c r="V1324" s="0" t="n">
        <v>1</v>
      </c>
      <c r="W1324" s="0" t="str">
        <f aca="false">IF(OR(AND(B1324&gt;=1,B1324&lt;=6),B1324=10),"Vaca em lactação",IF(I1324="Male","Macho",IF(E1324&gt;=1,"Vaca seca",IF(I1324="Youngstock","Bezerra/recria","Novilha"))))</f>
        <v>Vaca em lactação</v>
      </c>
      <c r="X1324" s="0" t="str">
        <f aca="false">IF(AND(B1324&gt;=1,B1324&lt;=6),"Tanque",IF(B1324=10,"Descarte",""))</f>
        <v>Tanque</v>
      </c>
    </row>
    <row r="1325" customFormat="false" ht="15" hidden="false" customHeight="false" outlineLevel="0" collapsed="false">
      <c r="A1325" s="22" t="n">
        <v>46309</v>
      </c>
      <c r="B1325" s="0" t="n">
        <v>5</v>
      </c>
      <c r="C1325" s="0" t="n">
        <v>4850</v>
      </c>
      <c r="D1325" s="0" t="n">
        <v>72</v>
      </c>
      <c r="E1325" s="0" t="n">
        <v>2</v>
      </c>
      <c r="F1325" s="23" t="s">
        <v>345</v>
      </c>
      <c r="G1325" s="0" t="n">
        <v>30.5</v>
      </c>
      <c r="H1325" s="0" t="n">
        <v>29</v>
      </c>
      <c r="I1325" s="23" t="s">
        <v>97</v>
      </c>
      <c r="J1325" s="0" t="n">
        <v>72</v>
      </c>
      <c r="K1325" s="0" t="n">
        <v>65</v>
      </c>
      <c r="M1325" s="0" t="n">
        <v>1025.67</v>
      </c>
      <c r="N1325" s="0" t="n">
        <v>22.01</v>
      </c>
      <c r="O1325" s="0" t="n">
        <v>29.26</v>
      </c>
      <c r="P1325" s="0" t="n">
        <v>3.44</v>
      </c>
      <c r="Q1325" s="0" t="n">
        <v>3.58</v>
      </c>
      <c r="R1325" s="0" t="n">
        <v>2913</v>
      </c>
      <c r="S1325" s="0" t="n">
        <v>5856</v>
      </c>
      <c r="U1325" s="0" t="n">
        <v>1191</v>
      </c>
      <c r="V1325" s="0" t="n">
        <v>1</v>
      </c>
      <c r="W1325" s="0" t="str">
        <f aca="false">IF(OR(AND(B1325&gt;=1,B1325&lt;=6),B1325=10),"Vaca em lactação",IF(I1325="Male","Macho",IF(E1325&gt;=1,"Vaca seca",IF(I1325="Youngstock","Bezerra/recria","Novilha"))))</f>
        <v>Vaca em lactação</v>
      </c>
      <c r="X1325" s="0" t="str">
        <f aca="false">IF(AND(B1325&gt;=1,B1325&lt;=6),"Tanque",IF(B1325=10,"Descarte",""))</f>
        <v>Tanque</v>
      </c>
    </row>
    <row r="1326" customFormat="false" ht="15" hidden="false" customHeight="false" outlineLevel="0" collapsed="false">
      <c r="A1326" s="22" t="n">
        <v>46309</v>
      </c>
      <c r="B1326" s="0" t="n">
        <v>5</v>
      </c>
      <c r="C1326" s="0" t="n">
        <v>4910</v>
      </c>
      <c r="D1326" s="0" t="n">
        <v>161</v>
      </c>
      <c r="E1326" s="0" t="n">
        <v>2</v>
      </c>
      <c r="F1326" s="23" t="s">
        <v>349</v>
      </c>
      <c r="G1326" s="0" t="n">
        <v>48.6</v>
      </c>
      <c r="H1326" s="0" t="n">
        <v>44</v>
      </c>
      <c r="I1326" s="23" t="s">
        <v>97</v>
      </c>
      <c r="J1326" s="0" t="n">
        <v>161</v>
      </c>
      <c r="K1326" s="0" t="n">
        <v>63</v>
      </c>
      <c r="M1326" s="0" t="n">
        <v>773.04</v>
      </c>
      <c r="N1326" s="0" t="n">
        <v>37.03</v>
      </c>
      <c r="O1326" s="0" t="n">
        <v>49.97</v>
      </c>
      <c r="P1326" s="0" t="n">
        <v>3.08</v>
      </c>
      <c r="Q1326" s="0" t="n">
        <v>3.79</v>
      </c>
      <c r="R1326" s="0" t="n">
        <v>4951</v>
      </c>
      <c r="S1326" s="0" t="n">
        <v>9666</v>
      </c>
      <c r="T1326" s="0" t="n">
        <v>54.4</v>
      </c>
      <c r="U1326" s="0" t="n">
        <v>1162</v>
      </c>
      <c r="V1326" s="0" t="n">
        <v>5</v>
      </c>
      <c r="W1326" s="0" t="str">
        <f aca="false">IF(OR(AND(B1326&gt;=1,B1326&lt;=6),B1326=10),"Vaca em lactação",IF(I1326="Male","Macho",IF(E1326&gt;=1,"Vaca seca",IF(I1326="Youngstock","Bezerra/recria","Novilha"))))</f>
        <v>Vaca em lactação</v>
      </c>
      <c r="X1326" s="0" t="str">
        <f aca="false">IF(AND(B1326&gt;=1,B1326&lt;=6),"Tanque",IF(B1326=10,"Descarte",""))</f>
        <v>Tanque</v>
      </c>
    </row>
    <row r="1327" customFormat="false" ht="15" hidden="false" customHeight="false" outlineLevel="0" collapsed="false">
      <c r="A1327" s="22" t="n">
        <v>46309</v>
      </c>
      <c r="B1327" s="0" t="n">
        <v>5</v>
      </c>
      <c r="C1327" s="0" t="n">
        <v>4909</v>
      </c>
      <c r="D1327" s="0" t="n">
        <v>418</v>
      </c>
      <c r="E1327" s="0" t="n">
        <v>1</v>
      </c>
      <c r="F1327" s="23" t="s">
        <v>349</v>
      </c>
      <c r="G1327" s="0" t="n">
        <v>38.2</v>
      </c>
      <c r="H1327" s="0" t="n">
        <v>37</v>
      </c>
      <c r="I1327" s="23" t="s">
        <v>109</v>
      </c>
      <c r="J1327" s="0" t="n">
        <v>418</v>
      </c>
      <c r="K1327" s="0" t="n">
        <v>68</v>
      </c>
      <c r="M1327" s="0" t="n">
        <v>905.65</v>
      </c>
      <c r="N1327" s="0" t="n">
        <v>38.81</v>
      </c>
      <c r="O1327" s="0" t="n">
        <v>33.98</v>
      </c>
      <c r="P1327" s="0" t="n">
        <v>5.82</v>
      </c>
      <c r="Q1327" s="0" t="n">
        <v>4.38</v>
      </c>
      <c r="R1327" s="0" t="n">
        <v>4252</v>
      </c>
      <c r="S1327" s="0" t="n">
        <v>9082</v>
      </c>
      <c r="T1327" s="0" t="n">
        <v>46.45</v>
      </c>
      <c r="U1327" s="0" t="n">
        <v>1162</v>
      </c>
      <c r="V1327" s="0" t="n">
        <v>7</v>
      </c>
      <c r="W1327" s="0" t="str">
        <f aca="false">IF(OR(AND(B1327&gt;=1,B1327&lt;=6),B1327=10),"Vaca em lactação",IF(I1327="Male","Macho",IF(E1327&gt;=1,"Vaca seca",IF(I1327="Youngstock","Bezerra/recria","Novilha"))))</f>
        <v>Vaca em lactação</v>
      </c>
      <c r="X1327" s="0" t="str">
        <f aca="false">IF(AND(B1327&gt;=1,B1327&lt;=6),"Tanque",IF(B1327=10,"Descarte",""))</f>
        <v>Tanque</v>
      </c>
    </row>
    <row r="1328" customFormat="false" ht="15" hidden="false" customHeight="false" outlineLevel="0" collapsed="false">
      <c r="A1328" s="22" t="n">
        <v>46309</v>
      </c>
      <c r="B1328" s="0" t="n">
        <v>5</v>
      </c>
      <c r="C1328" s="0" t="n">
        <v>4917</v>
      </c>
      <c r="D1328" s="0" t="n">
        <v>98</v>
      </c>
      <c r="E1328" s="0" t="n">
        <v>2</v>
      </c>
      <c r="F1328" s="23" t="s">
        <v>350</v>
      </c>
      <c r="G1328" s="0" t="n">
        <v>67.9</v>
      </c>
      <c r="H1328" s="0" t="n">
        <v>63</v>
      </c>
      <c r="I1328" s="23" t="s">
        <v>97</v>
      </c>
      <c r="J1328" s="0" t="n">
        <v>98</v>
      </c>
      <c r="K1328" s="0" t="n">
        <v>77</v>
      </c>
      <c r="M1328" s="0" t="n">
        <v>1019.4</v>
      </c>
      <c r="N1328" s="0" t="n">
        <v>53.19</v>
      </c>
      <c r="O1328" s="0" t="n">
        <v>38.5</v>
      </c>
      <c r="P1328" s="0" t="n">
        <v>4.93</v>
      </c>
      <c r="Q1328" s="0" t="n">
        <v>2.92</v>
      </c>
      <c r="R1328" s="0" t="n">
        <v>6075</v>
      </c>
      <c r="S1328" s="0" t="n">
        <v>12213</v>
      </c>
      <c r="T1328" s="0" t="n">
        <v>68.8</v>
      </c>
      <c r="U1328" s="0" t="n">
        <v>1159</v>
      </c>
      <c r="V1328" s="0" t="n">
        <v>1</v>
      </c>
      <c r="W1328" s="0" t="str">
        <f aca="false">IF(OR(AND(B1328&gt;=1,B1328&lt;=6),B1328=10),"Vaca em lactação",IF(I1328="Male","Macho",IF(E1328&gt;=1,"Vaca seca",IF(I1328="Youngstock","Bezerra/recria","Novilha"))))</f>
        <v>Vaca em lactação</v>
      </c>
      <c r="X1328" s="0" t="str">
        <f aca="false">IF(AND(B1328&gt;=1,B1328&lt;=6),"Tanque",IF(B1328=10,"Descarte",""))</f>
        <v>Tanque</v>
      </c>
    </row>
    <row r="1329" customFormat="false" ht="15" hidden="false" customHeight="false" outlineLevel="0" collapsed="false">
      <c r="A1329" s="22" t="n">
        <v>46309</v>
      </c>
      <c r="B1329" s="0" t="n">
        <v>5</v>
      </c>
      <c r="C1329" s="0" t="n">
        <v>4914</v>
      </c>
      <c r="D1329" s="0" t="n">
        <v>145</v>
      </c>
      <c r="E1329" s="0" t="n">
        <v>2</v>
      </c>
      <c r="F1329" s="23" t="s">
        <v>837</v>
      </c>
      <c r="G1329" s="0" t="n">
        <v>30</v>
      </c>
      <c r="H1329" s="0" t="n">
        <v>34</v>
      </c>
      <c r="I1329" s="23" t="s">
        <v>92</v>
      </c>
      <c r="J1329" s="0" t="n">
        <v>68</v>
      </c>
      <c r="K1329" s="0" t="n">
        <v>68</v>
      </c>
      <c r="L1329" s="0" t="n">
        <v>77</v>
      </c>
      <c r="M1329" s="0" t="n">
        <v>964.62</v>
      </c>
      <c r="N1329" s="0" t="n">
        <v>62.07</v>
      </c>
      <c r="O1329" s="0" t="n">
        <v>38.84</v>
      </c>
      <c r="P1329" s="0" t="n">
        <v>4.88</v>
      </c>
      <c r="Q1329" s="0" t="n">
        <v>4.03</v>
      </c>
      <c r="R1329" s="0" t="n">
        <v>2912</v>
      </c>
      <c r="S1329" s="0" t="n">
        <v>6386</v>
      </c>
      <c r="T1329" s="0" t="n">
        <v>35.5</v>
      </c>
      <c r="U1329" s="0" t="n">
        <v>1160</v>
      </c>
      <c r="V1329" s="0" t="n">
        <v>1</v>
      </c>
      <c r="W1329" s="0" t="str">
        <f aca="false">IF(OR(AND(B1329&gt;=1,B1329&lt;=6),B1329=10),"Vaca em lactação",IF(I1329="Male","Macho",IF(E1329&gt;=1,"Vaca seca",IF(I1329="Youngstock","Bezerra/recria","Novilha"))))</f>
        <v>Vaca em lactação</v>
      </c>
      <c r="X1329" s="0" t="str">
        <f aca="false">IF(AND(B1329&gt;=1,B1329&lt;=6),"Tanque",IF(B1329=10,"Descarte",""))</f>
        <v>Tanque</v>
      </c>
    </row>
    <row r="1330" customFormat="false" ht="15" hidden="false" customHeight="false" outlineLevel="0" collapsed="false">
      <c r="A1330" s="22" t="n">
        <v>46309</v>
      </c>
      <c r="B1330" s="0" t="n">
        <v>5</v>
      </c>
      <c r="C1330" s="0" t="n">
        <v>4913</v>
      </c>
      <c r="D1330" s="0" t="n">
        <v>248</v>
      </c>
      <c r="E1330" s="0" t="n">
        <v>2</v>
      </c>
      <c r="F1330" s="23" t="s">
        <v>349</v>
      </c>
      <c r="G1330" s="0" t="n">
        <v>44.5</v>
      </c>
      <c r="H1330" s="0" t="n">
        <v>45</v>
      </c>
      <c r="I1330" s="23" t="s">
        <v>92</v>
      </c>
      <c r="J1330" s="0" t="n">
        <v>66</v>
      </c>
      <c r="K1330" s="0" t="n">
        <v>66</v>
      </c>
      <c r="L1330" s="0" t="n">
        <v>182</v>
      </c>
      <c r="M1330" s="0" t="n">
        <v>1476.88</v>
      </c>
      <c r="N1330" s="0" t="n">
        <v>39.09</v>
      </c>
      <c r="O1330" s="0" t="n">
        <v>44.1</v>
      </c>
      <c r="P1330" s="0" t="n">
        <v>4.43</v>
      </c>
      <c r="Q1330" s="0" t="n">
        <v>3.89</v>
      </c>
      <c r="R1330" s="0" t="n">
        <v>4850</v>
      </c>
      <c r="S1330" s="0" t="n">
        <v>9939</v>
      </c>
      <c r="T1330" s="0" t="n">
        <v>51.35</v>
      </c>
      <c r="U1330" s="0" t="n">
        <v>1162</v>
      </c>
      <c r="V1330" s="0" t="n">
        <v>1</v>
      </c>
      <c r="W1330" s="0" t="str">
        <f aca="false">IF(OR(AND(B1330&gt;=1,B1330&lt;=6),B1330=10),"Vaca em lactação",IF(I1330="Male","Macho",IF(E1330&gt;=1,"Vaca seca",IF(I1330="Youngstock","Bezerra/recria","Novilha"))))</f>
        <v>Vaca em lactação</v>
      </c>
      <c r="X1330" s="0" t="str">
        <f aca="false">IF(AND(B1330&gt;=1,B1330&lt;=6),"Tanque",IF(B1330=10,"Descarte",""))</f>
        <v>Tanque</v>
      </c>
    </row>
    <row r="1331" customFormat="false" ht="15" hidden="false" customHeight="false" outlineLevel="0" collapsed="false">
      <c r="A1331" s="22" t="n">
        <v>46309</v>
      </c>
      <c r="B1331" s="0" t="n">
        <v>5</v>
      </c>
      <c r="C1331" s="0" t="n">
        <v>4883</v>
      </c>
      <c r="D1331" s="0" t="n">
        <v>138</v>
      </c>
      <c r="E1331" s="0" t="n">
        <v>2</v>
      </c>
      <c r="F1331" s="23" t="s">
        <v>351</v>
      </c>
      <c r="G1331" s="0" t="n">
        <v>36.9</v>
      </c>
      <c r="H1331" s="0" t="n">
        <v>36</v>
      </c>
      <c r="I1331" s="23" t="s">
        <v>97</v>
      </c>
      <c r="J1331" s="0" t="n">
        <v>138</v>
      </c>
      <c r="K1331" s="0" t="n">
        <v>68</v>
      </c>
      <c r="M1331" s="0" t="n">
        <v>46.61</v>
      </c>
      <c r="N1331" s="0" t="n">
        <v>61.2</v>
      </c>
      <c r="O1331" s="0" t="n">
        <v>25.21</v>
      </c>
      <c r="P1331" s="0" t="n">
        <v>6.38</v>
      </c>
      <c r="Q1331" s="0" t="n">
        <v>3.73</v>
      </c>
      <c r="R1331" s="0" t="n">
        <v>4444</v>
      </c>
      <c r="S1331" s="0" t="n">
        <v>8943</v>
      </c>
      <c r="T1331" s="0" t="n">
        <v>47.25</v>
      </c>
      <c r="U1331" s="0" t="n">
        <v>1176</v>
      </c>
      <c r="V1331" s="0" t="n">
        <v>2</v>
      </c>
      <c r="W1331" s="0" t="str">
        <f aca="false">IF(OR(AND(B1331&gt;=1,B1331&lt;=6),B1331=10),"Vaca em lactação",IF(I1331="Male","Macho",IF(E1331&gt;=1,"Vaca seca",IF(I1331="Youngstock","Bezerra/recria","Novilha"))))</f>
        <v>Vaca em lactação</v>
      </c>
      <c r="X1331" s="0" t="str">
        <f aca="false">IF(AND(B1331&gt;=1,B1331&lt;=6),"Tanque",IF(B1331=10,"Descarte",""))</f>
        <v>Tanque</v>
      </c>
    </row>
    <row r="1332" customFormat="false" ht="15" hidden="false" customHeight="false" outlineLevel="0" collapsed="false">
      <c r="A1332" s="22" t="n">
        <v>46309</v>
      </c>
      <c r="B1332" s="0" t="n">
        <v>5</v>
      </c>
      <c r="C1332" s="0" t="n">
        <v>4890</v>
      </c>
      <c r="D1332" s="0" t="n">
        <v>495</v>
      </c>
      <c r="E1332" s="0" t="n">
        <v>1</v>
      </c>
      <c r="F1332" s="23" t="s">
        <v>838</v>
      </c>
      <c r="G1332" s="0" t="n">
        <v>37.4</v>
      </c>
      <c r="H1332" s="0" t="n">
        <v>35</v>
      </c>
      <c r="I1332" s="23" t="s">
        <v>92</v>
      </c>
      <c r="J1332" s="0" t="n">
        <v>273</v>
      </c>
      <c r="K1332" s="0" t="n">
        <v>61</v>
      </c>
      <c r="L1332" s="0" t="n">
        <v>222</v>
      </c>
      <c r="M1332" s="0" t="n">
        <v>589.79</v>
      </c>
      <c r="N1332" s="0" t="n">
        <v>46.33</v>
      </c>
      <c r="O1332" s="0" t="n">
        <v>24.45</v>
      </c>
      <c r="P1332" s="0" t="n">
        <v>4.76</v>
      </c>
      <c r="Q1332" s="0" t="n">
        <v>3.91</v>
      </c>
      <c r="R1332" s="0" t="n">
        <v>4921</v>
      </c>
      <c r="S1332" s="0" t="n">
        <v>10050</v>
      </c>
      <c r="T1332" s="0" t="n">
        <v>52.7</v>
      </c>
      <c r="U1332" s="0" t="n">
        <v>1173</v>
      </c>
      <c r="V1332" s="0" t="n">
        <v>5</v>
      </c>
      <c r="W1332" s="0" t="str">
        <f aca="false">IF(OR(AND(B1332&gt;=1,B1332&lt;=6),B1332=10),"Vaca em lactação",IF(I1332="Male","Macho",IF(E1332&gt;=1,"Vaca seca",IF(I1332="Youngstock","Bezerra/recria","Novilha"))))</f>
        <v>Vaca em lactação</v>
      </c>
      <c r="X1332" s="0" t="str">
        <f aca="false">IF(AND(B1332&gt;=1,B1332&lt;=6),"Tanque",IF(B1332=10,"Descarte",""))</f>
        <v>Tanque</v>
      </c>
    </row>
    <row r="1333" customFormat="false" ht="15" hidden="false" customHeight="false" outlineLevel="0" collapsed="false">
      <c r="A1333" s="22" t="n">
        <v>46309</v>
      </c>
      <c r="B1333" s="0" t="n">
        <v>5</v>
      </c>
      <c r="C1333" s="0" t="n">
        <v>4895</v>
      </c>
      <c r="D1333" s="0" t="n">
        <v>216</v>
      </c>
      <c r="E1333" s="0" t="n">
        <v>2</v>
      </c>
      <c r="F1333" s="23" t="s">
        <v>348</v>
      </c>
      <c r="G1333" s="0" t="n">
        <v>39.7</v>
      </c>
      <c r="H1333" s="0" t="n">
        <v>35</v>
      </c>
      <c r="I1333" s="23" t="s">
        <v>97</v>
      </c>
      <c r="J1333" s="0" t="n">
        <v>216</v>
      </c>
      <c r="K1333" s="0" t="n">
        <v>69</v>
      </c>
      <c r="M1333" s="0" t="n">
        <v>797.71</v>
      </c>
      <c r="N1333" s="0" t="n">
        <v>64.45</v>
      </c>
      <c r="O1333" s="0" t="n">
        <v>37.69</v>
      </c>
      <c r="P1333" s="0" t="n">
        <v>5.73</v>
      </c>
      <c r="Q1333" s="0" t="n">
        <v>4.09</v>
      </c>
      <c r="R1333" s="0" t="n">
        <v>4409</v>
      </c>
      <c r="S1333" s="0" t="n">
        <v>8774</v>
      </c>
      <c r="T1333" s="0" t="n">
        <v>48.3</v>
      </c>
      <c r="U1333" s="0" t="n">
        <v>1169</v>
      </c>
      <c r="V1333" s="0" t="n">
        <v>5</v>
      </c>
      <c r="W1333" s="0" t="str">
        <f aca="false">IF(OR(AND(B1333&gt;=1,B1333&lt;=6),B1333=10),"Vaca em lactação",IF(I1333="Male","Macho",IF(E1333&gt;=1,"Vaca seca",IF(I1333="Youngstock","Bezerra/recria","Novilha"))))</f>
        <v>Vaca em lactação</v>
      </c>
      <c r="X1333" s="0" t="str">
        <f aca="false">IF(AND(B1333&gt;=1,B1333&lt;=6),"Tanque",IF(B1333=10,"Descarte",""))</f>
        <v>Tanque</v>
      </c>
    </row>
    <row r="1334" customFormat="false" ht="15" hidden="false" customHeight="false" outlineLevel="0" collapsed="false">
      <c r="A1334" s="22" t="n">
        <v>46309</v>
      </c>
      <c r="B1334" s="0" t="n">
        <v>5</v>
      </c>
      <c r="C1334" s="0" t="n">
        <v>4260</v>
      </c>
      <c r="D1334" s="0" t="n">
        <v>382</v>
      </c>
      <c r="E1334" s="0" t="n">
        <v>2</v>
      </c>
      <c r="F1334" s="23" t="s">
        <v>361</v>
      </c>
      <c r="G1334" s="0" t="n">
        <v>25.8</v>
      </c>
      <c r="H1334" s="0" t="n">
        <v>27</v>
      </c>
      <c r="I1334" s="23" t="s">
        <v>92</v>
      </c>
      <c r="J1334" s="0" t="n">
        <v>256</v>
      </c>
      <c r="K1334" s="0" t="n">
        <v>67</v>
      </c>
      <c r="L1334" s="0" t="n">
        <v>126</v>
      </c>
      <c r="M1334" s="0" t="n">
        <v>1285.56</v>
      </c>
      <c r="N1334" s="0" t="n">
        <v>38.37</v>
      </c>
      <c r="O1334" s="0" t="n">
        <v>30.11</v>
      </c>
      <c r="P1334" s="0" t="n">
        <v>4.82</v>
      </c>
      <c r="Q1334" s="0" t="n">
        <v>3.96</v>
      </c>
      <c r="R1334" s="0" t="n">
        <v>5896</v>
      </c>
      <c r="S1334" s="0" t="n">
        <v>10981</v>
      </c>
      <c r="T1334" s="0" t="n">
        <v>65.1</v>
      </c>
      <c r="U1334" s="0" t="n">
        <v>1474</v>
      </c>
      <c r="V1334" s="0" t="n">
        <v>4</v>
      </c>
      <c r="W1334" s="0" t="str">
        <f aca="false">IF(OR(AND(B1334&gt;=1,B1334&lt;=6),B1334=10),"Vaca em lactação",IF(I1334="Male","Macho",IF(E1334&gt;=1,"Vaca seca",IF(I1334="Youngstock","Bezerra/recria","Novilha"))))</f>
        <v>Vaca em lactação</v>
      </c>
      <c r="X1334" s="0" t="str">
        <f aca="false">IF(AND(B1334&gt;=1,B1334&lt;=6),"Tanque",IF(B1334=10,"Descarte",""))</f>
        <v>Tanque</v>
      </c>
    </row>
    <row r="1335" customFormat="false" ht="15" hidden="false" customHeight="false" outlineLevel="0" collapsed="false">
      <c r="A1335" s="22" t="n">
        <v>46309</v>
      </c>
      <c r="B1335" s="0" t="n">
        <v>5</v>
      </c>
      <c r="C1335" s="0" t="n">
        <v>4279</v>
      </c>
      <c r="D1335" s="0" t="n">
        <v>70</v>
      </c>
      <c r="E1335" s="0" t="n">
        <v>3</v>
      </c>
      <c r="F1335" s="23" t="s">
        <v>354</v>
      </c>
      <c r="G1335" s="0" t="n">
        <v>38</v>
      </c>
      <c r="H1335" s="0" t="n">
        <v>38</v>
      </c>
      <c r="I1335" s="23" t="s">
        <v>109</v>
      </c>
      <c r="J1335" s="0" t="n">
        <v>70</v>
      </c>
      <c r="M1335" s="0" t="n">
        <v>450.42</v>
      </c>
      <c r="N1335" s="0" t="n">
        <v>41.81</v>
      </c>
      <c r="O1335" s="0" t="n">
        <v>26.54</v>
      </c>
      <c r="P1335" s="0" t="n">
        <v>2.94</v>
      </c>
      <c r="Q1335" s="0" t="n">
        <v>3.12</v>
      </c>
      <c r="R1335" s="0" t="n">
        <v>3940</v>
      </c>
      <c r="S1335" s="0" t="n">
        <v>7920</v>
      </c>
      <c r="U1335" s="0" t="n">
        <v>1460</v>
      </c>
      <c r="V1335" s="0" t="n">
        <v>0</v>
      </c>
      <c r="W1335" s="0" t="str">
        <f aca="false">IF(OR(AND(B1335&gt;=1,B1335&lt;=6),B1335=10),"Vaca em lactação",IF(I1335="Male","Macho",IF(E1335&gt;=1,"Vaca seca",IF(I1335="Youngstock","Bezerra/recria","Novilha"))))</f>
        <v>Vaca em lactação</v>
      </c>
      <c r="X1335" s="0" t="str">
        <f aca="false">IF(AND(B1335&gt;=1,B1335&lt;=6),"Tanque",IF(B1335=10,"Descarte",""))</f>
        <v>Tanque</v>
      </c>
    </row>
    <row r="1336" customFormat="false" ht="15" hidden="false" customHeight="false" outlineLevel="0" collapsed="false">
      <c r="A1336" s="22" t="n">
        <v>46309</v>
      </c>
      <c r="B1336" s="0" t="n">
        <v>5</v>
      </c>
      <c r="C1336" s="0" t="n">
        <v>4278</v>
      </c>
      <c r="D1336" s="0" t="n">
        <v>310</v>
      </c>
      <c r="E1336" s="0" t="n">
        <v>2</v>
      </c>
      <c r="F1336" s="23" t="s">
        <v>839</v>
      </c>
      <c r="G1336" s="0" t="n">
        <v>26.3</v>
      </c>
      <c r="H1336" s="0" t="n">
        <v>23</v>
      </c>
      <c r="I1336" s="23" t="s">
        <v>92</v>
      </c>
      <c r="J1336" s="0" t="n">
        <v>107</v>
      </c>
      <c r="K1336" s="0" t="n">
        <v>65</v>
      </c>
      <c r="L1336" s="0" t="n">
        <v>203</v>
      </c>
      <c r="M1336" s="0" t="n">
        <v>866.59</v>
      </c>
      <c r="N1336" s="0" t="n">
        <v>56.03</v>
      </c>
      <c r="O1336" s="0" t="n">
        <v>37.48</v>
      </c>
      <c r="P1336" s="0" t="n">
        <v>5.35</v>
      </c>
      <c r="Q1336" s="0" t="n">
        <v>3.64</v>
      </c>
      <c r="R1336" s="0" t="n">
        <v>6138</v>
      </c>
      <c r="S1336" s="0" t="n">
        <v>12070</v>
      </c>
      <c r="T1336" s="0" t="n">
        <v>61.25</v>
      </c>
      <c r="U1336" s="0" t="n">
        <v>1461</v>
      </c>
      <c r="V1336" s="0" t="n">
        <v>2</v>
      </c>
      <c r="W1336" s="0" t="str">
        <f aca="false">IF(OR(AND(B1336&gt;=1,B1336&lt;=6),B1336=10),"Vaca em lactação",IF(I1336="Male","Macho",IF(E1336&gt;=1,"Vaca seca",IF(I1336="Youngstock","Bezerra/recria","Novilha"))))</f>
        <v>Vaca em lactação</v>
      </c>
      <c r="X1336" s="0" t="str">
        <f aca="false">IF(AND(B1336&gt;=1,B1336&lt;=6),"Tanque",IF(B1336=10,"Descarte",""))</f>
        <v>Tanque</v>
      </c>
    </row>
    <row r="1337" customFormat="false" ht="15" hidden="false" customHeight="false" outlineLevel="0" collapsed="false">
      <c r="A1337" s="22" t="n">
        <v>46309</v>
      </c>
      <c r="B1337" s="0" t="n">
        <v>5</v>
      </c>
      <c r="C1337" s="0" t="n">
        <v>4290</v>
      </c>
      <c r="D1337" s="0" t="n">
        <v>284</v>
      </c>
      <c r="E1337" s="0" t="n">
        <v>2</v>
      </c>
      <c r="F1337" s="23" t="s">
        <v>840</v>
      </c>
      <c r="G1337" s="0" t="n">
        <v>47.7</v>
      </c>
      <c r="H1337" s="0" t="n">
        <v>39</v>
      </c>
      <c r="I1337" s="23" t="s">
        <v>92</v>
      </c>
      <c r="J1337" s="0" t="n">
        <v>130</v>
      </c>
      <c r="K1337" s="0" t="n">
        <v>74</v>
      </c>
      <c r="L1337" s="0" t="n">
        <v>154</v>
      </c>
      <c r="M1337" s="0" t="n">
        <v>482.34</v>
      </c>
      <c r="N1337" s="0" t="n">
        <v>40.82</v>
      </c>
      <c r="O1337" s="0" t="n">
        <v>25.94</v>
      </c>
      <c r="P1337" s="0" t="n">
        <v>4.61</v>
      </c>
      <c r="Q1337" s="0" t="n">
        <v>3.46</v>
      </c>
      <c r="R1337" s="0" t="n">
        <v>3730</v>
      </c>
      <c r="S1337" s="0" t="n">
        <v>8726</v>
      </c>
      <c r="T1337" s="0" t="n">
        <v>40.5</v>
      </c>
      <c r="U1337" s="0" t="n">
        <v>1456</v>
      </c>
      <c r="V1337" s="0" t="n">
        <v>2</v>
      </c>
      <c r="W1337" s="0" t="str">
        <f aca="false">IF(OR(AND(B1337&gt;=1,B1337&lt;=6),B1337=10),"Vaca em lactação",IF(I1337="Male","Macho",IF(E1337&gt;=1,"Vaca seca",IF(I1337="Youngstock","Bezerra/recria","Novilha"))))</f>
        <v>Vaca em lactação</v>
      </c>
      <c r="X1337" s="0" t="str">
        <f aca="false">IF(AND(B1337&gt;=1,B1337&lt;=6),"Tanque",IF(B1337=10,"Descarte",""))</f>
        <v>Tanque</v>
      </c>
    </row>
    <row r="1338" customFormat="false" ht="15" hidden="false" customHeight="false" outlineLevel="0" collapsed="false">
      <c r="A1338" s="22" t="n">
        <v>46309</v>
      </c>
      <c r="B1338" s="0" t="n">
        <v>5</v>
      </c>
      <c r="C1338" s="0" t="n">
        <v>4237</v>
      </c>
      <c r="D1338" s="0" t="n">
        <v>154</v>
      </c>
      <c r="E1338" s="0" t="n">
        <v>3</v>
      </c>
      <c r="F1338" s="23" t="s">
        <v>841</v>
      </c>
      <c r="G1338" s="0" t="n">
        <v>39.3</v>
      </c>
      <c r="H1338" s="0" t="n">
        <v>35</v>
      </c>
      <c r="I1338" s="23" t="s">
        <v>97</v>
      </c>
      <c r="J1338" s="0" t="n">
        <v>154</v>
      </c>
      <c r="K1338" s="0" t="n">
        <v>71</v>
      </c>
      <c r="M1338" s="0" t="n">
        <v>328.13</v>
      </c>
      <c r="N1338" s="0" t="n">
        <v>75.56</v>
      </c>
      <c r="O1338" s="0" t="n">
        <v>26.68</v>
      </c>
      <c r="P1338" s="0" t="n">
        <v>5.54</v>
      </c>
      <c r="Q1338" s="0" t="n">
        <v>3.99</v>
      </c>
      <c r="R1338" s="0" t="n">
        <v>4726</v>
      </c>
      <c r="S1338" s="0" t="n">
        <v>8931</v>
      </c>
      <c r="T1338" s="0" t="n">
        <v>50</v>
      </c>
      <c r="U1338" s="0" t="n">
        <v>1487</v>
      </c>
      <c r="V1338" s="0" t="n">
        <v>3</v>
      </c>
      <c r="W1338" s="0" t="str">
        <f aca="false">IF(OR(AND(B1338&gt;=1,B1338&lt;=6),B1338=10),"Vaca em lactação",IF(I1338="Male","Macho",IF(E1338&gt;=1,"Vaca seca",IF(I1338="Youngstock","Bezerra/recria","Novilha"))))</f>
        <v>Vaca em lactação</v>
      </c>
      <c r="X1338" s="0" t="str">
        <f aca="false">IF(AND(B1338&gt;=1,B1338&lt;=6),"Tanque",IF(B1338=10,"Descarte",""))</f>
        <v>Tanque</v>
      </c>
    </row>
    <row r="1339" customFormat="false" ht="15" hidden="false" customHeight="false" outlineLevel="0" collapsed="false">
      <c r="A1339" s="22" t="n">
        <v>46309</v>
      </c>
      <c r="B1339" s="0" t="n">
        <v>5</v>
      </c>
      <c r="C1339" s="0" t="n">
        <v>4258</v>
      </c>
      <c r="D1339" s="0" t="n">
        <v>320</v>
      </c>
      <c r="E1339" s="0" t="n">
        <v>2</v>
      </c>
      <c r="F1339" s="23" t="s">
        <v>842</v>
      </c>
      <c r="G1339" s="0" t="n">
        <v>40.9</v>
      </c>
      <c r="H1339" s="0" t="n">
        <v>39</v>
      </c>
      <c r="I1339" s="23" t="s">
        <v>92</v>
      </c>
      <c r="J1339" s="0" t="n">
        <v>131</v>
      </c>
      <c r="K1339" s="0" t="n">
        <v>68</v>
      </c>
      <c r="L1339" s="0" t="n">
        <v>189</v>
      </c>
      <c r="M1339" s="0" t="n">
        <v>500.21</v>
      </c>
      <c r="N1339" s="0" t="n">
        <v>58.15</v>
      </c>
      <c r="O1339" s="0" t="n">
        <v>33.09</v>
      </c>
      <c r="P1339" s="0" t="n">
        <v>4.49</v>
      </c>
      <c r="Q1339" s="0" t="n">
        <v>4.01</v>
      </c>
      <c r="R1339" s="0" t="n">
        <v>4241</v>
      </c>
      <c r="S1339" s="0" t="n">
        <v>9234</v>
      </c>
      <c r="T1339" s="0" t="n">
        <v>50.8</v>
      </c>
      <c r="U1339" s="0" t="n">
        <v>1475</v>
      </c>
      <c r="V1339" s="0" t="n">
        <v>3</v>
      </c>
      <c r="W1339" s="0" t="str">
        <f aca="false">IF(OR(AND(B1339&gt;=1,B1339&lt;=6),B1339=10),"Vaca em lactação",IF(I1339="Male","Macho",IF(E1339&gt;=1,"Vaca seca",IF(I1339="Youngstock","Bezerra/recria","Novilha"))))</f>
        <v>Vaca em lactação</v>
      </c>
      <c r="X1339" s="0" t="str">
        <f aca="false">IF(AND(B1339&gt;=1,B1339&lt;=6),"Tanque",IF(B1339=10,"Descarte",""))</f>
        <v>Tanque</v>
      </c>
    </row>
    <row r="1340" customFormat="false" ht="15" hidden="false" customHeight="false" outlineLevel="0" collapsed="false">
      <c r="A1340" s="22" t="n">
        <v>46309</v>
      </c>
      <c r="B1340" s="0" t="n">
        <v>5</v>
      </c>
      <c r="C1340" s="0" t="n">
        <v>4251</v>
      </c>
      <c r="D1340" s="0" t="n">
        <v>212</v>
      </c>
      <c r="E1340" s="0" t="n">
        <v>2</v>
      </c>
      <c r="F1340" s="23" t="s">
        <v>362</v>
      </c>
      <c r="G1340" s="0" t="n">
        <v>38.9</v>
      </c>
      <c r="H1340" s="0" t="n">
        <v>41</v>
      </c>
      <c r="I1340" s="23" t="s">
        <v>92</v>
      </c>
      <c r="J1340" s="0" t="n">
        <v>107</v>
      </c>
      <c r="K1340" s="0" t="n">
        <v>65</v>
      </c>
      <c r="L1340" s="0" t="n">
        <v>105</v>
      </c>
      <c r="M1340" s="0" t="n">
        <v>477.27</v>
      </c>
      <c r="N1340" s="0" t="n">
        <v>44.18</v>
      </c>
      <c r="O1340" s="0" t="n">
        <v>27.29</v>
      </c>
      <c r="P1340" s="0" t="n">
        <v>4.24</v>
      </c>
      <c r="Q1340" s="0" t="n">
        <v>4.12</v>
      </c>
      <c r="R1340" s="0" t="n">
        <v>4542</v>
      </c>
      <c r="S1340" s="0" t="n">
        <v>9115</v>
      </c>
      <c r="T1340" s="0" t="n">
        <v>51.55</v>
      </c>
      <c r="U1340" s="0" t="n">
        <v>1476</v>
      </c>
      <c r="V1340" s="0" t="n">
        <v>2</v>
      </c>
      <c r="W1340" s="0" t="str">
        <f aca="false">IF(OR(AND(B1340&gt;=1,B1340&lt;=6),B1340=10),"Vaca em lactação",IF(I1340="Male","Macho",IF(E1340&gt;=1,"Vaca seca",IF(I1340="Youngstock","Bezerra/recria","Novilha"))))</f>
        <v>Vaca em lactação</v>
      </c>
      <c r="X1340" s="0" t="str">
        <f aca="false">IF(AND(B1340&gt;=1,B1340&lt;=6),"Tanque",IF(B1340=10,"Descarte",""))</f>
        <v>Tanque</v>
      </c>
    </row>
    <row r="1341" customFormat="false" ht="15" hidden="false" customHeight="false" outlineLevel="0" collapsed="false">
      <c r="A1341" s="22" t="n">
        <v>46309</v>
      </c>
      <c r="B1341" s="0" t="n">
        <v>5</v>
      </c>
      <c r="C1341" s="0" t="n">
        <v>4329</v>
      </c>
      <c r="D1341" s="0" t="n">
        <v>278</v>
      </c>
      <c r="E1341" s="0" t="n">
        <v>2</v>
      </c>
      <c r="F1341" s="23" t="s">
        <v>510</v>
      </c>
      <c r="G1341" s="0" t="n">
        <v>19.7</v>
      </c>
      <c r="H1341" s="0" t="n">
        <v>26</v>
      </c>
      <c r="I1341" s="23" t="s">
        <v>92</v>
      </c>
      <c r="J1341" s="0" t="n">
        <v>68</v>
      </c>
      <c r="K1341" s="0" t="n">
        <v>68</v>
      </c>
      <c r="L1341" s="0" t="n">
        <v>210</v>
      </c>
      <c r="M1341" s="0" t="n">
        <v>897.56</v>
      </c>
      <c r="N1341" s="0" t="n">
        <v>21.76</v>
      </c>
      <c r="O1341" s="0" t="n">
        <v>21.43</v>
      </c>
      <c r="P1341" s="0" t="n">
        <v>4.62</v>
      </c>
      <c r="Q1341" s="0" t="n">
        <v>3.62</v>
      </c>
      <c r="R1341" s="0" t="n">
        <v>5401</v>
      </c>
      <c r="S1341" s="0" t="n">
        <v>10781</v>
      </c>
      <c r="T1341" s="0" t="n">
        <v>59.35</v>
      </c>
      <c r="U1341" s="0" t="n">
        <v>1432</v>
      </c>
      <c r="V1341" s="0" t="n">
        <v>1</v>
      </c>
      <c r="W1341" s="0" t="str">
        <f aca="false">IF(OR(AND(B1341&gt;=1,B1341&lt;=6),B1341=10),"Vaca em lactação",IF(I1341="Male","Macho",IF(E1341&gt;=1,"Vaca seca",IF(I1341="Youngstock","Bezerra/recria","Novilha"))))</f>
        <v>Vaca em lactação</v>
      </c>
      <c r="X1341" s="0" t="str">
        <f aca="false">IF(AND(B1341&gt;=1,B1341&lt;=6),"Tanque",IF(B1341=10,"Descarte",""))</f>
        <v>Tanque</v>
      </c>
    </row>
    <row r="1342" customFormat="false" ht="15" hidden="false" customHeight="false" outlineLevel="0" collapsed="false">
      <c r="A1342" s="22" t="n">
        <v>46309</v>
      </c>
      <c r="B1342" s="0" t="n">
        <v>5</v>
      </c>
      <c r="C1342" s="0" t="n">
        <v>4328</v>
      </c>
      <c r="D1342" s="0" t="n">
        <v>221</v>
      </c>
      <c r="E1342" s="0" t="n">
        <v>2</v>
      </c>
      <c r="F1342" s="23" t="s">
        <v>370</v>
      </c>
      <c r="G1342" s="0" t="n">
        <v>42.4</v>
      </c>
      <c r="H1342" s="0" t="n">
        <v>38</v>
      </c>
      <c r="I1342" s="23" t="s">
        <v>97</v>
      </c>
      <c r="J1342" s="0" t="n">
        <v>221</v>
      </c>
      <c r="K1342" s="0" t="n">
        <v>67</v>
      </c>
      <c r="M1342" s="0" t="n">
        <v>727.59</v>
      </c>
      <c r="N1342" s="0" t="n">
        <v>26.53</v>
      </c>
      <c r="O1342" s="0" t="n">
        <v>19.72</v>
      </c>
      <c r="P1342" s="0" t="n">
        <v>4.27</v>
      </c>
      <c r="Q1342" s="0" t="n">
        <v>3.69</v>
      </c>
      <c r="R1342" s="0" t="n">
        <v>4127</v>
      </c>
      <c r="S1342" s="0" t="n">
        <v>8776</v>
      </c>
      <c r="T1342" s="0" t="n">
        <v>43.25</v>
      </c>
      <c r="U1342" s="0" t="n">
        <v>1433</v>
      </c>
      <c r="V1342" s="0" t="n">
        <v>6</v>
      </c>
      <c r="W1342" s="0" t="str">
        <f aca="false">IF(OR(AND(B1342&gt;=1,B1342&lt;=6),B1342=10),"Vaca em lactação",IF(I1342="Male","Macho",IF(E1342&gt;=1,"Vaca seca",IF(I1342="Youngstock","Bezerra/recria","Novilha"))))</f>
        <v>Vaca em lactação</v>
      </c>
      <c r="X1342" s="0" t="str">
        <f aca="false">IF(AND(B1342&gt;=1,B1342&lt;=6),"Tanque",IF(B1342=10,"Descarte",""))</f>
        <v>Tanque</v>
      </c>
    </row>
    <row r="1343" customFormat="false" ht="15" hidden="false" customHeight="false" outlineLevel="0" collapsed="false">
      <c r="A1343" s="22" t="n">
        <v>46309</v>
      </c>
      <c r="B1343" s="0" t="n">
        <v>5</v>
      </c>
      <c r="C1343" s="0" t="n">
        <v>4340</v>
      </c>
      <c r="D1343" s="0" t="n">
        <v>225</v>
      </c>
      <c r="E1343" s="0" t="n">
        <v>2</v>
      </c>
      <c r="F1343" s="23" t="s">
        <v>363</v>
      </c>
      <c r="G1343" s="0" t="n">
        <v>37.7</v>
      </c>
      <c r="H1343" s="0" t="n">
        <v>35</v>
      </c>
      <c r="I1343" s="23" t="s">
        <v>92</v>
      </c>
      <c r="J1343" s="0" t="n">
        <v>96</v>
      </c>
      <c r="K1343" s="0" t="n">
        <v>71</v>
      </c>
      <c r="L1343" s="0" t="n">
        <v>129</v>
      </c>
      <c r="M1343" s="0" t="n">
        <v>536.42</v>
      </c>
      <c r="N1343" s="0" t="n">
        <v>29.14</v>
      </c>
      <c r="O1343" s="0" t="n">
        <v>16.57</v>
      </c>
      <c r="P1343" s="0" t="n">
        <v>5.63</v>
      </c>
      <c r="Q1343" s="0" t="n">
        <v>4.09</v>
      </c>
      <c r="R1343" s="0" t="n">
        <v>4565</v>
      </c>
      <c r="S1343" s="0" t="n">
        <v>8153</v>
      </c>
      <c r="T1343" s="0" t="n">
        <v>51</v>
      </c>
      <c r="U1343" s="0" t="n">
        <v>1429</v>
      </c>
      <c r="V1343" s="0" t="n">
        <v>2</v>
      </c>
      <c r="W1343" s="0" t="str">
        <f aca="false">IF(OR(AND(B1343&gt;=1,B1343&lt;=6),B1343=10),"Vaca em lactação",IF(I1343="Male","Macho",IF(E1343&gt;=1,"Vaca seca",IF(I1343="Youngstock","Bezerra/recria","Novilha"))))</f>
        <v>Vaca em lactação</v>
      </c>
      <c r="X1343" s="0" t="str">
        <f aca="false">IF(AND(B1343&gt;=1,B1343&lt;=6),"Tanque",IF(B1343=10,"Descarte",""))</f>
        <v>Tanque</v>
      </c>
    </row>
    <row r="1344" customFormat="false" ht="15" hidden="false" customHeight="false" outlineLevel="0" collapsed="false">
      <c r="A1344" s="22" t="n">
        <v>46309</v>
      </c>
      <c r="B1344" s="0" t="n">
        <v>5</v>
      </c>
      <c r="C1344" s="0" t="n">
        <v>4339</v>
      </c>
      <c r="D1344" s="0" t="n">
        <v>364</v>
      </c>
      <c r="E1344" s="0" t="n">
        <v>2</v>
      </c>
      <c r="F1344" s="23" t="s">
        <v>363</v>
      </c>
      <c r="H1344" s="0" t="n">
        <v>23</v>
      </c>
      <c r="I1344" s="23" t="s">
        <v>92</v>
      </c>
      <c r="J1344" s="0" t="n">
        <v>168</v>
      </c>
      <c r="K1344" s="0" t="n">
        <v>64</v>
      </c>
      <c r="L1344" s="0" t="n">
        <v>196</v>
      </c>
      <c r="M1344" s="0" t="n">
        <v>1315.07</v>
      </c>
      <c r="N1344" s="0" t="n">
        <v>74.04</v>
      </c>
      <c r="O1344" s="0" t="n">
        <v>46.46</v>
      </c>
      <c r="P1344" s="0" t="n">
        <v>4.79</v>
      </c>
      <c r="Q1344" s="0" t="n">
        <v>3.98</v>
      </c>
      <c r="R1344" s="0" t="n">
        <v>3179</v>
      </c>
      <c r="S1344" s="0" t="n">
        <v>7049</v>
      </c>
      <c r="T1344" s="0" t="n">
        <v>36.45</v>
      </c>
      <c r="U1344" s="0" t="n">
        <v>1429</v>
      </c>
      <c r="V1344" s="0" t="n">
        <v>4</v>
      </c>
      <c r="W1344" s="0" t="str">
        <f aca="false">IF(OR(AND(B1344&gt;=1,B1344&lt;=6),B1344=10),"Vaca em lactação",IF(I1344="Male","Macho",IF(E1344&gt;=1,"Vaca seca",IF(I1344="Youngstock","Bezerra/recria","Novilha"))))</f>
        <v>Vaca em lactação</v>
      </c>
      <c r="X1344" s="0" t="str">
        <f aca="false">IF(AND(B1344&gt;=1,B1344&lt;=6),"Tanque",IF(B1344=10,"Descarte",""))</f>
        <v>Tanque</v>
      </c>
    </row>
    <row r="1345" customFormat="false" ht="15" hidden="false" customHeight="false" outlineLevel="0" collapsed="false">
      <c r="A1345" s="22" t="n">
        <v>46309</v>
      </c>
      <c r="B1345" s="0" t="n">
        <v>5</v>
      </c>
      <c r="C1345" s="0" t="n">
        <v>4356</v>
      </c>
      <c r="D1345" s="0" t="n">
        <v>432</v>
      </c>
      <c r="E1345" s="0" t="n">
        <v>2</v>
      </c>
      <c r="F1345" s="23" t="s">
        <v>364</v>
      </c>
      <c r="G1345" s="0" t="n">
        <v>41</v>
      </c>
      <c r="H1345" s="0" t="n">
        <v>38</v>
      </c>
      <c r="I1345" s="23" t="s">
        <v>92</v>
      </c>
      <c r="J1345" s="0" t="n">
        <v>313</v>
      </c>
      <c r="K1345" s="0" t="n">
        <v>61</v>
      </c>
      <c r="L1345" s="0" t="n">
        <v>119</v>
      </c>
      <c r="M1345" s="0" t="n">
        <v>958.56</v>
      </c>
      <c r="N1345" s="0" t="n">
        <v>58.41</v>
      </c>
      <c r="O1345" s="0" t="n">
        <v>34.6</v>
      </c>
      <c r="P1345" s="0" t="n">
        <v>4.3</v>
      </c>
      <c r="Q1345" s="0" t="n">
        <v>4.08</v>
      </c>
      <c r="R1345" s="0" t="n">
        <v>5748</v>
      </c>
      <c r="S1345" s="0" t="n">
        <v>11742</v>
      </c>
      <c r="T1345" s="0" t="n">
        <v>61.65</v>
      </c>
      <c r="U1345" s="0" t="n">
        <v>1417</v>
      </c>
      <c r="V1345" s="0" t="n">
        <v>6</v>
      </c>
      <c r="W1345" s="0" t="str">
        <f aca="false">IF(OR(AND(B1345&gt;=1,B1345&lt;=6),B1345=10),"Vaca em lactação",IF(I1345="Male","Macho",IF(E1345&gt;=1,"Vaca seca",IF(I1345="Youngstock","Bezerra/recria","Novilha"))))</f>
        <v>Vaca em lactação</v>
      </c>
      <c r="X1345" s="0" t="str">
        <f aca="false">IF(AND(B1345&gt;=1,B1345&lt;=6),"Tanque",IF(B1345=10,"Descarte",""))</f>
        <v>Tanque</v>
      </c>
    </row>
    <row r="1346" customFormat="false" ht="15" hidden="false" customHeight="false" outlineLevel="0" collapsed="false">
      <c r="A1346" s="22" t="n">
        <v>46309</v>
      </c>
      <c r="B1346" s="0" t="n">
        <v>5</v>
      </c>
      <c r="C1346" s="0" t="n">
        <v>4353</v>
      </c>
      <c r="D1346" s="0" t="n">
        <v>190</v>
      </c>
      <c r="E1346" s="0" t="n">
        <v>2</v>
      </c>
      <c r="F1346" s="23" t="s">
        <v>843</v>
      </c>
      <c r="G1346" s="0" t="n">
        <v>38.5</v>
      </c>
      <c r="H1346" s="0" t="n">
        <v>43</v>
      </c>
      <c r="I1346" s="23" t="s">
        <v>92</v>
      </c>
      <c r="J1346" s="0" t="n">
        <v>134</v>
      </c>
      <c r="K1346" s="0" t="n">
        <v>64</v>
      </c>
      <c r="L1346" s="0" t="n">
        <v>56</v>
      </c>
      <c r="M1346" s="0" t="n">
        <v>664.21</v>
      </c>
      <c r="N1346" s="0" t="n">
        <v>47.82</v>
      </c>
      <c r="O1346" s="0" t="n">
        <v>30.95</v>
      </c>
      <c r="P1346" s="0" t="n">
        <v>4.05</v>
      </c>
      <c r="Q1346" s="0" t="n">
        <v>3.28</v>
      </c>
      <c r="R1346" s="0" t="n">
        <v>5082</v>
      </c>
      <c r="S1346" s="0" t="n">
        <v>9933</v>
      </c>
      <c r="T1346" s="0" t="n">
        <v>57.6</v>
      </c>
      <c r="U1346" s="0" t="n">
        <v>1418</v>
      </c>
      <c r="V1346" s="0" t="n">
        <v>2</v>
      </c>
      <c r="W1346" s="0" t="str">
        <f aca="false">IF(OR(AND(B1346&gt;=1,B1346&lt;=6),B1346=10),"Vaca em lactação",IF(I1346="Male","Macho",IF(E1346&gt;=1,"Vaca seca",IF(I1346="Youngstock","Bezerra/recria","Novilha"))))</f>
        <v>Vaca em lactação</v>
      </c>
      <c r="X1346" s="0" t="str">
        <f aca="false">IF(AND(B1346&gt;=1,B1346&lt;=6),"Tanque",IF(B1346=10,"Descarte",""))</f>
        <v>Tanque</v>
      </c>
    </row>
    <row r="1347" customFormat="false" ht="15" hidden="false" customHeight="false" outlineLevel="0" collapsed="false">
      <c r="A1347" s="22" t="n">
        <v>46309</v>
      </c>
      <c r="B1347" s="0" t="n">
        <v>5</v>
      </c>
      <c r="C1347" s="0" t="n">
        <v>4351</v>
      </c>
      <c r="D1347" s="0" t="n">
        <v>57</v>
      </c>
      <c r="E1347" s="0" t="n">
        <v>3</v>
      </c>
      <c r="F1347" s="23" t="s">
        <v>844</v>
      </c>
      <c r="G1347" s="0" t="n">
        <v>36.1</v>
      </c>
      <c r="H1347" s="0" t="n">
        <v>36</v>
      </c>
      <c r="I1347" s="23" t="s">
        <v>94</v>
      </c>
      <c r="J1347" s="0" t="n">
        <v>57</v>
      </c>
      <c r="M1347" s="0" t="n">
        <v>765.85</v>
      </c>
      <c r="N1347" s="0" t="n">
        <v>68.24</v>
      </c>
      <c r="O1347" s="0" t="n">
        <v>41.31</v>
      </c>
      <c r="P1347" s="0" t="n">
        <v>4.15</v>
      </c>
      <c r="Q1347" s="0" t="n">
        <v>3.48</v>
      </c>
      <c r="R1347" s="0" t="n">
        <v>3918</v>
      </c>
      <c r="S1347" s="0" t="n">
        <v>7876</v>
      </c>
      <c r="U1347" s="0" t="n">
        <v>1424</v>
      </c>
      <c r="V1347" s="0" t="n">
        <v>0</v>
      </c>
      <c r="W1347" s="0" t="str">
        <f aca="false">IF(OR(AND(B1347&gt;=1,B1347&lt;=6),B1347=10),"Vaca em lactação",IF(I1347="Male","Macho",IF(E1347&gt;=1,"Vaca seca",IF(I1347="Youngstock","Bezerra/recria","Novilha"))))</f>
        <v>Vaca em lactação</v>
      </c>
      <c r="X1347" s="0" t="str">
        <f aca="false">IF(AND(B1347&gt;=1,B1347&lt;=6),"Tanque",IF(B1347=10,"Descarte",""))</f>
        <v>Tanque</v>
      </c>
    </row>
    <row r="1348" customFormat="false" ht="15" hidden="false" customHeight="false" outlineLevel="0" collapsed="false">
      <c r="A1348" s="22" t="n">
        <v>46309</v>
      </c>
      <c r="B1348" s="0" t="n">
        <v>5</v>
      </c>
      <c r="C1348" s="0" t="n">
        <v>4298</v>
      </c>
      <c r="D1348" s="0" t="n">
        <v>307</v>
      </c>
      <c r="E1348" s="0" t="n">
        <v>2</v>
      </c>
      <c r="F1348" s="23" t="s">
        <v>367</v>
      </c>
      <c r="G1348" s="0" t="n">
        <v>37.5</v>
      </c>
      <c r="H1348" s="0" t="n">
        <v>31</v>
      </c>
      <c r="I1348" s="23" t="s">
        <v>92</v>
      </c>
      <c r="J1348" s="0" t="n">
        <v>90</v>
      </c>
      <c r="K1348" s="0" t="n">
        <v>97</v>
      </c>
      <c r="L1348" s="0" t="n">
        <v>217</v>
      </c>
      <c r="M1348" s="0" t="n">
        <v>468.83</v>
      </c>
      <c r="N1348" s="0" t="n">
        <v>71.63</v>
      </c>
      <c r="O1348" s="0" t="n">
        <v>26.56</v>
      </c>
      <c r="P1348" s="0" t="n">
        <v>6.15</v>
      </c>
      <c r="Q1348" s="0" t="n">
        <v>4.47</v>
      </c>
      <c r="R1348" s="0" t="n">
        <v>5827</v>
      </c>
      <c r="S1348" s="0" t="n">
        <v>11077</v>
      </c>
      <c r="T1348" s="0" t="n">
        <v>65.2</v>
      </c>
      <c r="U1348" s="0" t="n">
        <v>1449</v>
      </c>
      <c r="V1348" s="0" t="n">
        <v>1</v>
      </c>
      <c r="W1348" s="0" t="str">
        <f aca="false">IF(OR(AND(B1348&gt;=1,B1348&lt;=6),B1348=10),"Vaca em lactação",IF(I1348="Male","Macho",IF(E1348&gt;=1,"Vaca seca",IF(I1348="Youngstock","Bezerra/recria","Novilha"))))</f>
        <v>Vaca em lactação</v>
      </c>
      <c r="X1348" s="0" t="str">
        <f aca="false">IF(AND(B1348&gt;=1,B1348&lt;=6),"Tanque",IF(B1348=10,"Descarte",""))</f>
        <v>Tanque</v>
      </c>
    </row>
    <row r="1349" customFormat="false" ht="15" hidden="false" customHeight="false" outlineLevel="0" collapsed="false">
      <c r="A1349" s="22" t="n">
        <v>46309</v>
      </c>
      <c r="B1349" s="0" t="n">
        <v>5</v>
      </c>
      <c r="C1349" s="0" t="n">
        <v>4309</v>
      </c>
      <c r="D1349" s="0" t="n">
        <v>418</v>
      </c>
      <c r="E1349" s="0" t="n">
        <v>2</v>
      </c>
      <c r="F1349" s="23" t="s">
        <v>511</v>
      </c>
      <c r="G1349" s="0" t="n">
        <v>43.3</v>
      </c>
      <c r="H1349" s="0" t="n">
        <v>37</v>
      </c>
      <c r="I1349" s="23" t="s">
        <v>92</v>
      </c>
      <c r="J1349" s="0" t="n">
        <v>236</v>
      </c>
      <c r="K1349" s="0" t="n">
        <v>68</v>
      </c>
      <c r="L1349" s="0" t="n">
        <v>182</v>
      </c>
      <c r="M1349" s="0" t="n">
        <v>641.37</v>
      </c>
      <c r="N1349" s="0" t="n">
        <v>61.98</v>
      </c>
      <c r="O1349" s="0" t="n">
        <v>35.1</v>
      </c>
      <c r="P1349" s="0" t="n">
        <v>5.52</v>
      </c>
      <c r="Q1349" s="0" t="n">
        <v>3.89</v>
      </c>
      <c r="R1349" s="0" t="n">
        <v>5238</v>
      </c>
      <c r="S1349" s="0" t="n">
        <v>11297</v>
      </c>
      <c r="T1349" s="0" t="n">
        <v>61.85</v>
      </c>
      <c r="U1349" s="0" t="n">
        <v>1443</v>
      </c>
      <c r="V1349" s="0" t="n">
        <v>6</v>
      </c>
      <c r="W1349" s="0" t="str">
        <f aca="false">IF(OR(AND(B1349&gt;=1,B1349&lt;=6),B1349=10),"Vaca em lactação",IF(I1349="Male","Macho",IF(E1349&gt;=1,"Vaca seca",IF(I1349="Youngstock","Bezerra/recria","Novilha"))))</f>
        <v>Vaca em lactação</v>
      </c>
      <c r="X1349" s="0" t="str">
        <f aca="false">IF(AND(B1349&gt;=1,B1349&lt;=6),"Tanque",IF(B1349=10,"Descarte",""))</f>
        <v>Tanque</v>
      </c>
    </row>
    <row r="1350" customFormat="false" ht="15" hidden="false" customHeight="false" outlineLevel="0" collapsed="false">
      <c r="A1350" s="22" t="n">
        <v>46309</v>
      </c>
      <c r="B1350" s="0" t="n">
        <v>5</v>
      </c>
      <c r="C1350" s="0" t="n">
        <v>4307</v>
      </c>
      <c r="D1350" s="0" t="n">
        <v>174</v>
      </c>
      <c r="E1350" s="0" t="n">
        <v>2</v>
      </c>
      <c r="F1350" s="23" t="s">
        <v>368</v>
      </c>
      <c r="G1350" s="0" t="n">
        <v>32.9</v>
      </c>
      <c r="H1350" s="0" t="n">
        <v>31</v>
      </c>
      <c r="I1350" s="23" t="s">
        <v>92</v>
      </c>
      <c r="J1350" s="0" t="n">
        <v>62</v>
      </c>
      <c r="K1350" s="0" t="n">
        <v>62</v>
      </c>
      <c r="L1350" s="0" t="n">
        <v>112</v>
      </c>
      <c r="M1350" s="0" t="n">
        <v>919.71</v>
      </c>
      <c r="N1350" s="0" t="n">
        <v>62.85</v>
      </c>
      <c r="O1350" s="0" t="n">
        <v>43.49</v>
      </c>
      <c r="P1350" s="0" t="n">
        <v>3.43</v>
      </c>
      <c r="Q1350" s="0" t="n">
        <v>3.74</v>
      </c>
      <c r="R1350" s="0" t="n">
        <v>5728</v>
      </c>
      <c r="S1350" s="0" t="n">
        <v>10929</v>
      </c>
      <c r="T1350" s="0" t="n">
        <v>62.05</v>
      </c>
      <c r="U1350" s="0" t="n">
        <v>1444</v>
      </c>
      <c r="V1350" s="0" t="n">
        <v>1</v>
      </c>
      <c r="W1350" s="0" t="str">
        <f aca="false">IF(OR(AND(B1350&gt;=1,B1350&lt;=6),B1350=10),"Vaca em lactação",IF(I1350="Male","Macho",IF(E1350&gt;=1,"Vaca seca",IF(I1350="Youngstock","Bezerra/recria","Novilha"))))</f>
        <v>Vaca em lactação</v>
      </c>
      <c r="X1350" s="0" t="str">
        <f aca="false">IF(AND(B1350&gt;=1,B1350&lt;=6),"Tanque",IF(B1350=10,"Descarte",""))</f>
        <v>Tanque</v>
      </c>
    </row>
    <row r="1351" customFormat="false" ht="15" hidden="false" customHeight="false" outlineLevel="0" collapsed="false">
      <c r="A1351" s="22" t="n">
        <v>46309</v>
      </c>
      <c r="B1351" s="0" t="n">
        <v>5</v>
      </c>
      <c r="C1351" s="0" t="n">
        <v>4306</v>
      </c>
      <c r="D1351" s="0" t="n">
        <v>403</v>
      </c>
      <c r="E1351" s="0" t="n">
        <v>2</v>
      </c>
      <c r="F1351" s="23" t="s">
        <v>845</v>
      </c>
      <c r="G1351" s="0" t="n">
        <v>37.7</v>
      </c>
      <c r="H1351" s="0" t="n">
        <v>35</v>
      </c>
      <c r="I1351" s="23" t="s">
        <v>92</v>
      </c>
      <c r="J1351" s="0" t="n">
        <v>277</v>
      </c>
      <c r="K1351" s="0" t="n">
        <v>67</v>
      </c>
      <c r="L1351" s="0" t="n">
        <v>126</v>
      </c>
      <c r="M1351" s="0" t="n">
        <v>768.7</v>
      </c>
      <c r="N1351" s="0" t="n">
        <v>59.88</v>
      </c>
      <c r="O1351" s="0" t="n">
        <v>29.63</v>
      </c>
      <c r="P1351" s="0" t="n">
        <v>4.8</v>
      </c>
      <c r="Q1351" s="0" t="n">
        <v>3.91</v>
      </c>
      <c r="R1351" s="0" t="n">
        <v>5419</v>
      </c>
      <c r="S1351" s="0" t="n">
        <v>11074</v>
      </c>
      <c r="T1351" s="0" t="n">
        <v>59.7</v>
      </c>
      <c r="U1351" s="0" t="n">
        <v>1445</v>
      </c>
      <c r="V1351" s="0" t="n">
        <v>7</v>
      </c>
      <c r="W1351" s="0" t="str">
        <f aca="false">IF(OR(AND(B1351&gt;=1,B1351&lt;=6),B1351=10),"Vaca em lactação",IF(I1351="Male","Macho",IF(E1351&gt;=1,"Vaca seca",IF(I1351="Youngstock","Bezerra/recria","Novilha"))))</f>
        <v>Vaca em lactação</v>
      </c>
      <c r="X1351" s="0" t="str">
        <f aca="false">IF(AND(B1351&gt;=1,B1351&lt;=6),"Tanque",IF(B1351=10,"Descarte",""))</f>
        <v>Tanque</v>
      </c>
    </row>
    <row r="1352" customFormat="false" ht="15" hidden="false" customHeight="false" outlineLevel="0" collapsed="false">
      <c r="A1352" s="22" t="n">
        <v>46309</v>
      </c>
      <c r="B1352" s="0" t="n">
        <v>5</v>
      </c>
      <c r="C1352" s="0" t="n">
        <v>4304</v>
      </c>
      <c r="D1352" s="0" t="n">
        <v>316</v>
      </c>
      <c r="E1352" s="0" t="n">
        <v>2</v>
      </c>
      <c r="F1352" s="23" t="s">
        <v>846</v>
      </c>
      <c r="G1352" s="0" t="n">
        <v>44.7</v>
      </c>
      <c r="H1352" s="0" t="n">
        <v>41</v>
      </c>
      <c r="I1352" s="23" t="s">
        <v>92</v>
      </c>
      <c r="J1352" s="0" t="n">
        <v>141</v>
      </c>
      <c r="K1352" s="0" t="n">
        <v>64</v>
      </c>
      <c r="L1352" s="0" t="n">
        <v>175</v>
      </c>
      <c r="M1352" s="0" t="n">
        <v>927.5</v>
      </c>
      <c r="N1352" s="0" t="n">
        <v>73.52</v>
      </c>
      <c r="O1352" s="0" t="n">
        <v>39.77</v>
      </c>
      <c r="P1352" s="0" t="n">
        <v>4.63</v>
      </c>
      <c r="Q1352" s="0" t="n">
        <v>3.69</v>
      </c>
      <c r="R1352" s="0" t="n">
        <v>6188</v>
      </c>
      <c r="S1352" s="0" t="n">
        <v>12341</v>
      </c>
      <c r="T1352" s="0" t="n">
        <v>66.8</v>
      </c>
      <c r="U1352" s="0" t="n">
        <v>1446</v>
      </c>
      <c r="V1352" s="0" t="n">
        <v>3</v>
      </c>
      <c r="W1352" s="0" t="str">
        <f aca="false">IF(OR(AND(B1352&gt;=1,B1352&lt;=6),B1352=10),"Vaca em lactação",IF(I1352="Male","Macho",IF(E1352&gt;=1,"Vaca seca",IF(I1352="Youngstock","Bezerra/recria","Novilha"))))</f>
        <v>Vaca em lactação</v>
      </c>
      <c r="X1352" s="0" t="str">
        <f aca="false">IF(AND(B1352&gt;=1,B1352&lt;=6),"Tanque",IF(B1352=10,"Descarte",""))</f>
        <v>Tanque</v>
      </c>
    </row>
    <row r="1353" customFormat="false" ht="15" hidden="false" customHeight="false" outlineLevel="0" collapsed="false">
      <c r="A1353" s="22" t="n">
        <v>46309</v>
      </c>
      <c r="B1353" s="0" t="n">
        <v>5</v>
      </c>
      <c r="C1353" s="0" t="n">
        <v>4319</v>
      </c>
      <c r="D1353" s="0" t="n">
        <v>313</v>
      </c>
      <c r="E1353" s="0" t="n">
        <v>2</v>
      </c>
      <c r="F1353" s="23" t="s">
        <v>369</v>
      </c>
      <c r="G1353" s="0" t="n">
        <v>45</v>
      </c>
      <c r="H1353" s="0" t="n">
        <v>41</v>
      </c>
      <c r="I1353" s="23" t="s">
        <v>92</v>
      </c>
      <c r="J1353" s="0" t="n">
        <v>124</v>
      </c>
      <c r="K1353" s="0" t="n">
        <v>75</v>
      </c>
      <c r="L1353" s="0" t="n">
        <v>189</v>
      </c>
      <c r="M1353" s="0" t="n">
        <v>114.68</v>
      </c>
      <c r="N1353" s="0" t="n">
        <v>58.86</v>
      </c>
      <c r="O1353" s="0" t="n">
        <v>25.92</v>
      </c>
      <c r="P1353" s="0" t="n">
        <v>5.42</v>
      </c>
      <c r="Q1353" s="0" t="n">
        <v>3.85</v>
      </c>
      <c r="R1353" s="0" t="n">
        <v>5492</v>
      </c>
      <c r="S1353" s="0" t="n">
        <v>10533</v>
      </c>
      <c r="T1353" s="0" t="n">
        <v>57.75</v>
      </c>
      <c r="U1353" s="0" t="n">
        <v>1436</v>
      </c>
      <c r="V1353" s="0" t="n">
        <v>2</v>
      </c>
      <c r="W1353" s="0" t="str">
        <f aca="false">IF(OR(AND(B1353&gt;=1,B1353&lt;=6),B1353=10),"Vaca em lactação",IF(I1353="Male","Macho",IF(E1353&gt;=1,"Vaca seca",IF(I1353="Youngstock","Bezerra/recria","Novilha"))))</f>
        <v>Vaca em lactação</v>
      </c>
      <c r="X1353" s="0" t="str">
        <f aca="false">IF(AND(B1353&gt;=1,B1353&lt;=6),"Tanque",IF(B1353=10,"Descarte",""))</f>
        <v>Tanque</v>
      </c>
    </row>
    <row r="1354" customFormat="false" ht="15" hidden="false" customHeight="false" outlineLevel="0" collapsed="false">
      <c r="A1354" s="22" t="n">
        <v>46309</v>
      </c>
      <c r="B1354" s="0" t="n">
        <v>5</v>
      </c>
      <c r="C1354" s="0" t="n">
        <v>4316</v>
      </c>
      <c r="D1354" s="0" t="n">
        <v>130</v>
      </c>
      <c r="E1354" s="0" t="n">
        <v>3</v>
      </c>
      <c r="F1354" s="23" t="s">
        <v>847</v>
      </c>
      <c r="G1354" s="0" t="n">
        <v>35.3</v>
      </c>
      <c r="H1354" s="0" t="n">
        <v>31</v>
      </c>
      <c r="I1354" s="23" t="s">
        <v>92</v>
      </c>
      <c r="J1354" s="0" t="n">
        <v>92</v>
      </c>
      <c r="K1354" s="0" t="n">
        <v>67</v>
      </c>
      <c r="L1354" s="0" t="n">
        <v>38</v>
      </c>
      <c r="M1354" s="0" t="n">
        <v>354.42</v>
      </c>
      <c r="N1354" s="0" t="n">
        <v>53.58</v>
      </c>
      <c r="O1354" s="0" t="n">
        <v>32.3</v>
      </c>
      <c r="P1354" s="0" t="n">
        <v>2.32</v>
      </c>
      <c r="Q1354" s="0" t="n">
        <v>3.61</v>
      </c>
      <c r="R1354" s="0" t="n">
        <v>4498</v>
      </c>
      <c r="S1354" s="0" t="n">
        <v>8472</v>
      </c>
      <c r="T1354" s="0" t="n">
        <v>52.35</v>
      </c>
      <c r="U1354" s="0" t="n">
        <v>1437</v>
      </c>
      <c r="V1354" s="0" t="n">
        <v>2</v>
      </c>
      <c r="W1354" s="0" t="str">
        <f aca="false">IF(OR(AND(B1354&gt;=1,B1354&lt;=6),B1354=10),"Vaca em lactação",IF(I1354="Male","Macho",IF(E1354&gt;=1,"Vaca seca",IF(I1354="Youngstock","Bezerra/recria","Novilha"))))</f>
        <v>Vaca em lactação</v>
      </c>
      <c r="X1354" s="0" t="str">
        <f aca="false">IF(AND(B1354&gt;=1,B1354&lt;=6),"Tanque",IF(B1354=10,"Descarte",""))</f>
        <v>Tanque</v>
      </c>
    </row>
    <row r="1355" customFormat="false" ht="15" hidden="false" customHeight="false" outlineLevel="0" collapsed="false">
      <c r="A1355" s="22" t="n">
        <v>46309</v>
      </c>
      <c r="B1355" s="0" t="n">
        <v>5</v>
      </c>
      <c r="C1355" s="0" t="n">
        <v>4314</v>
      </c>
      <c r="D1355" s="0" t="n">
        <v>368</v>
      </c>
      <c r="E1355" s="0" t="n">
        <v>2</v>
      </c>
      <c r="F1355" s="23" t="s">
        <v>847</v>
      </c>
      <c r="G1355" s="0" t="n">
        <v>38.7</v>
      </c>
      <c r="H1355" s="0" t="n">
        <v>35</v>
      </c>
      <c r="I1355" s="23" t="s">
        <v>92</v>
      </c>
      <c r="J1355" s="0" t="n">
        <v>149</v>
      </c>
      <c r="K1355" s="0" t="n">
        <v>68</v>
      </c>
      <c r="L1355" s="0" t="n">
        <v>219</v>
      </c>
      <c r="M1355" s="0" t="n">
        <v>746.05</v>
      </c>
      <c r="N1355" s="0" t="n">
        <v>34.68</v>
      </c>
      <c r="O1355" s="0" t="n">
        <v>25.14</v>
      </c>
      <c r="P1355" s="0" t="n">
        <v>4.72</v>
      </c>
      <c r="Q1355" s="0" t="n">
        <v>3.82</v>
      </c>
      <c r="R1355" s="0" t="n">
        <v>5414</v>
      </c>
      <c r="S1355" s="0" t="n">
        <v>10768</v>
      </c>
      <c r="T1355" s="0" t="n">
        <v>57.85</v>
      </c>
      <c r="U1355" s="0" t="n">
        <v>1437</v>
      </c>
      <c r="V1355" s="0" t="n">
        <v>4</v>
      </c>
      <c r="W1355" s="0" t="str">
        <f aca="false">IF(OR(AND(B1355&gt;=1,B1355&lt;=6),B1355=10),"Vaca em lactação",IF(I1355="Male","Macho",IF(E1355&gt;=1,"Vaca seca",IF(I1355="Youngstock","Bezerra/recria","Novilha"))))</f>
        <v>Vaca em lactação</v>
      </c>
      <c r="X1355" s="0" t="str">
        <f aca="false">IF(AND(B1355&gt;=1,B1355&lt;=6),"Tanque",IF(B1355=10,"Descarte",""))</f>
        <v>Tanque</v>
      </c>
    </row>
    <row r="1356" customFormat="false" ht="15" hidden="false" customHeight="false" outlineLevel="0" collapsed="false">
      <c r="A1356" s="22" t="n">
        <v>46309</v>
      </c>
      <c r="B1356" s="0" t="n">
        <v>5</v>
      </c>
      <c r="C1356" s="0" t="n">
        <v>4133</v>
      </c>
      <c r="D1356" s="0" t="n">
        <v>537</v>
      </c>
      <c r="E1356" s="0" t="n">
        <v>2</v>
      </c>
      <c r="F1356" s="23" t="s">
        <v>372</v>
      </c>
      <c r="G1356" s="0" t="n">
        <v>40.1</v>
      </c>
      <c r="H1356" s="0" t="n">
        <v>39</v>
      </c>
      <c r="I1356" s="23" t="s">
        <v>92</v>
      </c>
      <c r="J1356" s="0" t="n">
        <v>426</v>
      </c>
      <c r="K1356" s="0" t="n">
        <v>61</v>
      </c>
      <c r="L1356" s="0" t="n">
        <v>111</v>
      </c>
      <c r="M1356" s="0" t="n">
        <v>915.55</v>
      </c>
      <c r="N1356" s="0" t="n">
        <v>59.02</v>
      </c>
      <c r="O1356" s="0" t="n">
        <v>41.88</v>
      </c>
      <c r="P1356" s="0" t="n">
        <v>4.03</v>
      </c>
      <c r="Q1356" s="0" t="n">
        <v>3.63</v>
      </c>
      <c r="R1356" s="0" t="n">
        <v>7118</v>
      </c>
      <c r="S1356" s="0" t="n">
        <v>13445</v>
      </c>
      <c r="T1356" s="0" t="n">
        <v>81.15</v>
      </c>
      <c r="U1356" s="0" t="n">
        <v>1531</v>
      </c>
      <c r="V1356" s="0" t="n">
        <v>6</v>
      </c>
      <c r="W1356" s="0" t="str">
        <f aca="false">IF(OR(AND(B1356&gt;=1,B1356&lt;=6),B1356=10),"Vaca em lactação",IF(I1356="Male","Macho",IF(E1356&gt;=1,"Vaca seca",IF(I1356="Youngstock","Bezerra/recria","Novilha"))))</f>
        <v>Vaca em lactação</v>
      </c>
      <c r="X1356" s="0" t="str">
        <f aca="false">IF(AND(B1356&gt;=1,B1356&lt;=6),"Tanque",IF(B1356=10,"Descarte",""))</f>
        <v>Tanque</v>
      </c>
    </row>
    <row r="1357" customFormat="false" ht="15" hidden="false" customHeight="false" outlineLevel="0" collapsed="false">
      <c r="A1357" s="22" t="n">
        <v>46309</v>
      </c>
      <c r="B1357" s="0" t="n">
        <v>5</v>
      </c>
      <c r="C1357" s="0" t="n">
        <v>4145</v>
      </c>
      <c r="D1357" s="0" t="n">
        <v>419</v>
      </c>
      <c r="E1357" s="0" t="n">
        <v>2</v>
      </c>
      <c r="F1357" s="23" t="s">
        <v>848</v>
      </c>
      <c r="G1357" s="0" t="n">
        <v>35.2</v>
      </c>
      <c r="H1357" s="0" t="n">
        <v>30</v>
      </c>
      <c r="I1357" s="23" t="s">
        <v>97</v>
      </c>
      <c r="J1357" s="0" t="n">
        <v>419</v>
      </c>
      <c r="K1357" s="0" t="n">
        <v>69</v>
      </c>
      <c r="M1357" s="0" t="n">
        <v>601.44</v>
      </c>
      <c r="N1357" s="0" t="n">
        <v>63.47</v>
      </c>
      <c r="O1357" s="0" t="n">
        <v>43.2</v>
      </c>
      <c r="P1357" s="0" t="n">
        <v>4.74</v>
      </c>
      <c r="Q1357" s="0" t="n">
        <v>4.31</v>
      </c>
      <c r="R1357" s="0" t="n">
        <v>5544</v>
      </c>
      <c r="S1357" s="0" t="n">
        <v>10642</v>
      </c>
      <c r="T1357" s="0" t="n">
        <v>59.65</v>
      </c>
      <c r="U1357" s="0" t="n">
        <v>1525</v>
      </c>
      <c r="V1357" s="0" t="n">
        <v>8</v>
      </c>
      <c r="W1357" s="0" t="str">
        <f aca="false">IF(OR(AND(B1357&gt;=1,B1357&lt;=6),B1357=10),"Vaca em lactação",IF(I1357="Male","Macho",IF(E1357&gt;=1,"Vaca seca",IF(I1357="Youngstock","Bezerra/recria","Novilha"))))</f>
        <v>Vaca em lactação</v>
      </c>
      <c r="X1357" s="0" t="str">
        <f aca="false">IF(AND(B1357&gt;=1,B1357&lt;=6),"Tanque",IF(B1357=10,"Descarte",""))</f>
        <v>Tanque</v>
      </c>
    </row>
    <row r="1358" customFormat="false" ht="15" hidden="false" customHeight="false" outlineLevel="0" collapsed="false">
      <c r="A1358" s="22" t="n">
        <v>46309</v>
      </c>
      <c r="B1358" s="0" t="n">
        <v>5</v>
      </c>
      <c r="C1358" s="0" t="n">
        <v>4154</v>
      </c>
      <c r="D1358" s="0" t="n">
        <v>120</v>
      </c>
      <c r="E1358" s="0" t="n">
        <v>3</v>
      </c>
      <c r="F1358" s="23" t="s">
        <v>848</v>
      </c>
      <c r="G1358" s="0" t="n">
        <v>37.2</v>
      </c>
      <c r="H1358" s="0" t="n">
        <v>38</v>
      </c>
      <c r="I1358" s="23" t="s">
        <v>109</v>
      </c>
      <c r="J1358" s="0" t="n">
        <v>120</v>
      </c>
      <c r="K1358" s="0" t="n">
        <v>78</v>
      </c>
      <c r="M1358" s="0" t="n">
        <v>958.19</v>
      </c>
      <c r="N1358" s="0" t="n">
        <v>39.33</v>
      </c>
      <c r="O1358" s="0" t="n">
        <v>26.71</v>
      </c>
      <c r="P1358" s="0" t="n">
        <v>2.86</v>
      </c>
      <c r="Q1358" s="0" t="n">
        <v>3.35</v>
      </c>
      <c r="R1358" s="0" t="n">
        <v>5282</v>
      </c>
      <c r="S1358" s="0" t="n">
        <v>10462</v>
      </c>
      <c r="T1358" s="0" t="n">
        <v>57.65</v>
      </c>
      <c r="U1358" s="0" t="n">
        <v>1525</v>
      </c>
      <c r="V1358" s="0" t="n">
        <v>1</v>
      </c>
      <c r="W1358" s="0" t="str">
        <f aca="false">IF(OR(AND(B1358&gt;=1,B1358&lt;=6),B1358=10),"Vaca em lactação",IF(I1358="Male","Macho",IF(E1358&gt;=1,"Vaca seca",IF(I1358="Youngstock","Bezerra/recria","Novilha"))))</f>
        <v>Vaca em lactação</v>
      </c>
      <c r="X1358" s="0" t="str">
        <f aca="false">IF(AND(B1358&gt;=1,B1358&lt;=6),"Tanque",IF(B1358=10,"Descarte",""))</f>
        <v>Tanque</v>
      </c>
    </row>
    <row r="1359" customFormat="false" ht="15" hidden="false" customHeight="false" outlineLevel="0" collapsed="false">
      <c r="A1359" s="22" t="n">
        <v>46309</v>
      </c>
      <c r="B1359" s="0" t="n">
        <v>5</v>
      </c>
      <c r="C1359" s="0" t="n">
        <v>4100</v>
      </c>
      <c r="D1359" s="0" t="n">
        <v>144</v>
      </c>
      <c r="E1359" s="0" t="n">
        <v>3</v>
      </c>
      <c r="F1359" s="23" t="s">
        <v>849</v>
      </c>
      <c r="G1359" s="0" t="n">
        <v>45</v>
      </c>
      <c r="H1359" s="0" t="n">
        <v>47</v>
      </c>
      <c r="I1359" s="23" t="s">
        <v>97</v>
      </c>
      <c r="J1359" s="0" t="n">
        <v>144</v>
      </c>
      <c r="K1359" s="0" t="n">
        <v>67</v>
      </c>
      <c r="M1359" s="0" t="n">
        <v>825.37</v>
      </c>
      <c r="N1359" s="0" t="n">
        <v>60.82</v>
      </c>
      <c r="O1359" s="0" t="n">
        <v>40.06</v>
      </c>
      <c r="P1359" s="0" t="n">
        <v>2.82</v>
      </c>
      <c r="Q1359" s="0" t="n">
        <v>3.41</v>
      </c>
      <c r="R1359" s="0" t="n">
        <v>5779</v>
      </c>
      <c r="S1359" s="0" t="n">
        <v>10949</v>
      </c>
      <c r="T1359" s="0" t="n">
        <v>63.5</v>
      </c>
      <c r="U1359" s="0" t="n">
        <v>1548</v>
      </c>
      <c r="V1359" s="0" t="n">
        <v>3</v>
      </c>
      <c r="W1359" s="0" t="str">
        <f aca="false">IF(OR(AND(B1359&gt;=1,B1359&lt;=6),B1359=10),"Vaca em lactação",IF(I1359="Male","Macho",IF(E1359&gt;=1,"Vaca seca",IF(I1359="Youngstock","Bezerra/recria","Novilha"))))</f>
        <v>Vaca em lactação</v>
      </c>
      <c r="X1359" s="0" t="str">
        <f aca="false">IF(AND(B1359&gt;=1,B1359&lt;=6),"Tanque",IF(B1359=10,"Descarte",""))</f>
        <v>Tanque</v>
      </c>
    </row>
    <row r="1360" customFormat="false" ht="15" hidden="false" customHeight="false" outlineLevel="0" collapsed="false">
      <c r="A1360" s="22" t="n">
        <v>46309</v>
      </c>
      <c r="B1360" s="0" t="n">
        <v>5</v>
      </c>
      <c r="C1360" s="0" t="n">
        <v>4093</v>
      </c>
      <c r="D1360" s="0" t="n">
        <v>248</v>
      </c>
      <c r="E1360" s="0" t="n">
        <v>2</v>
      </c>
      <c r="F1360" s="23" t="s">
        <v>850</v>
      </c>
      <c r="G1360" s="0" t="n">
        <v>41.6</v>
      </c>
      <c r="H1360" s="0" t="n">
        <v>41</v>
      </c>
      <c r="I1360" s="23" t="s">
        <v>97</v>
      </c>
      <c r="J1360" s="0" t="n">
        <v>248</v>
      </c>
      <c r="K1360" s="0" t="n">
        <v>66</v>
      </c>
      <c r="M1360" s="0" t="n">
        <v>364.01</v>
      </c>
      <c r="N1360" s="0" t="n">
        <v>60.17</v>
      </c>
      <c r="O1360" s="0" t="n">
        <v>21.9</v>
      </c>
      <c r="P1360" s="0" t="n">
        <v>3.37</v>
      </c>
      <c r="Q1360" s="0" t="n">
        <v>3.42</v>
      </c>
      <c r="R1360" s="0" t="n">
        <v>5276</v>
      </c>
      <c r="S1360" s="0" t="n">
        <v>9552</v>
      </c>
      <c r="T1360" s="0" t="n">
        <v>56.4</v>
      </c>
      <c r="U1360" s="0" t="n">
        <v>1552</v>
      </c>
      <c r="V1360" s="0" t="n">
        <v>5</v>
      </c>
      <c r="W1360" s="0" t="str">
        <f aca="false">IF(OR(AND(B1360&gt;=1,B1360&lt;=6),B1360=10),"Vaca em lactação",IF(I1360="Male","Macho",IF(E1360&gt;=1,"Vaca seca",IF(I1360="Youngstock","Bezerra/recria","Novilha"))))</f>
        <v>Vaca em lactação</v>
      </c>
      <c r="X1360" s="0" t="str">
        <f aca="false">IF(AND(B1360&gt;=1,B1360&lt;=6),"Tanque",IF(B1360=10,"Descarte",""))</f>
        <v>Tanque</v>
      </c>
    </row>
    <row r="1361" customFormat="false" ht="15" hidden="false" customHeight="false" outlineLevel="0" collapsed="false">
      <c r="A1361" s="22" t="n">
        <v>46309</v>
      </c>
      <c r="B1361" s="0" t="n">
        <v>5</v>
      </c>
      <c r="C1361" s="0" t="n">
        <v>4108</v>
      </c>
      <c r="D1361" s="0" t="n">
        <v>124</v>
      </c>
      <c r="E1361" s="0" t="n">
        <v>3</v>
      </c>
      <c r="F1361" s="23" t="s">
        <v>851</v>
      </c>
      <c r="G1361" s="0" t="n">
        <v>50.6</v>
      </c>
      <c r="H1361" s="0" t="n">
        <v>45</v>
      </c>
      <c r="I1361" s="23" t="s">
        <v>92</v>
      </c>
      <c r="J1361" s="0" t="n">
        <v>69</v>
      </c>
      <c r="K1361" s="0" t="n">
        <v>69</v>
      </c>
      <c r="L1361" s="0" t="n">
        <v>55</v>
      </c>
      <c r="M1361" s="0" t="n">
        <v>-253.91</v>
      </c>
      <c r="N1361" s="0" t="n">
        <v>40.16</v>
      </c>
      <c r="O1361" s="0" t="n">
        <v>20.84</v>
      </c>
      <c r="P1361" s="0" t="n">
        <v>3.34</v>
      </c>
      <c r="Q1361" s="0" t="n">
        <v>3.87</v>
      </c>
      <c r="R1361" s="0" t="n">
        <v>4899</v>
      </c>
      <c r="S1361" s="0" t="n">
        <v>9774</v>
      </c>
      <c r="T1361" s="0" t="n">
        <v>49.6</v>
      </c>
      <c r="U1361" s="0" t="n">
        <v>1542</v>
      </c>
      <c r="V1361" s="0" t="n">
        <v>1</v>
      </c>
      <c r="W1361" s="0" t="str">
        <f aca="false">IF(OR(AND(B1361&gt;=1,B1361&lt;=6),B1361=10),"Vaca em lactação",IF(I1361="Male","Macho",IF(E1361&gt;=1,"Vaca seca",IF(I1361="Youngstock","Bezerra/recria","Novilha"))))</f>
        <v>Vaca em lactação</v>
      </c>
      <c r="X1361" s="0" t="str">
        <f aca="false">IF(AND(B1361&gt;=1,B1361&lt;=6),"Tanque",IF(B1361=10,"Descarte",""))</f>
        <v>Tanque</v>
      </c>
    </row>
    <row r="1362" customFormat="false" ht="15" hidden="false" customHeight="false" outlineLevel="0" collapsed="false">
      <c r="A1362" s="22" t="n">
        <v>46309</v>
      </c>
      <c r="B1362" s="0" t="n">
        <v>5</v>
      </c>
      <c r="C1362" s="0" t="n">
        <v>4107</v>
      </c>
      <c r="D1362" s="0" t="n">
        <v>465</v>
      </c>
      <c r="E1362" s="0" t="n">
        <v>2</v>
      </c>
      <c r="F1362" s="23" t="s">
        <v>852</v>
      </c>
      <c r="G1362" s="0" t="n">
        <v>37.6</v>
      </c>
      <c r="H1362" s="0" t="n">
        <v>32</v>
      </c>
      <c r="I1362" s="23" t="s">
        <v>92</v>
      </c>
      <c r="J1362" s="0" t="n">
        <v>381</v>
      </c>
      <c r="K1362" s="0" t="n">
        <v>59</v>
      </c>
      <c r="L1362" s="0" t="n">
        <v>84</v>
      </c>
      <c r="M1362" s="0" t="n">
        <v>1029.7</v>
      </c>
      <c r="N1362" s="0" t="n">
        <v>52.22</v>
      </c>
      <c r="O1362" s="0" t="n">
        <v>33.65</v>
      </c>
      <c r="P1362" s="0" t="n">
        <v>5.15</v>
      </c>
      <c r="Q1362" s="0" t="n">
        <v>4.2</v>
      </c>
      <c r="R1362" s="0" t="n">
        <v>6461</v>
      </c>
      <c r="S1362" s="0" t="n">
        <v>12721</v>
      </c>
      <c r="T1362" s="0" t="n">
        <v>70.45</v>
      </c>
      <c r="U1362" s="0" t="n">
        <v>1545</v>
      </c>
      <c r="V1362" s="0" t="n">
        <v>13</v>
      </c>
      <c r="W1362" s="0" t="str">
        <f aca="false">IF(OR(AND(B1362&gt;=1,B1362&lt;=6),B1362=10),"Vaca em lactação",IF(I1362="Male","Macho",IF(E1362&gt;=1,"Vaca seca",IF(I1362="Youngstock","Bezerra/recria","Novilha"))))</f>
        <v>Vaca em lactação</v>
      </c>
      <c r="X1362" s="0" t="str">
        <f aca="false">IF(AND(B1362&gt;=1,B1362&lt;=6),"Tanque",IF(B1362=10,"Descarte",""))</f>
        <v>Tanque</v>
      </c>
    </row>
    <row r="1363" customFormat="false" ht="15" hidden="false" customHeight="false" outlineLevel="0" collapsed="false">
      <c r="A1363" s="22" t="n">
        <v>46309</v>
      </c>
      <c r="B1363" s="0" t="n">
        <v>5</v>
      </c>
      <c r="C1363" s="0" t="n">
        <v>4104</v>
      </c>
      <c r="D1363" s="0" t="n">
        <v>100</v>
      </c>
      <c r="E1363" s="0" t="n">
        <v>3</v>
      </c>
      <c r="F1363" s="23" t="s">
        <v>853</v>
      </c>
      <c r="G1363" s="0" t="n">
        <v>26.9</v>
      </c>
      <c r="H1363" s="0" t="n">
        <v>36</v>
      </c>
      <c r="I1363" s="23" t="s">
        <v>109</v>
      </c>
      <c r="J1363" s="0" t="n">
        <v>100</v>
      </c>
      <c r="K1363" s="0" t="n">
        <v>65</v>
      </c>
      <c r="M1363" s="0" t="n">
        <v>394.13</v>
      </c>
      <c r="N1363" s="0" t="n">
        <v>48.31</v>
      </c>
      <c r="O1363" s="0" t="n">
        <v>24.16</v>
      </c>
      <c r="P1363" s="0" t="n">
        <v>4.85</v>
      </c>
      <c r="Q1363" s="0" t="n">
        <v>3.19</v>
      </c>
      <c r="R1363" s="0" t="n">
        <v>3687</v>
      </c>
      <c r="S1363" s="0" t="n">
        <v>7411</v>
      </c>
      <c r="T1363" s="0" t="n">
        <v>43.05</v>
      </c>
      <c r="U1363" s="0" t="n">
        <v>1547</v>
      </c>
      <c r="V1363" s="0" t="n">
        <v>1</v>
      </c>
      <c r="W1363" s="0" t="str">
        <f aca="false">IF(OR(AND(B1363&gt;=1,B1363&lt;=6),B1363=10),"Vaca em lactação",IF(I1363="Male","Macho",IF(E1363&gt;=1,"Vaca seca",IF(I1363="Youngstock","Bezerra/recria","Novilha"))))</f>
        <v>Vaca em lactação</v>
      </c>
      <c r="X1363" s="0" t="str">
        <f aca="false">IF(AND(B1363&gt;=1,B1363&lt;=6),"Tanque",IF(B1363=10,"Descarte",""))</f>
        <v>Tanque</v>
      </c>
    </row>
    <row r="1364" customFormat="false" ht="15" hidden="false" customHeight="false" outlineLevel="0" collapsed="false">
      <c r="A1364" s="22" t="n">
        <v>46309</v>
      </c>
      <c r="B1364" s="0" t="n">
        <v>5</v>
      </c>
      <c r="C1364" s="0" t="n">
        <v>4113</v>
      </c>
      <c r="D1364" s="0" t="n">
        <v>162</v>
      </c>
      <c r="E1364" s="0" t="n">
        <v>2</v>
      </c>
      <c r="F1364" s="23" t="s">
        <v>854</v>
      </c>
      <c r="G1364" s="0" t="n">
        <v>21.4</v>
      </c>
      <c r="H1364" s="0" t="n">
        <v>26</v>
      </c>
      <c r="I1364" s="23" t="s">
        <v>97</v>
      </c>
      <c r="J1364" s="0" t="n">
        <v>162</v>
      </c>
      <c r="K1364" s="0" t="n">
        <v>71</v>
      </c>
      <c r="M1364" s="0" t="n">
        <v>425</v>
      </c>
      <c r="N1364" s="0" t="n">
        <v>55.2</v>
      </c>
      <c r="O1364" s="0" t="n">
        <v>20.44</v>
      </c>
      <c r="P1364" s="0" t="n">
        <v>4.31</v>
      </c>
      <c r="Q1364" s="0" t="n">
        <v>3.5</v>
      </c>
      <c r="R1364" s="0" t="n">
        <v>4521</v>
      </c>
      <c r="S1364" s="0" t="n">
        <v>8438</v>
      </c>
      <c r="T1364" s="0" t="n">
        <v>49</v>
      </c>
      <c r="U1364" s="0" t="n">
        <v>1540</v>
      </c>
      <c r="V1364" s="0" t="n">
        <v>2</v>
      </c>
      <c r="W1364" s="0" t="str">
        <f aca="false">IF(OR(AND(B1364&gt;=1,B1364&lt;=6),B1364=10),"Vaca em lactação",IF(I1364="Male","Macho",IF(E1364&gt;=1,"Vaca seca",IF(I1364="Youngstock","Bezerra/recria","Novilha"))))</f>
        <v>Vaca em lactação</v>
      </c>
      <c r="X1364" s="0" t="str">
        <f aca="false">IF(AND(B1364&gt;=1,B1364&lt;=6),"Tanque",IF(B1364=10,"Descarte",""))</f>
        <v>Tanque</v>
      </c>
    </row>
    <row r="1365" customFormat="false" ht="15" hidden="false" customHeight="false" outlineLevel="0" collapsed="false">
      <c r="A1365" s="22" t="n">
        <v>46309</v>
      </c>
      <c r="B1365" s="0" t="n">
        <v>5</v>
      </c>
      <c r="C1365" s="0" t="n">
        <v>4197</v>
      </c>
      <c r="D1365" s="0" t="n">
        <v>249</v>
      </c>
      <c r="E1365" s="0" t="n">
        <v>2</v>
      </c>
      <c r="F1365" s="23" t="s">
        <v>855</v>
      </c>
      <c r="G1365" s="0" t="n">
        <v>36.4</v>
      </c>
      <c r="H1365" s="0" t="n">
        <v>39</v>
      </c>
      <c r="I1365" s="23" t="s">
        <v>97</v>
      </c>
      <c r="J1365" s="0" t="n">
        <v>249</v>
      </c>
      <c r="K1365" s="0" t="n">
        <v>67</v>
      </c>
      <c r="M1365" s="0" t="n">
        <v>135.76</v>
      </c>
      <c r="N1365" s="0" t="n">
        <v>54.26</v>
      </c>
      <c r="O1365" s="0" t="n">
        <v>24.74</v>
      </c>
      <c r="P1365" s="0" t="n">
        <v>4.35</v>
      </c>
      <c r="Q1365" s="0" t="n">
        <v>3.99</v>
      </c>
      <c r="R1365" s="0" t="n">
        <v>5339</v>
      </c>
      <c r="S1365" s="0" t="n">
        <v>10900</v>
      </c>
      <c r="T1365" s="0" t="n">
        <v>61.55</v>
      </c>
      <c r="U1365" s="0" t="n">
        <v>1503</v>
      </c>
      <c r="V1365" s="0" t="n">
        <v>4</v>
      </c>
      <c r="W1365" s="0" t="str">
        <f aca="false">IF(OR(AND(B1365&gt;=1,B1365&lt;=6),B1365=10),"Vaca em lactação",IF(I1365="Male","Macho",IF(E1365&gt;=1,"Vaca seca",IF(I1365="Youngstock","Bezerra/recria","Novilha"))))</f>
        <v>Vaca em lactação</v>
      </c>
      <c r="X1365" s="0" t="str">
        <f aca="false">IF(AND(B1365&gt;=1,B1365&lt;=6),"Tanque",IF(B1365=10,"Descarte",""))</f>
        <v>Tanque</v>
      </c>
    </row>
    <row r="1366" customFormat="false" ht="15" hidden="false" customHeight="false" outlineLevel="0" collapsed="false">
      <c r="A1366" s="22" t="n">
        <v>46309</v>
      </c>
      <c r="B1366" s="0" t="n">
        <v>5</v>
      </c>
      <c r="C1366" s="0" t="n">
        <v>4196</v>
      </c>
      <c r="D1366" s="0" t="n">
        <v>162</v>
      </c>
      <c r="E1366" s="0" t="n">
        <v>2</v>
      </c>
      <c r="F1366" s="23" t="s">
        <v>856</v>
      </c>
      <c r="G1366" s="0" t="n">
        <v>41.8</v>
      </c>
      <c r="H1366" s="0" t="n">
        <v>40</v>
      </c>
      <c r="I1366" s="23" t="s">
        <v>109</v>
      </c>
      <c r="J1366" s="0" t="n">
        <v>162</v>
      </c>
      <c r="K1366" s="0" t="n">
        <v>64</v>
      </c>
      <c r="M1366" s="0" t="n">
        <v>97.12</v>
      </c>
      <c r="N1366" s="0" t="n">
        <v>79.55</v>
      </c>
      <c r="O1366" s="0" t="n">
        <v>27.03</v>
      </c>
      <c r="P1366" s="0" t="n">
        <v>4.67</v>
      </c>
      <c r="Q1366" s="0" t="n">
        <v>3.74</v>
      </c>
      <c r="R1366" s="0" t="n">
        <v>4986</v>
      </c>
      <c r="S1366" s="0" t="n">
        <v>9438</v>
      </c>
      <c r="T1366" s="0" t="n">
        <v>51.85</v>
      </c>
      <c r="U1366" s="0" t="n">
        <v>1504</v>
      </c>
      <c r="V1366" s="0" t="n">
        <v>2</v>
      </c>
      <c r="W1366" s="0" t="str">
        <f aca="false">IF(OR(AND(B1366&gt;=1,B1366&lt;=6),B1366=10),"Vaca em lactação",IF(I1366="Male","Macho",IF(E1366&gt;=1,"Vaca seca",IF(I1366="Youngstock","Bezerra/recria","Novilha"))))</f>
        <v>Vaca em lactação</v>
      </c>
      <c r="X1366" s="0" t="str">
        <f aca="false">IF(AND(B1366&gt;=1,B1366&lt;=6),"Tanque",IF(B1366=10,"Descarte",""))</f>
        <v>Tanque</v>
      </c>
    </row>
    <row r="1367" customFormat="false" ht="15" hidden="false" customHeight="false" outlineLevel="0" collapsed="false">
      <c r="A1367" s="22" t="n">
        <v>46309</v>
      </c>
      <c r="B1367" s="0" t="n">
        <v>5</v>
      </c>
      <c r="C1367" s="0" t="n">
        <v>4193</v>
      </c>
      <c r="D1367" s="0" t="n">
        <v>142</v>
      </c>
      <c r="E1367" s="0" t="n">
        <v>3</v>
      </c>
      <c r="F1367" s="23" t="s">
        <v>516</v>
      </c>
      <c r="G1367" s="0" t="n">
        <v>41.1</v>
      </c>
      <c r="H1367" s="0" t="n">
        <v>44</v>
      </c>
      <c r="I1367" s="23" t="s">
        <v>109</v>
      </c>
      <c r="J1367" s="0" t="n">
        <v>142</v>
      </c>
      <c r="K1367" s="0" t="n">
        <v>65</v>
      </c>
      <c r="M1367" s="0" t="n">
        <v>492.96</v>
      </c>
      <c r="N1367" s="0" t="n">
        <v>32.39</v>
      </c>
      <c r="O1367" s="0" t="n">
        <v>20.39</v>
      </c>
      <c r="P1367" s="0" t="n">
        <v>3.67</v>
      </c>
      <c r="Q1367" s="0" t="n">
        <v>3.61</v>
      </c>
      <c r="R1367" s="0" t="n">
        <v>5890</v>
      </c>
      <c r="S1367" s="0" t="n">
        <v>11552</v>
      </c>
      <c r="T1367" s="0" t="n">
        <v>64.3</v>
      </c>
      <c r="U1367" s="0" t="n">
        <v>1506</v>
      </c>
      <c r="V1367" s="0" t="n">
        <v>1</v>
      </c>
      <c r="W1367" s="0" t="str">
        <f aca="false">IF(OR(AND(B1367&gt;=1,B1367&lt;=6),B1367=10),"Vaca em lactação",IF(I1367="Male","Macho",IF(E1367&gt;=1,"Vaca seca",IF(I1367="Youngstock","Bezerra/recria","Novilha"))))</f>
        <v>Vaca em lactação</v>
      </c>
      <c r="X1367" s="0" t="str">
        <f aca="false">IF(AND(B1367&gt;=1,B1367&lt;=6),"Tanque",IF(B1367=10,"Descarte",""))</f>
        <v>Tanque</v>
      </c>
    </row>
    <row r="1368" customFormat="false" ht="15" hidden="false" customHeight="false" outlineLevel="0" collapsed="false">
      <c r="A1368" s="22" t="n">
        <v>46309</v>
      </c>
      <c r="B1368" s="0" t="n">
        <v>5</v>
      </c>
      <c r="C1368" s="0" t="n">
        <v>4204</v>
      </c>
      <c r="D1368" s="0" t="n">
        <v>445</v>
      </c>
      <c r="E1368" s="0" t="n">
        <v>2</v>
      </c>
      <c r="F1368" s="23" t="s">
        <v>857</v>
      </c>
      <c r="G1368" s="0" t="n">
        <v>27.5</v>
      </c>
      <c r="H1368" s="0" t="n">
        <v>23</v>
      </c>
      <c r="I1368" s="23" t="s">
        <v>92</v>
      </c>
      <c r="J1368" s="0" t="n">
        <v>287</v>
      </c>
      <c r="K1368" s="0" t="n">
        <v>60</v>
      </c>
      <c r="L1368" s="0" t="n">
        <v>158</v>
      </c>
      <c r="M1368" s="0" t="n">
        <v>667.19</v>
      </c>
      <c r="N1368" s="0" t="n">
        <v>91.4</v>
      </c>
      <c r="O1368" s="0" t="n">
        <v>46.86</v>
      </c>
      <c r="P1368" s="0" t="n">
        <v>6.95</v>
      </c>
      <c r="Q1368" s="0" t="n">
        <v>4.7</v>
      </c>
      <c r="R1368" s="0" t="n">
        <v>6112</v>
      </c>
      <c r="S1368" s="0" t="n">
        <v>12691</v>
      </c>
      <c r="T1368" s="0" t="n">
        <v>66.65</v>
      </c>
      <c r="U1368" s="0" t="n">
        <v>1500</v>
      </c>
      <c r="V1368" s="0" t="n">
        <v>7</v>
      </c>
      <c r="W1368" s="0" t="str">
        <f aca="false">IF(OR(AND(B1368&gt;=1,B1368&lt;=6),B1368=10),"Vaca em lactação",IF(I1368="Male","Macho",IF(E1368&gt;=1,"Vaca seca",IF(I1368="Youngstock","Bezerra/recria","Novilha"))))</f>
        <v>Vaca em lactação</v>
      </c>
      <c r="X1368" s="0" t="str">
        <f aca="false">IF(AND(B1368&gt;=1,B1368&lt;=6),"Tanque",IF(B1368=10,"Descarte",""))</f>
        <v>Tanque</v>
      </c>
    </row>
    <row r="1369" customFormat="false" ht="15" hidden="false" customHeight="false" outlineLevel="0" collapsed="false">
      <c r="A1369" s="22" t="n">
        <v>46309</v>
      </c>
      <c r="B1369" s="0" t="n">
        <v>5</v>
      </c>
      <c r="C1369" s="0" t="n">
        <v>4200</v>
      </c>
      <c r="D1369" s="0" t="n">
        <v>46</v>
      </c>
      <c r="E1369" s="0" t="n">
        <v>3</v>
      </c>
      <c r="F1369" s="23" t="s">
        <v>858</v>
      </c>
      <c r="G1369" s="0" t="n">
        <v>44.1</v>
      </c>
      <c r="H1369" s="0" t="n">
        <v>41</v>
      </c>
      <c r="I1369" s="23" t="s">
        <v>94</v>
      </c>
      <c r="J1369" s="0" t="n">
        <v>46</v>
      </c>
      <c r="M1369" s="0" t="n">
        <v>1193.5</v>
      </c>
      <c r="N1369" s="0" t="n">
        <v>46.33</v>
      </c>
      <c r="O1369" s="0" t="n">
        <v>36.44</v>
      </c>
      <c r="P1369" s="0" t="n">
        <v>2.9</v>
      </c>
      <c r="Q1369" s="0" t="n">
        <v>3.21</v>
      </c>
      <c r="R1369" s="0" t="n">
        <v>3977</v>
      </c>
      <c r="S1369" s="0" t="n">
        <v>7994</v>
      </c>
      <c r="U1369" s="0" t="n">
        <v>1501</v>
      </c>
      <c r="V1369" s="0" t="n">
        <v>0</v>
      </c>
      <c r="W1369" s="0" t="str">
        <f aca="false">IF(OR(AND(B1369&gt;=1,B1369&lt;=6),B1369=10),"Vaca em lactação",IF(I1369="Male","Macho",IF(E1369&gt;=1,"Vaca seca",IF(I1369="Youngstock","Bezerra/recria","Novilha"))))</f>
        <v>Vaca em lactação</v>
      </c>
      <c r="X1369" s="0" t="str">
        <f aca="false">IF(AND(B1369&gt;=1,B1369&lt;=6),"Tanque",IF(B1369=10,"Descarte",""))</f>
        <v>Tanque</v>
      </c>
    </row>
    <row r="1370" customFormat="false" ht="15" hidden="false" customHeight="false" outlineLevel="0" collapsed="false">
      <c r="A1370" s="22" t="n">
        <v>46309</v>
      </c>
      <c r="B1370" s="0" t="n">
        <v>5</v>
      </c>
      <c r="C1370" s="0" t="n">
        <v>4207</v>
      </c>
      <c r="D1370" s="0" t="n">
        <v>99</v>
      </c>
      <c r="E1370" s="0" t="n">
        <v>3</v>
      </c>
      <c r="F1370" s="23" t="s">
        <v>859</v>
      </c>
      <c r="G1370" s="0" t="n">
        <v>45.9</v>
      </c>
      <c r="H1370" s="0" t="n">
        <v>42</v>
      </c>
      <c r="I1370" s="23" t="s">
        <v>97</v>
      </c>
      <c r="J1370" s="0" t="n">
        <v>99</v>
      </c>
      <c r="K1370" s="0" t="n">
        <v>92</v>
      </c>
      <c r="M1370" s="0" t="n">
        <v>-10.04</v>
      </c>
      <c r="N1370" s="0" t="n">
        <v>18.81</v>
      </c>
      <c r="O1370" s="0" t="n">
        <v>2.96</v>
      </c>
      <c r="P1370" s="0" t="n">
        <v>3.31</v>
      </c>
      <c r="Q1370" s="0" t="n">
        <v>2.86</v>
      </c>
      <c r="R1370" s="0" t="n">
        <v>4714</v>
      </c>
      <c r="S1370" s="0" t="n">
        <v>9476</v>
      </c>
      <c r="T1370" s="0" t="n">
        <v>50.35</v>
      </c>
      <c r="U1370" s="0" t="n">
        <v>1498</v>
      </c>
      <c r="V1370" s="0" t="n">
        <v>1</v>
      </c>
      <c r="W1370" s="0" t="str">
        <f aca="false">IF(OR(AND(B1370&gt;=1,B1370&lt;=6),B1370=10),"Vaca em lactação",IF(I1370="Male","Macho",IF(E1370&gt;=1,"Vaca seca",IF(I1370="Youngstock","Bezerra/recria","Novilha"))))</f>
        <v>Vaca em lactação</v>
      </c>
      <c r="X1370" s="0" t="str">
        <f aca="false">IF(AND(B1370&gt;=1,B1370&lt;=6),"Tanque",IF(B1370=10,"Descarte",""))</f>
        <v>Tanque</v>
      </c>
    </row>
    <row r="1371" customFormat="false" ht="15" hidden="false" customHeight="false" outlineLevel="0" collapsed="false">
      <c r="A1371" s="22" t="n">
        <v>46309</v>
      </c>
      <c r="B1371" s="0" t="n">
        <v>5</v>
      </c>
      <c r="C1371" s="0" t="n">
        <v>4220</v>
      </c>
      <c r="D1371" s="0" t="n">
        <v>97</v>
      </c>
      <c r="E1371" s="0" t="n">
        <v>3</v>
      </c>
      <c r="F1371" s="23" t="s">
        <v>860</v>
      </c>
      <c r="G1371" s="0" t="n">
        <v>50.6</v>
      </c>
      <c r="H1371" s="0" t="n">
        <v>54</v>
      </c>
      <c r="I1371" s="23" t="s">
        <v>97</v>
      </c>
      <c r="J1371" s="0" t="n">
        <v>97</v>
      </c>
      <c r="K1371" s="0" t="n">
        <v>69</v>
      </c>
      <c r="M1371" s="0" t="n">
        <v>1179.14</v>
      </c>
      <c r="N1371" s="0" t="n">
        <v>68.85</v>
      </c>
      <c r="O1371" s="0" t="n">
        <v>40.25</v>
      </c>
      <c r="P1371" s="0" t="n">
        <v>2.85</v>
      </c>
      <c r="Q1371" s="0" t="n">
        <v>2.89</v>
      </c>
      <c r="R1371" s="0" t="n">
        <v>6262</v>
      </c>
      <c r="S1371" s="0" t="n">
        <v>12587</v>
      </c>
      <c r="T1371" s="0" t="n">
        <v>71.75</v>
      </c>
      <c r="U1371" s="0" t="n">
        <v>1493</v>
      </c>
      <c r="V1371" s="0" t="n">
        <v>1</v>
      </c>
      <c r="W1371" s="0" t="str">
        <f aca="false">IF(OR(AND(B1371&gt;=1,B1371&lt;=6),B1371=10),"Vaca em lactação",IF(I1371="Male","Macho",IF(E1371&gt;=1,"Vaca seca",IF(I1371="Youngstock","Bezerra/recria","Novilha"))))</f>
        <v>Vaca em lactação</v>
      </c>
      <c r="X1371" s="0" t="str">
        <f aca="false">IF(AND(B1371&gt;=1,B1371&lt;=6),"Tanque",IF(B1371=10,"Descarte",""))</f>
        <v>Tanque</v>
      </c>
    </row>
    <row r="1372" customFormat="false" ht="15" hidden="false" customHeight="false" outlineLevel="0" collapsed="false">
      <c r="A1372" s="22" t="n">
        <v>46309</v>
      </c>
      <c r="B1372" s="0" t="n">
        <v>5</v>
      </c>
      <c r="C1372" s="0" t="n">
        <v>4164</v>
      </c>
      <c r="D1372" s="0" t="n">
        <v>530</v>
      </c>
      <c r="E1372" s="0" t="n">
        <v>2</v>
      </c>
      <c r="F1372" s="23" t="s">
        <v>381</v>
      </c>
      <c r="G1372" s="0" t="n">
        <v>22.7</v>
      </c>
      <c r="H1372" s="0" t="n">
        <v>22</v>
      </c>
      <c r="I1372" s="23" t="s">
        <v>92</v>
      </c>
      <c r="J1372" s="0" t="n">
        <v>397</v>
      </c>
      <c r="K1372" s="0" t="n">
        <v>61</v>
      </c>
      <c r="L1372" s="0" t="n">
        <v>133</v>
      </c>
      <c r="M1372" s="0" t="n">
        <v>444.52</v>
      </c>
      <c r="N1372" s="0" t="n">
        <v>47.28</v>
      </c>
      <c r="O1372" s="0" t="n">
        <v>22.19</v>
      </c>
      <c r="P1372" s="0" t="n">
        <v>6.14</v>
      </c>
      <c r="Q1372" s="0" t="n">
        <v>4.21</v>
      </c>
      <c r="R1372" s="0" t="n">
        <v>5699</v>
      </c>
      <c r="S1372" s="0" t="n">
        <v>11448</v>
      </c>
      <c r="T1372" s="0" t="n">
        <v>65.8</v>
      </c>
      <c r="U1372" s="0" t="n">
        <v>1520</v>
      </c>
      <c r="V1372" s="0" t="n">
        <v>8</v>
      </c>
      <c r="W1372" s="0" t="str">
        <f aca="false">IF(OR(AND(B1372&gt;=1,B1372&lt;=6),B1372=10),"Vaca em lactação",IF(I1372="Male","Macho",IF(E1372&gt;=1,"Vaca seca",IF(I1372="Youngstock","Bezerra/recria","Novilha"))))</f>
        <v>Vaca em lactação</v>
      </c>
      <c r="X1372" s="0" t="str">
        <f aca="false">IF(AND(B1372&gt;=1,B1372&lt;=6),"Tanque",IF(B1372=10,"Descarte",""))</f>
        <v>Tanque</v>
      </c>
    </row>
    <row r="1373" customFormat="false" ht="15" hidden="false" customHeight="false" outlineLevel="0" collapsed="false">
      <c r="A1373" s="22" t="n">
        <v>46309</v>
      </c>
      <c r="B1373" s="0" t="n">
        <v>5</v>
      </c>
      <c r="C1373" s="0" t="n">
        <v>4160</v>
      </c>
      <c r="D1373" s="0" t="n">
        <v>62</v>
      </c>
      <c r="E1373" s="0" t="n">
        <v>3</v>
      </c>
      <c r="F1373" s="23" t="s">
        <v>861</v>
      </c>
      <c r="G1373" s="0" t="n">
        <v>35.9</v>
      </c>
      <c r="H1373" s="0" t="n">
        <v>35</v>
      </c>
      <c r="I1373" s="23" t="s">
        <v>94</v>
      </c>
      <c r="J1373" s="0" t="n">
        <v>62</v>
      </c>
      <c r="M1373" s="0" t="n">
        <v>7.31</v>
      </c>
      <c r="N1373" s="0" t="n">
        <v>89.34</v>
      </c>
      <c r="O1373" s="0" t="n">
        <v>35.22</v>
      </c>
      <c r="P1373" s="0" t="n">
        <v>6.07</v>
      </c>
      <c r="Q1373" s="0" t="n">
        <v>3.48</v>
      </c>
      <c r="R1373" s="0" t="n">
        <v>3078</v>
      </c>
      <c r="S1373" s="0" t="n">
        <v>6188</v>
      </c>
      <c r="U1373" s="0" t="n">
        <v>1521</v>
      </c>
      <c r="V1373" s="0" t="n">
        <v>0</v>
      </c>
      <c r="W1373" s="0" t="str">
        <f aca="false">IF(OR(AND(B1373&gt;=1,B1373&lt;=6),B1373=10),"Vaca em lactação",IF(I1373="Male","Macho",IF(E1373&gt;=1,"Vaca seca",IF(I1373="Youngstock","Bezerra/recria","Novilha"))))</f>
        <v>Vaca em lactação</v>
      </c>
      <c r="X1373" s="0" t="str">
        <f aca="false">IF(AND(B1373&gt;=1,B1373&lt;=6),"Tanque",IF(B1373=10,"Descarte",""))</f>
        <v>Tanque</v>
      </c>
    </row>
    <row r="1374" customFormat="false" ht="15" hidden="false" customHeight="false" outlineLevel="0" collapsed="false">
      <c r="A1374" s="22" t="n">
        <v>46309</v>
      </c>
      <c r="B1374" s="0" t="n">
        <v>5</v>
      </c>
      <c r="C1374" s="0" t="n">
        <v>4166</v>
      </c>
      <c r="D1374" s="0" t="n">
        <v>100</v>
      </c>
      <c r="E1374" s="0" t="n">
        <v>3</v>
      </c>
      <c r="F1374" s="23" t="s">
        <v>381</v>
      </c>
      <c r="G1374" s="0" t="n">
        <v>55.2</v>
      </c>
      <c r="H1374" s="0" t="n">
        <v>44</v>
      </c>
      <c r="I1374" s="23" t="s">
        <v>92</v>
      </c>
      <c r="J1374" s="0" t="n">
        <v>65</v>
      </c>
      <c r="K1374" s="0" t="n">
        <v>65</v>
      </c>
      <c r="L1374" s="0" t="n">
        <v>35</v>
      </c>
      <c r="M1374" s="0" t="n">
        <v>788.12</v>
      </c>
      <c r="N1374" s="0" t="n">
        <v>27.07</v>
      </c>
      <c r="O1374" s="0" t="n">
        <v>25.87</v>
      </c>
      <c r="P1374" s="0" t="n">
        <v>3.07</v>
      </c>
      <c r="Q1374" s="0" t="n">
        <v>3.47</v>
      </c>
      <c r="R1374" s="0" t="n">
        <v>3710</v>
      </c>
      <c r="S1374" s="0" t="n">
        <v>7458</v>
      </c>
      <c r="T1374" s="0" t="n">
        <v>41.7</v>
      </c>
      <c r="U1374" s="0" t="n">
        <v>1520</v>
      </c>
      <c r="V1374" s="0" t="n">
        <v>1</v>
      </c>
      <c r="W1374" s="0" t="str">
        <f aca="false">IF(OR(AND(B1374&gt;=1,B1374&lt;=6),B1374=10),"Vaca em lactação",IF(I1374="Male","Macho",IF(E1374&gt;=1,"Vaca seca",IF(I1374="Youngstock","Bezerra/recria","Novilha"))))</f>
        <v>Vaca em lactação</v>
      </c>
      <c r="X1374" s="0" t="str">
        <f aca="false">IF(AND(B1374&gt;=1,B1374&lt;=6),"Tanque",IF(B1374=10,"Descarte",""))</f>
        <v>Tanque</v>
      </c>
    </row>
    <row r="1375" customFormat="false" ht="15" hidden="false" customHeight="false" outlineLevel="0" collapsed="false">
      <c r="A1375" s="22" t="n">
        <v>46309</v>
      </c>
      <c r="B1375" s="0" t="n">
        <v>5</v>
      </c>
      <c r="C1375" s="0" t="n">
        <v>4186</v>
      </c>
      <c r="D1375" s="0" t="n">
        <v>328</v>
      </c>
      <c r="E1375" s="0" t="n">
        <v>2</v>
      </c>
      <c r="F1375" s="23" t="s">
        <v>383</v>
      </c>
      <c r="G1375" s="0" t="n">
        <v>13.7</v>
      </c>
      <c r="H1375" s="0" t="n">
        <v>14</v>
      </c>
      <c r="I1375" s="23" t="s">
        <v>92</v>
      </c>
      <c r="J1375" s="0" t="n">
        <v>118</v>
      </c>
      <c r="K1375" s="0" t="n">
        <v>69</v>
      </c>
      <c r="L1375" s="0" t="n">
        <v>210</v>
      </c>
      <c r="M1375" s="0" t="n">
        <v>294.76</v>
      </c>
      <c r="N1375" s="0" t="n">
        <v>72.15</v>
      </c>
      <c r="O1375" s="0" t="n">
        <v>29.04</v>
      </c>
      <c r="P1375" s="0" t="n">
        <v>5.71</v>
      </c>
      <c r="Q1375" s="0" t="n">
        <v>4.45</v>
      </c>
      <c r="R1375" s="0" t="n">
        <v>4510</v>
      </c>
      <c r="S1375" s="0" t="n">
        <v>9694</v>
      </c>
      <c r="T1375" s="0" t="n">
        <v>48.75</v>
      </c>
      <c r="U1375" s="0" t="n">
        <v>1508</v>
      </c>
      <c r="V1375" s="0" t="n">
        <v>3</v>
      </c>
      <c r="W1375" s="0" t="str">
        <f aca="false">IF(OR(AND(B1375&gt;=1,B1375&lt;=6),B1375=10),"Vaca em lactação",IF(I1375="Male","Macho",IF(E1375&gt;=1,"Vaca seca",IF(I1375="Youngstock","Bezerra/recria","Novilha"))))</f>
        <v>Vaca em lactação</v>
      </c>
      <c r="X1375" s="0" t="str">
        <f aca="false">IF(AND(B1375&gt;=1,B1375&lt;=6),"Tanque",IF(B1375=10,"Descarte",""))</f>
        <v>Tanque</v>
      </c>
    </row>
    <row r="1376" customFormat="false" ht="15" hidden="false" customHeight="false" outlineLevel="0" collapsed="false">
      <c r="A1376" s="22" t="n">
        <v>46309</v>
      </c>
      <c r="B1376" s="0" t="n">
        <v>5</v>
      </c>
      <c r="C1376" s="0" t="n">
        <v>4538</v>
      </c>
      <c r="D1376" s="0" t="n">
        <v>198</v>
      </c>
      <c r="E1376" s="0" t="n">
        <v>2</v>
      </c>
      <c r="F1376" s="23" t="s">
        <v>862</v>
      </c>
      <c r="G1376" s="0" t="n">
        <v>38.4</v>
      </c>
      <c r="H1376" s="0" t="n">
        <v>36</v>
      </c>
      <c r="I1376" s="23" t="s">
        <v>92</v>
      </c>
      <c r="J1376" s="0" t="n">
        <v>86</v>
      </c>
      <c r="K1376" s="0" t="n">
        <v>65</v>
      </c>
      <c r="L1376" s="0" t="n">
        <v>112</v>
      </c>
      <c r="M1376" s="0" t="n">
        <v>870.09</v>
      </c>
      <c r="N1376" s="0" t="n">
        <v>79.22</v>
      </c>
      <c r="O1376" s="0" t="n">
        <v>35.97</v>
      </c>
      <c r="P1376" s="0" t="n">
        <v>4.91</v>
      </c>
      <c r="Q1376" s="0" t="n">
        <v>3.55</v>
      </c>
      <c r="R1376" s="0" t="n">
        <v>4529</v>
      </c>
      <c r="S1376" s="0" t="n">
        <v>7994</v>
      </c>
      <c r="T1376" s="0" t="n">
        <v>52.05</v>
      </c>
      <c r="U1376" s="0" t="n">
        <v>1335</v>
      </c>
      <c r="V1376" s="0" t="n">
        <v>2</v>
      </c>
      <c r="W1376" s="0" t="str">
        <f aca="false">IF(OR(AND(B1376&gt;=1,B1376&lt;=6),B1376=10),"Vaca em lactação",IF(I1376="Male","Macho",IF(E1376&gt;=1,"Vaca seca",IF(I1376="Youngstock","Bezerra/recria","Novilha"))))</f>
        <v>Vaca em lactação</v>
      </c>
      <c r="X1376" s="0" t="str">
        <f aca="false">IF(AND(B1376&gt;=1,B1376&lt;=6),"Tanque",IF(B1376=10,"Descarte",""))</f>
        <v>Tanque</v>
      </c>
    </row>
    <row r="1377" customFormat="false" ht="15" hidden="false" customHeight="false" outlineLevel="0" collapsed="false">
      <c r="A1377" s="22" t="n">
        <v>46309</v>
      </c>
      <c r="B1377" s="0" t="n">
        <v>5</v>
      </c>
      <c r="C1377" s="0" t="n">
        <v>4532</v>
      </c>
      <c r="D1377" s="0" t="n">
        <v>182</v>
      </c>
      <c r="E1377" s="0" t="n">
        <v>2</v>
      </c>
      <c r="F1377" s="23" t="s">
        <v>863</v>
      </c>
      <c r="G1377" s="0" t="n">
        <v>20.9</v>
      </c>
      <c r="H1377" s="0" t="n">
        <v>24</v>
      </c>
      <c r="I1377" s="23" t="s">
        <v>97</v>
      </c>
      <c r="J1377" s="0" t="n">
        <v>182</v>
      </c>
      <c r="K1377" s="0" t="n">
        <v>63</v>
      </c>
      <c r="M1377" s="0" t="n">
        <v>403.75</v>
      </c>
      <c r="N1377" s="0" t="n">
        <v>64.35</v>
      </c>
      <c r="O1377" s="0" t="n">
        <v>22.76</v>
      </c>
      <c r="P1377" s="0" t="n">
        <v>4.91</v>
      </c>
      <c r="Q1377" s="0" t="n">
        <v>3.59</v>
      </c>
      <c r="R1377" s="0" t="n">
        <v>4663</v>
      </c>
      <c r="S1377" s="0" t="n">
        <v>8476</v>
      </c>
      <c r="T1377" s="0" t="n">
        <v>51.3</v>
      </c>
      <c r="U1377" s="0" t="n">
        <v>1337</v>
      </c>
      <c r="V1377" s="0" t="n">
        <v>3</v>
      </c>
      <c r="W1377" s="0" t="str">
        <f aca="false">IF(OR(AND(B1377&gt;=1,B1377&lt;=6),B1377=10),"Vaca em lactação",IF(I1377="Male","Macho",IF(E1377&gt;=1,"Vaca seca",IF(I1377="Youngstock","Bezerra/recria","Novilha"))))</f>
        <v>Vaca em lactação</v>
      </c>
      <c r="X1377" s="0" t="str">
        <f aca="false">IF(AND(B1377&gt;=1,B1377&lt;=6),"Tanque",IF(B1377=10,"Descarte",""))</f>
        <v>Tanque</v>
      </c>
    </row>
    <row r="1378" customFormat="false" ht="15" hidden="false" customHeight="false" outlineLevel="0" collapsed="false">
      <c r="A1378" s="22" t="n">
        <v>46309</v>
      </c>
      <c r="B1378" s="0" t="n">
        <v>5</v>
      </c>
      <c r="C1378" s="0" t="n">
        <v>4531</v>
      </c>
      <c r="D1378" s="0" t="n">
        <v>365</v>
      </c>
      <c r="E1378" s="0" t="n">
        <v>2</v>
      </c>
      <c r="F1378" s="23" t="s">
        <v>863</v>
      </c>
      <c r="G1378" s="0" t="n">
        <v>42.9</v>
      </c>
      <c r="H1378" s="0" t="n">
        <v>42</v>
      </c>
      <c r="I1378" s="23" t="s">
        <v>92</v>
      </c>
      <c r="J1378" s="0" t="n">
        <v>180</v>
      </c>
      <c r="K1378" s="0" t="n">
        <v>65</v>
      </c>
      <c r="L1378" s="0" t="n">
        <v>185</v>
      </c>
      <c r="M1378" s="0" t="n">
        <v>829.9</v>
      </c>
      <c r="N1378" s="0" t="n">
        <v>33.65</v>
      </c>
      <c r="O1378" s="0" t="n">
        <v>28.15</v>
      </c>
      <c r="P1378" s="0" t="n">
        <v>3.55</v>
      </c>
      <c r="Q1378" s="0" t="n">
        <v>3.57</v>
      </c>
      <c r="R1378" s="0" t="n">
        <v>5603</v>
      </c>
      <c r="S1378" s="0" t="n">
        <v>11151</v>
      </c>
      <c r="T1378" s="0" t="n">
        <v>63.3</v>
      </c>
      <c r="U1378" s="0" t="n">
        <v>1337</v>
      </c>
      <c r="V1378" s="0" t="n">
        <v>5</v>
      </c>
      <c r="W1378" s="0" t="str">
        <f aca="false">IF(OR(AND(B1378&gt;=1,B1378&lt;=6),B1378=10),"Vaca em lactação",IF(I1378="Male","Macho",IF(E1378&gt;=1,"Vaca seca",IF(I1378="Youngstock","Bezerra/recria","Novilha"))))</f>
        <v>Vaca em lactação</v>
      </c>
      <c r="X1378" s="0" t="str">
        <f aca="false">IF(AND(B1378&gt;=1,B1378&lt;=6),"Tanque",IF(B1378=10,"Descarte",""))</f>
        <v>Tanque</v>
      </c>
    </row>
    <row r="1379" customFormat="false" ht="15" hidden="false" customHeight="false" outlineLevel="0" collapsed="false">
      <c r="A1379" s="22" t="n">
        <v>46309</v>
      </c>
      <c r="B1379" s="0" t="n">
        <v>5</v>
      </c>
      <c r="C1379" s="0" t="n">
        <v>4541</v>
      </c>
      <c r="D1379" s="0" t="n">
        <v>360</v>
      </c>
      <c r="E1379" s="0" t="n">
        <v>2</v>
      </c>
      <c r="F1379" s="23" t="s">
        <v>864</v>
      </c>
      <c r="G1379" s="0" t="n">
        <v>34.7</v>
      </c>
      <c r="H1379" s="0" t="n">
        <v>35</v>
      </c>
      <c r="I1379" s="23" t="s">
        <v>92</v>
      </c>
      <c r="J1379" s="0" t="n">
        <v>189</v>
      </c>
      <c r="K1379" s="0" t="n">
        <v>67</v>
      </c>
      <c r="L1379" s="0" t="n">
        <v>171</v>
      </c>
      <c r="M1379" s="0" t="n">
        <v>589.35</v>
      </c>
      <c r="N1379" s="0" t="n">
        <v>62.28</v>
      </c>
      <c r="O1379" s="0" t="n">
        <v>27.7</v>
      </c>
      <c r="P1379" s="0" t="n">
        <v>4.48</v>
      </c>
      <c r="Q1379" s="0" t="n">
        <v>3.84</v>
      </c>
      <c r="R1379" s="0" t="n">
        <v>5418</v>
      </c>
      <c r="S1379" s="0" t="n">
        <v>11420</v>
      </c>
      <c r="T1379" s="0" t="n">
        <v>58.4</v>
      </c>
      <c r="U1379" s="0" t="n">
        <v>1333</v>
      </c>
      <c r="V1379" s="0" t="n">
        <v>5</v>
      </c>
      <c r="W1379" s="0" t="str">
        <f aca="false">IF(OR(AND(B1379&gt;=1,B1379&lt;=6),B1379=10),"Vaca em lactação",IF(I1379="Male","Macho",IF(E1379&gt;=1,"Vaca seca",IF(I1379="Youngstock","Bezerra/recria","Novilha"))))</f>
        <v>Vaca em lactação</v>
      </c>
      <c r="X1379" s="0" t="str">
        <f aca="false">IF(AND(B1379&gt;=1,B1379&lt;=6),"Tanque",IF(B1379=10,"Descarte",""))</f>
        <v>Tanque</v>
      </c>
    </row>
    <row r="1380" customFormat="false" ht="15" hidden="false" customHeight="false" outlineLevel="0" collapsed="false">
      <c r="A1380" s="22" t="n">
        <v>46309</v>
      </c>
      <c r="B1380" s="0" t="n">
        <v>5</v>
      </c>
      <c r="C1380" s="0" t="n">
        <v>4534</v>
      </c>
      <c r="D1380" s="0" t="n">
        <v>275</v>
      </c>
      <c r="E1380" s="0" t="n">
        <v>2</v>
      </c>
      <c r="F1380" s="23" t="s">
        <v>865</v>
      </c>
      <c r="G1380" s="0" t="n">
        <v>27.3</v>
      </c>
      <c r="H1380" s="0" t="n">
        <v>23</v>
      </c>
      <c r="I1380" s="23" t="s">
        <v>92</v>
      </c>
      <c r="J1380" s="0" t="n">
        <v>65</v>
      </c>
      <c r="K1380" s="0" t="n">
        <v>72</v>
      </c>
      <c r="L1380" s="0" t="n">
        <v>210</v>
      </c>
      <c r="M1380" s="0" t="n">
        <v>89.83</v>
      </c>
      <c r="N1380" s="0" t="n">
        <v>39.32</v>
      </c>
      <c r="O1380" s="0" t="n">
        <v>22.17</v>
      </c>
      <c r="P1380" s="0" t="n">
        <v>5.11</v>
      </c>
      <c r="Q1380" s="0" t="n">
        <v>4.19</v>
      </c>
      <c r="R1380" s="0" t="n">
        <v>4691</v>
      </c>
      <c r="S1380" s="0" t="n">
        <v>9622</v>
      </c>
      <c r="T1380" s="0" t="n">
        <v>43.75</v>
      </c>
      <c r="U1380" s="0" t="n">
        <v>1334</v>
      </c>
      <c r="V1380" s="0" t="n">
        <v>1</v>
      </c>
      <c r="W1380" s="0" t="str">
        <f aca="false">IF(OR(AND(B1380&gt;=1,B1380&lt;=6),B1380=10),"Vaca em lactação",IF(I1380="Male","Macho",IF(E1380&gt;=1,"Vaca seca",IF(I1380="Youngstock","Bezerra/recria","Novilha"))))</f>
        <v>Vaca em lactação</v>
      </c>
      <c r="X1380" s="0" t="str">
        <f aca="false">IF(AND(B1380&gt;=1,B1380&lt;=6),"Tanque",IF(B1380=10,"Descarte",""))</f>
        <v>Tanque</v>
      </c>
    </row>
    <row r="1381" customFormat="false" ht="15" hidden="false" customHeight="false" outlineLevel="0" collapsed="false">
      <c r="A1381" s="22" t="n">
        <v>46309</v>
      </c>
      <c r="B1381" s="0" t="n">
        <v>5</v>
      </c>
      <c r="C1381" s="0" t="n">
        <v>4546</v>
      </c>
      <c r="D1381" s="0" t="n">
        <v>275</v>
      </c>
      <c r="E1381" s="0" t="n">
        <v>2</v>
      </c>
      <c r="F1381" s="23" t="s">
        <v>386</v>
      </c>
      <c r="G1381" s="0" t="n">
        <v>38.5</v>
      </c>
      <c r="H1381" s="0" t="n">
        <v>31</v>
      </c>
      <c r="I1381" s="23" t="s">
        <v>92</v>
      </c>
      <c r="J1381" s="0" t="n">
        <v>121</v>
      </c>
      <c r="K1381" s="0" t="n">
        <v>72</v>
      </c>
      <c r="L1381" s="0" t="n">
        <v>154</v>
      </c>
      <c r="M1381" s="0" t="n">
        <v>-169.73</v>
      </c>
      <c r="N1381" s="0" t="n">
        <v>52.71</v>
      </c>
      <c r="O1381" s="0" t="n">
        <v>23.15</v>
      </c>
      <c r="P1381" s="0" t="n">
        <v>5.53</v>
      </c>
      <c r="Q1381" s="0" t="n">
        <v>4.59</v>
      </c>
      <c r="R1381" s="0" t="n">
        <v>4443</v>
      </c>
      <c r="S1381" s="0" t="n">
        <v>8841</v>
      </c>
      <c r="T1381" s="0" t="n">
        <v>47.2</v>
      </c>
      <c r="U1381" s="0" t="n">
        <v>1331</v>
      </c>
      <c r="V1381" s="0" t="n">
        <v>2</v>
      </c>
      <c r="W1381" s="0" t="str">
        <f aca="false">IF(OR(AND(B1381&gt;=1,B1381&lt;=6),B1381=10),"Vaca em lactação",IF(I1381="Male","Macho",IF(E1381&gt;=1,"Vaca seca",IF(I1381="Youngstock","Bezerra/recria","Novilha"))))</f>
        <v>Vaca em lactação</v>
      </c>
      <c r="X1381" s="0" t="str">
        <f aca="false">IF(AND(B1381&gt;=1,B1381&lt;=6),"Tanque",IF(B1381=10,"Descarte",""))</f>
        <v>Tanque</v>
      </c>
    </row>
    <row r="1382" customFormat="false" ht="15" hidden="false" customHeight="false" outlineLevel="0" collapsed="false">
      <c r="A1382" s="22" t="n">
        <v>46309</v>
      </c>
      <c r="B1382" s="0" t="n">
        <v>5</v>
      </c>
      <c r="C1382" s="0" t="n">
        <v>4558</v>
      </c>
      <c r="D1382" s="0" t="n">
        <v>28</v>
      </c>
      <c r="E1382" s="0" t="n">
        <v>3</v>
      </c>
      <c r="F1382" s="23" t="s">
        <v>866</v>
      </c>
      <c r="G1382" s="0" t="n">
        <v>36.4</v>
      </c>
      <c r="H1382" s="0" t="n">
        <v>34</v>
      </c>
      <c r="I1382" s="23" t="s">
        <v>94</v>
      </c>
      <c r="J1382" s="0" t="n">
        <v>28</v>
      </c>
      <c r="M1382" s="0" t="n">
        <v>224.16</v>
      </c>
      <c r="N1382" s="0" t="n">
        <v>40.85</v>
      </c>
      <c r="O1382" s="0" t="n">
        <v>24.97</v>
      </c>
      <c r="P1382" s="0" t="n">
        <v>0</v>
      </c>
      <c r="Q1382" s="0" t="n">
        <v>0</v>
      </c>
      <c r="R1382" s="0" t="n">
        <v>2852</v>
      </c>
      <c r="S1382" s="0" t="n">
        <v>5734</v>
      </c>
      <c r="U1382" s="0" t="n">
        <v>1328</v>
      </c>
      <c r="V1382" s="0" t="n">
        <v>0</v>
      </c>
      <c r="W1382" s="0" t="str">
        <f aca="false">IF(OR(AND(B1382&gt;=1,B1382&lt;=6),B1382=10),"Vaca em lactação",IF(I1382="Male","Macho",IF(E1382&gt;=1,"Vaca seca",IF(I1382="Youngstock","Bezerra/recria","Novilha"))))</f>
        <v>Vaca em lactação</v>
      </c>
      <c r="X1382" s="0" t="str">
        <f aca="false">IF(AND(B1382&gt;=1,B1382&lt;=6),"Tanque",IF(B1382=10,"Descarte",""))</f>
        <v>Tanque</v>
      </c>
    </row>
    <row r="1383" customFormat="false" ht="15" hidden="false" customHeight="false" outlineLevel="0" collapsed="false">
      <c r="A1383" s="22" t="n">
        <v>46309</v>
      </c>
      <c r="B1383" s="0" t="n">
        <v>5</v>
      </c>
      <c r="C1383" s="0" t="n">
        <v>4557</v>
      </c>
      <c r="D1383" s="0" t="n">
        <v>148</v>
      </c>
      <c r="E1383" s="0" t="n">
        <v>2</v>
      </c>
      <c r="F1383" s="23" t="s">
        <v>866</v>
      </c>
      <c r="G1383" s="0" t="n">
        <v>38.9</v>
      </c>
      <c r="H1383" s="0" t="n">
        <v>35</v>
      </c>
      <c r="I1383" s="23" t="s">
        <v>109</v>
      </c>
      <c r="J1383" s="0" t="n">
        <v>148</v>
      </c>
      <c r="K1383" s="0" t="n">
        <v>64</v>
      </c>
      <c r="M1383" s="0" t="n">
        <v>822.32</v>
      </c>
      <c r="N1383" s="0" t="n">
        <v>41.77</v>
      </c>
      <c r="O1383" s="0" t="n">
        <v>35.74</v>
      </c>
      <c r="P1383" s="0" t="n">
        <v>3.52</v>
      </c>
      <c r="Q1383" s="0" t="n">
        <v>4.1</v>
      </c>
      <c r="R1383" s="0" t="n">
        <v>4335</v>
      </c>
      <c r="S1383" s="0" t="n">
        <v>7960</v>
      </c>
      <c r="T1383" s="0" t="n">
        <v>46.55</v>
      </c>
      <c r="U1383" s="0" t="n">
        <v>1328</v>
      </c>
      <c r="V1383" s="0" t="n">
        <v>2</v>
      </c>
      <c r="W1383" s="0" t="str">
        <f aca="false">IF(OR(AND(B1383&gt;=1,B1383&lt;=6),B1383=10),"Vaca em lactação",IF(I1383="Male","Macho",IF(E1383&gt;=1,"Vaca seca",IF(I1383="Youngstock","Bezerra/recria","Novilha"))))</f>
        <v>Vaca em lactação</v>
      </c>
      <c r="X1383" s="0" t="str">
        <f aca="false">IF(AND(B1383&gt;=1,B1383&lt;=6),"Tanque",IF(B1383=10,"Descarte",""))</f>
        <v>Tanque</v>
      </c>
    </row>
    <row r="1384" customFormat="false" ht="15" hidden="false" customHeight="false" outlineLevel="0" collapsed="false">
      <c r="A1384" s="22" t="n">
        <v>46309</v>
      </c>
      <c r="B1384" s="0" t="n">
        <v>5</v>
      </c>
      <c r="C1384" s="0" t="n">
        <v>4500</v>
      </c>
      <c r="D1384" s="0" t="n">
        <v>278</v>
      </c>
      <c r="E1384" s="0" t="n">
        <v>2</v>
      </c>
      <c r="F1384" s="23" t="s">
        <v>867</v>
      </c>
      <c r="G1384" s="0" t="n">
        <v>44.2</v>
      </c>
      <c r="H1384" s="0" t="n">
        <v>40</v>
      </c>
      <c r="I1384" s="23" t="s">
        <v>92</v>
      </c>
      <c r="J1384" s="0" t="n">
        <v>166</v>
      </c>
      <c r="K1384" s="0" t="n">
        <v>68</v>
      </c>
      <c r="L1384" s="0" t="n">
        <v>112</v>
      </c>
      <c r="M1384" s="0" t="n">
        <v>1255.19</v>
      </c>
      <c r="N1384" s="0" t="n">
        <v>31.34</v>
      </c>
      <c r="O1384" s="0" t="n">
        <v>33.48</v>
      </c>
      <c r="P1384" s="0" t="n">
        <v>2.49</v>
      </c>
      <c r="Q1384" s="0" t="n">
        <v>3.66</v>
      </c>
      <c r="R1384" s="0" t="n">
        <v>5447</v>
      </c>
      <c r="S1384" s="0" t="n">
        <v>11517</v>
      </c>
      <c r="T1384" s="0" t="n">
        <v>54.6</v>
      </c>
      <c r="U1384" s="0" t="n">
        <v>1352</v>
      </c>
      <c r="V1384" s="0" t="n">
        <v>4</v>
      </c>
      <c r="W1384" s="0" t="str">
        <f aca="false">IF(OR(AND(B1384&gt;=1,B1384&lt;=6),B1384=10),"Vaca em lactação",IF(I1384="Male","Macho",IF(E1384&gt;=1,"Vaca seca",IF(I1384="Youngstock","Bezerra/recria","Novilha"))))</f>
        <v>Vaca em lactação</v>
      </c>
      <c r="X1384" s="0" t="str">
        <f aca="false">IF(AND(B1384&gt;=1,B1384&lt;=6),"Tanque",IF(B1384=10,"Descarte",""))</f>
        <v>Tanque</v>
      </c>
    </row>
    <row r="1385" customFormat="false" ht="15" hidden="false" customHeight="false" outlineLevel="0" collapsed="false">
      <c r="A1385" s="22" t="n">
        <v>46309</v>
      </c>
      <c r="B1385" s="0" t="n">
        <v>5</v>
      </c>
      <c r="C1385" s="0" t="n">
        <v>4499</v>
      </c>
      <c r="D1385" s="0" t="n">
        <v>267</v>
      </c>
      <c r="E1385" s="0" t="n">
        <v>2</v>
      </c>
      <c r="F1385" s="23" t="s">
        <v>867</v>
      </c>
      <c r="G1385" s="0" t="n">
        <v>38.8</v>
      </c>
      <c r="H1385" s="0" t="n">
        <v>42</v>
      </c>
      <c r="I1385" s="23" t="s">
        <v>92</v>
      </c>
      <c r="J1385" s="0" t="n">
        <v>157</v>
      </c>
      <c r="K1385" s="0" t="n">
        <v>64</v>
      </c>
      <c r="L1385" s="0" t="n">
        <v>110</v>
      </c>
      <c r="M1385" s="0" t="n">
        <v>750.44</v>
      </c>
      <c r="N1385" s="0" t="n">
        <v>46.8</v>
      </c>
      <c r="O1385" s="0" t="n">
        <v>32.17</v>
      </c>
      <c r="P1385" s="0" t="n">
        <v>3.88</v>
      </c>
      <c r="Q1385" s="0" t="n">
        <v>3.89</v>
      </c>
      <c r="R1385" s="0" t="n">
        <v>5430</v>
      </c>
      <c r="S1385" s="0" t="n">
        <v>10386</v>
      </c>
      <c r="T1385" s="0" t="n">
        <v>58.45</v>
      </c>
      <c r="U1385" s="0" t="n">
        <v>1352</v>
      </c>
      <c r="V1385" s="0" t="n">
        <v>4</v>
      </c>
      <c r="W1385" s="0" t="str">
        <f aca="false">IF(OR(AND(B1385&gt;=1,B1385&lt;=6),B1385=10),"Vaca em lactação",IF(I1385="Male","Macho",IF(E1385&gt;=1,"Vaca seca",IF(I1385="Youngstock","Bezerra/recria","Novilha"))))</f>
        <v>Vaca em lactação</v>
      </c>
      <c r="X1385" s="0" t="str">
        <f aca="false">IF(AND(B1385&gt;=1,B1385&lt;=6),"Tanque",IF(B1385=10,"Descarte",""))</f>
        <v>Tanque</v>
      </c>
    </row>
    <row r="1386" customFormat="false" ht="15" hidden="false" customHeight="false" outlineLevel="0" collapsed="false">
      <c r="A1386" s="22" t="n">
        <v>46309</v>
      </c>
      <c r="B1386" s="0" t="n">
        <v>5</v>
      </c>
      <c r="C1386" s="0" t="n">
        <v>4498</v>
      </c>
      <c r="D1386" s="0" t="n">
        <v>326</v>
      </c>
      <c r="E1386" s="0" t="n">
        <v>2</v>
      </c>
      <c r="F1386" s="23" t="s">
        <v>867</v>
      </c>
      <c r="G1386" s="0" t="n">
        <v>39.8</v>
      </c>
      <c r="H1386" s="0" t="n">
        <v>33</v>
      </c>
      <c r="I1386" s="23" t="s">
        <v>92</v>
      </c>
      <c r="J1386" s="0" t="n">
        <v>228</v>
      </c>
      <c r="K1386" s="0" t="n">
        <v>67</v>
      </c>
      <c r="L1386" s="0" t="n">
        <v>98</v>
      </c>
      <c r="M1386" s="0" t="n">
        <v>1095.04</v>
      </c>
      <c r="N1386" s="0" t="n">
        <v>28.6</v>
      </c>
      <c r="O1386" s="0" t="n">
        <v>29.86</v>
      </c>
      <c r="P1386" s="0" t="n">
        <v>4.75</v>
      </c>
      <c r="Q1386" s="0" t="n">
        <v>3.82</v>
      </c>
      <c r="R1386" s="0" t="n">
        <v>5801</v>
      </c>
      <c r="S1386" s="0" t="n">
        <v>11764</v>
      </c>
      <c r="T1386" s="0" t="n">
        <v>61.5</v>
      </c>
      <c r="U1386" s="0" t="n">
        <v>1352</v>
      </c>
      <c r="V1386" s="0" t="n">
        <v>5</v>
      </c>
      <c r="W1386" s="0" t="str">
        <f aca="false">IF(OR(AND(B1386&gt;=1,B1386&lt;=6),B1386=10),"Vaca em lactação",IF(I1386="Male","Macho",IF(E1386&gt;=1,"Vaca seca",IF(I1386="Youngstock","Bezerra/recria","Novilha"))))</f>
        <v>Vaca em lactação</v>
      </c>
      <c r="X1386" s="0" t="str">
        <f aca="false">IF(AND(B1386&gt;=1,B1386&lt;=6),"Tanque",IF(B1386=10,"Descarte",""))</f>
        <v>Tanque</v>
      </c>
    </row>
    <row r="1387" customFormat="false" ht="15" hidden="false" customHeight="false" outlineLevel="0" collapsed="false">
      <c r="A1387" s="22" t="n">
        <v>46309</v>
      </c>
      <c r="B1387" s="0" t="n">
        <v>5</v>
      </c>
      <c r="C1387" s="0" t="n">
        <v>4512</v>
      </c>
      <c r="D1387" s="0" t="n">
        <v>341</v>
      </c>
      <c r="E1387" s="0" t="n">
        <v>2</v>
      </c>
      <c r="F1387" s="23" t="s">
        <v>387</v>
      </c>
      <c r="G1387" s="0" t="n">
        <v>33.2</v>
      </c>
      <c r="H1387" s="0" t="n">
        <v>34</v>
      </c>
      <c r="I1387" s="23" t="s">
        <v>92</v>
      </c>
      <c r="J1387" s="0" t="n">
        <v>124</v>
      </c>
      <c r="K1387" s="0" t="n">
        <v>68</v>
      </c>
      <c r="L1387" s="0" t="n">
        <v>217</v>
      </c>
      <c r="M1387" s="0" t="n">
        <v>626.55</v>
      </c>
      <c r="N1387" s="0" t="n">
        <v>69.16</v>
      </c>
      <c r="O1387" s="0" t="n">
        <v>40.77</v>
      </c>
      <c r="P1387" s="0" t="n">
        <v>0</v>
      </c>
      <c r="Q1387" s="0" t="n">
        <v>0</v>
      </c>
      <c r="R1387" s="0" t="n">
        <v>6115</v>
      </c>
      <c r="S1387" s="0" t="n">
        <v>11546</v>
      </c>
      <c r="T1387" s="0" t="n">
        <v>68.5</v>
      </c>
      <c r="U1387" s="0" t="n">
        <v>1345</v>
      </c>
      <c r="V1387" s="0" t="n">
        <v>2</v>
      </c>
      <c r="W1387" s="0" t="str">
        <f aca="false">IF(OR(AND(B1387&gt;=1,B1387&lt;=6),B1387=10),"Vaca em lactação",IF(I1387="Male","Macho",IF(E1387&gt;=1,"Vaca seca",IF(I1387="Youngstock","Bezerra/recria","Novilha"))))</f>
        <v>Vaca em lactação</v>
      </c>
      <c r="X1387" s="0" t="str">
        <f aca="false">IF(AND(B1387&gt;=1,B1387&lt;=6),"Tanque",IF(B1387=10,"Descarte",""))</f>
        <v>Tanque</v>
      </c>
    </row>
    <row r="1388" customFormat="false" ht="15" hidden="false" customHeight="false" outlineLevel="0" collapsed="false">
      <c r="A1388" s="22" t="n">
        <v>46309</v>
      </c>
      <c r="B1388" s="0" t="n">
        <v>5</v>
      </c>
      <c r="C1388" s="0" t="n">
        <v>4502</v>
      </c>
      <c r="D1388" s="0" t="n">
        <v>187</v>
      </c>
      <c r="E1388" s="0" t="n">
        <v>2</v>
      </c>
      <c r="F1388" s="23" t="s">
        <v>868</v>
      </c>
      <c r="G1388" s="0" t="n">
        <v>34.4</v>
      </c>
      <c r="H1388" s="0" t="n">
        <v>33</v>
      </c>
      <c r="I1388" s="23" t="s">
        <v>97</v>
      </c>
      <c r="J1388" s="0" t="n">
        <v>187</v>
      </c>
      <c r="K1388" s="0" t="n">
        <v>68</v>
      </c>
      <c r="M1388" s="0" t="n">
        <v>96.17</v>
      </c>
      <c r="N1388" s="0" t="n">
        <v>58.51</v>
      </c>
      <c r="O1388" s="0" t="n">
        <v>21.56</v>
      </c>
      <c r="P1388" s="0" t="n">
        <v>4.16</v>
      </c>
      <c r="Q1388" s="0" t="n">
        <v>3.87</v>
      </c>
      <c r="R1388" s="0" t="n">
        <v>4521</v>
      </c>
      <c r="S1388" s="0" t="n">
        <v>7725</v>
      </c>
      <c r="T1388" s="0" t="n">
        <v>45.9</v>
      </c>
      <c r="U1388" s="0" t="n">
        <v>1350</v>
      </c>
      <c r="V1388" s="0" t="n">
        <v>4</v>
      </c>
      <c r="W1388" s="0" t="str">
        <f aca="false">IF(OR(AND(B1388&gt;=1,B1388&lt;=6),B1388=10),"Vaca em lactação",IF(I1388="Male","Macho",IF(E1388&gt;=1,"Vaca seca",IF(I1388="Youngstock","Bezerra/recria","Novilha"))))</f>
        <v>Vaca em lactação</v>
      </c>
      <c r="X1388" s="0" t="str">
        <f aca="false">IF(AND(B1388&gt;=1,B1388&lt;=6),"Tanque",IF(B1388=10,"Descarte",""))</f>
        <v>Tanque</v>
      </c>
    </row>
    <row r="1389" customFormat="false" ht="15" hidden="false" customHeight="false" outlineLevel="0" collapsed="false">
      <c r="A1389" s="22" t="n">
        <v>46309</v>
      </c>
      <c r="B1389" s="0" t="n">
        <v>5</v>
      </c>
      <c r="C1389" s="0" t="n">
        <v>4516</v>
      </c>
      <c r="D1389" s="0" t="n">
        <v>316</v>
      </c>
      <c r="E1389" s="0" t="n">
        <v>2</v>
      </c>
      <c r="F1389" s="23" t="s">
        <v>869</v>
      </c>
      <c r="G1389" s="0" t="n">
        <v>41</v>
      </c>
      <c r="H1389" s="0" t="n">
        <v>39</v>
      </c>
      <c r="I1389" s="23" t="s">
        <v>92</v>
      </c>
      <c r="J1389" s="0" t="n">
        <v>155</v>
      </c>
      <c r="K1389" s="0" t="n">
        <v>64</v>
      </c>
      <c r="L1389" s="0" t="n">
        <v>161</v>
      </c>
      <c r="M1389" s="0" t="n">
        <v>96.1</v>
      </c>
      <c r="N1389" s="0" t="n">
        <v>63.67</v>
      </c>
      <c r="O1389" s="0" t="n">
        <v>24.31</v>
      </c>
      <c r="P1389" s="0" t="n">
        <v>2.82</v>
      </c>
      <c r="Q1389" s="0" t="n">
        <v>3.7</v>
      </c>
      <c r="R1389" s="0" t="n">
        <v>5355</v>
      </c>
      <c r="S1389" s="0" t="n">
        <v>10627</v>
      </c>
      <c r="T1389" s="0" t="n">
        <v>58</v>
      </c>
      <c r="U1389" s="0" t="n">
        <v>1344</v>
      </c>
      <c r="V1389" s="0" t="n">
        <v>3</v>
      </c>
      <c r="W1389" s="0" t="str">
        <f aca="false">IF(OR(AND(B1389&gt;=1,B1389&lt;=6),B1389=10),"Vaca em lactação",IF(I1389="Male","Macho",IF(E1389&gt;=1,"Vaca seca",IF(I1389="Youngstock","Bezerra/recria","Novilha"))))</f>
        <v>Vaca em lactação</v>
      </c>
      <c r="X1389" s="0" t="str">
        <f aca="false">IF(AND(B1389&gt;=1,B1389&lt;=6),"Tanque",IF(B1389=10,"Descarte",""))</f>
        <v>Tanque</v>
      </c>
    </row>
    <row r="1390" customFormat="false" ht="15" hidden="false" customHeight="false" outlineLevel="0" collapsed="false">
      <c r="A1390" s="22" t="n">
        <v>46309</v>
      </c>
      <c r="B1390" s="0" t="n">
        <v>5</v>
      </c>
      <c r="C1390" s="0" t="n">
        <v>4525</v>
      </c>
      <c r="D1390" s="0" t="n">
        <v>346</v>
      </c>
      <c r="E1390" s="0" t="n">
        <v>2</v>
      </c>
      <c r="F1390" s="23" t="s">
        <v>870</v>
      </c>
      <c r="G1390" s="0" t="n">
        <v>44.2</v>
      </c>
      <c r="H1390" s="0" t="n">
        <v>43</v>
      </c>
      <c r="I1390" s="23" t="s">
        <v>92</v>
      </c>
      <c r="J1390" s="0" t="n">
        <v>234</v>
      </c>
      <c r="K1390" s="0" t="n">
        <v>67</v>
      </c>
      <c r="L1390" s="0" t="n">
        <v>112</v>
      </c>
      <c r="M1390" s="0" t="n">
        <v>307.27</v>
      </c>
      <c r="N1390" s="0" t="n">
        <v>13.06</v>
      </c>
      <c r="O1390" s="0" t="n">
        <v>10.49</v>
      </c>
      <c r="P1390" s="0" t="n">
        <v>4.31</v>
      </c>
      <c r="Q1390" s="0" t="n">
        <v>3.4</v>
      </c>
      <c r="R1390" s="0" t="n">
        <v>6007</v>
      </c>
      <c r="S1390" s="0" t="n">
        <v>11614</v>
      </c>
      <c r="T1390" s="0" t="n">
        <v>67.35</v>
      </c>
      <c r="U1390" s="0" t="n">
        <v>1341</v>
      </c>
      <c r="V1390" s="0" t="n">
        <v>4</v>
      </c>
      <c r="W1390" s="0" t="str">
        <f aca="false">IF(OR(AND(B1390&gt;=1,B1390&lt;=6),B1390=10),"Vaca em lactação",IF(I1390="Male","Macho",IF(E1390&gt;=1,"Vaca seca",IF(I1390="Youngstock","Bezerra/recria","Novilha"))))</f>
        <v>Vaca em lactação</v>
      </c>
      <c r="X1390" s="0" t="str">
        <f aca="false">IF(AND(B1390&gt;=1,B1390&lt;=6),"Tanque",IF(B1390=10,"Descarte",""))</f>
        <v>Tanque</v>
      </c>
    </row>
    <row r="1391" customFormat="false" ht="15" hidden="false" customHeight="false" outlineLevel="0" collapsed="false">
      <c r="A1391" s="22" t="n">
        <v>46309</v>
      </c>
      <c r="B1391" s="0" t="n">
        <v>5</v>
      </c>
      <c r="C1391" s="0" t="n">
        <v>4523</v>
      </c>
      <c r="D1391" s="0" t="n">
        <v>280</v>
      </c>
      <c r="E1391" s="0" t="n">
        <v>2</v>
      </c>
      <c r="F1391" s="23" t="s">
        <v>870</v>
      </c>
      <c r="G1391" s="0" t="n">
        <v>49.1</v>
      </c>
      <c r="H1391" s="0" t="n">
        <v>37</v>
      </c>
      <c r="I1391" s="23" t="s">
        <v>92</v>
      </c>
      <c r="J1391" s="0" t="n">
        <v>63</v>
      </c>
      <c r="K1391" s="0" t="n">
        <v>63</v>
      </c>
      <c r="L1391" s="0" t="n">
        <v>217</v>
      </c>
      <c r="M1391" s="0" t="n">
        <v>598.99</v>
      </c>
      <c r="N1391" s="0" t="n">
        <v>78.57</v>
      </c>
      <c r="O1391" s="0" t="n">
        <v>36.16</v>
      </c>
      <c r="P1391" s="0" t="n">
        <v>4.2</v>
      </c>
      <c r="Q1391" s="0" t="n">
        <v>3.65</v>
      </c>
      <c r="R1391" s="0" t="n">
        <v>4857</v>
      </c>
      <c r="S1391" s="0" t="n">
        <v>10980</v>
      </c>
      <c r="T1391" s="0" t="n">
        <v>49.9</v>
      </c>
      <c r="U1391" s="0" t="n">
        <v>1341</v>
      </c>
      <c r="V1391" s="0" t="n">
        <v>1</v>
      </c>
      <c r="W1391" s="0" t="str">
        <f aca="false">IF(OR(AND(B1391&gt;=1,B1391&lt;=6),B1391=10),"Vaca em lactação",IF(I1391="Male","Macho",IF(E1391&gt;=1,"Vaca seca",IF(I1391="Youngstock","Bezerra/recria","Novilha"))))</f>
        <v>Vaca em lactação</v>
      </c>
      <c r="X1391" s="0" t="str">
        <f aca="false">IF(AND(B1391&gt;=1,B1391&lt;=6),"Tanque",IF(B1391=10,"Descarte",""))</f>
        <v>Tanque</v>
      </c>
    </row>
    <row r="1392" customFormat="false" ht="15" hidden="false" customHeight="false" outlineLevel="0" collapsed="false">
      <c r="A1392" s="22" t="n">
        <v>46309</v>
      </c>
      <c r="B1392" s="0" t="n">
        <v>5</v>
      </c>
      <c r="C1392" s="0" t="n">
        <v>4599</v>
      </c>
      <c r="D1392" s="0" t="n">
        <v>152</v>
      </c>
      <c r="E1392" s="0" t="n">
        <v>2</v>
      </c>
      <c r="F1392" s="23" t="s">
        <v>871</v>
      </c>
      <c r="G1392" s="0" t="n">
        <v>31.1</v>
      </c>
      <c r="H1392" s="0" t="n">
        <v>31</v>
      </c>
      <c r="I1392" s="23" t="s">
        <v>97</v>
      </c>
      <c r="J1392" s="0" t="n">
        <v>152</v>
      </c>
      <c r="K1392" s="0" t="n">
        <v>68</v>
      </c>
      <c r="M1392" s="0" t="n">
        <v>373.74</v>
      </c>
      <c r="N1392" s="0" t="n">
        <v>64.15</v>
      </c>
      <c r="O1392" s="0" t="n">
        <v>27.33</v>
      </c>
      <c r="P1392" s="0" t="n">
        <v>4.37</v>
      </c>
      <c r="Q1392" s="0" t="n">
        <v>3.88</v>
      </c>
      <c r="R1392" s="0" t="n">
        <v>4506</v>
      </c>
      <c r="S1392" s="0" t="n">
        <v>7676</v>
      </c>
      <c r="T1392" s="0" t="n">
        <v>51.65</v>
      </c>
      <c r="U1392" s="0" t="n">
        <v>1312</v>
      </c>
      <c r="V1392" s="0" t="n">
        <v>3</v>
      </c>
      <c r="W1392" s="0" t="str">
        <f aca="false">IF(OR(AND(B1392&gt;=1,B1392&lt;=6),B1392=10),"Vaca em lactação",IF(I1392="Male","Macho",IF(E1392&gt;=1,"Vaca seca",IF(I1392="Youngstock","Bezerra/recria","Novilha"))))</f>
        <v>Vaca em lactação</v>
      </c>
      <c r="X1392" s="0" t="str">
        <f aca="false">IF(AND(B1392&gt;=1,B1392&lt;=6),"Tanque",IF(B1392=10,"Descarte",""))</f>
        <v>Tanque</v>
      </c>
    </row>
    <row r="1393" customFormat="false" ht="15" hidden="false" customHeight="false" outlineLevel="0" collapsed="false">
      <c r="A1393" s="22" t="n">
        <v>46309</v>
      </c>
      <c r="B1393" s="0" t="n">
        <v>5</v>
      </c>
      <c r="C1393" s="0" t="n">
        <v>4598</v>
      </c>
      <c r="D1393" s="0" t="n">
        <v>585</v>
      </c>
      <c r="E1393" s="0" t="n">
        <v>1</v>
      </c>
      <c r="F1393" s="23" t="s">
        <v>524</v>
      </c>
      <c r="G1393" s="0" t="n">
        <v>40.4</v>
      </c>
      <c r="H1393" s="0" t="n">
        <v>40</v>
      </c>
      <c r="I1393" s="23" t="s">
        <v>92</v>
      </c>
      <c r="J1393" s="0" t="n">
        <v>459</v>
      </c>
      <c r="K1393" s="0" t="n">
        <v>61</v>
      </c>
      <c r="L1393" s="0" t="n">
        <v>126</v>
      </c>
      <c r="M1393" s="0" t="n">
        <v>1049.1</v>
      </c>
      <c r="N1393" s="0" t="n">
        <v>57.61</v>
      </c>
      <c r="O1393" s="0" t="n">
        <v>44.24</v>
      </c>
      <c r="P1393" s="0" t="n">
        <v>4.7</v>
      </c>
      <c r="Q1393" s="0" t="n">
        <v>4.24</v>
      </c>
      <c r="R1393" s="0" t="n">
        <v>3686</v>
      </c>
      <c r="S1393" s="0" t="n">
        <v>8649</v>
      </c>
      <c r="T1393" s="0" t="n">
        <v>43.9</v>
      </c>
      <c r="U1393" s="0" t="n">
        <v>1313</v>
      </c>
      <c r="V1393" s="0" t="n">
        <v>9</v>
      </c>
      <c r="W1393" s="0" t="str">
        <f aca="false">IF(OR(AND(B1393&gt;=1,B1393&lt;=6),B1393=10),"Vaca em lactação",IF(I1393="Male","Macho",IF(E1393&gt;=1,"Vaca seca",IF(I1393="Youngstock","Bezerra/recria","Novilha"))))</f>
        <v>Vaca em lactação</v>
      </c>
      <c r="X1393" s="0" t="str">
        <f aca="false">IF(AND(B1393&gt;=1,B1393&lt;=6),"Tanque",IF(B1393=10,"Descarte",""))</f>
        <v>Tanque</v>
      </c>
    </row>
    <row r="1394" customFormat="false" ht="15" hidden="false" customHeight="false" outlineLevel="0" collapsed="false">
      <c r="A1394" s="22" t="n">
        <v>46309</v>
      </c>
      <c r="B1394" s="0" t="n">
        <v>5</v>
      </c>
      <c r="C1394" s="0" t="n">
        <v>4595</v>
      </c>
      <c r="D1394" s="0" t="n">
        <v>216</v>
      </c>
      <c r="E1394" s="0" t="n">
        <v>2</v>
      </c>
      <c r="F1394" s="23" t="s">
        <v>389</v>
      </c>
      <c r="G1394" s="0" t="n">
        <v>35.7</v>
      </c>
      <c r="H1394" s="0" t="n">
        <v>34</v>
      </c>
      <c r="I1394" s="23" t="s">
        <v>97</v>
      </c>
      <c r="J1394" s="0" t="n">
        <v>216</v>
      </c>
      <c r="K1394" s="0" t="n">
        <v>69</v>
      </c>
      <c r="M1394" s="0" t="n">
        <v>51.33</v>
      </c>
      <c r="N1394" s="0" t="n">
        <v>46.61</v>
      </c>
      <c r="O1394" s="0" t="n">
        <v>26.18</v>
      </c>
      <c r="P1394" s="0" t="n">
        <v>4.34</v>
      </c>
      <c r="Q1394" s="0" t="n">
        <v>4.22</v>
      </c>
      <c r="R1394" s="0" t="n">
        <v>4135</v>
      </c>
      <c r="S1394" s="0" t="n">
        <v>7439</v>
      </c>
      <c r="T1394" s="0" t="n">
        <v>42.95</v>
      </c>
      <c r="U1394" s="0" t="n">
        <v>1314</v>
      </c>
      <c r="V1394" s="0" t="n">
        <v>5</v>
      </c>
      <c r="W1394" s="0" t="str">
        <f aca="false">IF(OR(AND(B1394&gt;=1,B1394&lt;=6),B1394=10),"Vaca em lactação",IF(I1394="Male","Macho",IF(E1394&gt;=1,"Vaca seca",IF(I1394="Youngstock","Bezerra/recria","Novilha"))))</f>
        <v>Vaca em lactação</v>
      </c>
      <c r="X1394" s="0" t="str">
        <f aca="false">IF(AND(B1394&gt;=1,B1394&lt;=6),"Tanque",IF(B1394=10,"Descarte",""))</f>
        <v>Tanque</v>
      </c>
    </row>
    <row r="1395" customFormat="false" ht="15" hidden="false" customHeight="false" outlineLevel="0" collapsed="false">
      <c r="A1395" s="22" t="n">
        <v>46309</v>
      </c>
      <c r="B1395" s="0" t="n">
        <v>5</v>
      </c>
      <c r="C1395" s="0" t="n">
        <v>4593</v>
      </c>
      <c r="D1395" s="0" t="n">
        <v>316</v>
      </c>
      <c r="E1395" s="0" t="n">
        <v>2</v>
      </c>
      <c r="F1395" s="23" t="s">
        <v>389</v>
      </c>
      <c r="G1395" s="0" t="n">
        <v>29.9</v>
      </c>
      <c r="H1395" s="0" t="n">
        <v>25</v>
      </c>
      <c r="I1395" s="23" t="s">
        <v>92</v>
      </c>
      <c r="J1395" s="0" t="n">
        <v>99</v>
      </c>
      <c r="K1395" s="0" t="n">
        <v>64</v>
      </c>
      <c r="L1395" s="0" t="n">
        <v>217</v>
      </c>
      <c r="M1395" s="0" t="n">
        <v>113.6</v>
      </c>
      <c r="N1395" s="0" t="n">
        <v>57.07</v>
      </c>
      <c r="O1395" s="0" t="n">
        <v>28.17</v>
      </c>
      <c r="P1395" s="0" t="n">
        <v>4.74</v>
      </c>
      <c r="Q1395" s="0" t="n">
        <v>3.82</v>
      </c>
      <c r="R1395" s="0" t="n">
        <v>5144</v>
      </c>
      <c r="S1395" s="0" t="n">
        <v>10713</v>
      </c>
      <c r="T1395" s="0" t="n">
        <v>55.85</v>
      </c>
      <c r="U1395" s="0" t="n">
        <v>1314</v>
      </c>
      <c r="V1395" s="0" t="n">
        <v>2</v>
      </c>
      <c r="W1395" s="0" t="str">
        <f aca="false">IF(OR(AND(B1395&gt;=1,B1395&lt;=6),B1395=10),"Vaca em lactação",IF(I1395="Male","Macho",IF(E1395&gt;=1,"Vaca seca",IF(I1395="Youngstock","Bezerra/recria","Novilha"))))</f>
        <v>Vaca em lactação</v>
      </c>
      <c r="X1395" s="0" t="str">
        <f aca="false">IF(AND(B1395&gt;=1,B1395&lt;=6),"Tanque",IF(B1395=10,"Descarte",""))</f>
        <v>Tanque</v>
      </c>
    </row>
    <row r="1396" customFormat="false" ht="15" hidden="false" customHeight="false" outlineLevel="0" collapsed="false">
      <c r="A1396" s="22" t="n">
        <v>46309</v>
      </c>
      <c r="B1396" s="0" t="n">
        <v>5</v>
      </c>
      <c r="C1396" s="0" t="n">
        <v>4606</v>
      </c>
      <c r="D1396" s="0" t="n">
        <v>229</v>
      </c>
      <c r="E1396" s="0" t="n">
        <v>2</v>
      </c>
      <c r="F1396" s="23" t="s">
        <v>390</v>
      </c>
      <c r="G1396" s="0" t="n">
        <v>38.6</v>
      </c>
      <c r="H1396" s="0" t="n">
        <v>36</v>
      </c>
      <c r="I1396" s="23" t="s">
        <v>92</v>
      </c>
      <c r="J1396" s="0" t="n">
        <v>194</v>
      </c>
      <c r="K1396" s="0" t="n">
        <v>68</v>
      </c>
      <c r="L1396" s="0" t="n">
        <v>35</v>
      </c>
      <c r="M1396" s="0" t="n">
        <v>-602.08</v>
      </c>
      <c r="N1396" s="0" t="n">
        <v>3.43</v>
      </c>
      <c r="O1396" s="0" t="n">
        <v>5.04</v>
      </c>
      <c r="P1396" s="0" t="n">
        <v>4.53</v>
      </c>
      <c r="Q1396" s="0" t="n">
        <v>4.23</v>
      </c>
      <c r="R1396" s="0" t="n">
        <v>3587</v>
      </c>
      <c r="S1396" s="0" t="n">
        <v>8170</v>
      </c>
      <c r="T1396" s="0" t="n">
        <v>39.5</v>
      </c>
      <c r="U1396" s="0" t="n">
        <v>1311</v>
      </c>
      <c r="V1396" s="0" t="n">
        <v>5</v>
      </c>
      <c r="W1396" s="0" t="str">
        <f aca="false">IF(OR(AND(B1396&gt;=1,B1396&lt;=6),B1396=10),"Vaca em lactação",IF(I1396="Male","Macho",IF(E1396&gt;=1,"Vaca seca",IF(I1396="Youngstock","Bezerra/recria","Novilha"))))</f>
        <v>Vaca em lactação</v>
      </c>
      <c r="X1396" s="0" t="str">
        <f aca="false">IF(AND(B1396&gt;=1,B1396&lt;=6),"Tanque",IF(B1396=10,"Descarte",""))</f>
        <v>Tanque</v>
      </c>
    </row>
    <row r="1397" customFormat="false" ht="15" hidden="false" customHeight="false" outlineLevel="0" collapsed="false">
      <c r="A1397" s="22" t="n">
        <v>46309</v>
      </c>
      <c r="B1397" s="0" t="n">
        <v>5</v>
      </c>
      <c r="C1397" s="0" t="n">
        <v>4601</v>
      </c>
      <c r="D1397" s="0" t="n">
        <v>346</v>
      </c>
      <c r="E1397" s="0" t="n">
        <v>2</v>
      </c>
      <c r="F1397" s="23" t="s">
        <v>871</v>
      </c>
      <c r="G1397" s="0" t="n">
        <v>39.1</v>
      </c>
      <c r="H1397" s="0" t="n">
        <v>43</v>
      </c>
      <c r="I1397" s="23" t="s">
        <v>92</v>
      </c>
      <c r="J1397" s="0" t="n">
        <v>199</v>
      </c>
      <c r="K1397" s="0" t="n">
        <v>73</v>
      </c>
      <c r="L1397" s="0" t="n">
        <v>147</v>
      </c>
      <c r="M1397" s="0" t="n">
        <v>506.71</v>
      </c>
      <c r="N1397" s="0" t="n">
        <v>36.09</v>
      </c>
      <c r="O1397" s="0" t="n">
        <v>32.61</v>
      </c>
      <c r="P1397" s="0" t="n">
        <v>4.89</v>
      </c>
      <c r="Q1397" s="0" t="n">
        <v>4.33</v>
      </c>
      <c r="R1397" s="0" t="n">
        <v>5352</v>
      </c>
      <c r="S1397" s="0" t="n">
        <v>9061</v>
      </c>
      <c r="T1397" s="0" t="n">
        <v>59.8</v>
      </c>
      <c r="U1397" s="0" t="n">
        <v>1312</v>
      </c>
      <c r="V1397" s="0" t="n">
        <v>6</v>
      </c>
      <c r="W1397" s="0" t="str">
        <f aca="false">IF(OR(AND(B1397&gt;=1,B1397&lt;=6),B1397=10),"Vaca em lactação",IF(I1397="Male","Macho",IF(E1397&gt;=1,"Vaca seca",IF(I1397="Youngstock","Bezerra/recria","Novilha"))))</f>
        <v>Vaca em lactação</v>
      </c>
      <c r="X1397" s="0" t="str">
        <f aca="false">IF(AND(B1397&gt;=1,B1397&lt;=6),"Tanque",IF(B1397=10,"Descarte",""))</f>
        <v>Tanque</v>
      </c>
    </row>
    <row r="1398" customFormat="false" ht="15" hidden="false" customHeight="false" outlineLevel="0" collapsed="false">
      <c r="A1398" s="22" t="n">
        <v>46309</v>
      </c>
      <c r="B1398" s="0" t="n">
        <v>5</v>
      </c>
      <c r="C1398" s="0" t="n">
        <v>4616</v>
      </c>
      <c r="D1398" s="0" t="n">
        <v>213</v>
      </c>
      <c r="E1398" s="0" t="n">
        <v>2</v>
      </c>
      <c r="F1398" s="23" t="s">
        <v>872</v>
      </c>
      <c r="G1398" s="0" t="n">
        <v>49.3</v>
      </c>
      <c r="H1398" s="0" t="n">
        <v>47</v>
      </c>
      <c r="I1398" s="23" t="s">
        <v>92</v>
      </c>
      <c r="J1398" s="0" t="n">
        <v>152</v>
      </c>
      <c r="K1398" s="0" t="n">
        <v>66</v>
      </c>
      <c r="L1398" s="0" t="n">
        <v>61</v>
      </c>
      <c r="M1398" s="0" t="n">
        <v>1019.68</v>
      </c>
      <c r="N1398" s="0" t="n">
        <v>60.32</v>
      </c>
      <c r="O1398" s="0" t="n">
        <v>45.76</v>
      </c>
      <c r="P1398" s="0" t="n">
        <v>4.07</v>
      </c>
      <c r="Q1398" s="0" t="n">
        <v>4</v>
      </c>
      <c r="R1398" s="0" t="n">
        <v>3803</v>
      </c>
      <c r="S1398" s="0" t="n">
        <v>7308</v>
      </c>
      <c r="T1398" s="0" t="n">
        <v>38.05</v>
      </c>
      <c r="U1398" s="0" t="n">
        <v>1307</v>
      </c>
      <c r="V1398" s="0" t="n">
        <v>3</v>
      </c>
      <c r="W1398" s="0" t="str">
        <f aca="false">IF(OR(AND(B1398&gt;=1,B1398&lt;=6),B1398=10),"Vaca em lactação",IF(I1398="Male","Macho",IF(E1398&gt;=1,"Vaca seca",IF(I1398="Youngstock","Bezerra/recria","Novilha"))))</f>
        <v>Vaca em lactação</v>
      </c>
      <c r="X1398" s="0" t="str">
        <f aca="false">IF(AND(B1398&gt;=1,B1398&lt;=6),"Tanque",IF(B1398=10,"Descarte",""))</f>
        <v>Tanque</v>
      </c>
    </row>
    <row r="1399" customFormat="false" ht="15" hidden="false" customHeight="false" outlineLevel="0" collapsed="false">
      <c r="A1399" s="22" t="n">
        <v>46309</v>
      </c>
      <c r="B1399" s="0" t="n">
        <v>5</v>
      </c>
      <c r="C1399" s="0" t="n">
        <v>4614</v>
      </c>
      <c r="D1399" s="0" t="n">
        <v>253</v>
      </c>
      <c r="E1399" s="0" t="n">
        <v>2</v>
      </c>
      <c r="F1399" s="23" t="s">
        <v>687</v>
      </c>
      <c r="G1399" s="0" t="n">
        <v>46.7</v>
      </c>
      <c r="H1399" s="0" t="n">
        <v>42</v>
      </c>
      <c r="I1399" s="23" t="s">
        <v>92</v>
      </c>
      <c r="J1399" s="0" t="n">
        <v>127</v>
      </c>
      <c r="K1399" s="0" t="n">
        <v>64</v>
      </c>
      <c r="L1399" s="0" t="n">
        <v>126</v>
      </c>
      <c r="M1399" s="0" t="n">
        <v>246.55</v>
      </c>
      <c r="N1399" s="0" t="n">
        <v>59.39</v>
      </c>
      <c r="O1399" s="0" t="n">
        <v>29.23</v>
      </c>
      <c r="P1399" s="0" t="n">
        <v>4.24</v>
      </c>
      <c r="Q1399" s="0" t="n">
        <v>3.86</v>
      </c>
      <c r="R1399" s="0" t="n">
        <v>4704</v>
      </c>
      <c r="S1399" s="0" t="n">
        <v>9841</v>
      </c>
      <c r="T1399" s="0" t="n">
        <v>51.35</v>
      </c>
      <c r="U1399" s="0" t="n">
        <v>1308</v>
      </c>
      <c r="V1399" s="0" t="n">
        <v>3</v>
      </c>
      <c r="W1399" s="0" t="str">
        <f aca="false">IF(OR(AND(B1399&gt;=1,B1399&lt;=6),B1399=10),"Vaca em lactação",IF(I1399="Male","Macho",IF(E1399&gt;=1,"Vaca seca",IF(I1399="Youngstock","Bezerra/recria","Novilha"))))</f>
        <v>Vaca em lactação</v>
      </c>
      <c r="X1399" s="0" t="str">
        <f aca="false">IF(AND(B1399&gt;=1,B1399&lt;=6),"Tanque",IF(B1399=10,"Descarte",""))</f>
        <v>Tanque</v>
      </c>
    </row>
    <row r="1400" customFormat="false" ht="15" hidden="false" customHeight="false" outlineLevel="0" collapsed="false">
      <c r="A1400" s="22" t="n">
        <v>46309</v>
      </c>
      <c r="B1400" s="0" t="n">
        <v>5</v>
      </c>
      <c r="C1400" s="0" t="n">
        <v>4612</v>
      </c>
      <c r="D1400" s="0" t="n">
        <v>270</v>
      </c>
      <c r="E1400" s="0" t="n">
        <v>2</v>
      </c>
      <c r="F1400" s="23" t="s">
        <v>687</v>
      </c>
      <c r="G1400" s="0" t="n">
        <v>16.1</v>
      </c>
      <c r="H1400" s="0" t="n">
        <v>14</v>
      </c>
      <c r="I1400" s="23" t="s">
        <v>92</v>
      </c>
      <c r="J1400" s="0" t="n">
        <v>67</v>
      </c>
      <c r="K1400" s="0" t="n">
        <v>74</v>
      </c>
      <c r="L1400" s="0" t="n">
        <v>203</v>
      </c>
      <c r="M1400" s="0" t="n">
        <v>1075.48</v>
      </c>
      <c r="N1400" s="0" t="n">
        <v>36.25</v>
      </c>
      <c r="O1400" s="0" t="n">
        <v>30.54</v>
      </c>
      <c r="P1400" s="0" t="n">
        <v>3.85</v>
      </c>
      <c r="Q1400" s="0" t="n">
        <v>3.46</v>
      </c>
      <c r="R1400" s="0" t="n">
        <v>5044</v>
      </c>
      <c r="S1400" s="0" t="n">
        <v>10155</v>
      </c>
      <c r="T1400" s="0" t="n">
        <v>54.85</v>
      </c>
      <c r="U1400" s="0" t="n">
        <v>1308</v>
      </c>
      <c r="V1400" s="0" t="n">
        <v>1</v>
      </c>
      <c r="W1400" s="0" t="str">
        <f aca="false">IF(OR(AND(B1400&gt;=1,B1400&lt;=6),B1400=10),"Vaca em lactação",IF(I1400="Male","Macho",IF(E1400&gt;=1,"Vaca seca",IF(I1400="Youngstock","Bezerra/recria","Novilha"))))</f>
        <v>Vaca em lactação</v>
      </c>
      <c r="X1400" s="0" t="str">
        <f aca="false">IF(AND(B1400&gt;=1,B1400&lt;=6),"Tanque",IF(B1400=10,"Descarte",""))</f>
        <v>Tanque</v>
      </c>
    </row>
    <row r="1401" customFormat="false" ht="15" hidden="false" customHeight="false" outlineLevel="0" collapsed="false">
      <c r="A1401" s="22" t="n">
        <v>46309</v>
      </c>
      <c r="B1401" s="0" t="n">
        <v>5</v>
      </c>
      <c r="C1401" s="0" t="n">
        <v>4609</v>
      </c>
      <c r="D1401" s="0" t="n">
        <v>258</v>
      </c>
      <c r="E1401" s="0" t="n">
        <v>2</v>
      </c>
      <c r="F1401" s="23" t="s">
        <v>526</v>
      </c>
      <c r="G1401" s="0" t="n">
        <v>47.8</v>
      </c>
      <c r="H1401" s="0" t="n">
        <v>41</v>
      </c>
      <c r="I1401" s="23" t="s">
        <v>92</v>
      </c>
      <c r="J1401" s="0" t="n">
        <v>104</v>
      </c>
      <c r="K1401" s="0" t="n">
        <v>69</v>
      </c>
      <c r="L1401" s="0" t="n">
        <v>154</v>
      </c>
      <c r="M1401" s="0" t="n">
        <v>363.56</v>
      </c>
      <c r="N1401" s="0" t="n">
        <v>58.21</v>
      </c>
      <c r="O1401" s="0" t="n">
        <v>25.04</v>
      </c>
      <c r="P1401" s="0" t="n">
        <v>4</v>
      </c>
      <c r="Q1401" s="0" t="n">
        <v>3.65</v>
      </c>
      <c r="R1401" s="0" t="n">
        <v>4194</v>
      </c>
      <c r="S1401" s="0" t="n">
        <v>9342</v>
      </c>
      <c r="T1401" s="0" t="n">
        <v>59.35</v>
      </c>
      <c r="U1401" s="0" t="n">
        <v>1309</v>
      </c>
      <c r="V1401" s="0" t="n">
        <v>2</v>
      </c>
      <c r="W1401" s="0" t="str">
        <f aca="false">IF(OR(AND(B1401&gt;=1,B1401&lt;=6),B1401=10),"Vaca em lactação",IF(I1401="Male","Macho",IF(E1401&gt;=1,"Vaca seca",IF(I1401="Youngstock","Bezerra/recria","Novilha"))))</f>
        <v>Vaca em lactação</v>
      </c>
      <c r="X1401" s="0" t="str">
        <f aca="false">IF(AND(B1401&gt;=1,B1401&lt;=6),"Tanque",IF(B1401=10,"Descarte",""))</f>
        <v>Tanque</v>
      </c>
    </row>
    <row r="1402" customFormat="false" ht="15" hidden="false" customHeight="false" outlineLevel="0" collapsed="false">
      <c r="A1402" s="22" t="n">
        <v>46309</v>
      </c>
      <c r="B1402" s="0" t="n">
        <v>5</v>
      </c>
      <c r="C1402" s="0" t="n">
        <v>4608</v>
      </c>
      <c r="D1402" s="0" t="n">
        <v>209</v>
      </c>
      <c r="E1402" s="0" t="n">
        <v>2</v>
      </c>
      <c r="F1402" s="23" t="s">
        <v>525</v>
      </c>
      <c r="G1402" s="0" t="n">
        <v>34.4</v>
      </c>
      <c r="H1402" s="0" t="n">
        <v>34</v>
      </c>
      <c r="I1402" s="23" t="s">
        <v>506</v>
      </c>
      <c r="J1402" s="0" t="n">
        <v>209</v>
      </c>
      <c r="M1402" s="0" t="n">
        <v>279.97</v>
      </c>
      <c r="N1402" s="0" t="n">
        <v>38.06</v>
      </c>
      <c r="O1402" s="0" t="n">
        <v>19.86</v>
      </c>
      <c r="P1402" s="0" t="n">
        <v>4.81</v>
      </c>
      <c r="Q1402" s="0" t="n">
        <v>4.01</v>
      </c>
      <c r="R1402" s="0" t="n">
        <v>3088</v>
      </c>
      <c r="S1402" s="0" t="n">
        <v>6330</v>
      </c>
      <c r="T1402" s="0" t="n">
        <v>33.05</v>
      </c>
      <c r="U1402" s="0" t="n">
        <v>1310</v>
      </c>
      <c r="V1402" s="0" t="n">
        <v>0</v>
      </c>
      <c r="W1402" s="0" t="str">
        <f aca="false">IF(OR(AND(B1402&gt;=1,B1402&lt;=6),B1402=10),"Vaca em lactação",IF(I1402="Male","Macho",IF(E1402&gt;=1,"Vaca seca",IF(I1402="Youngstock","Bezerra/recria","Novilha"))))</f>
        <v>Vaca em lactação</v>
      </c>
      <c r="X1402" s="0" t="str">
        <f aca="false">IF(AND(B1402&gt;=1,B1402&lt;=6),"Tanque",IF(B1402=10,"Descarte",""))</f>
        <v>Tanque</v>
      </c>
    </row>
    <row r="1403" customFormat="false" ht="15" hidden="false" customHeight="false" outlineLevel="0" collapsed="false">
      <c r="A1403" s="22" t="n">
        <v>46309</v>
      </c>
      <c r="B1403" s="0" t="n">
        <v>5</v>
      </c>
      <c r="C1403" s="0" t="n">
        <v>4625</v>
      </c>
      <c r="D1403" s="0" t="n">
        <v>198</v>
      </c>
      <c r="E1403" s="0" t="n">
        <v>2</v>
      </c>
      <c r="F1403" s="23" t="s">
        <v>818</v>
      </c>
      <c r="G1403" s="0" t="n">
        <v>52</v>
      </c>
      <c r="H1403" s="0" t="n">
        <v>43</v>
      </c>
      <c r="I1403" s="23" t="s">
        <v>109</v>
      </c>
      <c r="J1403" s="0" t="n">
        <v>198</v>
      </c>
      <c r="K1403" s="0" t="n">
        <v>65</v>
      </c>
      <c r="M1403" s="0" t="n">
        <v>404.03</v>
      </c>
      <c r="N1403" s="0" t="n">
        <v>59.32</v>
      </c>
      <c r="O1403" s="0" t="n">
        <v>29.35</v>
      </c>
      <c r="P1403" s="0" t="n">
        <v>5.98</v>
      </c>
      <c r="Q1403" s="0" t="n">
        <v>3.78</v>
      </c>
      <c r="R1403" s="0" t="n">
        <v>5329</v>
      </c>
      <c r="S1403" s="0" t="n">
        <v>9706</v>
      </c>
      <c r="T1403" s="0" t="n">
        <v>56.6</v>
      </c>
      <c r="U1403" s="0" t="n">
        <v>1302</v>
      </c>
      <c r="V1403" s="0" t="n">
        <v>3</v>
      </c>
      <c r="W1403" s="0" t="str">
        <f aca="false">IF(OR(AND(B1403&gt;=1,B1403&lt;=6),B1403=10),"Vaca em lactação",IF(I1403="Male","Macho",IF(E1403&gt;=1,"Vaca seca",IF(I1403="Youngstock","Bezerra/recria","Novilha"))))</f>
        <v>Vaca em lactação</v>
      </c>
      <c r="X1403" s="0" t="str">
        <f aca="false">IF(AND(B1403&gt;=1,B1403&lt;=6),"Tanque",IF(B1403=10,"Descarte",""))</f>
        <v>Tanque</v>
      </c>
    </row>
    <row r="1404" customFormat="false" ht="15" hidden="false" customHeight="false" outlineLevel="0" collapsed="false">
      <c r="A1404" s="22" t="n">
        <v>46309</v>
      </c>
      <c r="B1404" s="0" t="n">
        <v>5</v>
      </c>
      <c r="C1404" s="0" t="n">
        <v>4620</v>
      </c>
      <c r="D1404" s="0" t="n">
        <v>226</v>
      </c>
      <c r="E1404" s="0" t="n">
        <v>2</v>
      </c>
      <c r="F1404" s="23" t="s">
        <v>872</v>
      </c>
      <c r="G1404" s="0" t="n">
        <v>48.5</v>
      </c>
      <c r="H1404" s="0" t="n">
        <v>42</v>
      </c>
      <c r="I1404" s="23" t="s">
        <v>92</v>
      </c>
      <c r="J1404" s="0" t="n">
        <v>86</v>
      </c>
      <c r="K1404" s="0" t="n">
        <v>65</v>
      </c>
      <c r="L1404" s="0" t="n">
        <v>140</v>
      </c>
      <c r="M1404" s="0" t="n">
        <v>1066.31</v>
      </c>
      <c r="N1404" s="0" t="n">
        <v>79.26</v>
      </c>
      <c r="O1404" s="0" t="n">
        <v>48.25</v>
      </c>
      <c r="P1404" s="0" t="n">
        <v>5</v>
      </c>
      <c r="Q1404" s="0" t="n">
        <v>4.15</v>
      </c>
      <c r="R1404" s="0" t="n">
        <v>5798</v>
      </c>
      <c r="S1404" s="0" t="n">
        <v>10611</v>
      </c>
      <c r="T1404" s="0" t="n">
        <v>66.5</v>
      </c>
      <c r="U1404" s="0" t="n">
        <v>1307</v>
      </c>
      <c r="V1404" s="0" t="n">
        <v>2</v>
      </c>
      <c r="W1404" s="0" t="str">
        <f aca="false">IF(OR(AND(B1404&gt;=1,B1404&lt;=6),B1404=10),"Vaca em lactação",IF(I1404="Male","Macho",IF(E1404&gt;=1,"Vaca seca",IF(I1404="Youngstock","Bezerra/recria","Novilha"))))</f>
        <v>Vaca em lactação</v>
      </c>
      <c r="X1404" s="0" t="str">
        <f aca="false">IF(AND(B1404&gt;=1,B1404&lt;=6),"Tanque",IF(B1404=10,"Descarte",""))</f>
        <v>Tanque</v>
      </c>
    </row>
    <row r="1405" customFormat="false" ht="15" hidden="false" customHeight="false" outlineLevel="0" collapsed="false">
      <c r="A1405" s="22" t="n">
        <v>46309</v>
      </c>
      <c r="B1405" s="0" t="n">
        <v>5</v>
      </c>
      <c r="C1405" s="0" t="n">
        <v>4567</v>
      </c>
      <c r="D1405" s="0" t="n">
        <v>258</v>
      </c>
      <c r="E1405" s="0" t="n">
        <v>2</v>
      </c>
      <c r="F1405" s="23" t="s">
        <v>873</v>
      </c>
      <c r="G1405" s="0" t="n">
        <v>42.9</v>
      </c>
      <c r="H1405" s="0" t="n">
        <v>37</v>
      </c>
      <c r="I1405" s="23" t="s">
        <v>92</v>
      </c>
      <c r="J1405" s="0" t="n">
        <v>69</v>
      </c>
      <c r="K1405" s="0" t="n">
        <v>69</v>
      </c>
      <c r="L1405" s="0" t="n">
        <v>189</v>
      </c>
      <c r="M1405" s="0" t="n">
        <v>862.21</v>
      </c>
      <c r="N1405" s="0" t="n">
        <v>63.29</v>
      </c>
      <c r="O1405" s="0" t="n">
        <v>48.36</v>
      </c>
      <c r="P1405" s="0" t="n">
        <v>3.67</v>
      </c>
      <c r="Q1405" s="0" t="n">
        <v>4.06</v>
      </c>
      <c r="R1405" s="0" t="n">
        <v>6165</v>
      </c>
      <c r="S1405" s="0" t="n">
        <v>11156</v>
      </c>
      <c r="T1405" s="0" t="n">
        <v>67.95</v>
      </c>
      <c r="U1405" s="0" t="n">
        <v>1323</v>
      </c>
      <c r="V1405" s="0" t="n">
        <v>1</v>
      </c>
      <c r="W1405" s="0" t="str">
        <f aca="false">IF(OR(AND(B1405&gt;=1,B1405&lt;=6),B1405=10),"Vaca em lactação",IF(I1405="Male","Macho",IF(E1405&gt;=1,"Vaca seca",IF(I1405="Youngstock","Bezerra/recria","Novilha"))))</f>
        <v>Vaca em lactação</v>
      </c>
      <c r="X1405" s="0" t="str">
        <f aca="false">IF(AND(B1405&gt;=1,B1405&lt;=6),"Tanque",IF(B1405=10,"Descarte",""))</f>
        <v>Tanque</v>
      </c>
    </row>
    <row r="1406" customFormat="false" ht="15" hidden="false" customHeight="false" outlineLevel="0" collapsed="false">
      <c r="A1406" s="22" t="n">
        <v>46309</v>
      </c>
      <c r="B1406" s="0" t="n">
        <v>5</v>
      </c>
      <c r="C1406" s="0" t="n">
        <v>4564</v>
      </c>
      <c r="D1406" s="0" t="n">
        <v>119</v>
      </c>
      <c r="E1406" s="0" t="n">
        <v>2</v>
      </c>
      <c r="F1406" s="23" t="s">
        <v>391</v>
      </c>
      <c r="G1406" s="0" t="n">
        <v>48.7</v>
      </c>
      <c r="H1406" s="0" t="n">
        <v>44</v>
      </c>
      <c r="I1406" s="23" t="s">
        <v>109</v>
      </c>
      <c r="J1406" s="0" t="n">
        <v>119</v>
      </c>
      <c r="K1406" s="0" t="n">
        <v>71</v>
      </c>
      <c r="M1406" s="0" t="n">
        <v>577.32</v>
      </c>
      <c r="N1406" s="0" t="n">
        <v>32.81</v>
      </c>
      <c r="O1406" s="0" t="n">
        <v>19.83</v>
      </c>
      <c r="P1406" s="0" t="n">
        <v>3.77</v>
      </c>
      <c r="Q1406" s="0" t="n">
        <v>3.05</v>
      </c>
      <c r="R1406" s="0" t="n">
        <v>3641</v>
      </c>
      <c r="S1406" s="0" t="n">
        <v>7371</v>
      </c>
      <c r="T1406" s="0" t="n">
        <v>41.7</v>
      </c>
      <c r="U1406" s="0" t="n">
        <v>1326</v>
      </c>
      <c r="V1406" s="0" t="n">
        <v>1</v>
      </c>
      <c r="W1406" s="0" t="str">
        <f aca="false">IF(OR(AND(B1406&gt;=1,B1406&lt;=6),B1406=10),"Vaca em lactação",IF(I1406="Male","Macho",IF(E1406&gt;=1,"Vaca seca",IF(I1406="Youngstock","Bezerra/recria","Novilha"))))</f>
        <v>Vaca em lactação</v>
      </c>
      <c r="X1406" s="0" t="str">
        <f aca="false">IF(AND(B1406&gt;=1,B1406&lt;=6),"Tanque",IF(B1406=10,"Descarte",""))</f>
        <v>Tanque</v>
      </c>
    </row>
    <row r="1407" customFormat="false" ht="15" hidden="false" customHeight="false" outlineLevel="0" collapsed="false">
      <c r="A1407" s="22" t="n">
        <v>46309</v>
      </c>
      <c r="B1407" s="0" t="n">
        <v>5</v>
      </c>
      <c r="C1407" s="0" t="n">
        <v>4582</v>
      </c>
      <c r="D1407" s="0" t="n">
        <v>302</v>
      </c>
      <c r="E1407" s="0" t="n">
        <v>2</v>
      </c>
      <c r="F1407" s="23" t="s">
        <v>530</v>
      </c>
      <c r="G1407" s="0" t="n">
        <v>41.3</v>
      </c>
      <c r="H1407" s="0" t="n">
        <v>40</v>
      </c>
      <c r="I1407" s="23" t="s">
        <v>97</v>
      </c>
      <c r="J1407" s="0" t="n">
        <v>302</v>
      </c>
      <c r="K1407" s="0" t="n">
        <v>71</v>
      </c>
      <c r="M1407" s="0" t="n">
        <v>-702.3</v>
      </c>
      <c r="N1407" s="0" t="n">
        <v>41.94</v>
      </c>
      <c r="O1407" s="0" t="n">
        <v>0.2</v>
      </c>
      <c r="P1407" s="0" t="n">
        <v>5.38</v>
      </c>
      <c r="Q1407" s="0" t="n">
        <v>3.83</v>
      </c>
      <c r="R1407" s="0" t="n">
        <v>4898</v>
      </c>
      <c r="S1407" s="0" t="n">
        <v>10394</v>
      </c>
      <c r="T1407" s="0" t="n">
        <v>57.15</v>
      </c>
      <c r="U1407" s="0" t="n">
        <v>1318</v>
      </c>
      <c r="V1407" s="0" t="n">
        <v>3</v>
      </c>
      <c r="W1407" s="0" t="str">
        <f aca="false">IF(OR(AND(B1407&gt;=1,B1407&lt;=6),B1407=10),"Vaca em lactação",IF(I1407="Male","Macho",IF(E1407&gt;=1,"Vaca seca",IF(I1407="Youngstock","Bezerra/recria","Novilha"))))</f>
        <v>Vaca em lactação</v>
      </c>
      <c r="X1407" s="0" t="str">
        <f aca="false">IF(AND(B1407&gt;=1,B1407&lt;=6),"Tanque",IF(B1407=10,"Descarte",""))</f>
        <v>Tanque</v>
      </c>
    </row>
    <row r="1408" customFormat="false" ht="15" hidden="false" customHeight="false" outlineLevel="0" collapsed="false">
      <c r="A1408" s="22" t="n">
        <v>46309</v>
      </c>
      <c r="B1408" s="0" t="n">
        <v>5</v>
      </c>
      <c r="C1408" s="0" t="n">
        <v>4579</v>
      </c>
      <c r="D1408" s="0" t="n">
        <v>210</v>
      </c>
      <c r="E1408" s="0" t="n">
        <v>2</v>
      </c>
      <c r="F1408" s="23" t="s">
        <v>393</v>
      </c>
      <c r="G1408" s="0" t="n">
        <v>42.4</v>
      </c>
      <c r="H1408" s="0" t="n">
        <v>41</v>
      </c>
      <c r="I1408" s="23" t="s">
        <v>92</v>
      </c>
      <c r="J1408" s="0" t="n">
        <v>84</v>
      </c>
      <c r="K1408" s="0" t="n">
        <v>63</v>
      </c>
      <c r="L1408" s="0" t="n">
        <v>126</v>
      </c>
      <c r="M1408" s="0" t="n">
        <v>1136.55</v>
      </c>
      <c r="N1408" s="0" t="n">
        <v>58.48</v>
      </c>
      <c r="O1408" s="0" t="n">
        <v>49.69</v>
      </c>
      <c r="P1408" s="0" t="n">
        <v>3.89</v>
      </c>
      <c r="Q1408" s="0" t="n">
        <v>3.74</v>
      </c>
      <c r="R1408" s="0" t="n">
        <v>2729</v>
      </c>
      <c r="S1408" s="0" t="n">
        <v>7064</v>
      </c>
      <c r="T1408" s="0" t="n">
        <v>33.5</v>
      </c>
      <c r="U1408" s="0" t="n">
        <v>1319</v>
      </c>
      <c r="V1408" s="0" t="n">
        <v>2</v>
      </c>
      <c r="W1408" s="0" t="str">
        <f aca="false">IF(OR(AND(B1408&gt;=1,B1408&lt;=6),B1408=10),"Vaca em lactação",IF(I1408="Male","Macho",IF(E1408&gt;=1,"Vaca seca",IF(I1408="Youngstock","Bezerra/recria","Novilha"))))</f>
        <v>Vaca em lactação</v>
      </c>
      <c r="X1408" s="0" t="str">
        <f aca="false">IF(AND(B1408&gt;=1,B1408&lt;=6),"Tanque",IF(B1408=10,"Descarte",""))</f>
        <v>Tanque</v>
      </c>
    </row>
    <row r="1409" customFormat="false" ht="15" hidden="false" customHeight="false" outlineLevel="0" collapsed="false">
      <c r="A1409" s="22" t="n">
        <v>46309</v>
      </c>
      <c r="B1409" s="0" t="n">
        <v>5</v>
      </c>
      <c r="C1409" s="0" t="n">
        <v>4578</v>
      </c>
      <c r="D1409" s="0" t="n">
        <v>601</v>
      </c>
      <c r="E1409" s="0" t="n">
        <v>1</v>
      </c>
      <c r="F1409" s="23" t="s">
        <v>393</v>
      </c>
      <c r="G1409" s="0" t="n">
        <v>38</v>
      </c>
      <c r="H1409" s="0" t="n">
        <v>37</v>
      </c>
      <c r="I1409" s="23" t="s">
        <v>506</v>
      </c>
      <c r="J1409" s="0" t="n">
        <v>601</v>
      </c>
      <c r="K1409" s="0" t="n">
        <v>63</v>
      </c>
      <c r="M1409" s="0" t="n">
        <v>987.48</v>
      </c>
      <c r="N1409" s="0" t="n">
        <v>29.87</v>
      </c>
      <c r="O1409" s="0" t="n">
        <v>30.63</v>
      </c>
      <c r="P1409" s="0" t="n">
        <v>2.96</v>
      </c>
      <c r="Q1409" s="0" t="n">
        <v>3.36</v>
      </c>
      <c r="R1409" s="0" t="n">
        <v>5083</v>
      </c>
      <c r="S1409" s="0" t="n">
        <v>10905</v>
      </c>
      <c r="T1409" s="0" t="n">
        <v>55.25</v>
      </c>
      <c r="U1409" s="0" t="n">
        <v>1319</v>
      </c>
      <c r="V1409" s="0" t="n">
        <v>7</v>
      </c>
      <c r="W1409" s="0" t="str">
        <f aca="false">IF(OR(AND(B1409&gt;=1,B1409&lt;=6),B1409=10),"Vaca em lactação",IF(I1409="Male","Macho",IF(E1409&gt;=1,"Vaca seca",IF(I1409="Youngstock","Bezerra/recria","Novilha"))))</f>
        <v>Vaca em lactação</v>
      </c>
      <c r="X1409" s="0" t="str">
        <f aca="false">IF(AND(B1409&gt;=1,B1409&lt;=6),"Tanque",IF(B1409=10,"Descarte",""))</f>
        <v>Tanque</v>
      </c>
    </row>
    <row r="1410" customFormat="false" ht="15" hidden="false" customHeight="false" outlineLevel="0" collapsed="false">
      <c r="A1410" s="22" t="n">
        <v>46309</v>
      </c>
      <c r="B1410" s="0" t="n">
        <v>5</v>
      </c>
      <c r="C1410" s="0" t="n">
        <v>4397</v>
      </c>
      <c r="D1410" s="0" t="n">
        <v>390</v>
      </c>
      <c r="E1410" s="0" t="n">
        <v>2</v>
      </c>
      <c r="F1410" s="23" t="s">
        <v>395</v>
      </c>
      <c r="G1410" s="0" t="n">
        <v>34.9</v>
      </c>
      <c r="H1410" s="0" t="n">
        <v>29</v>
      </c>
      <c r="I1410" s="23" t="s">
        <v>92</v>
      </c>
      <c r="J1410" s="0" t="n">
        <v>187</v>
      </c>
      <c r="K1410" s="0" t="n">
        <v>68</v>
      </c>
      <c r="L1410" s="0" t="n">
        <v>203</v>
      </c>
      <c r="M1410" s="0" t="n">
        <v>1567.99</v>
      </c>
      <c r="N1410" s="0" t="n">
        <v>42.44</v>
      </c>
      <c r="O1410" s="0" t="n">
        <v>40.59</v>
      </c>
      <c r="P1410" s="0" t="n">
        <v>4.55</v>
      </c>
      <c r="Q1410" s="0" t="n">
        <v>3.83</v>
      </c>
      <c r="R1410" s="0" t="n">
        <v>4935</v>
      </c>
      <c r="S1410" s="0" t="n">
        <v>9824</v>
      </c>
      <c r="T1410" s="0" t="n">
        <v>54.2</v>
      </c>
      <c r="U1410" s="0" t="n">
        <v>1395</v>
      </c>
      <c r="V1410" s="0" t="n">
        <v>4</v>
      </c>
      <c r="W1410" s="0" t="str">
        <f aca="false">IF(OR(AND(B1410&gt;=1,B1410&lt;=6),B1410=10),"Vaca em lactação",IF(I1410="Male","Macho",IF(E1410&gt;=1,"Vaca seca",IF(I1410="Youngstock","Bezerra/recria","Novilha"))))</f>
        <v>Vaca em lactação</v>
      </c>
      <c r="X1410" s="0" t="str">
        <f aca="false">IF(AND(B1410&gt;=1,B1410&lt;=6),"Tanque",IF(B1410=10,"Descarte",""))</f>
        <v>Tanque</v>
      </c>
    </row>
    <row r="1411" customFormat="false" ht="15" hidden="false" customHeight="false" outlineLevel="0" collapsed="false">
      <c r="A1411" s="22" t="n">
        <v>46309</v>
      </c>
      <c r="B1411" s="0" t="n">
        <v>5</v>
      </c>
      <c r="C1411" s="0" t="n">
        <v>4395</v>
      </c>
      <c r="D1411" s="0" t="n">
        <v>141</v>
      </c>
      <c r="E1411" s="0" t="n">
        <v>2</v>
      </c>
      <c r="F1411" s="23" t="s">
        <v>395</v>
      </c>
      <c r="G1411" s="0" t="n">
        <v>29</v>
      </c>
      <c r="H1411" s="0" t="n">
        <v>29</v>
      </c>
      <c r="I1411" s="23" t="s">
        <v>109</v>
      </c>
      <c r="J1411" s="0" t="n">
        <v>141</v>
      </c>
      <c r="K1411" s="0" t="n">
        <v>64</v>
      </c>
      <c r="M1411" s="0" t="n">
        <v>930.07</v>
      </c>
      <c r="N1411" s="0" t="n">
        <v>62.86</v>
      </c>
      <c r="O1411" s="0" t="n">
        <v>34.41</v>
      </c>
      <c r="P1411" s="0" t="n">
        <v>3.93</v>
      </c>
      <c r="Q1411" s="0" t="n">
        <v>3.51</v>
      </c>
      <c r="R1411" s="0" t="n">
        <v>5590</v>
      </c>
      <c r="S1411" s="0" t="n">
        <v>10579</v>
      </c>
      <c r="T1411" s="0" t="n">
        <v>64.05</v>
      </c>
      <c r="U1411" s="0" t="n">
        <v>1395</v>
      </c>
      <c r="V1411" s="0" t="n">
        <v>2</v>
      </c>
      <c r="W1411" s="0" t="str">
        <f aca="false">IF(OR(AND(B1411&gt;=1,B1411&lt;=6),B1411=10),"Vaca em lactação",IF(I1411="Male","Macho",IF(E1411&gt;=1,"Vaca seca",IF(I1411="Youngstock","Bezerra/recria","Novilha"))))</f>
        <v>Vaca em lactação</v>
      </c>
      <c r="X1411" s="0" t="str">
        <f aca="false">IF(AND(B1411&gt;=1,B1411&lt;=6),"Tanque",IF(B1411=10,"Descarte",""))</f>
        <v>Tanque</v>
      </c>
    </row>
    <row r="1412" customFormat="false" ht="15" hidden="false" customHeight="false" outlineLevel="0" collapsed="false">
      <c r="A1412" s="22" t="n">
        <v>46309</v>
      </c>
      <c r="B1412" s="0" t="n">
        <v>5</v>
      </c>
      <c r="C1412" s="0" t="n">
        <v>4407</v>
      </c>
      <c r="D1412" s="0" t="n">
        <v>178</v>
      </c>
      <c r="E1412" s="0" t="n">
        <v>2</v>
      </c>
      <c r="F1412" s="23" t="s">
        <v>874</v>
      </c>
      <c r="G1412" s="0" t="n">
        <v>32.2</v>
      </c>
      <c r="H1412" s="0" t="n">
        <v>30</v>
      </c>
      <c r="I1412" s="23" t="s">
        <v>506</v>
      </c>
      <c r="J1412" s="0" t="n">
        <v>178</v>
      </c>
      <c r="K1412" s="0" t="n">
        <v>101</v>
      </c>
      <c r="M1412" s="0" t="n">
        <v>403.64</v>
      </c>
      <c r="N1412" s="0" t="n">
        <v>63.26</v>
      </c>
      <c r="O1412" s="0" t="n">
        <v>29.21</v>
      </c>
      <c r="P1412" s="0" t="n">
        <v>4.59</v>
      </c>
      <c r="Q1412" s="0" t="n">
        <v>3.54</v>
      </c>
      <c r="R1412" s="0" t="n">
        <v>4537</v>
      </c>
      <c r="S1412" s="0" t="n">
        <v>7620</v>
      </c>
      <c r="T1412" s="0" t="n">
        <v>54.3</v>
      </c>
      <c r="U1412" s="0" t="n">
        <v>1390</v>
      </c>
      <c r="V1412" s="0" t="n">
        <v>1</v>
      </c>
      <c r="W1412" s="0" t="str">
        <f aca="false">IF(OR(AND(B1412&gt;=1,B1412&lt;=6),B1412=10),"Vaca em lactação",IF(I1412="Male","Macho",IF(E1412&gt;=1,"Vaca seca",IF(I1412="Youngstock","Bezerra/recria","Novilha"))))</f>
        <v>Vaca em lactação</v>
      </c>
      <c r="X1412" s="0" t="str">
        <f aca="false">IF(AND(B1412&gt;=1,B1412&lt;=6),"Tanque",IF(B1412=10,"Descarte",""))</f>
        <v>Tanque</v>
      </c>
    </row>
    <row r="1413" customFormat="false" ht="15" hidden="false" customHeight="false" outlineLevel="0" collapsed="false">
      <c r="A1413" s="22" t="n">
        <v>46309</v>
      </c>
      <c r="B1413" s="0" t="n">
        <v>5</v>
      </c>
      <c r="C1413" s="0" t="n">
        <v>4406</v>
      </c>
      <c r="D1413" s="0" t="n">
        <v>329</v>
      </c>
      <c r="E1413" s="0" t="n">
        <v>2</v>
      </c>
      <c r="F1413" s="23" t="s">
        <v>875</v>
      </c>
      <c r="G1413" s="0" t="n">
        <v>27.7</v>
      </c>
      <c r="H1413" s="0" t="n">
        <v>28</v>
      </c>
      <c r="I1413" s="23" t="s">
        <v>92</v>
      </c>
      <c r="J1413" s="0" t="n">
        <v>235</v>
      </c>
      <c r="K1413" s="0" t="n">
        <v>63</v>
      </c>
      <c r="L1413" s="0" t="n">
        <v>94</v>
      </c>
      <c r="M1413" s="0" t="n">
        <v>304.04</v>
      </c>
      <c r="N1413" s="0" t="n">
        <v>32.72</v>
      </c>
      <c r="O1413" s="0" t="n">
        <v>18.66</v>
      </c>
      <c r="P1413" s="0" t="n">
        <v>5.81</v>
      </c>
      <c r="Q1413" s="0" t="n">
        <v>4.34</v>
      </c>
      <c r="R1413" s="0" t="n">
        <v>4782</v>
      </c>
      <c r="S1413" s="0" t="n">
        <v>9643</v>
      </c>
      <c r="T1413" s="0" t="n">
        <v>53.65</v>
      </c>
      <c r="U1413" s="0" t="n">
        <v>1391</v>
      </c>
      <c r="V1413" s="0" t="n">
        <v>6</v>
      </c>
      <c r="W1413" s="0" t="str">
        <f aca="false">IF(OR(AND(B1413&gt;=1,B1413&lt;=6),B1413=10),"Vaca em lactação",IF(I1413="Male","Macho",IF(E1413&gt;=1,"Vaca seca",IF(I1413="Youngstock","Bezerra/recria","Novilha"))))</f>
        <v>Vaca em lactação</v>
      </c>
      <c r="X1413" s="0" t="str">
        <f aca="false">IF(AND(B1413&gt;=1,B1413&lt;=6),"Tanque",IF(B1413=10,"Descarte",""))</f>
        <v>Tanque</v>
      </c>
    </row>
    <row r="1414" customFormat="false" ht="15" hidden="false" customHeight="false" outlineLevel="0" collapsed="false">
      <c r="A1414" s="22" t="n">
        <v>46309</v>
      </c>
      <c r="B1414" s="0" t="n">
        <v>5</v>
      </c>
      <c r="C1414" s="0" t="n">
        <v>4416</v>
      </c>
      <c r="D1414" s="0" t="n">
        <v>356</v>
      </c>
      <c r="E1414" s="0" t="n">
        <v>2</v>
      </c>
      <c r="F1414" s="23" t="s">
        <v>876</v>
      </c>
      <c r="G1414" s="0" t="n">
        <v>37.8</v>
      </c>
      <c r="H1414" s="0" t="n">
        <v>37</v>
      </c>
      <c r="I1414" s="23" t="s">
        <v>92</v>
      </c>
      <c r="J1414" s="0" t="n">
        <v>153</v>
      </c>
      <c r="K1414" s="0" t="n">
        <v>70</v>
      </c>
      <c r="L1414" s="0" t="n">
        <v>203</v>
      </c>
      <c r="M1414" s="0" t="n">
        <v>1406.28</v>
      </c>
      <c r="N1414" s="0" t="n">
        <v>22.23</v>
      </c>
      <c r="O1414" s="0" t="n">
        <v>41.64</v>
      </c>
      <c r="P1414" s="0" t="n">
        <v>4.56</v>
      </c>
      <c r="Q1414" s="0" t="n">
        <v>3.2</v>
      </c>
      <c r="R1414" s="0" t="n">
        <v>4600</v>
      </c>
      <c r="S1414" s="0" t="n">
        <v>9267</v>
      </c>
      <c r="T1414" s="0" t="n">
        <v>49.95</v>
      </c>
      <c r="U1414" s="0" t="n">
        <v>1385</v>
      </c>
      <c r="V1414" s="0" t="n">
        <v>4</v>
      </c>
      <c r="W1414" s="0" t="str">
        <f aca="false">IF(OR(AND(B1414&gt;=1,B1414&lt;=6),B1414=10),"Vaca em lactação",IF(I1414="Male","Macho",IF(E1414&gt;=1,"Vaca seca",IF(I1414="Youngstock","Bezerra/recria","Novilha"))))</f>
        <v>Vaca em lactação</v>
      </c>
      <c r="X1414" s="0" t="str">
        <f aca="false">IF(AND(B1414&gt;=1,B1414&lt;=6),"Tanque",IF(B1414=10,"Descarte",""))</f>
        <v>Tanque</v>
      </c>
    </row>
    <row r="1415" customFormat="false" ht="15" hidden="false" customHeight="false" outlineLevel="0" collapsed="false">
      <c r="A1415" s="22" t="n">
        <v>46309</v>
      </c>
      <c r="B1415" s="0" t="n">
        <v>5</v>
      </c>
      <c r="C1415" s="0" t="n">
        <v>4413</v>
      </c>
      <c r="D1415" s="0" t="n">
        <v>217</v>
      </c>
      <c r="E1415" s="0" t="n">
        <v>2</v>
      </c>
      <c r="F1415" s="23" t="s">
        <v>877</v>
      </c>
      <c r="G1415" s="0" t="n">
        <v>32.7</v>
      </c>
      <c r="H1415" s="0" t="n">
        <v>30</v>
      </c>
      <c r="I1415" s="23" t="s">
        <v>92</v>
      </c>
      <c r="J1415" s="0" t="n">
        <v>175</v>
      </c>
      <c r="K1415" s="0" t="n">
        <v>63</v>
      </c>
      <c r="L1415" s="0" t="n">
        <v>42</v>
      </c>
      <c r="M1415" s="0" t="n">
        <v>270.67</v>
      </c>
      <c r="N1415" s="0" t="n">
        <v>53.78</v>
      </c>
      <c r="O1415" s="0" t="n">
        <v>19.81</v>
      </c>
      <c r="P1415" s="0" t="n">
        <v>5.32</v>
      </c>
      <c r="Q1415" s="0" t="n">
        <v>3.91</v>
      </c>
      <c r="R1415" s="0" t="n">
        <v>2909</v>
      </c>
      <c r="S1415" s="0" t="n">
        <v>6184</v>
      </c>
      <c r="T1415" s="0" t="n">
        <v>34.4</v>
      </c>
      <c r="U1415" s="0" t="n">
        <v>1388</v>
      </c>
      <c r="V1415" s="0" t="n">
        <v>3</v>
      </c>
      <c r="W1415" s="0" t="str">
        <f aca="false">IF(OR(AND(B1415&gt;=1,B1415&lt;=6),B1415=10),"Vaca em lactação",IF(I1415="Male","Macho",IF(E1415&gt;=1,"Vaca seca",IF(I1415="Youngstock","Bezerra/recria","Novilha"))))</f>
        <v>Vaca em lactação</v>
      </c>
      <c r="X1415" s="0" t="str">
        <f aca="false">IF(AND(B1415&gt;=1,B1415&lt;=6),"Tanque",IF(B1415=10,"Descarte",""))</f>
        <v>Tanque</v>
      </c>
    </row>
    <row r="1416" customFormat="false" ht="15" hidden="false" customHeight="false" outlineLevel="0" collapsed="false">
      <c r="A1416" s="22" t="n">
        <v>46309</v>
      </c>
      <c r="B1416" s="0" t="n">
        <v>5</v>
      </c>
      <c r="C1416" s="0" t="n">
        <v>4410</v>
      </c>
      <c r="D1416" s="0" t="n">
        <v>395</v>
      </c>
      <c r="E1416" s="0" t="n">
        <v>2</v>
      </c>
      <c r="F1416" s="23" t="s">
        <v>878</v>
      </c>
      <c r="G1416" s="0" t="n">
        <v>33.6</v>
      </c>
      <c r="H1416" s="0" t="n">
        <v>34</v>
      </c>
      <c r="I1416" s="23" t="s">
        <v>92</v>
      </c>
      <c r="J1416" s="0" t="n">
        <v>304</v>
      </c>
      <c r="K1416" s="0" t="n">
        <v>66</v>
      </c>
      <c r="L1416" s="0" t="n">
        <v>91</v>
      </c>
      <c r="M1416" s="0" t="n">
        <v>99.02</v>
      </c>
      <c r="N1416" s="0" t="n">
        <v>38.82</v>
      </c>
      <c r="O1416" s="0" t="n">
        <v>27.17</v>
      </c>
      <c r="P1416" s="0" t="n">
        <v>5.99</v>
      </c>
      <c r="Q1416" s="0" t="n">
        <v>4.47</v>
      </c>
      <c r="R1416" s="0" t="n">
        <v>4750</v>
      </c>
      <c r="S1416" s="0" t="n">
        <v>9177</v>
      </c>
      <c r="T1416" s="0" t="n">
        <v>50.1</v>
      </c>
      <c r="U1416" s="0" t="n">
        <v>1389</v>
      </c>
      <c r="V1416" s="0" t="n">
        <v>7</v>
      </c>
      <c r="W1416" s="0" t="str">
        <f aca="false">IF(OR(AND(B1416&gt;=1,B1416&lt;=6),B1416=10),"Vaca em lactação",IF(I1416="Male","Macho",IF(E1416&gt;=1,"Vaca seca",IF(I1416="Youngstock","Bezerra/recria","Novilha"))))</f>
        <v>Vaca em lactação</v>
      </c>
      <c r="X1416" s="0" t="str">
        <f aca="false">IF(AND(B1416&gt;=1,B1416&lt;=6),"Tanque",IF(B1416=10,"Descarte",""))</f>
        <v>Tanque</v>
      </c>
    </row>
    <row r="1417" customFormat="false" ht="15" hidden="false" customHeight="false" outlineLevel="0" collapsed="false">
      <c r="A1417" s="22" t="n">
        <v>46309</v>
      </c>
      <c r="B1417" s="0" t="n">
        <v>5</v>
      </c>
      <c r="C1417" s="0" t="n">
        <v>4425</v>
      </c>
      <c r="D1417" s="0" t="n">
        <v>370</v>
      </c>
      <c r="E1417" s="0" t="n">
        <v>2</v>
      </c>
      <c r="F1417" s="23" t="s">
        <v>542</v>
      </c>
      <c r="G1417" s="0" t="n">
        <v>31.2</v>
      </c>
      <c r="H1417" s="0" t="n">
        <v>33</v>
      </c>
      <c r="I1417" s="23" t="s">
        <v>97</v>
      </c>
      <c r="J1417" s="0" t="n">
        <v>370</v>
      </c>
      <c r="K1417" s="0" t="n">
        <v>70</v>
      </c>
      <c r="M1417" s="0" t="n">
        <v>652.58</v>
      </c>
      <c r="N1417" s="0" t="n">
        <v>56.05</v>
      </c>
      <c r="O1417" s="0" t="n">
        <v>35.13</v>
      </c>
      <c r="P1417" s="0" t="n">
        <v>0</v>
      </c>
      <c r="Q1417" s="0" t="n">
        <v>0</v>
      </c>
      <c r="R1417" s="0" t="n">
        <v>5929</v>
      </c>
      <c r="S1417" s="0" t="n">
        <v>11357</v>
      </c>
      <c r="T1417" s="0" t="n">
        <v>63.75</v>
      </c>
      <c r="U1417" s="0" t="n">
        <v>1380</v>
      </c>
      <c r="V1417" s="0" t="n">
        <v>5</v>
      </c>
      <c r="W1417" s="0" t="str">
        <f aca="false">IF(OR(AND(B1417&gt;=1,B1417&lt;=6),B1417=10),"Vaca em lactação",IF(I1417="Male","Macho",IF(E1417&gt;=1,"Vaca seca",IF(I1417="Youngstock","Bezerra/recria","Novilha"))))</f>
        <v>Vaca em lactação</v>
      </c>
      <c r="X1417" s="0" t="str">
        <f aca="false">IF(AND(B1417&gt;=1,B1417&lt;=6),"Tanque",IF(B1417=10,"Descarte",""))</f>
        <v>Tanque</v>
      </c>
    </row>
    <row r="1418" customFormat="false" ht="15" hidden="false" customHeight="false" outlineLevel="0" collapsed="false">
      <c r="A1418" s="22" t="n">
        <v>46309</v>
      </c>
      <c r="B1418" s="0" t="n">
        <v>5</v>
      </c>
      <c r="C1418" s="0" t="n">
        <v>4420</v>
      </c>
      <c r="D1418" s="0" t="n">
        <v>417</v>
      </c>
      <c r="E1418" s="0" t="n">
        <v>2</v>
      </c>
      <c r="F1418" s="23" t="s">
        <v>396</v>
      </c>
      <c r="H1418" s="0" t="n">
        <v>22</v>
      </c>
      <c r="I1418" s="23" t="s">
        <v>92</v>
      </c>
      <c r="J1418" s="0" t="n">
        <v>299</v>
      </c>
      <c r="K1418" s="0" t="n">
        <v>67</v>
      </c>
      <c r="L1418" s="0" t="n">
        <v>118</v>
      </c>
      <c r="M1418" s="0" t="n">
        <v>1392.92</v>
      </c>
      <c r="N1418" s="0" t="n">
        <v>50.5</v>
      </c>
      <c r="O1418" s="0" t="n">
        <v>35.68</v>
      </c>
      <c r="P1418" s="0" t="n">
        <v>4.7</v>
      </c>
      <c r="Q1418" s="0" t="n">
        <v>3.77</v>
      </c>
      <c r="R1418" s="0" t="n">
        <v>5371</v>
      </c>
      <c r="S1418" s="0" t="n">
        <v>11088</v>
      </c>
      <c r="T1418" s="0" t="n">
        <v>64.2</v>
      </c>
      <c r="U1418" s="0" t="n">
        <v>1384</v>
      </c>
      <c r="V1418" s="0" t="n">
        <v>11</v>
      </c>
      <c r="W1418" s="0" t="str">
        <f aca="false">IF(OR(AND(B1418&gt;=1,B1418&lt;=6),B1418=10),"Vaca em lactação",IF(I1418="Male","Macho",IF(E1418&gt;=1,"Vaca seca",IF(I1418="Youngstock","Bezerra/recria","Novilha"))))</f>
        <v>Vaca em lactação</v>
      </c>
      <c r="X1418" s="0" t="str">
        <f aca="false">IF(AND(B1418&gt;=1,B1418&lt;=6),"Tanque",IF(B1418=10,"Descarte",""))</f>
        <v>Tanque</v>
      </c>
    </row>
    <row r="1419" customFormat="false" ht="15" hidden="false" customHeight="false" outlineLevel="0" collapsed="false">
      <c r="A1419" s="22" t="n">
        <v>46309</v>
      </c>
      <c r="B1419" s="0" t="n">
        <v>5</v>
      </c>
      <c r="C1419" s="0" t="n">
        <v>4419</v>
      </c>
      <c r="D1419" s="0" t="n">
        <v>212</v>
      </c>
      <c r="E1419" s="0" t="n">
        <v>2</v>
      </c>
      <c r="F1419" s="23" t="s">
        <v>396</v>
      </c>
      <c r="G1419" s="0" t="n">
        <v>28.9</v>
      </c>
      <c r="H1419" s="0" t="n">
        <v>32</v>
      </c>
      <c r="I1419" s="23" t="s">
        <v>92</v>
      </c>
      <c r="J1419" s="0" t="n">
        <v>65</v>
      </c>
      <c r="K1419" s="0" t="n">
        <v>65</v>
      </c>
      <c r="L1419" s="0" t="n">
        <v>147</v>
      </c>
      <c r="M1419" s="0" t="n">
        <v>1096.51</v>
      </c>
      <c r="N1419" s="0" t="n">
        <v>35.23</v>
      </c>
      <c r="O1419" s="0" t="n">
        <v>30.49</v>
      </c>
      <c r="P1419" s="0" t="n">
        <v>5.46</v>
      </c>
      <c r="Q1419" s="0" t="n">
        <v>3.77</v>
      </c>
      <c r="R1419" s="0" t="n">
        <v>4850</v>
      </c>
      <c r="S1419" s="0" t="n">
        <v>8389</v>
      </c>
      <c r="T1419" s="0" t="n">
        <v>56.15</v>
      </c>
      <c r="U1419" s="0" t="n">
        <v>1384</v>
      </c>
      <c r="V1419" s="0" t="n">
        <v>1</v>
      </c>
      <c r="W1419" s="0" t="str">
        <f aca="false">IF(OR(AND(B1419&gt;=1,B1419&lt;=6),B1419=10),"Vaca em lactação",IF(I1419="Male","Macho",IF(E1419&gt;=1,"Vaca seca",IF(I1419="Youngstock","Bezerra/recria","Novilha"))))</f>
        <v>Vaca em lactação</v>
      </c>
      <c r="X1419" s="0" t="str">
        <f aca="false">IF(AND(B1419&gt;=1,B1419&lt;=6),"Tanque",IF(B1419=10,"Descarte",""))</f>
        <v>Tanque</v>
      </c>
    </row>
    <row r="1420" customFormat="false" ht="15" hidden="false" customHeight="false" outlineLevel="0" collapsed="false">
      <c r="A1420" s="22" t="n">
        <v>46309</v>
      </c>
      <c r="B1420" s="0" t="n">
        <v>5</v>
      </c>
      <c r="C1420" s="0" t="n">
        <v>4366</v>
      </c>
      <c r="D1420" s="0" t="n">
        <v>37</v>
      </c>
      <c r="E1420" s="0" t="n">
        <v>3</v>
      </c>
      <c r="F1420" s="23" t="s">
        <v>879</v>
      </c>
      <c r="G1420" s="0" t="n">
        <v>46.6</v>
      </c>
      <c r="H1420" s="0" t="n">
        <v>39</v>
      </c>
      <c r="I1420" s="23" t="s">
        <v>94</v>
      </c>
      <c r="J1420" s="0" t="n">
        <v>37</v>
      </c>
      <c r="M1420" s="0" t="n">
        <v>17.79</v>
      </c>
      <c r="N1420" s="0" t="n">
        <v>57.68</v>
      </c>
      <c r="O1420" s="0" t="n">
        <v>18.87</v>
      </c>
      <c r="P1420" s="0" t="n">
        <v>4.44</v>
      </c>
      <c r="Q1420" s="0" t="n">
        <v>4.23</v>
      </c>
      <c r="R1420" s="0" t="n">
        <v>3057</v>
      </c>
      <c r="S1420" s="0" t="n">
        <v>6146</v>
      </c>
      <c r="U1420" s="0" t="n">
        <v>1414</v>
      </c>
      <c r="V1420" s="0" t="n">
        <v>0</v>
      </c>
      <c r="W1420" s="0" t="str">
        <f aca="false">IF(OR(AND(B1420&gt;=1,B1420&lt;=6),B1420=10),"Vaca em lactação",IF(I1420="Male","Macho",IF(E1420&gt;=1,"Vaca seca",IF(I1420="Youngstock","Bezerra/recria","Novilha"))))</f>
        <v>Vaca em lactação</v>
      </c>
      <c r="X1420" s="0" t="str">
        <f aca="false">IF(AND(B1420&gt;=1,B1420&lt;=6),"Tanque",IF(B1420=10,"Descarte",""))</f>
        <v>Tanque</v>
      </c>
    </row>
    <row r="1421" customFormat="false" ht="15" hidden="false" customHeight="false" outlineLevel="0" collapsed="false">
      <c r="A1421" s="22" t="n">
        <v>46309</v>
      </c>
      <c r="B1421" s="0" t="n">
        <v>5</v>
      </c>
      <c r="C1421" s="0" t="n">
        <v>4362</v>
      </c>
      <c r="D1421" s="0" t="n">
        <v>297</v>
      </c>
      <c r="E1421" s="0" t="n">
        <v>2</v>
      </c>
      <c r="F1421" s="23" t="s">
        <v>397</v>
      </c>
      <c r="G1421" s="0" t="n">
        <v>46</v>
      </c>
      <c r="H1421" s="0" t="n">
        <v>40</v>
      </c>
      <c r="I1421" s="23" t="s">
        <v>92</v>
      </c>
      <c r="J1421" s="0" t="n">
        <v>189</v>
      </c>
      <c r="K1421" s="0" t="n">
        <v>66</v>
      </c>
      <c r="L1421" s="0" t="n">
        <v>108</v>
      </c>
      <c r="M1421" s="0" t="n">
        <v>124.44</v>
      </c>
      <c r="N1421" s="0" t="n">
        <v>51.23</v>
      </c>
      <c r="O1421" s="0" t="n">
        <v>18.38</v>
      </c>
      <c r="P1421" s="0" t="n">
        <v>3.15</v>
      </c>
      <c r="Q1421" s="0" t="n">
        <v>3.52</v>
      </c>
      <c r="R1421" s="0" t="n">
        <v>5520</v>
      </c>
      <c r="S1421" s="0" t="n">
        <v>10960</v>
      </c>
      <c r="T1421" s="0" t="n">
        <v>60.25</v>
      </c>
      <c r="U1421" s="0" t="n">
        <v>1416</v>
      </c>
      <c r="V1421" s="0" t="n">
        <v>5</v>
      </c>
      <c r="W1421" s="0" t="str">
        <f aca="false">IF(OR(AND(B1421&gt;=1,B1421&lt;=6),B1421=10),"Vaca em lactação",IF(I1421="Male","Macho",IF(E1421&gt;=1,"Vaca seca",IF(I1421="Youngstock","Bezerra/recria","Novilha"))))</f>
        <v>Vaca em lactação</v>
      </c>
      <c r="X1421" s="0" t="str">
        <f aca="false">IF(AND(B1421&gt;=1,B1421&lt;=6),"Tanque",IF(B1421=10,"Descarte",""))</f>
        <v>Tanque</v>
      </c>
    </row>
    <row r="1422" customFormat="false" ht="15" hidden="false" customHeight="false" outlineLevel="0" collapsed="false">
      <c r="A1422" s="22" t="n">
        <v>46309</v>
      </c>
      <c r="B1422" s="0" t="n">
        <v>5</v>
      </c>
      <c r="C1422" s="0" t="n">
        <v>4373</v>
      </c>
      <c r="D1422" s="0" t="n">
        <v>332</v>
      </c>
      <c r="E1422" s="0" t="n">
        <v>2</v>
      </c>
      <c r="F1422" s="23" t="s">
        <v>880</v>
      </c>
      <c r="I1422" s="23" t="s">
        <v>92</v>
      </c>
      <c r="J1422" s="0" t="n">
        <v>123</v>
      </c>
      <c r="K1422" s="0" t="n">
        <v>66</v>
      </c>
      <c r="L1422" s="0" t="n">
        <v>209</v>
      </c>
      <c r="M1422" s="0" t="n">
        <v>150.82</v>
      </c>
      <c r="N1422" s="0" t="n">
        <v>63.4</v>
      </c>
      <c r="O1422" s="0" t="n">
        <v>25.01</v>
      </c>
      <c r="P1422" s="0" t="n">
        <v>4.59</v>
      </c>
      <c r="Q1422" s="0" t="n">
        <v>3.99</v>
      </c>
      <c r="R1422" s="0" t="n">
        <v>6818</v>
      </c>
      <c r="S1422" s="0" t="n">
        <v>12472</v>
      </c>
      <c r="T1422" s="0" t="n">
        <v>72.15</v>
      </c>
      <c r="U1422" s="0" t="n">
        <v>1409</v>
      </c>
      <c r="V1422" s="0" t="n">
        <v>3</v>
      </c>
      <c r="W1422" s="0" t="str">
        <f aca="false">IF(OR(AND(B1422&gt;=1,B1422&lt;=6),B1422=10),"Vaca em lactação",IF(I1422="Male","Macho",IF(E1422&gt;=1,"Vaca seca",IF(I1422="Youngstock","Bezerra/recria","Novilha"))))</f>
        <v>Vaca em lactação</v>
      </c>
      <c r="X1422" s="0" t="str">
        <f aca="false">IF(AND(B1422&gt;=1,B1422&lt;=6),"Tanque",IF(B1422=10,"Descarte",""))</f>
        <v>Tanque</v>
      </c>
    </row>
    <row r="1423" customFormat="false" ht="15" hidden="false" customHeight="false" outlineLevel="0" collapsed="false">
      <c r="A1423" s="22" t="n">
        <v>46309</v>
      </c>
      <c r="B1423" s="0" t="n">
        <v>5</v>
      </c>
      <c r="C1423" s="0" t="n">
        <v>4372</v>
      </c>
      <c r="D1423" s="0" t="n">
        <v>347</v>
      </c>
      <c r="E1423" s="0" t="n">
        <v>2</v>
      </c>
      <c r="F1423" s="23" t="s">
        <v>881</v>
      </c>
      <c r="G1423" s="0" t="n">
        <v>38.2</v>
      </c>
      <c r="H1423" s="0" t="n">
        <v>31</v>
      </c>
      <c r="I1423" s="23" t="s">
        <v>97</v>
      </c>
      <c r="J1423" s="0" t="n">
        <v>347</v>
      </c>
      <c r="K1423" s="0" t="n">
        <v>68</v>
      </c>
      <c r="M1423" s="0" t="n">
        <v>327.17</v>
      </c>
      <c r="N1423" s="0" t="n">
        <v>54.68</v>
      </c>
      <c r="O1423" s="0" t="n">
        <v>24.81</v>
      </c>
      <c r="P1423" s="0" t="n">
        <v>4.19</v>
      </c>
      <c r="Q1423" s="0" t="n">
        <v>4.54</v>
      </c>
      <c r="R1423" s="0" t="n">
        <v>5519</v>
      </c>
      <c r="S1423" s="0" t="n">
        <v>9264</v>
      </c>
      <c r="T1423" s="0" t="n">
        <v>55.55</v>
      </c>
      <c r="U1423" s="0" t="n">
        <v>1410</v>
      </c>
      <c r="V1423" s="0" t="n">
        <v>8</v>
      </c>
      <c r="W1423" s="0" t="str">
        <f aca="false">IF(OR(AND(B1423&gt;=1,B1423&lt;=6),B1423=10),"Vaca em lactação",IF(I1423="Male","Macho",IF(E1423&gt;=1,"Vaca seca",IF(I1423="Youngstock","Bezerra/recria","Novilha"))))</f>
        <v>Vaca em lactação</v>
      </c>
      <c r="X1423" s="0" t="str">
        <f aca="false">IF(AND(B1423&gt;=1,B1423&lt;=6),"Tanque",IF(B1423=10,"Descarte",""))</f>
        <v>Tanque</v>
      </c>
    </row>
    <row r="1424" customFormat="false" ht="15" hidden="false" customHeight="false" outlineLevel="0" collapsed="false">
      <c r="A1424" s="22" t="n">
        <v>46309</v>
      </c>
      <c r="B1424" s="0" t="n">
        <v>5</v>
      </c>
      <c r="C1424" s="0" t="n">
        <v>4380</v>
      </c>
      <c r="D1424" s="0" t="n">
        <v>297</v>
      </c>
      <c r="E1424" s="0" t="n">
        <v>2</v>
      </c>
      <c r="F1424" s="23" t="s">
        <v>399</v>
      </c>
      <c r="G1424" s="0" t="n">
        <v>35.3</v>
      </c>
      <c r="H1424" s="0" t="n">
        <v>41</v>
      </c>
      <c r="I1424" s="23" t="s">
        <v>92</v>
      </c>
      <c r="J1424" s="0" t="n">
        <v>227</v>
      </c>
      <c r="K1424" s="0" t="n">
        <v>101</v>
      </c>
      <c r="L1424" s="0" t="n">
        <v>70</v>
      </c>
      <c r="M1424" s="0" t="n">
        <v>1002.46</v>
      </c>
      <c r="N1424" s="0" t="n">
        <v>40.48</v>
      </c>
      <c r="O1424" s="0" t="n">
        <v>35.01</v>
      </c>
      <c r="P1424" s="0" t="n">
        <v>2.91</v>
      </c>
      <c r="Q1424" s="0" t="n">
        <v>3.68</v>
      </c>
      <c r="R1424" s="0" t="n">
        <v>5528</v>
      </c>
      <c r="S1424" s="0" t="n">
        <v>10622</v>
      </c>
      <c r="T1424" s="0" t="n">
        <v>65.65</v>
      </c>
      <c r="U1424" s="0" t="n">
        <v>1401</v>
      </c>
      <c r="V1424" s="0" t="n">
        <v>4</v>
      </c>
      <c r="W1424" s="0" t="str">
        <f aca="false">IF(OR(AND(B1424&gt;=1,B1424&lt;=6),B1424=10),"Vaca em lactação",IF(I1424="Male","Macho",IF(E1424&gt;=1,"Vaca seca",IF(I1424="Youngstock","Bezerra/recria","Novilha"))))</f>
        <v>Vaca em lactação</v>
      </c>
      <c r="X1424" s="0" t="str">
        <f aca="false">IF(AND(B1424&gt;=1,B1424&lt;=6),"Tanque",IF(B1424=10,"Descarte",""))</f>
        <v>Tanque</v>
      </c>
    </row>
    <row r="1425" customFormat="false" ht="15" hidden="false" customHeight="false" outlineLevel="0" collapsed="false">
      <c r="A1425" s="22" t="n">
        <v>46309</v>
      </c>
      <c r="B1425" s="0" t="n">
        <v>5</v>
      </c>
      <c r="C1425" s="0" t="n">
        <v>4379</v>
      </c>
      <c r="D1425" s="0" t="n">
        <v>328</v>
      </c>
      <c r="E1425" s="0" t="n">
        <v>2</v>
      </c>
      <c r="F1425" s="23" t="s">
        <v>882</v>
      </c>
      <c r="G1425" s="0" t="n">
        <v>25.8</v>
      </c>
      <c r="H1425" s="0" t="n">
        <v>24</v>
      </c>
      <c r="I1425" s="23" t="s">
        <v>92</v>
      </c>
      <c r="J1425" s="0" t="n">
        <v>251</v>
      </c>
      <c r="K1425" s="0" t="n">
        <v>62</v>
      </c>
      <c r="L1425" s="0" t="n">
        <v>77</v>
      </c>
      <c r="M1425" s="0" t="n">
        <v>594.69</v>
      </c>
      <c r="N1425" s="0" t="n">
        <v>62.66</v>
      </c>
      <c r="O1425" s="0" t="n">
        <v>38.2</v>
      </c>
      <c r="P1425" s="0" t="n">
        <v>5.13</v>
      </c>
      <c r="Q1425" s="0" t="n">
        <v>4.84</v>
      </c>
      <c r="R1425" s="0" t="n">
        <v>5212</v>
      </c>
      <c r="S1425" s="0" t="n">
        <v>10168</v>
      </c>
      <c r="T1425" s="0" t="n">
        <v>56.2</v>
      </c>
      <c r="U1425" s="0" t="n">
        <v>1402</v>
      </c>
      <c r="V1425" s="0" t="n">
        <v>6</v>
      </c>
      <c r="W1425" s="0" t="str">
        <f aca="false">IF(OR(AND(B1425&gt;=1,B1425&lt;=6),B1425=10),"Vaca em lactação",IF(I1425="Male","Macho",IF(E1425&gt;=1,"Vaca seca",IF(I1425="Youngstock","Bezerra/recria","Novilha"))))</f>
        <v>Vaca em lactação</v>
      </c>
      <c r="X1425" s="0" t="str">
        <f aca="false">IF(AND(B1425&gt;=1,B1425&lt;=6),"Tanque",IF(B1425=10,"Descarte",""))</f>
        <v>Tanque</v>
      </c>
    </row>
    <row r="1426" customFormat="false" ht="15" hidden="false" customHeight="false" outlineLevel="0" collapsed="false">
      <c r="A1426" s="22" t="n">
        <v>46309</v>
      </c>
      <c r="B1426" s="0" t="n">
        <v>5</v>
      </c>
      <c r="C1426" s="0" t="n">
        <v>4474</v>
      </c>
      <c r="D1426" s="0" t="n">
        <v>309</v>
      </c>
      <c r="E1426" s="0" t="n">
        <v>2</v>
      </c>
      <c r="F1426" s="23" t="s">
        <v>883</v>
      </c>
      <c r="G1426" s="0" t="n">
        <v>46.1</v>
      </c>
      <c r="H1426" s="0" t="n">
        <v>44</v>
      </c>
      <c r="I1426" s="23" t="s">
        <v>97</v>
      </c>
      <c r="J1426" s="0" t="n">
        <v>309</v>
      </c>
      <c r="K1426" s="0" t="n">
        <v>78</v>
      </c>
      <c r="M1426" s="0" t="n">
        <v>450.27</v>
      </c>
      <c r="N1426" s="0" t="n">
        <v>31.85</v>
      </c>
      <c r="O1426" s="0" t="n">
        <v>33.55</v>
      </c>
      <c r="P1426" s="0" t="n">
        <v>3.75</v>
      </c>
      <c r="Q1426" s="0" t="n">
        <v>3.72</v>
      </c>
      <c r="R1426" s="0" t="n">
        <v>5371</v>
      </c>
      <c r="S1426" s="0" t="n">
        <v>10204</v>
      </c>
      <c r="T1426" s="0" t="n">
        <v>58.4</v>
      </c>
      <c r="U1426" s="0" t="n">
        <v>1364</v>
      </c>
      <c r="V1426" s="0" t="n">
        <v>6</v>
      </c>
      <c r="W1426" s="0" t="str">
        <f aca="false">IF(OR(AND(B1426&gt;=1,B1426&lt;=6),B1426=10),"Vaca em lactação",IF(I1426="Male","Macho",IF(E1426&gt;=1,"Vaca seca",IF(I1426="Youngstock","Bezerra/recria","Novilha"))))</f>
        <v>Vaca em lactação</v>
      </c>
      <c r="X1426" s="0" t="str">
        <f aca="false">IF(AND(B1426&gt;=1,B1426&lt;=6),"Tanque",IF(B1426=10,"Descarte",""))</f>
        <v>Tanque</v>
      </c>
    </row>
    <row r="1427" customFormat="false" ht="15" hidden="false" customHeight="false" outlineLevel="0" collapsed="false">
      <c r="A1427" s="22" t="n">
        <v>46309</v>
      </c>
      <c r="B1427" s="0" t="n">
        <v>5</v>
      </c>
      <c r="C1427" s="0" t="n">
        <v>4471</v>
      </c>
      <c r="D1427" s="0" t="n">
        <v>179</v>
      </c>
      <c r="E1427" s="0" t="n">
        <v>3</v>
      </c>
      <c r="F1427" s="23" t="s">
        <v>884</v>
      </c>
      <c r="G1427" s="0" t="n">
        <v>31.7</v>
      </c>
      <c r="H1427" s="0" t="n">
        <v>27</v>
      </c>
      <c r="I1427" s="23" t="s">
        <v>92</v>
      </c>
      <c r="J1427" s="0" t="n">
        <v>67</v>
      </c>
      <c r="K1427" s="0" t="n">
        <v>67</v>
      </c>
      <c r="L1427" s="0" t="n">
        <v>112</v>
      </c>
      <c r="M1427" s="0" t="n">
        <v>733.61</v>
      </c>
      <c r="N1427" s="0" t="n">
        <v>46.94</v>
      </c>
      <c r="O1427" s="0" t="n">
        <v>34.18</v>
      </c>
      <c r="P1427" s="0" t="n">
        <v>4.25</v>
      </c>
      <c r="Q1427" s="0" t="n">
        <v>3.79</v>
      </c>
      <c r="R1427" s="0" t="n">
        <v>3430</v>
      </c>
      <c r="S1427" s="0" t="n">
        <v>6351</v>
      </c>
      <c r="T1427" s="0" t="n">
        <v>30.85</v>
      </c>
      <c r="U1427" s="0" t="n">
        <v>1365</v>
      </c>
      <c r="V1427" s="0" t="n">
        <v>1</v>
      </c>
      <c r="W1427" s="0" t="str">
        <f aca="false">IF(OR(AND(B1427&gt;=1,B1427&lt;=6),B1427=10),"Vaca em lactação",IF(I1427="Male","Macho",IF(E1427&gt;=1,"Vaca seca",IF(I1427="Youngstock","Bezerra/recria","Novilha"))))</f>
        <v>Vaca em lactação</v>
      </c>
      <c r="X1427" s="0" t="str">
        <f aca="false">IF(AND(B1427&gt;=1,B1427&lt;=6),"Tanque",IF(B1427=10,"Descarte",""))</f>
        <v>Tanque</v>
      </c>
    </row>
    <row r="1428" customFormat="false" ht="15" hidden="false" customHeight="false" outlineLevel="0" collapsed="false">
      <c r="A1428" s="22" t="n">
        <v>46309</v>
      </c>
      <c r="B1428" s="0" t="n">
        <v>5</v>
      </c>
      <c r="C1428" s="0" t="n">
        <v>4470</v>
      </c>
      <c r="D1428" s="0" t="n">
        <v>203</v>
      </c>
      <c r="E1428" s="0" t="n">
        <v>2</v>
      </c>
      <c r="F1428" s="23" t="s">
        <v>884</v>
      </c>
      <c r="G1428" s="0" t="n">
        <v>39</v>
      </c>
      <c r="H1428" s="0" t="n">
        <v>40</v>
      </c>
      <c r="I1428" s="23" t="s">
        <v>92</v>
      </c>
      <c r="J1428" s="0" t="n">
        <v>63</v>
      </c>
      <c r="K1428" s="0" t="n">
        <v>63</v>
      </c>
      <c r="L1428" s="0" t="n">
        <v>140</v>
      </c>
      <c r="M1428" s="0" t="n">
        <v>1307.6</v>
      </c>
      <c r="N1428" s="0" t="n">
        <v>41.03</v>
      </c>
      <c r="O1428" s="0" t="n">
        <v>44.15</v>
      </c>
      <c r="P1428" s="0" t="n">
        <v>3.09</v>
      </c>
      <c r="Q1428" s="0" t="n">
        <v>3.65</v>
      </c>
      <c r="R1428" s="0" t="n">
        <v>4560</v>
      </c>
      <c r="S1428" s="0" t="n">
        <v>9745</v>
      </c>
      <c r="T1428" s="0" t="n">
        <v>50.2</v>
      </c>
      <c r="U1428" s="0" t="n">
        <v>1365</v>
      </c>
      <c r="V1428" s="0" t="n">
        <v>1</v>
      </c>
      <c r="W1428" s="0" t="str">
        <f aca="false">IF(OR(AND(B1428&gt;=1,B1428&lt;=6),B1428=10),"Vaca em lactação",IF(I1428="Male","Macho",IF(E1428&gt;=1,"Vaca seca",IF(I1428="Youngstock","Bezerra/recria","Novilha"))))</f>
        <v>Vaca em lactação</v>
      </c>
      <c r="X1428" s="0" t="str">
        <f aca="false">IF(AND(B1428&gt;=1,B1428&lt;=6),"Tanque",IF(B1428=10,"Descarte",""))</f>
        <v>Tanque</v>
      </c>
    </row>
    <row r="1429" customFormat="false" ht="15" hidden="false" customHeight="false" outlineLevel="0" collapsed="false">
      <c r="A1429" s="22" t="n">
        <v>46309</v>
      </c>
      <c r="B1429" s="0" t="n">
        <v>5</v>
      </c>
      <c r="C1429" s="0" t="n">
        <v>4477</v>
      </c>
      <c r="D1429" s="0" t="n">
        <v>313</v>
      </c>
      <c r="E1429" s="0" t="n">
        <v>2</v>
      </c>
      <c r="F1429" s="23" t="s">
        <v>885</v>
      </c>
      <c r="G1429" s="0" t="n">
        <v>26.1</v>
      </c>
      <c r="H1429" s="0" t="n">
        <v>25</v>
      </c>
      <c r="I1429" s="23" t="s">
        <v>92</v>
      </c>
      <c r="J1429" s="0" t="n">
        <v>96</v>
      </c>
      <c r="K1429" s="0" t="n">
        <v>61</v>
      </c>
      <c r="L1429" s="0" t="n">
        <v>217</v>
      </c>
      <c r="M1429" s="0" t="n">
        <v>901.47</v>
      </c>
      <c r="N1429" s="0" t="n">
        <v>66.05</v>
      </c>
      <c r="O1429" s="0" t="n">
        <v>32.34</v>
      </c>
      <c r="P1429" s="0" t="n">
        <v>5.29</v>
      </c>
      <c r="Q1429" s="0" t="n">
        <v>4.43</v>
      </c>
      <c r="R1429" s="0" t="n">
        <v>5217</v>
      </c>
      <c r="S1429" s="0" t="n">
        <v>9688</v>
      </c>
      <c r="T1429" s="0" t="n">
        <v>53.95</v>
      </c>
      <c r="U1429" s="0" t="n">
        <v>1363</v>
      </c>
      <c r="V1429" s="0" t="n">
        <v>2</v>
      </c>
      <c r="W1429" s="0" t="str">
        <f aca="false">IF(OR(AND(B1429&gt;=1,B1429&lt;=6),B1429=10),"Vaca em lactação",IF(I1429="Male","Macho",IF(E1429&gt;=1,"Vaca seca",IF(I1429="Youngstock","Bezerra/recria","Novilha"))))</f>
        <v>Vaca em lactação</v>
      </c>
      <c r="X1429" s="0" t="str">
        <f aca="false">IF(AND(B1429&gt;=1,B1429&lt;=6),"Tanque",IF(B1429=10,"Descarte",""))</f>
        <v>Tanque</v>
      </c>
    </row>
    <row r="1430" customFormat="false" ht="15" hidden="false" customHeight="false" outlineLevel="0" collapsed="false">
      <c r="A1430" s="22" t="n">
        <v>46309</v>
      </c>
      <c r="B1430" s="0" t="n">
        <v>5</v>
      </c>
      <c r="C1430" s="0" t="n">
        <v>4476</v>
      </c>
      <c r="D1430" s="0" t="n">
        <v>262</v>
      </c>
      <c r="E1430" s="0" t="n">
        <v>2</v>
      </c>
      <c r="F1430" s="23" t="s">
        <v>885</v>
      </c>
      <c r="G1430" s="0" t="n">
        <v>33.7</v>
      </c>
      <c r="H1430" s="0" t="n">
        <v>32</v>
      </c>
      <c r="I1430" s="23" t="s">
        <v>97</v>
      </c>
      <c r="J1430" s="0" t="n">
        <v>262</v>
      </c>
      <c r="K1430" s="0" t="n">
        <v>80</v>
      </c>
      <c r="M1430" s="0" t="n">
        <v>1189.42</v>
      </c>
      <c r="N1430" s="0" t="n">
        <v>14.95</v>
      </c>
      <c r="O1430" s="0" t="n">
        <v>29.96</v>
      </c>
      <c r="P1430" s="0" t="n">
        <v>2.56</v>
      </c>
      <c r="Q1430" s="0" t="n">
        <v>3.82</v>
      </c>
      <c r="R1430" s="0" t="n">
        <v>5665</v>
      </c>
      <c r="S1430" s="0" t="n">
        <v>10799</v>
      </c>
      <c r="T1430" s="0" t="n">
        <v>61.6</v>
      </c>
      <c r="U1430" s="0" t="n">
        <v>1363</v>
      </c>
      <c r="V1430" s="0" t="n">
        <v>5</v>
      </c>
      <c r="W1430" s="0" t="str">
        <f aca="false">IF(OR(AND(B1430&gt;=1,B1430&lt;=6),B1430=10),"Vaca em lactação",IF(I1430="Male","Macho",IF(E1430&gt;=1,"Vaca seca",IF(I1430="Youngstock","Bezerra/recria","Novilha"))))</f>
        <v>Vaca em lactação</v>
      </c>
      <c r="X1430" s="0" t="str">
        <f aca="false">IF(AND(B1430&gt;=1,B1430&lt;=6),"Tanque",IF(B1430=10,"Descarte",""))</f>
        <v>Tanque</v>
      </c>
    </row>
    <row r="1431" customFormat="false" ht="15" hidden="false" customHeight="false" outlineLevel="0" collapsed="false">
      <c r="A1431" s="22" t="n">
        <v>46309</v>
      </c>
      <c r="B1431" s="0" t="n">
        <v>5</v>
      </c>
      <c r="C1431" s="0" t="n">
        <v>4489</v>
      </c>
      <c r="D1431" s="0" t="n">
        <v>306</v>
      </c>
      <c r="E1431" s="0" t="n">
        <v>2</v>
      </c>
      <c r="F1431" s="23" t="s">
        <v>401</v>
      </c>
      <c r="G1431" s="0" t="n">
        <v>38.8</v>
      </c>
      <c r="H1431" s="0" t="n">
        <v>37</v>
      </c>
      <c r="I1431" s="23" t="s">
        <v>92</v>
      </c>
      <c r="J1431" s="0" t="n">
        <v>145</v>
      </c>
      <c r="K1431" s="0" t="n">
        <v>68</v>
      </c>
      <c r="L1431" s="0" t="n">
        <v>161</v>
      </c>
      <c r="M1431" s="0" t="n">
        <v>725.92</v>
      </c>
      <c r="N1431" s="0" t="n">
        <v>20.43</v>
      </c>
      <c r="O1431" s="0" t="n">
        <v>17.03</v>
      </c>
      <c r="P1431" s="0" t="n">
        <v>3.73</v>
      </c>
      <c r="Q1431" s="0" t="n">
        <v>3.35</v>
      </c>
      <c r="R1431" s="0" t="n">
        <v>4801</v>
      </c>
      <c r="S1431" s="0" t="n">
        <v>10388</v>
      </c>
      <c r="T1431" s="0" t="n">
        <v>55.5</v>
      </c>
      <c r="U1431" s="0" t="n">
        <v>1359</v>
      </c>
      <c r="V1431" s="0" t="n">
        <v>3</v>
      </c>
      <c r="W1431" s="0" t="str">
        <f aca="false">IF(OR(AND(B1431&gt;=1,B1431&lt;=6),B1431=10),"Vaca em lactação",IF(I1431="Male","Macho",IF(E1431&gt;=1,"Vaca seca",IF(I1431="Youngstock","Bezerra/recria","Novilha"))))</f>
        <v>Vaca em lactação</v>
      </c>
      <c r="X1431" s="0" t="str">
        <f aca="false">IF(AND(B1431&gt;=1,B1431&lt;=6),"Tanque",IF(B1431=10,"Descarte",""))</f>
        <v>Tanque</v>
      </c>
    </row>
    <row r="1432" customFormat="false" ht="15" hidden="false" customHeight="false" outlineLevel="0" collapsed="false">
      <c r="A1432" s="22" t="n">
        <v>46309</v>
      </c>
      <c r="B1432" s="0" t="n">
        <v>5</v>
      </c>
      <c r="C1432" s="0" t="n">
        <v>4432</v>
      </c>
      <c r="D1432" s="0" t="n">
        <v>309</v>
      </c>
      <c r="E1432" s="0" t="n">
        <v>2</v>
      </c>
      <c r="F1432" s="23" t="s">
        <v>541</v>
      </c>
      <c r="G1432" s="0" t="n">
        <v>46.4</v>
      </c>
      <c r="H1432" s="0" t="n">
        <v>44</v>
      </c>
      <c r="I1432" s="23" t="s">
        <v>92</v>
      </c>
      <c r="J1432" s="0" t="n">
        <v>99</v>
      </c>
      <c r="K1432" s="0" t="n">
        <v>64</v>
      </c>
      <c r="L1432" s="0" t="n">
        <v>210</v>
      </c>
      <c r="M1432" s="0" t="n">
        <v>683.08</v>
      </c>
      <c r="N1432" s="0" t="n">
        <v>73.51</v>
      </c>
      <c r="O1432" s="0" t="n">
        <v>39.86</v>
      </c>
      <c r="P1432" s="0" t="n">
        <v>3.96</v>
      </c>
      <c r="Q1432" s="0" t="n">
        <v>3.61</v>
      </c>
      <c r="R1432" s="0" t="n">
        <v>5468</v>
      </c>
      <c r="S1432" s="0" t="n">
        <v>11530</v>
      </c>
      <c r="T1432" s="0" t="n">
        <v>57.45</v>
      </c>
      <c r="U1432" s="0" t="n">
        <v>1377</v>
      </c>
      <c r="V1432" s="0" t="n">
        <v>2</v>
      </c>
      <c r="W1432" s="0" t="str">
        <f aca="false">IF(OR(AND(B1432&gt;=1,B1432&lt;=6),B1432=10),"Vaca em lactação",IF(I1432="Male","Macho",IF(E1432&gt;=1,"Vaca seca",IF(I1432="Youngstock","Bezerra/recria","Novilha"))))</f>
        <v>Vaca em lactação</v>
      </c>
      <c r="X1432" s="0" t="str">
        <f aca="false">IF(AND(B1432&gt;=1,B1432&lt;=6),"Tanque",IF(B1432=10,"Descarte",""))</f>
        <v>Tanque</v>
      </c>
    </row>
    <row r="1433" customFormat="false" ht="15" hidden="false" customHeight="false" outlineLevel="0" collapsed="false">
      <c r="A1433" s="22" t="n">
        <v>46309</v>
      </c>
      <c r="B1433" s="0" t="n">
        <v>5</v>
      </c>
      <c r="C1433" s="0" t="n">
        <v>4429</v>
      </c>
      <c r="D1433" s="0" t="n">
        <v>239</v>
      </c>
      <c r="E1433" s="0" t="n">
        <v>2</v>
      </c>
      <c r="F1433" s="23" t="s">
        <v>886</v>
      </c>
      <c r="G1433" s="0" t="n">
        <v>47.6</v>
      </c>
      <c r="H1433" s="0" t="n">
        <v>46</v>
      </c>
      <c r="I1433" s="23" t="s">
        <v>109</v>
      </c>
      <c r="J1433" s="0" t="n">
        <v>239</v>
      </c>
      <c r="K1433" s="0" t="n">
        <v>64</v>
      </c>
      <c r="M1433" s="0" t="n">
        <v>584.98</v>
      </c>
      <c r="N1433" s="0" t="n">
        <v>60.37</v>
      </c>
      <c r="O1433" s="0" t="n">
        <v>32.21</v>
      </c>
      <c r="P1433" s="0" t="n">
        <v>4.26</v>
      </c>
      <c r="Q1433" s="0" t="n">
        <v>3.71</v>
      </c>
      <c r="R1433" s="0" t="n">
        <v>4613</v>
      </c>
      <c r="S1433" s="0" t="n">
        <v>9630</v>
      </c>
      <c r="T1433" s="0" t="n">
        <v>50</v>
      </c>
      <c r="U1433" s="0" t="n">
        <v>1378</v>
      </c>
      <c r="V1433" s="0" t="n">
        <v>4</v>
      </c>
      <c r="W1433" s="0" t="str">
        <f aca="false">IF(OR(AND(B1433&gt;=1,B1433&lt;=6),B1433=10),"Vaca em lactação",IF(I1433="Male","Macho",IF(E1433&gt;=1,"Vaca seca",IF(I1433="Youngstock","Bezerra/recria","Novilha"))))</f>
        <v>Vaca em lactação</v>
      </c>
      <c r="X1433" s="0" t="str">
        <f aca="false">IF(AND(B1433&gt;=1,B1433&lt;=6),"Tanque",IF(B1433=10,"Descarte",""))</f>
        <v>Tanque</v>
      </c>
    </row>
    <row r="1434" customFormat="false" ht="15" hidden="false" customHeight="false" outlineLevel="0" collapsed="false">
      <c r="A1434" s="22" t="n">
        <v>46309</v>
      </c>
      <c r="B1434" s="0" t="n">
        <v>5</v>
      </c>
      <c r="C1434" s="0" t="n">
        <v>4438</v>
      </c>
      <c r="D1434" s="0" t="n">
        <v>271</v>
      </c>
      <c r="E1434" s="0" t="n">
        <v>2</v>
      </c>
      <c r="F1434" s="23" t="s">
        <v>403</v>
      </c>
      <c r="G1434" s="0" t="n">
        <v>29.5</v>
      </c>
      <c r="H1434" s="0" t="n">
        <v>27</v>
      </c>
      <c r="I1434" s="23" t="s">
        <v>92</v>
      </c>
      <c r="J1434" s="0" t="n">
        <v>124</v>
      </c>
      <c r="K1434" s="0" t="n">
        <v>75</v>
      </c>
      <c r="L1434" s="0" t="n">
        <v>147</v>
      </c>
      <c r="M1434" s="0" t="n">
        <v>-108.23</v>
      </c>
      <c r="N1434" s="0" t="n">
        <v>59.39</v>
      </c>
      <c r="O1434" s="0" t="n">
        <v>24.63</v>
      </c>
      <c r="P1434" s="0" t="n">
        <v>5.7</v>
      </c>
      <c r="Q1434" s="0" t="n">
        <v>4.38</v>
      </c>
      <c r="R1434" s="0" t="n">
        <v>5122</v>
      </c>
      <c r="S1434" s="0" t="n">
        <v>9271</v>
      </c>
      <c r="T1434" s="0" t="n">
        <v>54.2</v>
      </c>
      <c r="U1434" s="0" t="n">
        <v>1375</v>
      </c>
      <c r="V1434" s="0" t="n">
        <v>2</v>
      </c>
      <c r="W1434" s="0" t="str">
        <f aca="false">IF(OR(AND(B1434&gt;=1,B1434&lt;=6),B1434=10),"Vaca em lactação",IF(I1434="Male","Macho",IF(E1434&gt;=1,"Vaca seca",IF(I1434="Youngstock","Bezerra/recria","Novilha"))))</f>
        <v>Vaca em lactação</v>
      </c>
      <c r="X1434" s="0" t="str">
        <f aca="false">IF(AND(B1434&gt;=1,B1434&lt;=6),"Tanque",IF(B1434=10,"Descarte",""))</f>
        <v>Tanque</v>
      </c>
    </row>
    <row r="1435" customFormat="false" ht="15" hidden="false" customHeight="false" outlineLevel="0" collapsed="false">
      <c r="A1435" s="22" t="n">
        <v>46309</v>
      </c>
      <c r="B1435" s="0" t="n">
        <v>5</v>
      </c>
      <c r="C1435" s="0" t="n">
        <v>4437</v>
      </c>
      <c r="D1435" s="0" t="n">
        <v>327</v>
      </c>
      <c r="E1435" s="0" t="n">
        <v>2</v>
      </c>
      <c r="F1435" s="23" t="s">
        <v>403</v>
      </c>
      <c r="G1435" s="0" t="n">
        <v>40.2</v>
      </c>
      <c r="H1435" s="0" t="n">
        <v>35</v>
      </c>
      <c r="I1435" s="23" t="s">
        <v>109</v>
      </c>
      <c r="J1435" s="0" t="n">
        <v>327</v>
      </c>
      <c r="K1435" s="0" t="n">
        <v>68</v>
      </c>
      <c r="M1435" s="0" t="n">
        <v>370.85</v>
      </c>
      <c r="N1435" s="0" t="n">
        <v>40.21</v>
      </c>
      <c r="O1435" s="0" t="n">
        <v>11.39</v>
      </c>
      <c r="P1435" s="0" t="n">
        <v>4.33</v>
      </c>
      <c r="Q1435" s="0" t="n">
        <v>3.74</v>
      </c>
      <c r="R1435" s="0" t="n">
        <v>4941</v>
      </c>
      <c r="S1435" s="0" t="n">
        <v>8353</v>
      </c>
      <c r="T1435" s="0" t="n">
        <v>54.95</v>
      </c>
      <c r="U1435" s="0" t="n">
        <v>1375</v>
      </c>
      <c r="V1435" s="0" t="n">
        <v>4</v>
      </c>
      <c r="W1435" s="0" t="str">
        <f aca="false">IF(OR(AND(B1435&gt;=1,B1435&lt;=6),B1435=10),"Vaca em lactação",IF(I1435="Male","Macho",IF(E1435&gt;=1,"Vaca seca",IF(I1435="Youngstock","Bezerra/recria","Novilha"))))</f>
        <v>Vaca em lactação</v>
      </c>
      <c r="X1435" s="0" t="str">
        <f aca="false">IF(AND(B1435&gt;=1,B1435&lt;=6),"Tanque",IF(B1435=10,"Descarte",""))</f>
        <v>Tanque</v>
      </c>
    </row>
    <row r="1436" customFormat="false" ht="15" hidden="false" customHeight="false" outlineLevel="0" collapsed="false">
      <c r="A1436" s="22" t="n">
        <v>46309</v>
      </c>
      <c r="B1436" s="0" t="n">
        <v>5</v>
      </c>
      <c r="C1436" s="0" t="n">
        <v>4450</v>
      </c>
      <c r="D1436" s="0" t="n">
        <v>266</v>
      </c>
      <c r="E1436" s="0" t="n">
        <v>2</v>
      </c>
      <c r="F1436" s="23" t="s">
        <v>405</v>
      </c>
      <c r="G1436" s="0" t="n">
        <v>44.8</v>
      </c>
      <c r="H1436" s="0" t="n">
        <v>41</v>
      </c>
      <c r="I1436" s="23" t="s">
        <v>92</v>
      </c>
      <c r="J1436" s="0" t="n">
        <v>224</v>
      </c>
      <c r="K1436" s="0" t="n">
        <v>84</v>
      </c>
      <c r="L1436" s="0" t="n">
        <v>42</v>
      </c>
      <c r="M1436" s="0" t="n">
        <v>755.47</v>
      </c>
      <c r="N1436" s="0" t="n">
        <v>60.78</v>
      </c>
      <c r="O1436" s="0" t="n">
        <v>31.45</v>
      </c>
      <c r="P1436" s="0" t="n">
        <v>5.09</v>
      </c>
      <c r="Q1436" s="0" t="n">
        <v>3.86</v>
      </c>
      <c r="R1436" s="0" t="n">
        <v>6047</v>
      </c>
      <c r="S1436" s="0" t="n">
        <v>11507</v>
      </c>
      <c r="T1436" s="0" t="n">
        <v>65.45</v>
      </c>
      <c r="U1436" s="0" t="n">
        <v>1371</v>
      </c>
      <c r="V1436" s="0" t="n">
        <v>5</v>
      </c>
      <c r="W1436" s="0" t="str">
        <f aca="false">IF(OR(AND(B1436&gt;=1,B1436&lt;=6),B1436=10),"Vaca em lactação",IF(I1436="Male","Macho",IF(E1436&gt;=1,"Vaca seca",IF(I1436="Youngstock","Bezerra/recria","Novilha"))))</f>
        <v>Vaca em lactação</v>
      </c>
      <c r="X1436" s="0" t="str">
        <f aca="false">IF(AND(B1436&gt;=1,B1436&lt;=6),"Tanque",IF(B1436=10,"Descarte",""))</f>
        <v>Tanque</v>
      </c>
    </row>
    <row r="1437" customFormat="false" ht="15" hidden="false" customHeight="false" outlineLevel="0" collapsed="false">
      <c r="A1437" s="22" t="n">
        <v>46309</v>
      </c>
      <c r="B1437" s="0" t="n">
        <v>5</v>
      </c>
      <c r="C1437" s="0" t="n">
        <v>5376</v>
      </c>
      <c r="D1437" s="0" t="n">
        <v>331</v>
      </c>
      <c r="E1437" s="0" t="n">
        <v>1</v>
      </c>
      <c r="F1437" s="23" t="s">
        <v>887</v>
      </c>
      <c r="G1437" s="0" t="n">
        <v>39.8</v>
      </c>
      <c r="H1437" s="0" t="n">
        <v>36</v>
      </c>
      <c r="I1437" s="23" t="s">
        <v>97</v>
      </c>
      <c r="J1437" s="0" t="n">
        <v>331</v>
      </c>
      <c r="K1437" s="0" t="n">
        <v>65</v>
      </c>
      <c r="M1437" s="0" t="n">
        <v>14.12</v>
      </c>
      <c r="N1437" s="0" t="n">
        <v>33.84</v>
      </c>
      <c r="O1437" s="0" t="n">
        <v>22.6</v>
      </c>
      <c r="P1437" s="0" t="n">
        <v>3.33</v>
      </c>
      <c r="Q1437" s="0" t="n">
        <v>3.88</v>
      </c>
      <c r="R1437" s="0" t="n">
        <v>3056</v>
      </c>
      <c r="S1437" s="0" t="n">
        <v>6675</v>
      </c>
      <c r="T1437" s="0" t="n">
        <v>33.35</v>
      </c>
      <c r="U1437" s="0" t="n">
        <v>952</v>
      </c>
      <c r="V1437" s="0" t="n">
        <v>7</v>
      </c>
      <c r="W1437" s="0" t="str">
        <f aca="false">IF(OR(AND(B1437&gt;=1,B1437&lt;=6),B1437=10),"Vaca em lactação",IF(I1437="Male","Macho",IF(E1437&gt;=1,"Vaca seca",IF(I1437="Youngstock","Bezerra/recria","Novilha"))))</f>
        <v>Vaca em lactação</v>
      </c>
      <c r="X1437" s="0" t="str">
        <f aca="false">IF(AND(B1437&gt;=1,B1437&lt;=6),"Tanque",IF(B1437=10,"Descarte",""))</f>
        <v>Tanque</v>
      </c>
    </row>
    <row r="1438" customFormat="false" ht="15" hidden="false" customHeight="false" outlineLevel="0" collapsed="false">
      <c r="A1438" s="22" t="n">
        <v>46309</v>
      </c>
      <c r="B1438" s="0" t="n">
        <v>5</v>
      </c>
      <c r="C1438" s="0" t="n">
        <v>5771</v>
      </c>
      <c r="D1438" s="0" t="n">
        <v>143</v>
      </c>
      <c r="E1438" s="0" t="n">
        <v>1</v>
      </c>
      <c r="F1438" s="23" t="s">
        <v>127</v>
      </c>
      <c r="G1438" s="0" t="n">
        <v>37.8</v>
      </c>
      <c r="H1438" s="0" t="n">
        <v>36</v>
      </c>
      <c r="I1438" s="23" t="s">
        <v>97</v>
      </c>
      <c r="J1438" s="0" t="n">
        <v>143</v>
      </c>
      <c r="K1438" s="0" t="n">
        <v>66</v>
      </c>
      <c r="P1438" s="0" t="n">
        <v>3.88</v>
      </c>
      <c r="Q1438" s="0" t="n">
        <v>3.32</v>
      </c>
      <c r="R1438" s="0" t="n">
        <v>4379</v>
      </c>
      <c r="S1438" s="0" t="n">
        <v>9094</v>
      </c>
      <c r="T1438" s="0" t="n">
        <v>50.45</v>
      </c>
      <c r="U1438" s="0" t="n">
        <v>801</v>
      </c>
      <c r="V1438" s="0" t="n">
        <v>3</v>
      </c>
      <c r="W1438" s="0" t="str">
        <f aca="false">IF(OR(AND(B1438&gt;=1,B1438&lt;=6),B1438=10),"Vaca em lactação",IF(I1438="Male","Macho",IF(E1438&gt;=1,"Vaca seca",IF(I1438="Youngstock","Bezerra/recria","Novilha"))))</f>
        <v>Vaca em lactação</v>
      </c>
      <c r="X1438" s="0" t="str">
        <f aca="false">IF(AND(B1438&gt;=1,B1438&lt;=6),"Tanque",IF(B1438=10,"Descarte",""))</f>
        <v>Tanque</v>
      </c>
    </row>
    <row r="1439" customFormat="false" ht="15" hidden="false" customHeight="false" outlineLevel="0" collapsed="false">
      <c r="A1439" s="22" t="n">
        <v>46309</v>
      </c>
      <c r="B1439" s="0" t="n">
        <v>6</v>
      </c>
      <c r="C1439" s="0" t="n">
        <v>1954</v>
      </c>
      <c r="D1439" s="0" t="n">
        <v>600</v>
      </c>
      <c r="E1439" s="0" t="n">
        <v>6</v>
      </c>
      <c r="F1439" s="23" t="s">
        <v>888</v>
      </c>
      <c r="G1439" s="0" t="n">
        <v>19.3</v>
      </c>
      <c r="H1439" s="0" t="n">
        <v>19</v>
      </c>
      <c r="I1439" s="23" t="s">
        <v>506</v>
      </c>
      <c r="J1439" s="0" t="n">
        <v>600</v>
      </c>
      <c r="K1439" s="0" t="n">
        <v>62</v>
      </c>
      <c r="P1439" s="0" t="n">
        <v>4.5</v>
      </c>
      <c r="Q1439" s="0" t="n">
        <v>3.99</v>
      </c>
      <c r="R1439" s="0" t="n">
        <v>6173</v>
      </c>
      <c r="S1439" s="0" t="n">
        <v>11815</v>
      </c>
      <c r="T1439" s="0" t="n">
        <v>72.85</v>
      </c>
      <c r="U1439" s="0" t="n">
        <v>3245</v>
      </c>
      <c r="V1439" s="0" t="n">
        <v>11</v>
      </c>
      <c r="W1439" s="0" t="str">
        <f aca="false">IF(OR(AND(B1439&gt;=1,B1439&lt;=6),B1439=10),"Vaca em lactação",IF(I1439="Male","Macho",IF(E1439&gt;=1,"Vaca seca",IF(I1439="Youngstock","Bezerra/recria","Novilha"))))</f>
        <v>Vaca em lactação</v>
      </c>
      <c r="X1439" s="0" t="str">
        <f aca="false">IF(AND(B1439&gt;=1,B1439&lt;=6),"Tanque",IF(B1439=10,"Descarte",""))</f>
        <v>Tanque</v>
      </c>
    </row>
    <row r="1440" customFormat="false" ht="15" hidden="false" customHeight="false" outlineLevel="0" collapsed="false">
      <c r="A1440" s="22" t="n">
        <v>46309</v>
      </c>
      <c r="B1440" s="0" t="n">
        <v>6</v>
      </c>
      <c r="C1440" s="0" t="n">
        <v>3740</v>
      </c>
      <c r="D1440" s="0" t="n">
        <v>281</v>
      </c>
      <c r="E1440" s="0" t="n">
        <v>3</v>
      </c>
      <c r="F1440" s="23" t="s">
        <v>889</v>
      </c>
      <c r="G1440" s="0" t="n">
        <v>27.7</v>
      </c>
      <c r="H1440" s="0" t="n">
        <v>28</v>
      </c>
      <c r="I1440" s="23" t="s">
        <v>92</v>
      </c>
      <c r="J1440" s="0" t="n">
        <v>134</v>
      </c>
      <c r="K1440" s="0" t="n">
        <v>71</v>
      </c>
      <c r="L1440" s="0" t="n">
        <v>147</v>
      </c>
      <c r="M1440" s="0" t="n">
        <v>709.64</v>
      </c>
      <c r="N1440" s="0" t="n">
        <v>66.91</v>
      </c>
      <c r="O1440" s="0" t="n">
        <v>29.65</v>
      </c>
      <c r="P1440" s="0" t="n">
        <v>5.59</v>
      </c>
      <c r="Q1440" s="0" t="n">
        <v>3.44</v>
      </c>
      <c r="R1440" s="0" t="n">
        <v>6111</v>
      </c>
      <c r="S1440" s="0" t="n">
        <v>11767</v>
      </c>
      <c r="T1440" s="0" t="n">
        <v>63.75</v>
      </c>
      <c r="U1440" s="0" t="n">
        <v>1781</v>
      </c>
      <c r="V1440" s="0" t="n">
        <v>3</v>
      </c>
      <c r="W1440" s="0" t="str">
        <f aca="false">IF(OR(AND(B1440&gt;=1,B1440&lt;=6),B1440=10),"Vaca em lactação",IF(I1440="Male","Macho",IF(E1440&gt;=1,"Vaca seca",IF(I1440="Youngstock","Bezerra/recria","Novilha"))))</f>
        <v>Vaca em lactação</v>
      </c>
      <c r="X1440" s="0" t="str">
        <f aca="false">IF(AND(B1440&gt;=1,B1440&lt;=6),"Tanque",IF(B1440=10,"Descarte",""))</f>
        <v>Tanque</v>
      </c>
    </row>
    <row r="1441" customFormat="false" ht="15" hidden="false" customHeight="false" outlineLevel="0" collapsed="false">
      <c r="A1441" s="22" t="n">
        <v>46309</v>
      </c>
      <c r="B1441" s="0" t="n">
        <v>6</v>
      </c>
      <c r="C1441" s="0" t="n">
        <v>3739</v>
      </c>
      <c r="D1441" s="0" t="n">
        <v>266</v>
      </c>
      <c r="E1441" s="0" t="n">
        <v>2</v>
      </c>
      <c r="F1441" s="23" t="s">
        <v>890</v>
      </c>
      <c r="H1441" s="0" t="n">
        <v>16</v>
      </c>
      <c r="I1441" s="23" t="s">
        <v>92</v>
      </c>
      <c r="J1441" s="0" t="n">
        <v>133</v>
      </c>
      <c r="K1441" s="0" t="n">
        <v>70</v>
      </c>
      <c r="L1441" s="0" t="n">
        <v>133</v>
      </c>
      <c r="M1441" s="0" t="n">
        <v>664.1</v>
      </c>
      <c r="N1441" s="0" t="n">
        <v>36.77</v>
      </c>
      <c r="O1441" s="0" t="n">
        <v>30.74</v>
      </c>
      <c r="P1441" s="0" t="n">
        <v>4.08</v>
      </c>
      <c r="Q1441" s="0" t="n">
        <v>3.94</v>
      </c>
      <c r="R1441" s="0" t="n">
        <v>5204</v>
      </c>
      <c r="S1441" s="0" t="n">
        <v>10115</v>
      </c>
      <c r="T1441" s="0" t="n">
        <v>58.75</v>
      </c>
      <c r="U1441" s="0" t="n">
        <v>1783</v>
      </c>
      <c r="V1441" s="0" t="n">
        <v>3</v>
      </c>
      <c r="W1441" s="0" t="str">
        <f aca="false">IF(OR(AND(B1441&gt;=1,B1441&lt;=6),B1441=10),"Vaca em lactação",IF(I1441="Male","Macho",IF(E1441&gt;=1,"Vaca seca",IF(I1441="Youngstock","Bezerra/recria","Novilha"))))</f>
        <v>Vaca em lactação</v>
      </c>
      <c r="X1441" s="0" t="str">
        <f aca="false">IF(AND(B1441&gt;=1,B1441&lt;=6),"Tanque",IF(B1441=10,"Descarte",""))</f>
        <v>Tanque</v>
      </c>
    </row>
    <row r="1442" customFormat="false" ht="15" hidden="false" customHeight="false" outlineLevel="0" collapsed="false">
      <c r="A1442" s="22" t="n">
        <v>46309</v>
      </c>
      <c r="B1442" s="0" t="n">
        <v>6</v>
      </c>
      <c r="C1442" s="0" t="n">
        <v>3736</v>
      </c>
      <c r="D1442" s="0" t="n">
        <v>152</v>
      </c>
      <c r="E1442" s="0" t="n">
        <v>4</v>
      </c>
      <c r="F1442" s="23" t="s">
        <v>224</v>
      </c>
      <c r="G1442" s="0" t="n">
        <v>31.7</v>
      </c>
      <c r="H1442" s="0" t="n">
        <v>30</v>
      </c>
      <c r="I1442" s="23" t="s">
        <v>109</v>
      </c>
      <c r="J1442" s="0" t="n">
        <v>152</v>
      </c>
      <c r="K1442" s="0" t="n">
        <v>68</v>
      </c>
      <c r="M1442" s="0" t="n">
        <v>-51.28</v>
      </c>
      <c r="N1442" s="0" t="n">
        <v>44.77</v>
      </c>
      <c r="O1442" s="0" t="n">
        <v>14.87</v>
      </c>
      <c r="P1442" s="0" t="n">
        <v>4.72</v>
      </c>
      <c r="Q1442" s="0" t="n">
        <v>3.54</v>
      </c>
      <c r="R1442" s="0" t="n">
        <v>3379</v>
      </c>
      <c r="S1442" s="0" t="n">
        <v>6459</v>
      </c>
      <c r="T1442" s="0" t="n">
        <v>39</v>
      </c>
      <c r="U1442" s="0" t="n">
        <v>1784</v>
      </c>
      <c r="V1442" s="0" t="n">
        <v>2</v>
      </c>
      <c r="W1442" s="0" t="str">
        <f aca="false">IF(OR(AND(B1442&gt;=1,B1442&lt;=6),B1442=10),"Vaca em lactação",IF(I1442="Male","Macho",IF(E1442&gt;=1,"Vaca seca",IF(I1442="Youngstock","Bezerra/recria","Novilha"))))</f>
        <v>Vaca em lactação</v>
      </c>
      <c r="X1442" s="0" t="str">
        <f aca="false">IF(AND(B1442&gt;=1,B1442&lt;=6),"Tanque",IF(B1442=10,"Descarte",""))</f>
        <v>Tanque</v>
      </c>
    </row>
    <row r="1443" customFormat="false" ht="15" hidden="false" customHeight="false" outlineLevel="0" collapsed="false">
      <c r="A1443" s="22" t="n">
        <v>46309</v>
      </c>
      <c r="B1443" s="0" t="n">
        <v>6</v>
      </c>
      <c r="C1443" s="0" t="n">
        <v>3701</v>
      </c>
      <c r="D1443" s="0" t="n">
        <v>312</v>
      </c>
      <c r="E1443" s="0" t="n">
        <v>3</v>
      </c>
      <c r="F1443" s="23" t="s">
        <v>891</v>
      </c>
      <c r="H1443" s="0" t="n">
        <v>18</v>
      </c>
      <c r="I1443" s="23" t="s">
        <v>92</v>
      </c>
      <c r="J1443" s="0" t="n">
        <v>221</v>
      </c>
      <c r="K1443" s="0" t="n">
        <v>68</v>
      </c>
      <c r="L1443" s="0" t="n">
        <v>91</v>
      </c>
      <c r="M1443" s="0" t="n">
        <v>492.14</v>
      </c>
      <c r="N1443" s="0" t="n">
        <v>50.94</v>
      </c>
      <c r="O1443" s="0" t="n">
        <v>25.38</v>
      </c>
      <c r="P1443" s="0" t="n">
        <v>5</v>
      </c>
      <c r="Q1443" s="0" t="n">
        <v>4.26</v>
      </c>
      <c r="R1443" s="0" t="n">
        <v>5426</v>
      </c>
      <c r="S1443" s="0" t="n">
        <v>10417</v>
      </c>
      <c r="T1443" s="0" t="n">
        <v>57.7</v>
      </c>
      <c r="U1443" s="0" t="n">
        <v>1808</v>
      </c>
      <c r="V1443" s="0" t="n">
        <v>2</v>
      </c>
      <c r="W1443" s="0" t="str">
        <f aca="false">IF(OR(AND(B1443&gt;=1,B1443&lt;=6),B1443=10),"Vaca em lactação",IF(I1443="Male","Macho",IF(E1443&gt;=1,"Vaca seca",IF(I1443="Youngstock","Bezerra/recria","Novilha"))))</f>
        <v>Vaca em lactação</v>
      </c>
      <c r="X1443" s="0" t="str">
        <f aca="false">IF(AND(B1443&gt;=1,B1443&lt;=6),"Tanque",IF(B1443=10,"Descarte",""))</f>
        <v>Tanque</v>
      </c>
    </row>
    <row r="1444" customFormat="false" ht="15" hidden="false" customHeight="false" outlineLevel="0" collapsed="false">
      <c r="A1444" s="22" t="n">
        <v>46309</v>
      </c>
      <c r="B1444" s="0" t="n">
        <v>6</v>
      </c>
      <c r="C1444" s="0" t="n">
        <v>3723</v>
      </c>
      <c r="D1444" s="0" t="n">
        <v>259</v>
      </c>
      <c r="E1444" s="0" t="n">
        <v>3</v>
      </c>
      <c r="F1444" s="23" t="s">
        <v>410</v>
      </c>
      <c r="G1444" s="0" t="n">
        <v>30.5</v>
      </c>
      <c r="H1444" s="0" t="n">
        <v>27</v>
      </c>
      <c r="I1444" s="23" t="s">
        <v>97</v>
      </c>
      <c r="J1444" s="0" t="n">
        <v>259</v>
      </c>
      <c r="K1444" s="0" t="n">
        <v>74</v>
      </c>
      <c r="M1444" s="0" t="n">
        <v>533.27</v>
      </c>
      <c r="N1444" s="0" t="n">
        <v>18.57</v>
      </c>
      <c r="O1444" s="0" t="n">
        <v>23.08</v>
      </c>
      <c r="P1444" s="0" t="n">
        <v>4.51</v>
      </c>
      <c r="Q1444" s="0" t="n">
        <v>3.89</v>
      </c>
      <c r="R1444" s="0" t="n">
        <v>3842</v>
      </c>
      <c r="S1444" s="0" t="n">
        <v>7582</v>
      </c>
      <c r="T1444" s="0" t="n">
        <v>41</v>
      </c>
      <c r="U1444" s="0" t="n">
        <v>1796</v>
      </c>
      <c r="V1444" s="0" t="n">
        <v>5</v>
      </c>
      <c r="W1444" s="0" t="str">
        <f aca="false">IF(OR(AND(B1444&gt;=1,B1444&lt;=6),B1444=10),"Vaca em lactação",IF(I1444="Male","Macho",IF(E1444&gt;=1,"Vaca seca",IF(I1444="Youngstock","Bezerra/recria","Novilha"))))</f>
        <v>Vaca em lactação</v>
      </c>
      <c r="X1444" s="0" t="str">
        <f aca="false">IF(AND(B1444&gt;=1,B1444&lt;=6),"Tanque",IF(B1444=10,"Descarte",""))</f>
        <v>Tanque</v>
      </c>
    </row>
    <row r="1445" customFormat="false" ht="15" hidden="false" customHeight="false" outlineLevel="0" collapsed="false">
      <c r="A1445" s="22" t="n">
        <v>46309</v>
      </c>
      <c r="B1445" s="0" t="n">
        <v>6</v>
      </c>
      <c r="C1445" s="0" t="n">
        <v>3796</v>
      </c>
      <c r="D1445" s="0" t="n">
        <v>739</v>
      </c>
      <c r="E1445" s="0" t="n">
        <v>2</v>
      </c>
      <c r="F1445" s="23" t="s">
        <v>892</v>
      </c>
      <c r="G1445" s="0" t="n">
        <v>25.2</v>
      </c>
      <c r="H1445" s="0" t="n">
        <v>23</v>
      </c>
      <c r="I1445" s="23" t="s">
        <v>506</v>
      </c>
      <c r="J1445" s="0" t="n">
        <v>739</v>
      </c>
      <c r="K1445" s="0" t="n">
        <v>68</v>
      </c>
      <c r="M1445" s="0" t="n">
        <v>494.53</v>
      </c>
      <c r="N1445" s="0" t="n">
        <v>64.78</v>
      </c>
      <c r="O1445" s="0" t="n">
        <v>16.4</v>
      </c>
      <c r="P1445" s="0" t="n">
        <v>4.66</v>
      </c>
      <c r="Q1445" s="0" t="n">
        <v>3.81</v>
      </c>
      <c r="R1445" s="0" t="n">
        <v>5470</v>
      </c>
      <c r="S1445" s="0" t="n">
        <v>11733</v>
      </c>
      <c r="T1445" s="0" t="n">
        <v>46.85</v>
      </c>
      <c r="U1445" s="0" t="n">
        <v>1738</v>
      </c>
      <c r="V1445" s="0" t="n">
        <v>15</v>
      </c>
      <c r="W1445" s="0" t="str">
        <f aca="false">IF(OR(AND(B1445&gt;=1,B1445&lt;=6),B1445=10),"Vaca em lactação",IF(I1445="Male","Macho",IF(E1445&gt;=1,"Vaca seca",IF(I1445="Youngstock","Bezerra/recria","Novilha"))))</f>
        <v>Vaca em lactação</v>
      </c>
      <c r="X1445" s="0" t="str">
        <f aca="false">IF(AND(B1445&gt;=1,B1445&lt;=6),"Tanque",IF(B1445=10,"Descarte",""))</f>
        <v>Tanque</v>
      </c>
    </row>
    <row r="1446" customFormat="false" ht="15" hidden="false" customHeight="false" outlineLevel="0" collapsed="false">
      <c r="A1446" s="22" t="n">
        <v>46309</v>
      </c>
      <c r="B1446" s="0" t="n">
        <v>6</v>
      </c>
      <c r="C1446" s="0" t="n">
        <v>3816</v>
      </c>
      <c r="D1446" s="0" t="n">
        <v>576</v>
      </c>
      <c r="E1446" s="0" t="n">
        <v>2</v>
      </c>
      <c r="F1446" s="23" t="s">
        <v>893</v>
      </c>
      <c r="G1446" s="0" t="n">
        <v>28</v>
      </c>
      <c r="H1446" s="0" t="n">
        <v>26</v>
      </c>
      <c r="I1446" s="23" t="s">
        <v>506</v>
      </c>
      <c r="J1446" s="0" t="n">
        <v>576</v>
      </c>
      <c r="K1446" s="0" t="n">
        <v>59</v>
      </c>
      <c r="M1446" s="0" t="n">
        <v>298.05</v>
      </c>
      <c r="N1446" s="0" t="n">
        <v>33.63</v>
      </c>
      <c r="O1446" s="0" t="n">
        <v>10.03</v>
      </c>
      <c r="P1446" s="0" t="n">
        <v>4.04</v>
      </c>
      <c r="Q1446" s="0" t="n">
        <v>3.46</v>
      </c>
      <c r="R1446" s="0" t="n">
        <v>4261</v>
      </c>
      <c r="S1446" s="0" t="n">
        <v>8477</v>
      </c>
      <c r="T1446" s="0" t="n">
        <v>50.1</v>
      </c>
      <c r="U1446" s="0" t="n">
        <v>1715</v>
      </c>
      <c r="V1446" s="0" t="n">
        <v>7</v>
      </c>
      <c r="W1446" s="0" t="str">
        <f aca="false">IF(OR(AND(B1446&gt;=1,B1446&lt;=6),B1446=10),"Vaca em lactação",IF(I1446="Male","Macho",IF(E1446&gt;=1,"Vaca seca",IF(I1446="Youngstock","Bezerra/recria","Novilha"))))</f>
        <v>Vaca em lactação</v>
      </c>
      <c r="X1446" s="0" t="str">
        <f aca="false">IF(AND(B1446&gt;=1,B1446&lt;=6),"Tanque",IF(B1446=10,"Descarte",""))</f>
        <v>Tanque</v>
      </c>
    </row>
    <row r="1447" customFormat="false" ht="15" hidden="false" customHeight="false" outlineLevel="0" collapsed="false">
      <c r="A1447" s="22" t="n">
        <v>46309</v>
      </c>
      <c r="B1447" s="0" t="n">
        <v>6</v>
      </c>
      <c r="C1447" s="0" t="n">
        <v>3826</v>
      </c>
      <c r="D1447" s="0" t="n">
        <v>232</v>
      </c>
      <c r="E1447" s="0" t="n">
        <v>3</v>
      </c>
      <c r="F1447" s="23" t="s">
        <v>894</v>
      </c>
      <c r="G1447" s="0" t="n">
        <v>26.3</v>
      </c>
      <c r="H1447" s="0" t="n">
        <v>22</v>
      </c>
      <c r="I1447" s="23" t="s">
        <v>92</v>
      </c>
      <c r="J1447" s="0" t="n">
        <v>148</v>
      </c>
      <c r="K1447" s="0" t="n">
        <v>64</v>
      </c>
      <c r="L1447" s="0" t="n">
        <v>84</v>
      </c>
      <c r="M1447" s="0" t="n">
        <v>817.64</v>
      </c>
      <c r="N1447" s="0" t="n">
        <v>45.59</v>
      </c>
      <c r="O1447" s="0" t="n">
        <v>35.55</v>
      </c>
      <c r="P1447" s="0" t="n">
        <v>3.88</v>
      </c>
      <c r="Q1447" s="0" t="n">
        <v>3.56</v>
      </c>
      <c r="R1447" s="0" t="n">
        <v>5205</v>
      </c>
      <c r="S1447" s="0" t="n">
        <v>9518</v>
      </c>
      <c r="T1447" s="0" t="n">
        <v>61.05</v>
      </c>
      <c r="U1447" s="0" t="n">
        <v>1708</v>
      </c>
      <c r="V1447" s="0" t="n">
        <v>4</v>
      </c>
      <c r="W1447" s="0" t="str">
        <f aca="false">IF(OR(AND(B1447&gt;=1,B1447&lt;=6),B1447=10),"Vaca em lactação",IF(I1447="Male","Macho",IF(E1447&gt;=1,"Vaca seca",IF(I1447="Youngstock","Bezerra/recria","Novilha"))))</f>
        <v>Vaca em lactação</v>
      </c>
      <c r="X1447" s="0" t="str">
        <f aca="false">IF(AND(B1447&gt;=1,B1447&lt;=6),"Tanque",IF(B1447=10,"Descarte",""))</f>
        <v>Tanque</v>
      </c>
    </row>
    <row r="1448" customFormat="false" ht="15" hidden="false" customHeight="false" outlineLevel="0" collapsed="false">
      <c r="A1448" s="22" t="n">
        <v>46309</v>
      </c>
      <c r="B1448" s="0" t="n">
        <v>6</v>
      </c>
      <c r="C1448" s="0" t="n">
        <v>3767</v>
      </c>
      <c r="D1448" s="0" t="n">
        <v>329</v>
      </c>
      <c r="E1448" s="0" t="n">
        <v>3</v>
      </c>
      <c r="F1448" s="23" t="s">
        <v>895</v>
      </c>
      <c r="G1448" s="0" t="n">
        <v>20.4</v>
      </c>
      <c r="H1448" s="0" t="n">
        <v>20</v>
      </c>
      <c r="I1448" s="23" t="s">
        <v>92</v>
      </c>
      <c r="J1448" s="0" t="n">
        <v>252</v>
      </c>
      <c r="K1448" s="0" t="n">
        <v>70</v>
      </c>
      <c r="L1448" s="0" t="n">
        <v>77</v>
      </c>
      <c r="M1448" s="0" t="n">
        <v>49.13</v>
      </c>
      <c r="N1448" s="0" t="n">
        <v>21.21</v>
      </c>
      <c r="O1448" s="0" t="n">
        <v>16.68</v>
      </c>
      <c r="P1448" s="0" t="n">
        <v>5.5</v>
      </c>
      <c r="Q1448" s="0" t="n">
        <v>3.4</v>
      </c>
      <c r="R1448" s="0" t="n">
        <v>5490</v>
      </c>
      <c r="S1448" s="0" t="n">
        <v>10637</v>
      </c>
      <c r="T1448" s="0" t="n">
        <v>58.5</v>
      </c>
      <c r="U1448" s="0" t="n">
        <v>1759</v>
      </c>
      <c r="V1448" s="0" t="n">
        <v>6</v>
      </c>
      <c r="W1448" s="0" t="str">
        <f aca="false">IF(OR(AND(B1448&gt;=1,B1448&lt;=6),B1448=10),"Vaca em lactação",IF(I1448="Male","Macho",IF(E1448&gt;=1,"Vaca seca",IF(I1448="Youngstock","Bezerra/recria","Novilha"))))</f>
        <v>Vaca em lactação</v>
      </c>
      <c r="X1448" s="0" t="str">
        <f aca="false">IF(AND(B1448&gt;=1,B1448&lt;=6),"Tanque",IF(B1448=10,"Descarte",""))</f>
        <v>Tanque</v>
      </c>
    </row>
    <row r="1449" customFormat="false" ht="15" hidden="false" customHeight="false" outlineLevel="0" collapsed="false">
      <c r="A1449" s="22" t="n">
        <v>46309</v>
      </c>
      <c r="B1449" s="0" t="n">
        <v>6</v>
      </c>
      <c r="C1449" s="0" t="n">
        <v>3775</v>
      </c>
      <c r="D1449" s="0" t="n">
        <v>404</v>
      </c>
      <c r="E1449" s="0" t="n">
        <v>2</v>
      </c>
      <c r="F1449" s="23" t="s">
        <v>896</v>
      </c>
      <c r="H1449" s="0" t="n">
        <v>22</v>
      </c>
      <c r="I1449" s="23" t="s">
        <v>92</v>
      </c>
      <c r="J1449" s="0" t="n">
        <v>257</v>
      </c>
      <c r="K1449" s="0" t="n">
        <v>68</v>
      </c>
      <c r="L1449" s="0" t="n">
        <v>147</v>
      </c>
      <c r="M1449" s="0" t="n">
        <v>421.22</v>
      </c>
      <c r="N1449" s="0" t="n">
        <v>64.16</v>
      </c>
      <c r="O1449" s="0" t="n">
        <v>23.48</v>
      </c>
      <c r="P1449" s="0" t="n">
        <v>5.8</v>
      </c>
      <c r="Q1449" s="0" t="n">
        <v>4.43</v>
      </c>
      <c r="R1449" s="0" t="n">
        <v>3784</v>
      </c>
      <c r="S1449" s="0" t="n">
        <v>7758</v>
      </c>
      <c r="T1449" s="0" t="n">
        <v>40.75</v>
      </c>
      <c r="U1449" s="0" t="n">
        <v>1751</v>
      </c>
      <c r="V1449" s="0" t="n">
        <v>3</v>
      </c>
      <c r="W1449" s="0" t="str">
        <f aca="false">IF(OR(AND(B1449&gt;=1,B1449&lt;=6),B1449=10),"Vaca em lactação",IF(I1449="Male","Macho",IF(E1449&gt;=1,"Vaca seca",IF(I1449="Youngstock","Bezerra/recria","Novilha"))))</f>
        <v>Vaca em lactação</v>
      </c>
      <c r="X1449" s="0" t="str">
        <f aca="false">IF(AND(B1449&gt;=1,B1449&lt;=6),"Tanque",IF(B1449=10,"Descarte",""))</f>
        <v>Tanque</v>
      </c>
    </row>
    <row r="1450" customFormat="false" ht="15" hidden="false" customHeight="false" outlineLevel="0" collapsed="false">
      <c r="A1450" s="22" t="n">
        <v>46309</v>
      </c>
      <c r="B1450" s="0" t="n">
        <v>6</v>
      </c>
      <c r="C1450" s="0" t="n">
        <v>3786</v>
      </c>
      <c r="D1450" s="0" t="n">
        <v>315</v>
      </c>
      <c r="E1450" s="0" t="n">
        <v>3</v>
      </c>
      <c r="F1450" s="23" t="s">
        <v>703</v>
      </c>
      <c r="G1450" s="0" t="n">
        <v>30.1</v>
      </c>
      <c r="H1450" s="0" t="n">
        <v>30</v>
      </c>
      <c r="I1450" s="23" t="s">
        <v>92</v>
      </c>
      <c r="J1450" s="0" t="n">
        <v>273</v>
      </c>
      <c r="K1450" s="0" t="n">
        <v>63</v>
      </c>
      <c r="L1450" s="0" t="n">
        <v>42</v>
      </c>
      <c r="M1450" s="0" t="n">
        <v>768.64</v>
      </c>
      <c r="N1450" s="0" t="n">
        <v>33.91</v>
      </c>
      <c r="O1450" s="0" t="n">
        <v>28.87</v>
      </c>
      <c r="P1450" s="0" t="n">
        <v>5.46</v>
      </c>
      <c r="Q1450" s="0" t="n">
        <v>3.65</v>
      </c>
      <c r="R1450" s="0" t="n">
        <v>6225</v>
      </c>
      <c r="S1450" s="0" t="n">
        <v>11997</v>
      </c>
      <c r="T1450" s="0" t="n">
        <v>63</v>
      </c>
      <c r="U1450" s="0" t="n">
        <v>1743</v>
      </c>
      <c r="V1450" s="0" t="n">
        <v>5</v>
      </c>
      <c r="W1450" s="0" t="str">
        <f aca="false">IF(OR(AND(B1450&gt;=1,B1450&lt;=6),B1450=10),"Vaca em lactação",IF(I1450="Male","Macho",IF(E1450&gt;=1,"Vaca seca",IF(I1450="Youngstock","Bezerra/recria","Novilha"))))</f>
        <v>Vaca em lactação</v>
      </c>
      <c r="X1450" s="0" t="str">
        <f aca="false">IF(AND(B1450&gt;=1,B1450&lt;=6),"Tanque",IF(B1450=10,"Descarte",""))</f>
        <v>Tanque</v>
      </c>
    </row>
    <row r="1451" customFormat="false" ht="15" hidden="false" customHeight="false" outlineLevel="0" collapsed="false">
      <c r="A1451" s="22" t="n">
        <v>46309</v>
      </c>
      <c r="B1451" s="0" t="n">
        <v>6</v>
      </c>
      <c r="C1451" s="0" t="n">
        <v>3591</v>
      </c>
      <c r="D1451" s="0" t="n">
        <v>186</v>
      </c>
      <c r="E1451" s="0" t="n">
        <v>4</v>
      </c>
      <c r="F1451" s="23" t="s">
        <v>897</v>
      </c>
      <c r="G1451" s="0" t="n">
        <v>24.5</v>
      </c>
      <c r="H1451" s="0" t="n">
        <v>25</v>
      </c>
      <c r="I1451" s="23" t="s">
        <v>92</v>
      </c>
      <c r="J1451" s="0" t="n">
        <v>116</v>
      </c>
      <c r="K1451" s="0" t="n">
        <v>67</v>
      </c>
      <c r="L1451" s="0" t="n">
        <v>70</v>
      </c>
      <c r="M1451" s="0" t="n">
        <v>382.67</v>
      </c>
      <c r="N1451" s="0" t="n">
        <v>46.27</v>
      </c>
      <c r="O1451" s="0" t="n">
        <v>30.83</v>
      </c>
      <c r="P1451" s="0" t="n">
        <v>6.19</v>
      </c>
      <c r="Q1451" s="0" t="n">
        <v>3.69</v>
      </c>
      <c r="R1451" s="0" t="n">
        <v>3152</v>
      </c>
      <c r="S1451" s="0" t="n">
        <v>6001</v>
      </c>
      <c r="T1451" s="0" t="n">
        <v>35.2</v>
      </c>
      <c r="U1451" s="0" t="n">
        <v>1876</v>
      </c>
      <c r="V1451" s="0" t="n">
        <v>2</v>
      </c>
      <c r="W1451" s="0" t="str">
        <f aca="false">IF(OR(AND(B1451&gt;=1,B1451&lt;=6),B1451=10),"Vaca em lactação",IF(I1451="Male","Macho",IF(E1451&gt;=1,"Vaca seca",IF(I1451="Youngstock","Bezerra/recria","Novilha"))))</f>
        <v>Vaca em lactação</v>
      </c>
      <c r="X1451" s="0" t="str">
        <f aca="false">IF(AND(B1451&gt;=1,B1451&lt;=6),"Tanque",IF(B1451=10,"Descarte",""))</f>
        <v>Tanque</v>
      </c>
    </row>
    <row r="1452" customFormat="false" ht="15" hidden="false" customHeight="false" outlineLevel="0" collapsed="false">
      <c r="A1452" s="22" t="n">
        <v>46309</v>
      </c>
      <c r="B1452" s="0" t="n">
        <v>6</v>
      </c>
      <c r="C1452" s="0" t="n">
        <v>3608</v>
      </c>
      <c r="D1452" s="0" t="n">
        <v>182</v>
      </c>
      <c r="E1452" s="0" t="n">
        <v>3</v>
      </c>
      <c r="F1452" s="23" t="s">
        <v>898</v>
      </c>
      <c r="G1452" s="0" t="n">
        <v>22</v>
      </c>
      <c r="H1452" s="0" t="n">
        <v>21</v>
      </c>
      <c r="I1452" s="23" t="s">
        <v>109</v>
      </c>
      <c r="J1452" s="0" t="n">
        <v>182</v>
      </c>
      <c r="K1452" s="0" t="n">
        <v>84</v>
      </c>
      <c r="M1452" s="0" t="n">
        <v>-72.99</v>
      </c>
      <c r="N1452" s="0" t="n">
        <v>18.31</v>
      </c>
      <c r="O1452" s="0" t="n">
        <v>1.35</v>
      </c>
      <c r="P1452" s="0" t="n">
        <v>4.78</v>
      </c>
      <c r="Q1452" s="0" t="n">
        <v>3.86</v>
      </c>
      <c r="R1452" s="0" t="n">
        <v>4357</v>
      </c>
      <c r="S1452" s="0" t="n">
        <v>8343</v>
      </c>
      <c r="T1452" s="0" t="n">
        <v>48.9</v>
      </c>
      <c r="U1452" s="0" t="n">
        <v>1870</v>
      </c>
      <c r="V1452" s="0" t="n">
        <v>3</v>
      </c>
      <c r="W1452" s="0" t="str">
        <f aca="false">IF(OR(AND(B1452&gt;=1,B1452&lt;=6),B1452=10),"Vaca em lactação",IF(I1452="Male","Macho",IF(E1452&gt;=1,"Vaca seca",IF(I1452="Youngstock","Bezerra/recria","Novilha"))))</f>
        <v>Vaca em lactação</v>
      </c>
      <c r="X1452" s="0" t="str">
        <f aca="false">IF(AND(B1452&gt;=1,B1452&lt;=6),"Tanque",IF(B1452=10,"Descarte",""))</f>
        <v>Tanque</v>
      </c>
    </row>
    <row r="1453" customFormat="false" ht="15" hidden="false" customHeight="false" outlineLevel="0" collapsed="false">
      <c r="A1453" s="22" t="n">
        <v>46309</v>
      </c>
      <c r="B1453" s="0" t="n">
        <v>6</v>
      </c>
      <c r="C1453" s="0" t="n">
        <v>3554</v>
      </c>
      <c r="D1453" s="0" t="n">
        <v>351</v>
      </c>
      <c r="E1453" s="0" t="n">
        <v>3</v>
      </c>
      <c r="F1453" s="23" t="s">
        <v>230</v>
      </c>
      <c r="G1453" s="0" t="n">
        <v>29.5</v>
      </c>
      <c r="H1453" s="0" t="n">
        <v>28</v>
      </c>
      <c r="I1453" s="23" t="s">
        <v>506</v>
      </c>
      <c r="J1453" s="0" t="n">
        <v>351</v>
      </c>
      <c r="K1453" s="0" t="n">
        <v>65</v>
      </c>
      <c r="M1453" s="0" t="n">
        <v>1168.16</v>
      </c>
      <c r="N1453" s="0" t="n">
        <v>74.28</v>
      </c>
      <c r="O1453" s="0" t="n">
        <v>37.62</v>
      </c>
      <c r="P1453" s="0" t="n">
        <v>5.27</v>
      </c>
      <c r="Q1453" s="0" t="n">
        <v>3.94</v>
      </c>
      <c r="R1453" s="0" t="n">
        <v>5187</v>
      </c>
      <c r="S1453" s="0" t="n">
        <v>8133</v>
      </c>
      <c r="T1453" s="0" t="n">
        <v>65.9</v>
      </c>
      <c r="U1453" s="0" t="n">
        <v>1899</v>
      </c>
      <c r="V1453" s="0" t="n">
        <v>3</v>
      </c>
      <c r="W1453" s="0" t="str">
        <f aca="false">IF(OR(AND(B1453&gt;=1,B1453&lt;=6),B1453=10),"Vaca em lactação",IF(I1453="Male","Macho",IF(E1453&gt;=1,"Vaca seca",IF(I1453="Youngstock","Bezerra/recria","Novilha"))))</f>
        <v>Vaca em lactação</v>
      </c>
      <c r="X1453" s="0" t="str">
        <f aca="false">IF(AND(B1453&gt;=1,B1453&lt;=6),"Tanque",IF(B1453=10,"Descarte",""))</f>
        <v>Tanque</v>
      </c>
    </row>
    <row r="1454" customFormat="false" ht="15" hidden="false" customHeight="false" outlineLevel="0" collapsed="false">
      <c r="A1454" s="22" t="n">
        <v>46309</v>
      </c>
      <c r="B1454" s="0" t="n">
        <v>6</v>
      </c>
      <c r="C1454" s="0" t="n">
        <v>3567</v>
      </c>
      <c r="D1454" s="0" t="n">
        <v>159</v>
      </c>
      <c r="E1454" s="0" t="n">
        <v>4</v>
      </c>
      <c r="F1454" s="23" t="s">
        <v>899</v>
      </c>
      <c r="G1454" s="0" t="n">
        <v>33.1</v>
      </c>
      <c r="H1454" s="0" t="n">
        <v>32</v>
      </c>
      <c r="I1454" s="23" t="s">
        <v>97</v>
      </c>
      <c r="J1454" s="0" t="n">
        <v>159</v>
      </c>
      <c r="K1454" s="0" t="n">
        <v>68</v>
      </c>
      <c r="M1454" s="0" t="n">
        <v>333.81</v>
      </c>
      <c r="N1454" s="0" t="n">
        <v>35.07</v>
      </c>
      <c r="O1454" s="0" t="n">
        <v>20.03</v>
      </c>
      <c r="P1454" s="0" t="n">
        <v>4.38</v>
      </c>
      <c r="Q1454" s="0" t="n">
        <v>3.31</v>
      </c>
      <c r="R1454" s="0" t="n">
        <v>5015</v>
      </c>
      <c r="S1454" s="0" t="n">
        <v>9492</v>
      </c>
      <c r="T1454" s="0" t="n">
        <v>58.05</v>
      </c>
      <c r="U1454" s="0" t="n">
        <v>1892</v>
      </c>
      <c r="V1454" s="0" t="n">
        <v>3</v>
      </c>
      <c r="W1454" s="0" t="str">
        <f aca="false">IF(OR(AND(B1454&gt;=1,B1454&lt;=6),B1454=10),"Vaca em lactação",IF(I1454="Male","Macho",IF(E1454&gt;=1,"Vaca seca",IF(I1454="Youngstock","Bezerra/recria","Novilha"))))</f>
        <v>Vaca em lactação</v>
      </c>
      <c r="X1454" s="0" t="str">
        <f aca="false">IF(AND(B1454&gt;=1,B1454&lt;=6),"Tanque",IF(B1454=10,"Descarte",""))</f>
        <v>Tanque</v>
      </c>
    </row>
    <row r="1455" customFormat="false" ht="15" hidden="false" customHeight="false" outlineLevel="0" collapsed="false">
      <c r="A1455" s="22" t="n">
        <v>46309</v>
      </c>
      <c r="B1455" s="0" t="n">
        <v>6</v>
      </c>
      <c r="C1455" s="0" t="n">
        <v>3583</v>
      </c>
      <c r="D1455" s="0" t="n">
        <v>199</v>
      </c>
      <c r="E1455" s="0" t="n">
        <v>3</v>
      </c>
      <c r="F1455" s="23" t="s">
        <v>900</v>
      </c>
      <c r="G1455" s="0" t="n">
        <v>30.7</v>
      </c>
      <c r="H1455" s="0" t="n">
        <v>30</v>
      </c>
      <c r="I1455" s="23" t="s">
        <v>506</v>
      </c>
      <c r="J1455" s="0" t="n">
        <v>199</v>
      </c>
      <c r="M1455" s="0" t="n">
        <v>296.15</v>
      </c>
      <c r="N1455" s="0" t="n">
        <v>28.63</v>
      </c>
      <c r="O1455" s="0" t="n">
        <v>18.54</v>
      </c>
      <c r="P1455" s="0" t="n">
        <v>5.39</v>
      </c>
      <c r="Q1455" s="0" t="n">
        <v>3.79</v>
      </c>
      <c r="R1455" s="0" t="n">
        <v>3669</v>
      </c>
      <c r="S1455" s="0" t="n">
        <v>6766</v>
      </c>
      <c r="T1455" s="0" t="n">
        <v>40.9</v>
      </c>
      <c r="U1455" s="0" t="n">
        <v>1880</v>
      </c>
      <c r="V1455" s="0" t="n">
        <v>0</v>
      </c>
      <c r="W1455" s="0" t="str">
        <f aca="false">IF(OR(AND(B1455&gt;=1,B1455&lt;=6),B1455=10),"Vaca em lactação",IF(I1455="Male","Macho",IF(E1455&gt;=1,"Vaca seca",IF(I1455="Youngstock","Bezerra/recria","Novilha"))))</f>
        <v>Vaca em lactação</v>
      </c>
      <c r="X1455" s="0" t="str">
        <f aca="false">IF(AND(B1455&gt;=1,B1455&lt;=6),"Tanque",IF(B1455=10,"Descarte",""))</f>
        <v>Tanque</v>
      </c>
    </row>
    <row r="1456" customFormat="false" ht="15" hidden="false" customHeight="false" outlineLevel="0" collapsed="false">
      <c r="A1456" s="22" t="n">
        <v>46309</v>
      </c>
      <c r="B1456" s="0" t="n">
        <v>6</v>
      </c>
      <c r="C1456" s="0" t="n">
        <v>3685</v>
      </c>
      <c r="D1456" s="0" t="n">
        <v>229</v>
      </c>
      <c r="E1456" s="0" t="n">
        <v>3</v>
      </c>
      <c r="F1456" s="23" t="s">
        <v>717</v>
      </c>
      <c r="G1456" s="0" t="n">
        <v>23.6</v>
      </c>
      <c r="H1456" s="0" t="n">
        <v>20</v>
      </c>
      <c r="I1456" s="23" t="s">
        <v>92</v>
      </c>
      <c r="J1456" s="0" t="n">
        <v>138</v>
      </c>
      <c r="K1456" s="0" t="n">
        <v>96</v>
      </c>
      <c r="L1456" s="0" t="n">
        <v>91</v>
      </c>
      <c r="M1456" s="0" t="n">
        <v>767.8</v>
      </c>
      <c r="N1456" s="0" t="n">
        <v>50.14</v>
      </c>
      <c r="O1456" s="0" t="n">
        <v>34.32</v>
      </c>
      <c r="P1456" s="0" t="n">
        <v>5.11</v>
      </c>
      <c r="Q1456" s="0" t="n">
        <v>3.76</v>
      </c>
      <c r="R1456" s="0" t="n">
        <v>2574</v>
      </c>
      <c r="S1456" s="0" t="n">
        <v>5097</v>
      </c>
      <c r="T1456" s="0" t="n">
        <v>26.35</v>
      </c>
      <c r="U1456" s="0" t="n">
        <v>1818</v>
      </c>
      <c r="V1456" s="0" t="n">
        <v>2</v>
      </c>
      <c r="W1456" s="0" t="str">
        <f aca="false">IF(OR(AND(B1456&gt;=1,B1456&lt;=6),B1456=10),"Vaca em lactação",IF(I1456="Male","Macho",IF(E1456&gt;=1,"Vaca seca",IF(I1456="Youngstock","Bezerra/recria","Novilha"))))</f>
        <v>Vaca em lactação</v>
      </c>
      <c r="X1456" s="0" t="str">
        <f aca="false">IF(AND(B1456&gt;=1,B1456&lt;=6),"Tanque",IF(B1456=10,"Descarte",""))</f>
        <v>Tanque</v>
      </c>
    </row>
    <row r="1457" customFormat="false" ht="15" hidden="false" customHeight="false" outlineLevel="0" collapsed="false">
      <c r="A1457" s="22" t="n">
        <v>46309</v>
      </c>
      <c r="B1457" s="0" t="n">
        <v>6</v>
      </c>
      <c r="C1457" s="0" t="n">
        <v>3630</v>
      </c>
      <c r="D1457" s="0" t="n">
        <v>437</v>
      </c>
      <c r="E1457" s="0" t="n">
        <v>3</v>
      </c>
      <c r="F1457" s="23" t="s">
        <v>901</v>
      </c>
      <c r="G1457" s="0" t="n">
        <v>25</v>
      </c>
      <c r="H1457" s="0" t="n">
        <v>23</v>
      </c>
      <c r="I1457" s="23" t="s">
        <v>92</v>
      </c>
      <c r="J1457" s="0" t="n">
        <v>348</v>
      </c>
      <c r="K1457" s="0" t="n">
        <v>59</v>
      </c>
      <c r="L1457" s="0" t="n">
        <v>89</v>
      </c>
      <c r="M1457" s="0" t="n">
        <v>-248.11</v>
      </c>
      <c r="N1457" s="0" t="n">
        <v>8.23</v>
      </c>
      <c r="O1457" s="0" t="n">
        <v>4.54</v>
      </c>
      <c r="P1457" s="0" t="n">
        <v>6.1</v>
      </c>
      <c r="Q1457" s="0" t="n">
        <v>5</v>
      </c>
      <c r="R1457" s="0" t="n">
        <v>5966</v>
      </c>
      <c r="S1457" s="0" t="n">
        <v>11007</v>
      </c>
      <c r="T1457" s="0" t="n">
        <v>68.4</v>
      </c>
      <c r="U1457" s="0" t="n">
        <v>1858</v>
      </c>
      <c r="V1457" s="0" t="n">
        <v>9</v>
      </c>
      <c r="W1457" s="0" t="str">
        <f aca="false">IF(OR(AND(B1457&gt;=1,B1457&lt;=6),B1457=10),"Vaca em lactação",IF(I1457="Male","Macho",IF(E1457&gt;=1,"Vaca seca",IF(I1457="Youngstock","Bezerra/recria","Novilha"))))</f>
        <v>Vaca em lactação</v>
      </c>
      <c r="X1457" s="0" t="str">
        <f aca="false">IF(AND(B1457&gt;=1,B1457&lt;=6),"Tanque",IF(B1457=10,"Descarte",""))</f>
        <v>Tanque</v>
      </c>
    </row>
    <row r="1458" customFormat="false" ht="15" hidden="false" customHeight="false" outlineLevel="0" collapsed="false">
      <c r="A1458" s="22" t="n">
        <v>46309</v>
      </c>
      <c r="B1458" s="0" t="n">
        <v>6</v>
      </c>
      <c r="C1458" s="0" t="n">
        <v>3637</v>
      </c>
      <c r="D1458" s="0" t="n">
        <v>327</v>
      </c>
      <c r="E1458" s="0" t="n">
        <v>3</v>
      </c>
      <c r="F1458" s="23" t="s">
        <v>902</v>
      </c>
      <c r="G1458" s="0" t="n">
        <v>18.3</v>
      </c>
      <c r="H1458" s="0" t="n">
        <v>19</v>
      </c>
      <c r="I1458" s="23" t="s">
        <v>92</v>
      </c>
      <c r="J1458" s="0" t="n">
        <v>124</v>
      </c>
      <c r="K1458" s="0" t="n">
        <v>65</v>
      </c>
      <c r="L1458" s="0" t="n">
        <v>203</v>
      </c>
      <c r="M1458" s="0" t="n">
        <v>312.21</v>
      </c>
      <c r="N1458" s="0" t="n">
        <v>27.85</v>
      </c>
      <c r="O1458" s="0" t="n">
        <v>17.25</v>
      </c>
      <c r="P1458" s="0" t="n">
        <v>4.82</v>
      </c>
      <c r="Q1458" s="0" t="n">
        <v>3.63</v>
      </c>
      <c r="R1458" s="0" t="n">
        <v>5788</v>
      </c>
      <c r="S1458" s="0" t="n">
        <v>11044</v>
      </c>
      <c r="T1458" s="0" t="n">
        <v>61.4</v>
      </c>
      <c r="U1458" s="0" t="n">
        <v>1856</v>
      </c>
      <c r="V1458" s="0" t="n">
        <v>2</v>
      </c>
      <c r="W1458" s="0" t="str">
        <f aca="false">IF(OR(AND(B1458&gt;=1,B1458&lt;=6),B1458=10),"Vaca em lactação",IF(I1458="Male","Macho",IF(E1458&gt;=1,"Vaca seca",IF(I1458="Youngstock","Bezerra/recria","Novilha"))))</f>
        <v>Vaca em lactação</v>
      </c>
      <c r="X1458" s="0" t="str">
        <f aca="false">IF(AND(B1458&gt;=1,B1458&lt;=6),"Tanque",IF(B1458=10,"Descarte",""))</f>
        <v>Tanque</v>
      </c>
    </row>
    <row r="1459" customFormat="false" ht="15" hidden="false" customHeight="false" outlineLevel="0" collapsed="false">
      <c r="A1459" s="22" t="n">
        <v>46309</v>
      </c>
      <c r="B1459" s="0" t="n">
        <v>6</v>
      </c>
      <c r="C1459" s="0" t="n">
        <v>3660</v>
      </c>
      <c r="D1459" s="0" t="n">
        <v>343</v>
      </c>
      <c r="E1459" s="0" t="n">
        <v>3</v>
      </c>
      <c r="F1459" s="23" t="s">
        <v>417</v>
      </c>
      <c r="G1459" s="0" t="n">
        <v>23.6</v>
      </c>
      <c r="H1459" s="0" t="n">
        <v>23</v>
      </c>
      <c r="I1459" s="23" t="s">
        <v>506</v>
      </c>
      <c r="J1459" s="0" t="n">
        <v>343</v>
      </c>
      <c r="K1459" s="0" t="n">
        <v>64</v>
      </c>
      <c r="M1459" s="0" t="n">
        <v>649.33</v>
      </c>
      <c r="N1459" s="0" t="n">
        <v>53.73</v>
      </c>
      <c r="O1459" s="0" t="n">
        <v>25.22</v>
      </c>
      <c r="P1459" s="0" t="n">
        <v>5.46</v>
      </c>
      <c r="Q1459" s="0" t="n">
        <v>4.16</v>
      </c>
      <c r="R1459" s="0" t="n">
        <v>5088</v>
      </c>
      <c r="S1459" s="0" t="n">
        <v>8551</v>
      </c>
      <c r="T1459" s="0" t="n">
        <v>56.4</v>
      </c>
      <c r="U1459" s="0" t="n">
        <v>1841</v>
      </c>
      <c r="V1459" s="0" t="n">
        <v>4</v>
      </c>
      <c r="W1459" s="0" t="str">
        <f aca="false">IF(OR(AND(B1459&gt;=1,B1459&lt;=6),B1459=10),"Vaca em lactação",IF(I1459="Male","Macho",IF(E1459&gt;=1,"Vaca seca",IF(I1459="Youngstock","Bezerra/recria","Novilha"))))</f>
        <v>Vaca em lactação</v>
      </c>
      <c r="X1459" s="0" t="str">
        <f aca="false">IF(AND(B1459&gt;=1,B1459&lt;=6),"Tanque",IF(B1459=10,"Descarte",""))</f>
        <v>Tanque</v>
      </c>
    </row>
    <row r="1460" customFormat="false" ht="15" hidden="false" customHeight="false" outlineLevel="0" collapsed="false">
      <c r="A1460" s="22" t="n">
        <v>46309</v>
      </c>
      <c r="B1460" s="0" t="n">
        <v>6</v>
      </c>
      <c r="C1460" s="0" t="n">
        <v>3999</v>
      </c>
      <c r="D1460" s="0" t="n">
        <v>245</v>
      </c>
      <c r="E1460" s="0" t="n">
        <v>3</v>
      </c>
      <c r="F1460" s="23" t="s">
        <v>238</v>
      </c>
      <c r="G1460" s="0" t="n">
        <v>18.2</v>
      </c>
      <c r="H1460" s="0" t="n">
        <v>21</v>
      </c>
      <c r="I1460" s="23" t="s">
        <v>92</v>
      </c>
      <c r="J1460" s="0" t="n">
        <v>63</v>
      </c>
      <c r="K1460" s="0" t="n">
        <v>63</v>
      </c>
      <c r="L1460" s="0" t="n">
        <v>182</v>
      </c>
      <c r="M1460" s="0" t="n">
        <v>123.23</v>
      </c>
      <c r="N1460" s="0" t="n">
        <v>31.23</v>
      </c>
      <c r="O1460" s="0" t="n">
        <v>29.62</v>
      </c>
      <c r="P1460" s="0" t="n">
        <v>3.87</v>
      </c>
      <c r="Q1460" s="0" t="n">
        <v>3.85</v>
      </c>
      <c r="R1460" s="0" t="n">
        <v>4834</v>
      </c>
      <c r="S1460" s="0" t="n">
        <v>10841</v>
      </c>
      <c r="T1460" s="0" t="n">
        <v>50.8</v>
      </c>
      <c r="U1460" s="0" t="n">
        <v>1615</v>
      </c>
      <c r="V1460" s="0" t="n">
        <v>1</v>
      </c>
      <c r="W1460" s="0" t="str">
        <f aca="false">IF(OR(AND(B1460&gt;=1,B1460&lt;=6),B1460=10),"Vaca em lactação",IF(I1460="Male","Macho",IF(E1460&gt;=1,"Vaca seca",IF(I1460="Youngstock","Bezerra/recria","Novilha"))))</f>
        <v>Vaca em lactação</v>
      </c>
      <c r="X1460" s="0" t="str">
        <f aca="false">IF(AND(B1460&gt;=1,B1460&lt;=6),"Tanque",IF(B1460=10,"Descarte",""))</f>
        <v>Tanque</v>
      </c>
    </row>
    <row r="1461" customFormat="false" ht="15" hidden="false" customHeight="false" outlineLevel="0" collapsed="false">
      <c r="A1461" s="22" t="n">
        <v>46309</v>
      </c>
      <c r="B1461" s="0" t="n">
        <v>6</v>
      </c>
      <c r="C1461" s="0" t="n">
        <v>4018</v>
      </c>
      <c r="D1461" s="0" t="n">
        <v>132</v>
      </c>
      <c r="E1461" s="0" t="n">
        <v>3</v>
      </c>
      <c r="F1461" s="23" t="s">
        <v>903</v>
      </c>
      <c r="G1461" s="0" t="n">
        <v>24.6</v>
      </c>
      <c r="H1461" s="0" t="n">
        <v>22</v>
      </c>
      <c r="I1461" s="23" t="s">
        <v>92</v>
      </c>
      <c r="J1461" s="0" t="n">
        <v>63</v>
      </c>
      <c r="K1461" s="0" t="n">
        <v>63</v>
      </c>
      <c r="L1461" s="0" t="n">
        <v>69</v>
      </c>
      <c r="M1461" s="0" t="n">
        <v>561.52</v>
      </c>
      <c r="N1461" s="0" t="n">
        <v>34.82</v>
      </c>
      <c r="O1461" s="0" t="n">
        <v>34.18</v>
      </c>
      <c r="P1461" s="0" t="n">
        <v>7.26</v>
      </c>
      <c r="Q1461" s="0" t="n">
        <v>4.1</v>
      </c>
      <c r="R1461" s="0" t="n">
        <v>4846</v>
      </c>
      <c r="S1461" s="0" t="n">
        <v>8402</v>
      </c>
      <c r="T1461" s="0" t="n">
        <v>58.7</v>
      </c>
      <c r="U1461" s="0" t="n">
        <v>1604</v>
      </c>
      <c r="V1461" s="0" t="n">
        <v>1</v>
      </c>
      <c r="W1461" s="0" t="str">
        <f aca="false">IF(OR(AND(B1461&gt;=1,B1461&lt;=6),B1461=10),"Vaca em lactação",IF(I1461="Male","Macho",IF(E1461&gt;=1,"Vaca seca",IF(I1461="Youngstock","Bezerra/recria","Novilha"))))</f>
        <v>Vaca em lactação</v>
      </c>
      <c r="X1461" s="0" t="str">
        <f aca="false">IF(AND(B1461&gt;=1,B1461&lt;=6),"Tanque",IF(B1461=10,"Descarte",""))</f>
        <v>Tanque</v>
      </c>
    </row>
    <row r="1462" customFormat="false" ht="15" hidden="false" customHeight="false" outlineLevel="0" collapsed="false">
      <c r="A1462" s="22" t="n">
        <v>46309</v>
      </c>
      <c r="B1462" s="0" t="n">
        <v>6</v>
      </c>
      <c r="C1462" s="0" t="n">
        <v>4065</v>
      </c>
      <c r="D1462" s="0" t="n">
        <v>897</v>
      </c>
      <c r="E1462" s="0" t="n">
        <v>1</v>
      </c>
      <c r="F1462" s="23" t="s">
        <v>904</v>
      </c>
      <c r="G1462" s="0" t="n">
        <v>28.6</v>
      </c>
      <c r="H1462" s="0" t="n">
        <v>28</v>
      </c>
      <c r="I1462" s="23" t="s">
        <v>506</v>
      </c>
      <c r="J1462" s="0" t="n">
        <v>897</v>
      </c>
      <c r="K1462" s="0" t="n">
        <v>65</v>
      </c>
      <c r="M1462" s="0" t="n">
        <v>407.55</v>
      </c>
      <c r="N1462" s="0" t="n">
        <v>67.65</v>
      </c>
      <c r="O1462" s="0" t="n">
        <v>31.01</v>
      </c>
      <c r="P1462" s="0" t="n">
        <v>6.25</v>
      </c>
      <c r="Q1462" s="0" t="n">
        <v>4.48</v>
      </c>
      <c r="R1462" s="0" t="n">
        <v>4103</v>
      </c>
      <c r="S1462" s="0" t="n">
        <v>9233</v>
      </c>
      <c r="T1462" s="0" t="n">
        <v>43.95</v>
      </c>
      <c r="U1462" s="0" t="n">
        <v>1567</v>
      </c>
      <c r="V1462" s="0" t="n">
        <v>16</v>
      </c>
      <c r="W1462" s="0" t="str">
        <f aca="false">IF(OR(AND(B1462&gt;=1,B1462&lt;=6),B1462=10),"Vaca em lactação",IF(I1462="Male","Macho",IF(E1462&gt;=1,"Vaca seca",IF(I1462="Youngstock","Bezerra/recria","Novilha"))))</f>
        <v>Vaca em lactação</v>
      </c>
      <c r="X1462" s="0" t="str">
        <f aca="false">IF(AND(B1462&gt;=1,B1462&lt;=6),"Tanque",IF(B1462=10,"Descarte",""))</f>
        <v>Tanque</v>
      </c>
    </row>
    <row r="1463" customFormat="false" ht="15" hidden="false" customHeight="false" outlineLevel="0" collapsed="false">
      <c r="A1463" s="22" t="n">
        <v>46309</v>
      </c>
      <c r="B1463" s="0" t="n">
        <v>6</v>
      </c>
      <c r="C1463" s="0" t="n">
        <v>4074</v>
      </c>
      <c r="D1463" s="0" t="n">
        <v>182</v>
      </c>
      <c r="E1463" s="0" t="n">
        <v>3</v>
      </c>
      <c r="F1463" s="23" t="s">
        <v>905</v>
      </c>
      <c r="G1463" s="0" t="n">
        <v>19.7</v>
      </c>
      <c r="H1463" s="0" t="n">
        <v>22</v>
      </c>
      <c r="I1463" s="23" t="s">
        <v>109</v>
      </c>
      <c r="J1463" s="0" t="n">
        <v>182</v>
      </c>
      <c r="K1463" s="0" t="n">
        <v>63</v>
      </c>
      <c r="M1463" s="0" t="n">
        <v>269.95</v>
      </c>
      <c r="N1463" s="0" t="n">
        <v>-1.06</v>
      </c>
      <c r="O1463" s="0" t="n">
        <v>17.89</v>
      </c>
      <c r="P1463" s="0" t="n">
        <v>2.67</v>
      </c>
      <c r="Q1463" s="0" t="n">
        <v>3.66</v>
      </c>
      <c r="R1463" s="0" t="n">
        <v>3933</v>
      </c>
      <c r="S1463" s="0" t="n">
        <v>7611</v>
      </c>
      <c r="T1463" s="0" t="n">
        <v>42.3</v>
      </c>
      <c r="U1463" s="0" t="n">
        <v>1562</v>
      </c>
      <c r="V1463" s="0" t="n">
        <v>3</v>
      </c>
      <c r="W1463" s="0" t="str">
        <f aca="false">IF(OR(AND(B1463&gt;=1,B1463&lt;=6),B1463=10),"Vaca em lactação",IF(I1463="Male","Macho",IF(E1463&gt;=1,"Vaca seca",IF(I1463="Youngstock","Bezerra/recria","Novilha"))))</f>
        <v>Vaca em lactação</v>
      </c>
      <c r="X1463" s="0" t="str">
        <f aca="false">IF(AND(B1463&gt;=1,B1463&lt;=6),"Tanque",IF(B1463=10,"Descarte",""))</f>
        <v>Tanque</v>
      </c>
    </row>
    <row r="1464" customFormat="false" ht="15" hidden="false" customHeight="false" outlineLevel="0" collapsed="false">
      <c r="A1464" s="22" t="n">
        <v>46309</v>
      </c>
      <c r="B1464" s="0" t="n">
        <v>6</v>
      </c>
      <c r="C1464" s="0" t="n">
        <v>4028</v>
      </c>
      <c r="D1464" s="0" t="n">
        <v>176</v>
      </c>
      <c r="E1464" s="0" t="n">
        <v>3</v>
      </c>
      <c r="F1464" s="23" t="s">
        <v>906</v>
      </c>
      <c r="G1464" s="0" t="n">
        <v>33.7</v>
      </c>
      <c r="H1464" s="0" t="n">
        <v>31</v>
      </c>
      <c r="I1464" s="23" t="s">
        <v>97</v>
      </c>
      <c r="J1464" s="0" t="n">
        <v>176</v>
      </c>
      <c r="K1464" s="0" t="n">
        <v>64</v>
      </c>
      <c r="M1464" s="0" t="n">
        <v>345.42</v>
      </c>
      <c r="N1464" s="0" t="n">
        <v>52.96</v>
      </c>
      <c r="O1464" s="0" t="n">
        <v>20.66</v>
      </c>
      <c r="P1464" s="0" t="n">
        <v>4.67</v>
      </c>
      <c r="Q1464" s="0" t="n">
        <v>3.72</v>
      </c>
      <c r="R1464" s="0" t="n">
        <v>6774</v>
      </c>
      <c r="S1464" s="0" t="n">
        <v>12138</v>
      </c>
      <c r="T1464" s="0" t="n">
        <v>77.4</v>
      </c>
      <c r="U1464" s="0" t="n">
        <v>1596</v>
      </c>
      <c r="V1464" s="0" t="n">
        <v>3</v>
      </c>
      <c r="W1464" s="0" t="str">
        <f aca="false">IF(OR(AND(B1464&gt;=1,B1464&lt;=6),B1464=10),"Vaca em lactação",IF(I1464="Male","Macho",IF(E1464&gt;=1,"Vaca seca",IF(I1464="Youngstock","Bezerra/recria","Novilha"))))</f>
        <v>Vaca em lactação</v>
      </c>
      <c r="X1464" s="0" t="str">
        <f aca="false">IF(AND(B1464&gt;=1,B1464&lt;=6),"Tanque",IF(B1464=10,"Descarte",""))</f>
        <v>Tanque</v>
      </c>
    </row>
    <row r="1465" customFormat="false" ht="15" hidden="false" customHeight="false" outlineLevel="0" collapsed="false">
      <c r="A1465" s="22" t="n">
        <v>46309</v>
      </c>
      <c r="B1465" s="0" t="n">
        <v>6</v>
      </c>
      <c r="C1465" s="0" t="n">
        <v>4026</v>
      </c>
      <c r="D1465" s="0" t="n">
        <v>207</v>
      </c>
      <c r="E1465" s="0" t="n">
        <v>3</v>
      </c>
      <c r="F1465" s="23" t="s">
        <v>907</v>
      </c>
      <c r="G1465" s="0" t="n">
        <v>32</v>
      </c>
      <c r="H1465" s="0" t="n">
        <v>29</v>
      </c>
      <c r="I1465" s="23" t="s">
        <v>92</v>
      </c>
      <c r="J1465" s="0" t="n">
        <v>67</v>
      </c>
      <c r="K1465" s="0" t="n">
        <v>74</v>
      </c>
      <c r="L1465" s="0" t="n">
        <v>140</v>
      </c>
      <c r="M1465" s="0" t="n">
        <v>436.67</v>
      </c>
      <c r="N1465" s="0" t="n">
        <v>33.02</v>
      </c>
      <c r="O1465" s="0" t="n">
        <v>23.51</v>
      </c>
      <c r="P1465" s="0" t="n">
        <v>3.74</v>
      </c>
      <c r="Q1465" s="0" t="n">
        <v>3.55</v>
      </c>
      <c r="R1465" s="0" t="n">
        <v>2052</v>
      </c>
      <c r="S1465" s="0" t="n">
        <v>4717</v>
      </c>
      <c r="T1465" s="0" t="n">
        <v>22.35</v>
      </c>
      <c r="U1465" s="0" t="n">
        <v>1598</v>
      </c>
      <c r="V1465" s="0" t="n">
        <v>1</v>
      </c>
      <c r="W1465" s="0" t="str">
        <f aca="false">IF(OR(AND(B1465&gt;=1,B1465&lt;=6),B1465=10),"Vaca em lactação",IF(I1465="Male","Macho",IF(E1465&gt;=1,"Vaca seca",IF(I1465="Youngstock","Bezerra/recria","Novilha"))))</f>
        <v>Vaca em lactação</v>
      </c>
      <c r="X1465" s="0" t="str">
        <f aca="false">IF(AND(B1465&gt;=1,B1465&lt;=6),"Tanque",IF(B1465=10,"Descarte",""))</f>
        <v>Tanque</v>
      </c>
    </row>
    <row r="1466" customFormat="false" ht="15" hidden="false" customHeight="false" outlineLevel="0" collapsed="false">
      <c r="A1466" s="22" t="n">
        <v>46309</v>
      </c>
      <c r="B1466" s="0" t="n">
        <v>6</v>
      </c>
      <c r="C1466" s="0" t="n">
        <v>4043</v>
      </c>
      <c r="D1466" s="0" t="n">
        <v>468</v>
      </c>
      <c r="E1466" s="0" t="n">
        <v>2</v>
      </c>
      <c r="F1466" s="23" t="s">
        <v>727</v>
      </c>
      <c r="G1466" s="0" t="n">
        <v>25</v>
      </c>
      <c r="H1466" s="0" t="n">
        <v>24</v>
      </c>
      <c r="I1466" s="23" t="s">
        <v>92</v>
      </c>
      <c r="J1466" s="0" t="n">
        <v>363</v>
      </c>
      <c r="K1466" s="0" t="n">
        <v>62</v>
      </c>
      <c r="L1466" s="0" t="n">
        <v>105</v>
      </c>
      <c r="M1466" s="0" t="n">
        <v>-34.51</v>
      </c>
      <c r="N1466" s="0" t="n">
        <v>68.26</v>
      </c>
      <c r="O1466" s="0" t="n">
        <v>19.81</v>
      </c>
      <c r="P1466" s="0" t="n">
        <v>5.67</v>
      </c>
      <c r="Q1466" s="0" t="n">
        <v>4.28</v>
      </c>
      <c r="R1466" s="0" t="n">
        <v>5863</v>
      </c>
      <c r="S1466" s="0" t="n">
        <v>10899</v>
      </c>
      <c r="T1466" s="0" t="n">
        <v>65.1</v>
      </c>
      <c r="U1466" s="0" t="n">
        <v>1581</v>
      </c>
      <c r="V1466" s="0" t="n">
        <v>11</v>
      </c>
      <c r="W1466" s="0" t="str">
        <f aca="false">IF(OR(AND(B1466&gt;=1,B1466&lt;=6),B1466=10),"Vaca em lactação",IF(I1466="Male","Macho",IF(E1466&gt;=1,"Vaca seca",IF(I1466="Youngstock","Bezerra/recria","Novilha"))))</f>
        <v>Vaca em lactação</v>
      </c>
      <c r="X1466" s="0" t="str">
        <f aca="false">IF(AND(B1466&gt;=1,B1466&lt;=6),"Tanque",IF(B1466=10,"Descarte",""))</f>
        <v>Tanque</v>
      </c>
    </row>
    <row r="1467" customFormat="false" ht="15" hidden="false" customHeight="false" outlineLevel="0" collapsed="false">
      <c r="A1467" s="22" t="n">
        <v>46309</v>
      </c>
      <c r="B1467" s="0" t="n">
        <v>6</v>
      </c>
      <c r="C1467" s="0" t="n">
        <v>3841</v>
      </c>
      <c r="D1467" s="0" t="n">
        <v>266</v>
      </c>
      <c r="E1467" s="0" t="n">
        <v>3</v>
      </c>
      <c r="F1467" s="23" t="s">
        <v>908</v>
      </c>
      <c r="G1467" s="0" t="n">
        <v>24.2</v>
      </c>
      <c r="H1467" s="0" t="n">
        <v>18</v>
      </c>
      <c r="I1467" s="23" t="s">
        <v>92</v>
      </c>
      <c r="J1467" s="0" t="n">
        <v>168</v>
      </c>
      <c r="K1467" s="0" t="n">
        <v>63</v>
      </c>
      <c r="L1467" s="0" t="n">
        <v>98</v>
      </c>
      <c r="M1467" s="0" t="n">
        <v>661.92</v>
      </c>
      <c r="N1467" s="0" t="n">
        <v>47.87</v>
      </c>
      <c r="O1467" s="0" t="n">
        <v>20.98</v>
      </c>
      <c r="P1467" s="0" t="n">
        <v>3.96</v>
      </c>
      <c r="Q1467" s="0" t="n">
        <v>3.86</v>
      </c>
      <c r="R1467" s="0" t="n">
        <v>6222</v>
      </c>
      <c r="S1467" s="0" t="n">
        <v>10854</v>
      </c>
      <c r="T1467" s="0" t="n">
        <v>64.3</v>
      </c>
      <c r="U1467" s="0" t="n">
        <v>1699</v>
      </c>
      <c r="V1467" s="0" t="n">
        <v>3</v>
      </c>
      <c r="W1467" s="0" t="str">
        <f aca="false">IF(OR(AND(B1467&gt;=1,B1467&lt;=6),B1467=10),"Vaca em lactação",IF(I1467="Male","Macho",IF(E1467&gt;=1,"Vaca seca",IF(I1467="Youngstock","Bezerra/recria","Novilha"))))</f>
        <v>Vaca em lactação</v>
      </c>
      <c r="X1467" s="0" t="str">
        <f aca="false">IF(AND(B1467&gt;=1,B1467&lt;=6),"Tanque",IF(B1467=10,"Descarte",""))</f>
        <v>Tanque</v>
      </c>
    </row>
    <row r="1468" customFormat="false" ht="15" hidden="false" customHeight="false" outlineLevel="0" collapsed="false">
      <c r="A1468" s="22" t="n">
        <v>46309</v>
      </c>
      <c r="B1468" s="0" t="n">
        <v>6</v>
      </c>
      <c r="C1468" s="0" t="n">
        <v>3852</v>
      </c>
      <c r="D1468" s="0" t="n">
        <v>324</v>
      </c>
      <c r="E1468" s="0" t="n">
        <v>3</v>
      </c>
      <c r="F1468" s="23" t="s">
        <v>429</v>
      </c>
      <c r="G1468" s="0" t="n">
        <v>31.5</v>
      </c>
      <c r="H1468" s="0" t="n">
        <v>26</v>
      </c>
      <c r="I1468" s="23" t="s">
        <v>92</v>
      </c>
      <c r="J1468" s="0" t="n">
        <v>226</v>
      </c>
      <c r="K1468" s="0" t="n">
        <v>65</v>
      </c>
      <c r="L1468" s="0" t="n">
        <v>98</v>
      </c>
      <c r="M1468" s="0" t="n">
        <v>116.23</v>
      </c>
      <c r="N1468" s="0" t="n">
        <v>44.82</v>
      </c>
      <c r="O1468" s="0" t="n">
        <v>14.61</v>
      </c>
      <c r="P1468" s="0" t="n">
        <v>4.33</v>
      </c>
      <c r="Q1468" s="0" t="n">
        <v>3.96</v>
      </c>
      <c r="R1468" s="0" t="n">
        <v>6098</v>
      </c>
      <c r="S1468" s="0" t="n">
        <v>11632</v>
      </c>
      <c r="T1468" s="0" t="n">
        <v>67.6</v>
      </c>
      <c r="U1468" s="0" t="n">
        <v>1693</v>
      </c>
      <c r="V1468" s="0" t="n">
        <v>5</v>
      </c>
      <c r="W1468" s="0" t="str">
        <f aca="false">IF(OR(AND(B1468&gt;=1,B1468&lt;=6),B1468=10),"Vaca em lactação",IF(I1468="Male","Macho",IF(E1468&gt;=1,"Vaca seca",IF(I1468="Youngstock","Bezerra/recria","Novilha"))))</f>
        <v>Vaca em lactação</v>
      </c>
      <c r="X1468" s="0" t="str">
        <f aca="false">IF(AND(B1468&gt;=1,B1468&lt;=6),"Tanque",IF(B1468=10,"Descarte",""))</f>
        <v>Tanque</v>
      </c>
    </row>
    <row r="1469" customFormat="false" ht="15" hidden="false" customHeight="false" outlineLevel="0" collapsed="false">
      <c r="A1469" s="22" t="n">
        <v>46309</v>
      </c>
      <c r="B1469" s="0" t="n">
        <v>6</v>
      </c>
      <c r="C1469" s="0" t="n">
        <v>3922</v>
      </c>
      <c r="D1469" s="0" t="n">
        <v>260</v>
      </c>
      <c r="E1469" s="0" t="n">
        <v>3</v>
      </c>
      <c r="F1469" s="23" t="s">
        <v>909</v>
      </c>
      <c r="G1469" s="0" t="n">
        <v>22.1</v>
      </c>
      <c r="H1469" s="0" t="n">
        <v>20</v>
      </c>
      <c r="I1469" s="23" t="s">
        <v>506</v>
      </c>
      <c r="J1469" s="0" t="n">
        <v>260</v>
      </c>
      <c r="K1469" s="0" t="n">
        <v>85</v>
      </c>
      <c r="M1469" s="0" t="n">
        <v>623.23</v>
      </c>
      <c r="N1469" s="0" t="n">
        <v>86.45</v>
      </c>
      <c r="O1469" s="0" t="n">
        <v>31.61</v>
      </c>
      <c r="P1469" s="0" t="n">
        <v>6.29</v>
      </c>
      <c r="Q1469" s="0" t="n">
        <v>4.29</v>
      </c>
      <c r="R1469" s="0" t="n">
        <v>4063</v>
      </c>
      <c r="S1469" s="0" t="n">
        <v>8438</v>
      </c>
      <c r="T1469" s="0" t="n">
        <v>45.25</v>
      </c>
      <c r="U1469" s="0" t="n">
        <v>1660</v>
      </c>
      <c r="V1469" s="0" t="n">
        <v>3</v>
      </c>
      <c r="W1469" s="0" t="str">
        <f aca="false">IF(OR(AND(B1469&gt;=1,B1469&lt;=6),B1469=10),"Vaca em lactação",IF(I1469="Male","Macho",IF(E1469&gt;=1,"Vaca seca",IF(I1469="Youngstock","Bezerra/recria","Novilha"))))</f>
        <v>Vaca em lactação</v>
      </c>
      <c r="X1469" s="0" t="str">
        <f aca="false">IF(AND(B1469&gt;=1,B1469&lt;=6),"Tanque",IF(B1469=10,"Descarte",""))</f>
        <v>Tanque</v>
      </c>
    </row>
    <row r="1470" customFormat="false" ht="15" hidden="false" customHeight="false" outlineLevel="0" collapsed="false">
      <c r="A1470" s="22" t="n">
        <v>46309</v>
      </c>
      <c r="B1470" s="0" t="n">
        <v>6</v>
      </c>
      <c r="C1470" s="0" t="n">
        <v>1226</v>
      </c>
      <c r="D1470" s="0" t="n">
        <v>487</v>
      </c>
      <c r="E1470" s="0" t="n">
        <v>3</v>
      </c>
      <c r="F1470" s="23" t="s">
        <v>910</v>
      </c>
      <c r="G1470" s="0" t="n">
        <v>17.6</v>
      </c>
      <c r="H1470" s="0" t="n">
        <v>17</v>
      </c>
      <c r="I1470" s="23" t="s">
        <v>506</v>
      </c>
      <c r="J1470" s="0" t="n">
        <v>487</v>
      </c>
      <c r="K1470" s="0" t="n">
        <v>60</v>
      </c>
      <c r="M1470" s="0" t="n">
        <v>209.37</v>
      </c>
      <c r="N1470" s="0" t="n">
        <v>33.48</v>
      </c>
      <c r="O1470" s="0" t="n">
        <v>13.95</v>
      </c>
      <c r="P1470" s="0" t="n">
        <v>6.28</v>
      </c>
      <c r="Q1470" s="0" t="n">
        <v>4.47</v>
      </c>
      <c r="R1470" s="0" t="n">
        <v>4540</v>
      </c>
      <c r="S1470" s="0" t="n">
        <v>8840</v>
      </c>
      <c r="T1470" s="0" t="n">
        <v>47.3</v>
      </c>
      <c r="U1470" s="0" t="n">
        <v>2180</v>
      </c>
      <c r="V1470" s="0" t="n">
        <v>7</v>
      </c>
      <c r="W1470" s="0" t="str">
        <f aca="false">IF(OR(AND(B1470&gt;=1,B1470&lt;=6),B1470=10),"Vaca em lactação",IF(I1470="Male","Macho",IF(E1470&gt;=1,"Vaca seca",IF(I1470="Youngstock","Bezerra/recria","Novilha"))))</f>
        <v>Vaca em lactação</v>
      </c>
      <c r="X1470" s="0" t="str">
        <f aca="false">IF(AND(B1470&gt;=1,B1470&lt;=6),"Tanque",IF(B1470=10,"Descarte",""))</f>
        <v>Tanque</v>
      </c>
    </row>
    <row r="1471" customFormat="false" ht="15" hidden="false" customHeight="false" outlineLevel="0" collapsed="false">
      <c r="A1471" s="22" t="n">
        <v>46309</v>
      </c>
      <c r="B1471" s="0" t="n">
        <v>6</v>
      </c>
      <c r="C1471" s="0" t="n">
        <v>3149</v>
      </c>
      <c r="D1471" s="0" t="n">
        <v>156</v>
      </c>
      <c r="E1471" s="0" t="n">
        <v>4</v>
      </c>
      <c r="F1471" s="23" t="s">
        <v>911</v>
      </c>
      <c r="G1471" s="0" t="n">
        <v>23.9</v>
      </c>
      <c r="H1471" s="0" t="n">
        <v>25</v>
      </c>
      <c r="I1471" s="23" t="s">
        <v>506</v>
      </c>
      <c r="J1471" s="0" t="n">
        <v>156</v>
      </c>
      <c r="K1471" s="0" t="n">
        <v>114</v>
      </c>
      <c r="M1471" s="0" t="n">
        <v>-62.15</v>
      </c>
      <c r="N1471" s="0" t="n">
        <v>9.91</v>
      </c>
      <c r="O1471" s="0" t="n">
        <v>-3.32</v>
      </c>
      <c r="P1471" s="0" t="n">
        <v>4.34</v>
      </c>
      <c r="Q1471" s="0" t="n">
        <v>3.37</v>
      </c>
      <c r="R1471" s="0" t="n">
        <v>2534</v>
      </c>
      <c r="S1471" s="0" t="n">
        <v>5129</v>
      </c>
      <c r="T1471" s="0" t="n">
        <v>25.75</v>
      </c>
      <c r="U1471" s="0" t="n">
        <v>2162</v>
      </c>
      <c r="V1471" s="0" t="n">
        <v>1</v>
      </c>
      <c r="W1471" s="0" t="str">
        <f aca="false">IF(OR(AND(B1471&gt;=1,B1471&lt;=6),B1471=10),"Vaca em lactação",IF(I1471="Male","Macho",IF(E1471&gt;=1,"Vaca seca",IF(I1471="Youngstock","Bezerra/recria","Novilha"))))</f>
        <v>Vaca em lactação</v>
      </c>
      <c r="X1471" s="0" t="str">
        <f aca="false">IF(AND(B1471&gt;=1,B1471&lt;=6),"Tanque",IF(B1471=10,"Descarte",""))</f>
        <v>Tanque</v>
      </c>
    </row>
    <row r="1472" customFormat="false" ht="15" hidden="false" customHeight="false" outlineLevel="0" collapsed="false">
      <c r="A1472" s="22" t="n">
        <v>46309</v>
      </c>
      <c r="B1472" s="0" t="n">
        <v>6</v>
      </c>
      <c r="C1472" s="0" t="n">
        <v>3112</v>
      </c>
      <c r="D1472" s="0" t="n">
        <v>248</v>
      </c>
      <c r="E1472" s="0" t="n">
        <v>4</v>
      </c>
      <c r="F1472" s="23" t="s">
        <v>912</v>
      </c>
      <c r="H1472" s="0" t="n">
        <v>17</v>
      </c>
      <c r="I1472" s="23" t="s">
        <v>506</v>
      </c>
      <c r="J1472" s="0" t="n">
        <v>248</v>
      </c>
      <c r="K1472" s="0" t="n">
        <v>80</v>
      </c>
      <c r="M1472" s="0" t="n">
        <v>908.29</v>
      </c>
      <c r="N1472" s="0" t="n">
        <v>13.74</v>
      </c>
      <c r="O1472" s="0" t="n">
        <v>24.95</v>
      </c>
      <c r="P1472" s="0" t="n">
        <v>4.46</v>
      </c>
      <c r="Q1472" s="0" t="n">
        <v>3.54</v>
      </c>
      <c r="R1472" s="0" t="n">
        <v>5404</v>
      </c>
      <c r="S1472" s="0" t="n">
        <v>10035</v>
      </c>
      <c r="T1472" s="0" t="n">
        <v>61.4</v>
      </c>
      <c r="U1472" s="0" t="n">
        <v>2188</v>
      </c>
      <c r="V1472" s="0" t="n">
        <v>2</v>
      </c>
      <c r="W1472" s="0" t="str">
        <f aca="false">IF(OR(AND(B1472&gt;=1,B1472&lt;=6),B1472=10),"Vaca em lactação",IF(I1472="Male","Macho",IF(E1472&gt;=1,"Vaca seca",IF(I1472="Youngstock","Bezerra/recria","Novilha"))))</f>
        <v>Vaca em lactação</v>
      </c>
      <c r="X1472" s="0" t="str">
        <f aca="false">IF(AND(B1472&gt;=1,B1472&lt;=6),"Tanque",IF(B1472=10,"Descarte",""))</f>
        <v>Tanque</v>
      </c>
    </row>
    <row r="1473" customFormat="false" ht="15" hidden="false" customHeight="false" outlineLevel="0" collapsed="false">
      <c r="A1473" s="22" t="n">
        <v>46309</v>
      </c>
      <c r="B1473" s="0" t="n">
        <v>6</v>
      </c>
      <c r="C1473" s="0" t="n">
        <v>3159</v>
      </c>
      <c r="D1473" s="0" t="n">
        <v>503</v>
      </c>
      <c r="E1473" s="0" t="n">
        <v>3</v>
      </c>
      <c r="F1473" s="23" t="s">
        <v>913</v>
      </c>
      <c r="H1473" s="0" t="n">
        <v>19</v>
      </c>
      <c r="I1473" s="23" t="s">
        <v>92</v>
      </c>
      <c r="J1473" s="0" t="n">
        <v>454</v>
      </c>
      <c r="K1473" s="0" t="n">
        <v>62</v>
      </c>
      <c r="L1473" s="0" t="n">
        <v>49</v>
      </c>
      <c r="M1473" s="0" t="n">
        <v>727.77</v>
      </c>
      <c r="N1473" s="0" t="n">
        <v>8.25</v>
      </c>
      <c r="O1473" s="0" t="n">
        <v>18.82</v>
      </c>
      <c r="P1473" s="0" t="n">
        <v>3.94</v>
      </c>
      <c r="Q1473" s="0" t="n">
        <v>3.94</v>
      </c>
      <c r="R1473" s="0" t="n">
        <v>6791</v>
      </c>
      <c r="S1473" s="0" t="n">
        <v>13465</v>
      </c>
      <c r="T1473" s="0" t="n">
        <v>69.75</v>
      </c>
      <c r="U1473" s="0" t="n">
        <v>2159</v>
      </c>
      <c r="V1473" s="0" t="n">
        <v>8</v>
      </c>
      <c r="W1473" s="0" t="str">
        <f aca="false">IF(OR(AND(B1473&gt;=1,B1473&lt;=6),B1473=10),"Vaca em lactação",IF(I1473="Male","Macho",IF(E1473&gt;=1,"Vaca seca",IF(I1473="Youngstock","Bezerra/recria","Novilha"))))</f>
        <v>Vaca em lactação</v>
      </c>
      <c r="X1473" s="0" t="str">
        <f aca="false">IF(AND(B1473&gt;=1,B1473&lt;=6),"Tanque",IF(B1473=10,"Descarte",""))</f>
        <v>Tanque</v>
      </c>
    </row>
    <row r="1474" customFormat="false" ht="15" hidden="false" customHeight="false" outlineLevel="0" collapsed="false">
      <c r="A1474" s="22" t="n">
        <v>46309</v>
      </c>
      <c r="B1474" s="0" t="n">
        <v>6</v>
      </c>
      <c r="C1474" s="0" t="n">
        <v>3177</v>
      </c>
      <c r="D1474" s="0" t="n">
        <v>245</v>
      </c>
      <c r="E1474" s="0" t="n">
        <v>4</v>
      </c>
      <c r="F1474" s="23" t="s">
        <v>914</v>
      </c>
      <c r="G1474" s="0" t="n">
        <v>21.5</v>
      </c>
      <c r="H1474" s="0" t="n">
        <v>23</v>
      </c>
      <c r="I1474" s="23" t="s">
        <v>97</v>
      </c>
      <c r="J1474" s="0" t="n">
        <v>245</v>
      </c>
      <c r="K1474" s="0" t="n">
        <v>63</v>
      </c>
      <c r="M1474" s="0" t="n">
        <v>446.3</v>
      </c>
      <c r="N1474" s="0" t="n">
        <v>30.49</v>
      </c>
      <c r="O1474" s="0" t="n">
        <v>27.48</v>
      </c>
      <c r="P1474" s="0" t="n">
        <v>4.32</v>
      </c>
      <c r="Q1474" s="0" t="n">
        <v>3.48</v>
      </c>
      <c r="R1474" s="0" t="n">
        <v>4417</v>
      </c>
      <c r="S1474" s="0" t="n">
        <v>7471</v>
      </c>
      <c r="T1474" s="0" t="n">
        <v>58.55</v>
      </c>
      <c r="U1474" s="0" t="n">
        <v>2153</v>
      </c>
      <c r="V1474" s="0" t="n">
        <v>4</v>
      </c>
      <c r="W1474" s="0" t="str">
        <f aca="false">IF(OR(AND(B1474&gt;=1,B1474&lt;=6),B1474=10),"Vaca em lactação",IF(I1474="Male","Macho",IF(E1474&gt;=1,"Vaca seca",IF(I1474="Youngstock","Bezerra/recria","Novilha"))))</f>
        <v>Vaca em lactação</v>
      </c>
      <c r="X1474" s="0" t="str">
        <f aca="false">IF(AND(B1474&gt;=1,B1474&lt;=6),"Tanque",IF(B1474=10,"Descarte",""))</f>
        <v>Tanque</v>
      </c>
    </row>
    <row r="1475" customFormat="false" ht="15" hidden="false" customHeight="false" outlineLevel="0" collapsed="false">
      <c r="A1475" s="22" t="n">
        <v>46309</v>
      </c>
      <c r="B1475" s="0" t="n">
        <v>6</v>
      </c>
      <c r="C1475" s="0" t="n">
        <v>3188</v>
      </c>
      <c r="D1475" s="0" t="n">
        <v>163</v>
      </c>
      <c r="E1475" s="0" t="n">
        <v>4</v>
      </c>
      <c r="F1475" s="23" t="s">
        <v>749</v>
      </c>
      <c r="G1475" s="0" t="n">
        <v>24.1</v>
      </c>
      <c r="H1475" s="0" t="n">
        <v>20</v>
      </c>
      <c r="I1475" s="23" t="s">
        <v>109</v>
      </c>
      <c r="J1475" s="0" t="n">
        <v>163</v>
      </c>
      <c r="K1475" s="0" t="n">
        <v>65</v>
      </c>
      <c r="M1475" s="0" t="n">
        <v>-141.62</v>
      </c>
      <c r="N1475" s="0" t="n">
        <v>48.01</v>
      </c>
      <c r="O1475" s="0" t="n">
        <v>22.68</v>
      </c>
      <c r="P1475" s="0" t="n">
        <v>6.17</v>
      </c>
      <c r="Q1475" s="0" t="n">
        <v>4.35</v>
      </c>
      <c r="R1475" s="0" t="n">
        <v>4090</v>
      </c>
      <c r="S1475" s="0" t="n">
        <v>6920</v>
      </c>
      <c r="T1475" s="0" t="n">
        <v>47.15</v>
      </c>
      <c r="U1475" s="0" t="n">
        <v>2147</v>
      </c>
      <c r="V1475" s="0" t="n">
        <v>3</v>
      </c>
      <c r="W1475" s="0" t="str">
        <f aca="false">IF(OR(AND(B1475&gt;=1,B1475&lt;=6),B1475=10),"Vaca em lactação",IF(I1475="Male","Macho",IF(E1475&gt;=1,"Vaca seca",IF(I1475="Youngstock","Bezerra/recria","Novilha"))))</f>
        <v>Vaca em lactação</v>
      </c>
      <c r="X1475" s="0" t="str">
        <f aca="false">IF(AND(B1475&gt;=1,B1475&lt;=6),"Tanque",IF(B1475=10,"Descarte",""))</f>
        <v>Tanque</v>
      </c>
    </row>
    <row r="1476" customFormat="false" ht="15" hidden="false" customHeight="false" outlineLevel="0" collapsed="false">
      <c r="A1476" s="22" t="n">
        <v>46309</v>
      </c>
      <c r="B1476" s="0" t="n">
        <v>6</v>
      </c>
      <c r="C1476" s="0" t="n">
        <v>2981</v>
      </c>
      <c r="D1476" s="0" t="n">
        <v>513</v>
      </c>
      <c r="E1476" s="0" t="n">
        <v>4</v>
      </c>
      <c r="F1476" s="23" t="s">
        <v>915</v>
      </c>
      <c r="G1476" s="0" t="n">
        <v>17.7</v>
      </c>
      <c r="H1476" s="0" t="n">
        <v>19</v>
      </c>
      <c r="I1476" s="23" t="s">
        <v>506</v>
      </c>
      <c r="J1476" s="0" t="n">
        <v>513</v>
      </c>
      <c r="K1476" s="0" t="n">
        <v>58</v>
      </c>
      <c r="M1476" s="0" t="n">
        <v>-179.04</v>
      </c>
      <c r="N1476" s="0" t="n">
        <v>13.85</v>
      </c>
      <c r="O1476" s="0" t="n">
        <v>4.28</v>
      </c>
      <c r="P1476" s="0" t="n">
        <v>6.7</v>
      </c>
      <c r="Q1476" s="0" t="n">
        <v>4.81</v>
      </c>
      <c r="R1476" s="0" t="n">
        <v>4960</v>
      </c>
      <c r="S1476" s="0" t="n">
        <v>10525</v>
      </c>
      <c r="T1476" s="0" t="n">
        <v>57.15</v>
      </c>
      <c r="U1476" s="0" t="n">
        <v>2285</v>
      </c>
      <c r="V1476" s="0" t="n">
        <v>6</v>
      </c>
      <c r="W1476" s="0" t="str">
        <f aca="false">IF(OR(AND(B1476&gt;=1,B1476&lt;=6),B1476=10),"Vaca em lactação",IF(I1476="Male","Macho",IF(E1476&gt;=1,"Vaca seca",IF(I1476="Youngstock","Bezerra/recria","Novilha"))))</f>
        <v>Vaca em lactação</v>
      </c>
      <c r="X1476" s="0" t="str">
        <f aca="false">IF(AND(B1476&gt;=1,B1476&lt;=6),"Tanque",IF(B1476=10,"Descarte",""))</f>
        <v>Tanque</v>
      </c>
    </row>
    <row r="1477" customFormat="false" ht="15" hidden="false" customHeight="false" outlineLevel="0" collapsed="false">
      <c r="A1477" s="22" t="n">
        <v>46309</v>
      </c>
      <c r="B1477" s="0" t="n">
        <v>6</v>
      </c>
      <c r="C1477" s="0" t="n">
        <v>2971</v>
      </c>
      <c r="D1477" s="0" t="n">
        <v>173</v>
      </c>
      <c r="E1477" s="0" t="n">
        <v>5</v>
      </c>
      <c r="F1477" s="23" t="s">
        <v>916</v>
      </c>
      <c r="G1477" s="0" t="n">
        <v>28.7</v>
      </c>
      <c r="H1477" s="0" t="n">
        <v>28</v>
      </c>
      <c r="I1477" s="23" t="s">
        <v>97</v>
      </c>
      <c r="J1477" s="0" t="n">
        <v>173</v>
      </c>
      <c r="K1477" s="0" t="n">
        <v>68</v>
      </c>
      <c r="M1477" s="0" t="n">
        <v>1174.15</v>
      </c>
      <c r="N1477" s="0" t="n">
        <v>-13.59</v>
      </c>
      <c r="O1477" s="0" t="n">
        <v>16.41</v>
      </c>
      <c r="P1477" s="0" t="n">
        <v>3.3</v>
      </c>
      <c r="Q1477" s="0" t="n">
        <v>3.1</v>
      </c>
      <c r="R1477" s="0" t="n">
        <v>3606</v>
      </c>
      <c r="S1477" s="0" t="n">
        <v>6885</v>
      </c>
      <c r="T1477" s="0" t="n">
        <v>46.45</v>
      </c>
      <c r="U1477" s="0" t="n">
        <v>2297</v>
      </c>
      <c r="V1477" s="0" t="n">
        <v>3</v>
      </c>
      <c r="W1477" s="0" t="str">
        <f aca="false">IF(OR(AND(B1477&gt;=1,B1477&lt;=6),B1477=10),"Vaca em lactação",IF(I1477="Male","Macho",IF(E1477&gt;=1,"Vaca seca",IF(I1477="Youngstock","Bezerra/recria","Novilha"))))</f>
        <v>Vaca em lactação</v>
      </c>
      <c r="X1477" s="0" t="str">
        <f aca="false">IF(AND(B1477&gt;=1,B1477&lt;=6),"Tanque",IF(B1477=10,"Descarte",""))</f>
        <v>Tanque</v>
      </c>
    </row>
    <row r="1478" customFormat="false" ht="15" hidden="false" customHeight="false" outlineLevel="0" collapsed="false">
      <c r="A1478" s="22" t="n">
        <v>46309</v>
      </c>
      <c r="B1478" s="0" t="n">
        <v>6</v>
      </c>
      <c r="C1478" s="0" t="n">
        <v>3075</v>
      </c>
      <c r="D1478" s="0" t="n">
        <v>401</v>
      </c>
      <c r="E1478" s="0" t="n">
        <v>4</v>
      </c>
      <c r="F1478" s="23" t="s">
        <v>917</v>
      </c>
      <c r="G1478" s="0" t="n">
        <v>23.3</v>
      </c>
      <c r="H1478" s="0" t="n">
        <v>21</v>
      </c>
      <c r="I1478" s="23" t="s">
        <v>97</v>
      </c>
      <c r="J1478" s="0" t="n">
        <v>401</v>
      </c>
      <c r="K1478" s="0" t="n">
        <v>65</v>
      </c>
      <c r="M1478" s="0" t="n">
        <v>-55.5</v>
      </c>
      <c r="N1478" s="0" t="n">
        <v>13.75</v>
      </c>
      <c r="O1478" s="0" t="n">
        <v>20.06</v>
      </c>
      <c r="P1478" s="0" t="n">
        <v>6.32</v>
      </c>
      <c r="Q1478" s="0" t="n">
        <v>4.3</v>
      </c>
      <c r="R1478" s="0" t="n">
        <v>4281</v>
      </c>
      <c r="S1478" s="0" t="n">
        <v>8336</v>
      </c>
      <c r="T1478" s="0" t="n">
        <v>41.6</v>
      </c>
      <c r="U1478" s="0" t="n">
        <v>2209</v>
      </c>
      <c r="V1478" s="0" t="n">
        <v>6</v>
      </c>
      <c r="W1478" s="0" t="str">
        <f aca="false">IF(OR(AND(B1478&gt;=1,B1478&lt;=6),B1478=10),"Vaca em lactação",IF(I1478="Male","Macho",IF(E1478&gt;=1,"Vaca seca",IF(I1478="Youngstock","Bezerra/recria","Novilha"))))</f>
        <v>Vaca em lactação</v>
      </c>
      <c r="X1478" s="0" t="str">
        <f aca="false">IF(AND(B1478&gt;=1,B1478&lt;=6),"Tanque",IF(B1478=10,"Descarte",""))</f>
        <v>Tanque</v>
      </c>
    </row>
    <row r="1479" customFormat="false" ht="15" hidden="false" customHeight="false" outlineLevel="0" collapsed="false">
      <c r="A1479" s="22" t="n">
        <v>46309</v>
      </c>
      <c r="B1479" s="0" t="n">
        <v>6</v>
      </c>
      <c r="C1479" s="0" t="n">
        <v>3039</v>
      </c>
      <c r="D1479" s="0" t="n">
        <v>134</v>
      </c>
      <c r="E1479" s="0" t="n">
        <v>4</v>
      </c>
      <c r="F1479" s="23" t="s">
        <v>918</v>
      </c>
      <c r="G1479" s="0" t="n">
        <v>14.6</v>
      </c>
      <c r="H1479" s="0" t="n">
        <v>23</v>
      </c>
      <c r="I1479" s="23" t="s">
        <v>506</v>
      </c>
      <c r="J1479" s="0" t="n">
        <v>134</v>
      </c>
      <c r="K1479" s="0" t="n">
        <v>64</v>
      </c>
      <c r="M1479" s="0" t="n">
        <v>1581.34</v>
      </c>
      <c r="N1479" s="0" t="n">
        <v>24.37</v>
      </c>
      <c r="O1479" s="0" t="n">
        <v>29.28</v>
      </c>
      <c r="P1479" s="0" t="n">
        <v>4.07</v>
      </c>
      <c r="Q1479" s="0" t="n">
        <v>2.88</v>
      </c>
      <c r="R1479" s="0" t="n">
        <v>2999</v>
      </c>
      <c r="S1479" s="0" t="n">
        <v>5537</v>
      </c>
      <c r="T1479" s="0" t="n">
        <v>31.6</v>
      </c>
      <c r="U1479" s="0" t="n">
        <v>2230</v>
      </c>
      <c r="V1479" s="0" t="n">
        <v>1</v>
      </c>
      <c r="W1479" s="0" t="str">
        <f aca="false">IF(OR(AND(B1479&gt;=1,B1479&lt;=6),B1479=10),"Vaca em lactação",IF(I1479="Male","Macho",IF(E1479&gt;=1,"Vaca seca",IF(I1479="Youngstock","Bezerra/recria","Novilha"))))</f>
        <v>Vaca em lactação</v>
      </c>
      <c r="X1479" s="0" t="str">
        <f aca="false">IF(AND(B1479&gt;=1,B1479&lt;=6),"Tanque",IF(B1479=10,"Descarte",""))</f>
        <v>Tanque</v>
      </c>
    </row>
    <row r="1480" customFormat="false" ht="15" hidden="false" customHeight="false" outlineLevel="0" collapsed="false">
      <c r="A1480" s="22" t="n">
        <v>46309</v>
      </c>
      <c r="B1480" s="0" t="n">
        <v>6</v>
      </c>
      <c r="C1480" s="0" t="n">
        <v>3050</v>
      </c>
      <c r="D1480" s="0" t="n">
        <v>117</v>
      </c>
      <c r="E1480" s="0" t="n">
        <v>5</v>
      </c>
      <c r="F1480" s="23" t="s">
        <v>919</v>
      </c>
      <c r="G1480" s="0" t="n">
        <v>29.1</v>
      </c>
      <c r="H1480" s="0" t="n">
        <v>31</v>
      </c>
      <c r="I1480" s="23" t="s">
        <v>97</v>
      </c>
      <c r="J1480" s="0" t="n">
        <v>117</v>
      </c>
      <c r="K1480" s="0" t="n">
        <v>89</v>
      </c>
      <c r="M1480" s="0" t="n">
        <v>1204.13</v>
      </c>
      <c r="N1480" s="0" t="n">
        <v>11.34</v>
      </c>
      <c r="O1480" s="0" t="n">
        <v>29.93</v>
      </c>
      <c r="P1480" s="0" t="n">
        <v>4.66</v>
      </c>
      <c r="Q1480" s="0" t="n">
        <v>3.33</v>
      </c>
      <c r="R1480" s="0" t="n">
        <v>3984</v>
      </c>
      <c r="S1480" s="0" t="n">
        <v>7878</v>
      </c>
      <c r="T1480" s="0" t="n">
        <v>41.6</v>
      </c>
      <c r="U1480" s="0" t="n">
        <v>2223</v>
      </c>
      <c r="V1480" s="0" t="n">
        <v>1</v>
      </c>
      <c r="W1480" s="0" t="str">
        <f aca="false">IF(OR(AND(B1480&gt;=1,B1480&lt;=6),B1480=10),"Vaca em lactação",IF(I1480="Male","Macho",IF(E1480&gt;=1,"Vaca seca",IF(I1480="Youngstock","Bezerra/recria","Novilha"))))</f>
        <v>Vaca em lactação</v>
      </c>
      <c r="X1480" s="0" t="str">
        <f aca="false">IF(AND(B1480&gt;=1,B1480&lt;=6),"Tanque",IF(B1480=10,"Descarte",""))</f>
        <v>Tanque</v>
      </c>
    </row>
    <row r="1481" customFormat="false" ht="15" hidden="false" customHeight="false" outlineLevel="0" collapsed="false">
      <c r="A1481" s="22" t="n">
        <v>46309</v>
      </c>
      <c r="B1481" s="0" t="n">
        <v>6</v>
      </c>
      <c r="C1481" s="0" t="n">
        <v>3060</v>
      </c>
      <c r="D1481" s="0" t="n">
        <v>363</v>
      </c>
      <c r="E1481" s="0" t="n">
        <v>4</v>
      </c>
      <c r="F1481" s="23" t="s">
        <v>920</v>
      </c>
      <c r="H1481" s="0" t="n">
        <v>21</v>
      </c>
      <c r="I1481" s="23" t="s">
        <v>92</v>
      </c>
      <c r="J1481" s="0" t="n">
        <v>230</v>
      </c>
      <c r="K1481" s="0" t="n">
        <v>70</v>
      </c>
      <c r="L1481" s="0" t="n">
        <v>133</v>
      </c>
      <c r="M1481" s="0" t="n">
        <v>311.62</v>
      </c>
      <c r="N1481" s="0" t="n">
        <v>30.1</v>
      </c>
      <c r="O1481" s="0" t="n">
        <v>17.86</v>
      </c>
      <c r="P1481" s="0" t="n">
        <v>3.92</v>
      </c>
      <c r="Q1481" s="0" t="n">
        <v>4.02</v>
      </c>
      <c r="R1481" s="0" t="n">
        <v>5889</v>
      </c>
      <c r="S1481" s="0" t="n">
        <v>11688</v>
      </c>
      <c r="T1481" s="0" t="n">
        <v>64.4</v>
      </c>
      <c r="U1481" s="0" t="n">
        <v>2216</v>
      </c>
      <c r="V1481" s="0" t="n">
        <v>5</v>
      </c>
      <c r="W1481" s="0" t="str">
        <f aca="false">IF(OR(AND(B1481&gt;=1,B1481&lt;=6),B1481=10),"Vaca em lactação",IF(I1481="Male","Macho",IF(E1481&gt;=1,"Vaca seca",IF(I1481="Youngstock","Bezerra/recria","Novilha"))))</f>
        <v>Vaca em lactação</v>
      </c>
      <c r="X1481" s="0" t="str">
        <f aca="false">IF(AND(B1481&gt;=1,B1481&lt;=6),"Tanque",IF(B1481=10,"Descarte",""))</f>
        <v>Tanque</v>
      </c>
    </row>
    <row r="1482" customFormat="false" ht="15" hidden="false" customHeight="false" outlineLevel="0" collapsed="false">
      <c r="A1482" s="22" t="n">
        <v>46309</v>
      </c>
      <c r="B1482" s="0" t="n">
        <v>6</v>
      </c>
      <c r="C1482" s="0" t="n">
        <v>3432</v>
      </c>
      <c r="D1482" s="0" t="n">
        <v>549</v>
      </c>
      <c r="E1482" s="0" t="n">
        <v>2</v>
      </c>
      <c r="F1482" s="23" t="s">
        <v>921</v>
      </c>
      <c r="G1482" s="0" t="n">
        <v>16.7</v>
      </c>
      <c r="H1482" s="0" t="n">
        <v>16</v>
      </c>
      <c r="I1482" s="23" t="s">
        <v>506</v>
      </c>
      <c r="J1482" s="0" t="n">
        <v>549</v>
      </c>
      <c r="K1482" s="0" t="n">
        <v>60</v>
      </c>
      <c r="M1482" s="0" t="n">
        <v>893.99</v>
      </c>
      <c r="N1482" s="0" t="n">
        <v>19.84</v>
      </c>
      <c r="O1482" s="0" t="n">
        <v>21.46</v>
      </c>
      <c r="P1482" s="0" t="n">
        <v>2.84</v>
      </c>
      <c r="Q1482" s="0" t="n">
        <v>3.53</v>
      </c>
      <c r="R1482" s="0" t="n">
        <v>4892</v>
      </c>
      <c r="S1482" s="0" t="n">
        <v>10371</v>
      </c>
      <c r="T1482" s="0" t="n">
        <v>56.15</v>
      </c>
      <c r="U1482" s="0" t="n">
        <v>1991</v>
      </c>
      <c r="V1482" s="0" t="n">
        <v>3</v>
      </c>
      <c r="W1482" s="0" t="str">
        <f aca="false">IF(OR(AND(B1482&gt;=1,B1482&lt;=6),B1482=10),"Vaca em lactação",IF(I1482="Male","Macho",IF(E1482&gt;=1,"Vaca seca",IF(I1482="Youngstock","Bezerra/recria","Novilha"))))</f>
        <v>Vaca em lactação</v>
      </c>
      <c r="X1482" s="0" t="str">
        <f aca="false">IF(AND(B1482&gt;=1,B1482&lt;=6),"Tanque",IF(B1482=10,"Descarte",""))</f>
        <v>Tanque</v>
      </c>
    </row>
    <row r="1483" customFormat="false" ht="15" hidden="false" customHeight="false" outlineLevel="0" collapsed="false">
      <c r="A1483" s="22" t="n">
        <v>46309</v>
      </c>
      <c r="B1483" s="0" t="n">
        <v>6</v>
      </c>
      <c r="C1483" s="0" t="n">
        <v>3445</v>
      </c>
      <c r="D1483" s="0" t="n">
        <v>106</v>
      </c>
      <c r="E1483" s="0" t="n">
        <v>4</v>
      </c>
      <c r="F1483" s="23" t="s">
        <v>922</v>
      </c>
      <c r="H1483" s="0" t="n">
        <v>14</v>
      </c>
      <c r="I1483" s="23" t="s">
        <v>109</v>
      </c>
      <c r="J1483" s="0" t="n">
        <v>106</v>
      </c>
      <c r="K1483" s="0" t="n">
        <v>64</v>
      </c>
      <c r="M1483" s="0" t="n">
        <v>653.44</v>
      </c>
      <c r="N1483" s="0" t="n">
        <v>41.44</v>
      </c>
      <c r="O1483" s="0" t="n">
        <v>26.57</v>
      </c>
      <c r="P1483" s="0" t="n">
        <v>4.86</v>
      </c>
      <c r="Q1483" s="0" t="n">
        <v>3.69</v>
      </c>
      <c r="R1483" s="0" t="n">
        <v>2579</v>
      </c>
      <c r="S1483" s="0" t="n">
        <v>5061</v>
      </c>
      <c r="T1483" s="0" t="n">
        <v>33.2</v>
      </c>
      <c r="U1483" s="0" t="n">
        <v>1975</v>
      </c>
      <c r="V1483" s="0" t="n">
        <v>1</v>
      </c>
      <c r="W1483" s="0" t="str">
        <f aca="false">IF(OR(AND(B1483&gt;=1,B1483&lt;=6),B1483=10),"Vaca em lactação",IF(I1483="Male","Macho",IF(E1483&gt;=1,"Vaca seca",IF(I1483="Youngstock","Bezerra/recria","Novilha"))))</f>
        <v>Vaca em lactação</v>
      </c>
      <c r="X1483" s="0" t="str">
        <f aca="false">IF(AND(B1483&gt;=1,B1483&lt;=6),"Tanque",IF(B1483=10,"Descarte",""))</f>
        <v>Tanque</v>
      </c>
    </row>
    <row r="1484" customFormat="false" ht="15" hidden="false" customHeight="false" outlineLevel="0" collapsed="false">
      <c r="A1484" s="22" t="n">
        <v>46309</v>
      </c>
      <c r="B1484" s="0" t="n">
        <v>6</v>
      </c>
      <c r="C1484" s="0" t="n">
        <v>3459</v>
      </c>
      <c r="D1484" s="0" t="n">
        <v>209</v>
      </c>
      <c r="E1484" s="0" t="n">
        <v>4</v>
      </c>
      <c r="F1484" s="23" t="s">
        <v>923</v>
      </c>
      <c r="G1484" s="0" t="n">
        <v>30.2</v>
      </c>
      <c r="H1484" s="0" t="n">
        <v>27</v>
      </c>
      <c r="I1484" s="23" t="s">
        <v>92</v>
      </c>
      <c r="J1484" s="0" t="n">
        <v>62</v>
      </c>
      <c r="K1484" s="0" t="n">
        <v>62</v>
      </c>
      <c r="L1484" s="0" t="n">
        <v>147</v>
      </c>
      <c r="M1484" s="0" t="n">
        <v>532.05</v>
      </c>
      <c r="N1484" s="0" t="n">
        <v>47.33</v>
      </c>
      <c r="O1484" s="0" t="n">
        <v>25.67</v>
      </c>
      <c r="P1484" s="0" t="n">
        <v>4.9</v>
      </c>
      <c r="Q1484" s="0" t="n">
        <v>3.25</v>
      </c>
      <c r="R1484" s="0" t="n">
        <v>6648</v>
      </c>
      <c r="S1484" s="0" t="n">
        <v>11489</v>
      </c>
      <c r="T1484" s="0" t="n">
        <v>73.4</v>
      </c>
      <c r="U1484" s="0" t="n">
        <v>1964</v>
      </c>
      <c r="V1484" s="0" t="n">
        <v>1</v>
      </c>
      <c r="W1484" s="0" t="str">
        <f aca="false">IF(OR(AND(B1484&gt;=1,B1484&lt;=6),B1484=10),"Vaca em lactação",IF(I1484="Male","Macho",IF(E1484&gt;=1,"Vaca seca",IF(I1484="Youngstock","Bezerra/recria","Novilha"))))</f>
        <v>Vaca em lactação</v>
      </c>
      <c r="X1484" s="0" t="str">
        <f aca="false">IF(AND(B1484&gt;=1,B1484&lt;=6),"Tanque",IF(B1484=10,"Descarte",""))</f>
        <v>Tanque</v>
      </c>
    </row>
    <row r="1485" customFormat="false" ht="15" hidden="false" customHeight="false" outlineLevel="0" collapsed="false">
      <c r="A1485" s="22" t="n">
        <v>46309</v>
      </c>
      <c r="B1485" s="0" t="n">
        <v>6</v>
      </c>
      <c r="C1485" s="0" t="n">
        <v>3424</v>
      </c>
      <c r="D1485" s="0" t="n">
        <v>85</v>
      </c>
      <c r="E1485" s="0" t="n">
        <v>4</v>
      </c>
      <c r="F1485" s="23" t="s">
        <v>924</v>
      </c>
      <c r="G1485" s="0" t="n">
        <v>28.3</v>
      </c>
      <c r="H1485" s="0" t="n">
        <v>28</v>
      </c>
      <c r="I1485" s="23" t="s">
        <v>97</v>
      </c>
      <c r="J1485" s="0" t="n">
        <v>85</v>
      </c>
      <c r="K1485" s="0" t="n">
        <v>64</v>
      </c>
      <c r="P1485" s="0" t="n">
        <v>4.54</v>
      </c>
      <c r="Q1485" s="0" t="n">
        <v>4.02</v>
      </c>
      <c r="R1485" s="0" t="n">
        <v>2767</v>
      </c>
      <c r="S1485" s="0" t="n">
        <v>5563</v>
      </c>
      <c r="U1485" s="0" t="n">
        <v>1995</v>
      </c>
      <c r="V1485" s="0" t="n">
        <v>1</v>
      </c>
      <c r="W1485" s="0" t="str">
        <f aca="false">IF(OR(AND(B1485&gt;=1,B1485&lt;=6),B1485=10),"Vaca em lactação",IF(I1485="Male","Macho",IF(E1485&gt;=1,"Vaca seca",IF(I1485="Youngstock","Bezerra/recria","Novilha"))))</f>
        <v>Vaca em lactação</v>
      </c>
      <c r="X1485" s="0" t="str">
        <f aca="false">IF(AND(B1485&gt;=1,B1485&lt;=6),"Tanque",IF(B1485=10,"Descarte",""))</f>
        <v>Tanque</v>
      </c>
    </row>
    <row r="1486" customFormat="false" ht="15" hidden="false" customHeight="false" outlineLevel="0" collapsed="false">
      <c r="A1486" s="22" t="n">
        <v>46309</v>
      </c>
      <c r="B1486" s="0" t="n">
        <v>6</v>
      </c>
      <c r="C1486" s="0" t="n">
        <v>3509</v>
      </c>
      <c r="D1486" s="0" t="n">
        <v>222</v>
      </c>
      <c r="E1486" s="0" t="n">
        <v>4</v>
      </c>
      <c r="F1486" s="23" t="s">
        <v>446</v>
      </c>
      <c r="G1486" s="0" t="n">
        <v>18.2</v>
      </c>
      <c r="H1486" s="0" t="n">
        <v>21</v>
      </c>
      <c r="I1486" s="23" t="s">
        <v>97</v>
      </c>
      <c r="J1486" s="0" t="n">
        <v>222</v>
      </c>
      <c r="K1486" s="0" t="n">
        <v>68</v>
      </c>
      <c r="M1486" s="0" t="n">
        <v>393.86</v>
      </c>
      <c r="N1486" s="0" t="n">
        <v>46.5</v>
      </c>
      <c r="O1486" s="0" t="n">
        <v>32.22</v>
      </c>
      <c r="P1486" s="0" t="n">
        <v>4.37</v>
      </c>
      <c r="Q1486" s="0" t="n">
        <v>4.08</v>
      </c>
      <c r="R1486" s="0" t="n">
        <v>4004</v>
      </c>
      <c r="S1486" s="0" t="n">
        <v>7167</v>
      </c>
      <c r="T1486" s="0" t="n">
        <v>44.2</v>
      </c>
      <c r="U1486" s="0" t="n">
        <v>1926</v>
      </c>
      <c r="V1486" s="0" t="n">
        <v>4</v>
      </c>
      <c r="W1486" s="0" t="str">
        <f aca="false">IF(OR(AND(B1486&gt;=1,B1486&lt;=6),B1486=10),"Vaca em lactação",IF(I1486="Male","Macho",IF(E1486&gt;=1,"Vaca seca",IF(I1486="Youngstock","Bezerra/recria","Novilha"))))</f>
        <v>Vaca em lactação</v>
      </c>
      <c r="X1486" s="0" t="str">
        <f aca="false">IF(AND(B1486&gt;=1,B1486&lt;=6),"Tanque",IF(B1486=10,"Descarte",""))</f>
        <v>Tanque</v>
      </c>
    </row>
    <row r="1487" customFormat="false" ht="15" hidden="false" customHeight="false" outlineLevel="0" collapsed="false">
      <c r="A1487" s="22" t="n">
        <v>46309</v>
      </c>
      <c r="B1487" s="0" t="n">
        <v>6</v>
      </c>
      <c r="C1487" s="0" t="n">
        <v>3478</v>
      </c>
      <c r="D1487" s="0" t="n">
        <v>442</v>
      </c>
      <c r="E1487" s="0" t="n">
        <v>3</v>
      </c>
      <c r="F1487" s="23" t="s">
        <v>925</v>
      </c>
      <c r="G1487" s="0" t="n">
        <v>17.8</v>
      </c>
      <c r="H1487" s="0" t="n">
        <v>16</v>
      </c>
      <c r="I1487" s="23" t="s">
        <v>92</v>
      </c>
      <c r="J1487" s="0" t="n">
        <v>326</v>
      </c>
      <c r="K1487" s="0" t="n">
        <v>78</v>
      </c>
      <c r="L1487" s="0" t="n">
        <v>116</v>
      </c>
      <c r="M1487" s="0" t="n">
        <v>223.71</v>
      </c>
      <c r="N1487" s="0" t="n">
        <v>30.93</v>
      </c>
      <c r="O1487" s="0" t="n">
        <v>14.36</v>
      </c>
      <c r="P1487" s="0" t="n">
        <v>4.55</v>
      </c>
      <c r="Q1487" s="0" t="n">
        <v>3.92</v>
      </c>
      <c r="R1487" s="0" t="n">
        <v>6063</v>
      </c>
      <c r="S1487" s="0" t="n">
        <v>11524</v>
      </c>
      <c r="T1487" s="0" t="n">
        <v>64</v>
      </c>
      <c r="U1487" s="0" t="n">
        <v>1947</v>
      </c>
      <c r="V1487" s="0" t="n">
        <v>7</v>
      </c>
      <c r="W1487" s="0" t="str">
        <f aca="false">IF(OR(AND(B1487&gt;=1,B1487&lt;=6),B1487=10),"Vaca em lactação",IF(I1487="Male","Macho",IF(E1487&gt;=1,"Vaca seca",IF(I1487="Youngstock","Bezerra/recria","Novilha"))))</f>
        <v>Vaca em lactação</v>
      </c>
      <c r="X1487" s="0" t="str">
        <f aca="false">IF(AND(B1487&gt;=1,B1487&lt;=6),"Tanque",IF(B1487=10,"Descarte",""))</f>
        <v>Tanque</v>
      </c>
    </row>
    <row r="1488" customFormat="false" ht="15" hidden="false" customHeight="false" outlineLevel="0" collapsed="false">
      <c r="A1488" s="22" t="n">
        <v>46309</v>
      </c>
      <c r="B1488" s="0" t="n">
        <v>6</v>
      </c>
      <c r="C1488" s="0" t="n">
        <v>3295</v>
      </c>
      <c r="D1488" s="0" t="n">
        <v>397</v>
      </c>
      <c r="E1488" s="0" t="n">
        <v>4</v>
      </c>
      <c r="F1488" s="23" t="s">
        <v>926</v>
      </c>
      <c r="G1488" s="0" t="n">
        <v>18.1</v>
      </c>
      <c r="H1488" s="0" t="n">
        <v>17</v>
      </c>
      <c r="I1488" s="23" t="s">
        <v>92</v>
      </c>
      <c r="J1488" s="0" t="n">
        <v>324</v>
      </c>
      <c r="K1488" s="0" t="n">
        <v>68</v>
      </c>
      <c r="L1488" s="0" t="n">
        <v>73</v>
      </c>
      <c r="M1488" s="0" t="n">
        <v>1190.65</v>
      </c>
      <c r="N1488" s="0" t="n">
        <v>10.7</v>
      </c>
      <c r="O1488" s="0" t="n">
        <v>38.37</v>
      </c>
      <c r="P1488" s="0" t="n">
        <v>4.35</v>
      </c>
      <c r="Q1488" s="0" t="n">
        <v>3.75</v>
      </c>
      <c r="R1488" s="0" t="n">
        <v>5785</v>
      </c>
      <c r="S1488" s="0" t="n">
        <v>10122</v>
      </c>
      <c r="T1488" s="0" t="n">
        <v>59.25</v>
      </c>
      <c r="U1488" s="0" t="n">
        <v>2080</v>
      </c>
      <c r="V1488" s="0" t="n">
        <v>6</v>
      </c>
      <c r="W1488" s="0" t="str">
        <f aca="false">IF(OR(AND(B1488&gt;=1,B1488&lt;=6),B1488=10),"Vaca em lactação",IF(I1488="Male","Macho",IF(E1488&gt;=1,"Vaca seca",IF(I1488="Youngstock","Bezerra/recria","Novilha"))))</f>
        <v>Vaca em lactação</v>
      </c>
      <c r="X1488" s="0" t="str">
        <f aca="false">IF(AND(B1488&gt;=1,B1488&lt;=6),"Tanque",IF(B1488=10,"Descarte",""))</f>
        <v>Tanque</v>
      </c>
    </row>
    <row r="1489" customFormat="false" ht="15" hidden="false" customHeight="false" outlineLevel="0" collapsed="false">
      <c r="A1489" s="22" t="n">
        <v>46309</v>
      </c>
      <c r="B1489" s="0" t="n">
        <v>6</v>
      </c>
      <c r="C1489" s="0" t="n">
        <v>3288</v>
      </c>
      <c r="D1489" s="0" t="n">
        <v>243</v>
      </c>
      <c r="E1489" s="0" t="n">
        <v>4</v>
      </c>
      <c r="F1489" s="23" t="s">
        <v>447</v>
      </c>
      <c r="G1489" s="0" t="n">
        <v>45</v>
      </c>
      <c r="H1489" s="0" t="n">
        <v>27</v>
      </c>
      <c r="I1489" s="23" t="s">
        <v>109</v>
      </c>
      <c r="J1489" s="0" t="n">
        <v>243</v>
      </c>
      <c r="K1489" s="0" t="n">
        <v>96</v>
      </c>
      <c r="M1489" s="0" t="n">
        <v>1113.22</v>
      </c>
      <c r="N1489" s="0" t="n">
        <v>43.88</v>
      </c>
      <c r="O1489" s="0" t="n">
        <v>35.83</v>
      </c>
      <c r="P1489" s="0" t="n">
        <v>3.23</v>
      </c>
      <c r="Q1489" s="0" t="n">
        <v>3.51</v>
      </c>
      <c r="R1489" s="0" t="n">
        <v>4759</v>
      </c>
      <c r="S1489" s="0" t="n">
        <v>10533</v>
      </c>
      <c r="T1489" s="0" t="n">
        <v>52.2</v>
      </c>
      <c r="U1489" s="0" t="n">
        <v>2082</v>
      </c>
      <c r="V1489" s="0" t="n">
        <v>4</v>
      </c>
      <c r="W1489" s="0" t="str">
        <f aca="false">IF(OR(AND(B1489&gt;=1,B1489&lt;=6),B1489=10),"Vaca em lactação",IF(I1489="Male","Macho",IF(E1489&gt;=1,"Vaca seca",IF(I1489="Youngstock","Bezerra/recria","Novilha"))))</f>
        <v>Vaca em lactação</v>
      </c>
      <c r="X1489" s="0" t="str">
        <f aca="false">IF(AND(B1489&gt;=1,B1489&lt;=6),"Tanque",IF(B1489=10,"Descarte",""))</f>
        <v>Tanque</v>
      </c>
    </row>
    <row r="1490" customFormat="false" ht="15" hidden="false" customHeight="false" outlineLevel="0" collapsed="false">
      <c r="A1490" s="22" t="n">
        <v>46309</v>
      </c>
      <c r="B1490" s="0" t="n">
        <v>6</v>
      </c>
      <c r="C1490" s="0" t="n">
        <v>3246</v>
      </c>
      <c r="D1490" s="0" t="n">
        <v>135</v>
      </c>
      <c r="E1490" s="0" t="n">
        <v>4</v>
      </c>
      <c r="F1490" s="23" t="s">
        <v>927</v>
      </c>
      <c r="I1490" s="23" t="s">
        <v>92</v>
      </c>
      <c r="J1490" s="0" t="n">
        <v>65</v>
      </c>
      <c r="K1490" s="0" t="n">
        <v>65</v>
      </c>
      <c r="L1490" s="0" t="n">
        <v>70</v>
      </c>
      <c r="M1490" s="0" t="n">
        <v>748.55</v>
      </c>
      <c r="N1490" s="0" t="n">
        <v>16.07</v>
      </c>
      <c r="O1490" s="0" t="n">
        <v>16.98</v>
      </c>
      <c r="P1490" s="0" t="n">
        <v>3.5</v>
      </c>
      <c r="Q1490" s="0" t="n">
        <v>2.82</v>
      </c>
      <c r="R1490" s="0" t="n">
        <v>5999</v>
      </c>
      <c r="S1490" s="0" t="n">
        <v>12060</v>
      </c>
      <c r="T1490" s="0" t="n">
        <v>59.85</v>
      </c>
      <c r="U1490" s="0" t="n">
        <v>2111</v>
      </c>
      <c r="V1490" s="0" t="n">
        <v>1</v>
      </c>
      <c r="W1490" s="0" t="str">
        <f aca="false">IF(OR(AND(B1490&gt;=1,B1490&lt;=6),B1490=10),"Vaca em lactação",IF(I1490="Male","Macho",IF(E1490&gt;=1,"Vaca seca",IF(I1490="Youngstock","Bezerra/recria","Novilha"))))</f>
        <v>Vaca em lactação</v>
      </c>
      <c r="X1490" s="0" t="str">
        <f aca="false">IF(AND(B1490&gt;=1,B1490&lt;=6),"Tanque",IF(B1490=10,"Descarte",""))</f>
        <v>Tanque</v>
      </c>
    </row>
    <row r="1491" customFormat="false" ht="15" hidden="false" customHeight="false" outlineLevel="0" collapsed="false">
      <c r="A1491" s="22" t="n">
        <v>46309</v>
      </c>
      <c r="B1491" s="0" t="n">
        <v>6</v>
      </c>
      <c r="C1491" s="0" t="n">
        <v>3282</v>
      </c>
      <c r="D1491" s="0" t="n">
        <v>221</v>
      </c>
      <c r="E1491" s="0" t="n">
        <v>4</v>
      </c>
      <c r="F1491" s="23" t="s">
        <v>928</v>
      </c>
      <c r="G1491" s="0" t="n">
        <v>21.1</v>
      </c>
      <c r="H1491" s="0" t="n">
        <v>20</v>
      </c>
      <c r="I1491" s="23" t="s">
        <v>97</v>
      </c>
      <c r="J1491" s="0" t="n">
        <v>221</v>
      </c>
      <c r="K1491" s="0" t="n">
        <v>74</v>
      </c>
      <c r="M1491" s="0" t="n">
        <v>274.47</v>
      </c>
      <c r="N1491" s="0" t="n">
        <v>11.44</v>
      </c>
      <c r="O1491" s="0" t="n">
        <v>16.8</v>
      </c>
      <c r="P1491" s="0" t="n">
        <v>3.27</v>
      </c>
      <c r="Q1491" s="0" t="n">
        <v>3.02</v>
      </c>
      <c r="R1491" s="0" t="n">
        <v>5013</v>
      </c>
      <c r="S1491" s="0" t="n">
        <v>9529</v>
      </c>
      <c r="T1491" s="0" t="n">
        <v>56.05</v>
      </c>
      <c r="U1491" s="0" t="n">
        <v>2091</v>
      </c>
      <c r="V1491" s="0" t="n">
        <v>4</v>
      </c>
      <c r="W1491" s="0" t="str">
        <f aca="false">IF(OR(AND(B1491&gt;=1,B1491&lt;=6),B1491=10),"Vaca em lactação",IF(I1491="Male","Macho",IF(E1491&gt;=1,"Vaca seca",IF(I1491="Youngstock","Bezerra/recria","Novilha"))))</f>
        <v>Vaca em lactação</v>
      </c>
      <c r="X1491" s="0" t="str">
        <f aca="false">IF(AND(B1491&gt;=1,B1491&lt;=6),"Tanque",IF(B1491=10,"Descarte",""))</f>
        <v>Tanque</v>
      </c>
    </row>
    <row r="1492" customFormat="false" ht="15" hidden="false" customHeight="false" outlineLevel="0" collapsed="false">
      <c r="A1492" s="22" t="n">
        <v>46309</v>
      </c>
      <c r="B1492" s="0" t="n">
        <v>6</v>
      </c>
      <c r="C1492" s="0" t="n">
        <v>3355</v>
      </c>
      <c r="D1492" s="0" t="n">
        <v>180</v>
      </c>
      <c r="E1492" s="0" t="n">
        <v>4</v>
      </c>
      <c r="F1492" s="23" t="s">
        <v>929</v>
      </c>
      <c r="G1492" s="0" t="n">
        <v>22</v>
      </c>
      <c r="H1492" s="0" t="n">
        <v>24</v>
      </c>
      <c r="I1492" s="23" t="s">
        <v>92</v>
      </c>
      <c r="J1492" s="0" t="n">
        <v>96</v>
      </c>
      <c r="K1492" s="0" t="n">
        <v>68</v>
      </c>
      <c r="L1492" s="0" t="n">
        <v>84</v>
      </c>
      <c r="M1492" s="0" t="n">
        <v>-66.81</v>
      </c>
      <c r="N1492" s="0" t="n">
        <v>60.3</v>
      </c>
      <c r="O1492" s="0" t="n">
        <v>12.42</v>
      </c>
      <c r="P1492" s="0" t="n">
        <v>6.11</v>
      </c>
      <c r="Q1492" s="0" t="n">
        <v>4.37</v>
      </c>
      <c r="R1492" s="0" t="n">
        <v>3381</v>
      </c>
      <c r="S1492" s="0" t="n">
        <v>6290</v>
      </c>
      <c r="T1492" s="0" t="n">
        <v>30.65</v>
      </c>
      <c r="U1492" s="0" t="n">
        <v>2037</v>
      </c>
      <c r="V1492" s="0" t="n">
        <v>3</v>
      </c>
      <c r="W1492" s="0" t="str">
        <f aca="false">IF(OR(AND(B1492&gt;=1,B1492&lt;=6),B1492=10),"Vaca em lactação",IF(I1492="Male","Macho",IF(E1492&gt;=1,"Vaca seca",IF(I1492="Youngstock","Bezerra/recria","Novilha"))))</f>
        <v>Vaca em lactação</v>
      </c>
      <c r="X1492" s="0" t="str">
        <f aca="false">IF(AND(B1492&gt;=1,B1492&lt;=6),"Tanque",IF(B1492=10,"Descarte",""))</f>
        <v>Tanque</v>
      </c>
    </row>
    <row r="1493" customFormat="false" ht="15" hidden="false" customHeight="false" outlineLevel="0" collapsed="false">
      <c r="A1493" s="22" t="n">
        <v>46309</v>
      </c>
      <c r="B1493" s="0" t="n">
        <v>6</v>
      </c>
      <c r="C1493" s="0" t="n">
        <v>2575</v>
      </c>
      <c r="D1493" s="0" t="n">
        <v>816</v>
      </c>
      <c r="E1493" s="0" t="n">
        <v>4</v>
      </c>
      <c r="F1493" s="23" t="s">
        <v>930</v>
      </c>
      <c r="G1493" s="0" t="n">
        <v>18.5</v>
      </c>
      <c r="H1493" s="0" t="n">
        <v>20</v>
      </c>
      <c r="I1493" s="23" t="s">
        <v>506</v>
      </c>
      <c r="J1493" s="0" t="n">
        <v>816</v>
      </c>
      <c r="K1493" s="0" t="n">
        <v>68</v>
      </c>
      <c r="M1493" s="0" t="n">
        <v>685.37</v>
      </c>
      <c r="N1493" s="0" t="n">
        <v>33.02</v>
      </c>
      <c r="O1493" s="0" t="n">
        <v>22.37</v>
      </c>
      <c r="P1493" s="0" t="n">
        <v>5.12</v>
      </c>
      <c r="Q1493" s="0" t="n">
        <v>3.81</v>
      </c>
      <c r="R1493" s="0" t="n">
        <v>6236</v>
      </c>
      <c r="S1493" s="0" t="n">
        <v>13568</v>
      </c>
      <c r="T1493" s="0" t="n">
        <v>49.3</v>
      </c>
      <c r="U1493" s="0" t="n">
        <v>2650</v>
      </c>
      <c r="V1493" s="0" t="n">
        <v>14</v>
      </c>
      <c r="W1493" s="0" t="str">
        <f aca="false">IF(OR(AND(B1493&gt;=1,B1493&lt;=6),B1493=10),"Vaca em lactação",IF(I1493="Male","Macho",IF(E1493&gt;=1,"Vaca seca",IF(I1493="Youngstock","Bezerra/recria","Novilha"))))</f>
        <v>Vaca em lactação</v>
      </c>
      <c r="X1493" s="0" t="str">
        <f aca="false">IF(AND(B1493&gt;=1,B1493&lt;=6),"Tanque",IF(B1493=10,"Descarte",""))</f>
        <v>Tanque</v>
      </c>
    </row>
    <row r="1494" customFormat="false" ht="15" hidden="false" customHeight="false" outlineLevel="0" collapsed="false">
      <c r="A1494" s="22" t="n">
        <v>46309</v>
      </c>
      <c r="B1494" s="0" t="n">
        <v>6</v>
      </c>
      <c r="C1494" s="0" t="n">
        <v>2494</v>
      </c>
      <c r="D1494" s="0" t="n">
        <v>429</v>
      </c>
      <c r="E1494" s="0" t="n">
        <v>5</v>
      </c>
      <c r="F1494" s="23" t="s">
        <v>931</v>
      </c>
      <c r="G1494" s="0" t="n">
        <v>21.9</v>
      </c>
      <c r="H1494" s="0" t="n">
        <v>22</v>
      </c>
      <c r="I1494" s="23" t="s">
        <v>506</v>
      </c>
      <c r="J1494" s="0" t="n">
        <v>429</v>
      </c>
      <c r="K1494" s="0" t="n">
        <v>65</v>
      </c>
      <c r="M1494" s="0" t="n">
        <v>9.94</v>
      </c>
      <c r="N1494" s="0" t="n">
        <v>17.72</v>
      </c>
      <c r="O1494" s="0" t="n">
        <v>9.62</v>
      </c>
      <c r="P1494" s="0" t="n">
        <v>8.43</v>
      </c>
      <c r="Q1494" s="0" t="n">
        <v>5.01</v>
      </c>
      <c r="R1494" s="0" t="n">
        <v>2891</v>
      </c>
      <c r="S1494" s="0" t="n">
        <v>6292</v>
      </c>
      <c r="T1494" s="0" t="n">
        <v>29.55</v>
      </c>
      <c r="U1494" s="0" t="n">
        <v>2711</v>
      </c>
      <c r="V1494" s="0" t="n">
        <v>6</v>
      </c>
      <c r="W1494" s="0" t="str">
        <f aca="false">IF(OR(AND(B1494&gt;=1,B1494&lt;=6),B1494=10),"Vaca em lactação",IF(I1494="Male","Macho",IF(E1494&gt;=1,"Vaca seca",IF(I1494="Youngstock","Bezerra/recria","Novilha"))))</f>
        <v>Vaca em lactação</v>
      </c>
      <c r="X1494" s="0" t="str">
        <f aca="false">IF(AND(B1494&gt;=1,B1494&lt;=6),"Tanque",IF(B1494=10,"Descarte",""))</f>
        <v>Tanque</v>
      </c>
    </row>
    <row r="1495" customFormat="false" ht="15" hidden="false" customHeight="false" outlineLevel="0" collapsed="false">
      <c r="A1495" s="22" t="n">
        <v>46309</v>
      </c>
      <c r="B1495" s="0" t="n">
        <v>6</v>
      </c>
      <c r="C1495" s="0" t="n">
        <v>2303</v>
      </c>
      <c r="D1495" s="0" t="n">
        <v>379</v>
      </c>
      <c r="E1495" s="0" t="n">
        <v>6</v>
      </c>
      <c r="F1495" s="23" t="s">
        <v>932</v>
      </c>
      <c r="G1495" s="0" t="n">
        <v>25</v>
      </c>
      <c r="H1495" s="0" t="n">
        <v>24</v>
      </c>
      <c r="I1495" s="23" t="s">
        <v>92</v>
      </c>
      <c r="J1495" s="0" t="n">
        <v>330</v>
      </c>
      <c r="K1495" s="0" t="n">
        <v>79</v>
      </c>
      <c r="L1495" s="0" t="n">
        <v>49</v>
      </c>
      <c r="M1495" s="0" t="n">
        <v>579.21</v>
      </c>
      <c r="N1495" s="0" t="n">
        <v>30.92</v>
      </c>
      <c r="O1495" s="0" t="n">
        <v>9.05</v>
      </c>
      <c r="P1495" s="0" t="n">
        <v>3.01</v>
      </c>
      <c r="Q1495" s="0" t="n">
        <v>3.53</v>
      </c>
      <c r="R1495" s="0" t="n">
        <v>5602</v>
      </c>
      <c r="S1495" s="0" t="n">
        <v>10332</v>
      </c>
      <c r="T1495" s="0" t="n">
        <v>65.25</v>
      </c>
      <c r="U1495" s="0" t="n">
        <v>2883</v>
      </c>
      <c r="V1495" s="0" t="n">
        <v>8</v>
      </c>
      <c r="W1495" s="0" t="str">
        <f aca="false">IF(OR(AND(B1495&gt;=1,B1495&lt;=6),B1495=10),"Vaca em lactação",IF(I1495="Male","Macho",IF(E1495&gt;=1,"Vaca seca",IF(I1495="Youngstock","Bezerra/recria","Novilha"))))</f>
        <v>Vaca em lactação</v>
      </c>
      <c r="X1495" s="0" t="str">
        <f aca="false">IF(AND(B1495&gt;=1,B1495&lt;=6),"Tanque",IF(B1495=10,"Descarte",""))</f>
        <v>Tanque</v>
      </c>
    </row>
    <row r="1496" customFormat="false" ht="15" hidden="false" customHeight="false" outlineLevel="0" collapsed="false">
      <c r="A1496" s="22" t="n">
        <v>46309</v>
      </c>
      <c r="B1496" s="0" t="n">
        <v>6</v>
      </c>
      <c r="C1496" s="0" t="n">
        <v>2439</v>
      </c>
      <c r="D1496" s="0" t="n">
        <v>417</v>
      </c>
      <c r="E1496" s="0" t="n">
        <v>5</v>
      </c>
      <c r="F1496" s="23" t="s">
        <v>933</v>
      </c>
      <c r="G1496" s="0" t="n">
        <v>20.1</v>
      </c>
      <c r="H1496" s="0" t="n">
        <v>18</v>
      </c>
      <c r="I1496" s="23" t="s">
        <v>97</v>
      </c>
      <c r="J1496" s="0" t="n">
        <v>417</v>
      </c>
      <c r="K1496" s="0" t="n">
        <v>60</v>
      </c>
      <c r="M1496" s="0" t="n">
        <v>-554.63</v>
      </c>
      <c r="N1496" s="0" t="n">
        <v>13.57</v>
      </c>
      <c r="O1496" s="0" t="n">
        <v>2.45</v>
      </c>
      <c r="P1496" s="0" t="n">
        <v>6.94</v>
      </c>
      <c r="Q1496" s="0" t="n">
        <v>4.47</v>
      </c>
      <c r="R1496" s="0" t="n">
        <v>4777</v>
      </c>
      <c r="S1496" s="0" t="n">
        <v>9031</v>
      </c>
      <c r="T1496" s="0" t="n">
        <v>52.15</v>
      </c>
      <c r="U1496" s="0" t="n">
        <v>2746</v>
      </c>
      <c r="V1496" s="0" t="n">
        <v>8</v>
      </c>
      <c r="W1496" s="0" t="str">
        <f aca="false">IF(OR(AND(B1496&gt;=1,B1496&lt;=6),B1496=10),"Vaca em lactação",IF(I1496="Male","Macho",IF(E1496&gt;=1,"Vaca seca",IF(I1496="Youngstock","Bezerra/recria","Novilha"))))</f>
        <v>Vaca em lactação</v>
      </c>
      <c r="X1496" s="0" t="str">
        <f aca="false">IF(AND(B1496&gt;=1,B1496&lt;=6),"Tanque",IF(B1496=10,"Descarte",""))</f>
        <v>Tanque</v>
      </c>
    </row>
    <row r="1497" customFormat="false" ht="15" hidden="false" customHeight="false" outlineLevel="0" collapsed="false">
      <c r="A1497" s="22" t="n">
        <v>46309</v>
      </c>
      <c r="B1497" s="0" t="n">
        <v>6</v>
      </c>
      <c r="C1497" s="0" t="n">
        <v>2875</v>
      </c>
      <c r="D1497" s="0" t="n">
        <v>496</v>
      </c>
      <c r="E1497" s="0" t="n">
        <v>4</v>
      </c>
      <c r="F1497" s="23" t="s">
        <v>934</v>
      </c>
      <c r="G1497" s="0" t="n">
        <v>16</v>
      </c>
      <c r="H1497" s="0" t="n">
        <v>11</v>
      </c>
      <c r="I1497" s="23" t="s">
        <v>92</v>
      </c>
      <c r="J1497" s="0" t="n">
        <v>351</v>
      </c>
      <c r="K1497" s="0" t="n">
        <v>62</v>
      </c>
      <c r="L1497" s="0" t="n">
        <v>145</v>
      </c>
      <c r="M1497" s="0" t="n">
        <v>577.81</v>
      </c>
      <c r="N1497" s="0" t="n">
        <v>41.3</v>
      </c>
      <c r="O1497" s="0" t="n">
        <v>15.02</v>
      </c>
      <c r="P1497" s="0" t="n">
        <v>4.91</v>
      </c>
      <c r="Q1497" s="0" t="n">
        <v>3.99</v>
      </c>
      <c r="R1497" s="0" t="n">
        <v>6603</v>
      </c>
      <c r="S1497" s="0" t="n">
        <v>12720</v>
      </c>
      <c r="T1497" s="0" t="n">
        <v>71.95</v>
      </c>
      <c r="U1497" s="0" t="n">
        <v>2379</v>
      </c>
      <c r="V1497" s="0" t="n">
        <v>7</v>
      </c>
      <c r="W1497" s="0" t="str">
        <f aca="false">IF(OR(AND(B1497&gt;=1,B1497&lt;=6),B1497=10),"Vaca em lactação",IF(I1497="Male","Macho",IF(E1497&gt;=1,"Vaca seca",IF(I1497="Youngstock","Bezerra/recria","Novilha"))))</f>
        <v>Vaca em lactação</v>
      </c>
      <c r="X1497" s="0" t="str">
        <f aca="false">IF(AND(B1497&gt;=1,B1497&lt;=6),"Tanque",IF(B1497=10,"Descarte",""))</f>
        <v>Tanque</v>
      </c>
    </row>
    <row r="1498" customFormat="false" ht="15" hidden="false" customHeight="false" outlineLevel="0" collapsed="false">
      <c r="A1498" s="22" t="n">
        <v>46309</v>
      </c>
      <c r="B1498" s="0" t="n">
        <v>6</v>
      </c>
      <c r="C1498" s="0" t="n">
        <v>2887</v>
      </c>
      <c r="D1498" s="0" t="n">
        <v>225</v>
      </c>
      <c r="E1498" s="0" t="n">
        <v>5</v>
      </c>
      <c r="F1498" s="23" t="s">
        <v>935</v>
      </c>
      <c r="G1498" s="0" t="n">
        <v>30.1</v>
      </c>
      <c r="H1498" s="0" t="n">
        <v>27</v>
      </c>
      <c r="I1498" s="23" t="s">
        <v>92</v>
      </c>
      <c r="J1498" s="0" t="n">
        <v>127</v>
      </c>
      <c r="K1498" s="0" t="n">
        <v>64</v>
      </c>
      <c r="L1498" s="0" t="n">
        <v>98</v>
      </c>
      <c r="M1498" s="0" t="n">
        <v>354.32</v>
      </c>
      <c r="N1498" s="0" t="n">
        <v>12.41</v>
      </c>
      <c r="O1498" s="0" t="n">
        <v>12.9</v>
      </c>
      <c r="P1498" s="0" t="n">
        <v>3.35</v>
      </c>
      <c r="Q1498" s="0" t="n">
        <v>3.47</v>
      </c>
      <c r="R1498" s="0" t="n">
        <v>3435</v>
      </c>
      <c r="S1498" s="0" t="n">
        <v>8415</v>
      </c>
      <c r="T1498" s="0" t="n">
        <v>38.1</v>
      </c>
      <c r="U1498" s="0" t="n">
        <v>2370</v>
      </c>
      <c r="V1498" s="0" t="n">
        <v>3</v>
      </c>
      <c r="W1498" s="0" t="str">
        <f aca="false">IF(OR(AND(B1498&gt;=1,B1498&lt;=6),B1498=10),"Vaca em lactação",IF(I1498="Male","Macho",IF(E1498&gt;=1,"Vaca seca",IF(I1498="Youngstock","Bezerra/recria","Novilha"))))</f>
        <v>Vaca em lactação</v>
      </c>
      <c r="X1498" s="0" t="str">
        <f aca="false">IF(AND(B1498&gt;=1,B1498&lt;=6),"Tanque",IF(B1498=10,"Descarte",""))</f>
        <v>Tanque</v>
      </c>
    </row>
    <row r="1499" customFormat="false" ht="15" hidden="false" customHeight="false" outlineLevel="0" collapsed="false">
      <c r="A1499" s="22" t="n">
        <v>46309</v>
      </c>
      <c r="B1499" s="0" t="n">
        <v>6</v>
      </c>
      <c r="C1499" s="0" t="n">
        <v>2822</v>
      </c>
      <c r="D1499" s="0" t="n">
        <v>388</v>
      </c>
      <c r="E1499" s="0" t="n">
        <v>4</v>
      </c>
      <c r="F1499" s="23" t="s">
        <v>936</v>
      </c>
      <c r="G1499" s="0" t="n">
        <v>28.5</v>
      </c>
      <c r="H1499" s="0" t="n">
        <v>23</v>
      </c>
      <c r="I1499" s="23" t="s">
        <v>92</v>
      </c>
      <c r="J1499" s="0" t="n">
        <v>213</v>
      </c>
      <c r="K1499" s="0" t="n">
        <v>66</v>
      </c>
      <c r="L1499" s="0" t="n">
        <v>175</v>
      </c>
      <c r="M1499" s="0" t="n">
        <v>-261</v>
      </c>
      <c r="N1499" s="0" t="n">
        <v>9.92</v>
      </c>
      <c r="O1499" s="0" t="n">
        <v>2.69</v>
      </c>
      <c r="P1499" s="0" t="n">
        <v>4.53</v>
      </c>
      <c r="Q1499" s="0" t="n">
        <v>3.41</v>
      </c>
      <c r="R1499" s="0" t="n">
        <v>5789</v>
      </c>
      <c r="S1499" s="0" t="n">
        <v>11064</v>
      </c>
      <c r="T1499" s="0" t="n">
        <v>59.85</v>
      </c>
      <c r="U1499" s="0" t="n">
        <v>2413</v>
      </c>
      <c r="V1499" s="0" t="n">
        <v>5</v>
      </c>
      <c r="W1499" s="0" t="str">
        <f aca="false">IF(OR(AND(B1499&gt;=1,B1499&lt;=6),B1499=10),"Vaca em lactação",IF(I1499="Male","Macho",IF(E1499&gt;=1,"Vaca seca",IF(I1499="Youngstock","Bezerra/recria","Novilha"))))</f>
        <v>Vaca em lactação</v>
      </c>
      <c r="X1499" s="0" t="str">
        <f aca="false">IF(AND(B1499&gt;=1,B1499&lt;=6),"Tanque",IF(B1499=10,"Descarte",""))</f>
        <v>Tanque</v>
      </c>
    </row>
    <row r="1500" customFormat="false" ht="15" hidden="false" customHeight="false" outlineLevel="0" collapsed="false">
      <c r="A1500" s="22" t="n">
        <v>46309</v>
      </c>
      <c r="B1500" s="0" t="n">
        <v>6</v>
      </c>
      <c r="C1500" s="0" t="n">
        <v>2904</v>
      </c>
      <c r="D1500" s="0" t="n">
        <v>203</v>
      </c>
      <c r="E1500" s="0" t="n">
        <v>4</v>
      </c>
      <c r="F1500" s="23" t="s">
        <v>937</v>
      </c>
      <c r="G1500" s="0" t="n">
        <v>17.9</v>
      </c>
      <c r="H1500" s="0" t="n">
        <v>18</v>
      </c>
      <c r="I1500" s="23" t="s">
        <v>109</v>
      </c>
      <c r="J1500" s="0" t="n">
        <v>203</v>
      </c>
      <c r="K1500" s="0" t="n">
        <v>92</v>
      </c>
      <c r="M1500" s="0" t="n">
        <v>379.48</v>
      </c>
      <c r="N1500" s="0" t="n">
        <v>12.53</v>
      </c>
      <c r="O1500" s="0" t="n">
        <v>20.18</v>
      </c>
      <c r="P1500" s="0" t="n">
        <v>3.82</v>
      </c>
      <c r="Q1500" s="0" t="n">
        <v>3.55</v>
      </c>
      <c r="R1500" s="0" t="n">
        <v>4110</v>
      </c>
      <c r="S1500" s="0" t="n">
        <v>7322</v>
      </c>
      <c r="T1500" s="0" t="n">
        <v>47.4</v>
      </c>
      <c r="U1500" s="0" t="n">
        <v>2361</v>
      </c>
      <c r="V1500" s="0" t="n">
        <v>3</v>
      </c>
      <c r="W1500" s="0" t="str">
        <f aca="false">IF(OR(AND(B1500&gt;=1,B1500&lt;=6),B1500=10),"Vaca em lactação",IF(I1500="Male","Macho",IF(E1500&gt;=1,"Vaca seca",IF(I1500="Youngstock","Bezerra/recria","Novilha"))))</f>
        <v>Vaca em lactação</v>
      </c>
      <c r="X1500" s="0" t="str">
        <f aca="false">IF(AND(B1500&gt;=1,B1500&lt;=6),"Tanque",IF(B1500=10,"Descarte",""))</f>
        <v>Tanque</v>
      </c>
    </row>
    <row r="1501" customFormat="false" ht="15" hidden="false" customHeight="false" outlineLevel="0" collapsed="false">
      <c r="A1501" s="22" t="n">
        <v>46309</v>
      </c>
      <c r="B1501" s="0" t="n">
        <v>6</v>
      </c>
      <c r="C1501" s="0" t="n">
        <v>2791</v>
      </c>
      <c r="D1501" s="0" t="n">
        <v>178</v>
      </c>
      <c r="E1501" s="0" t="n">
        <v>4</v>
      </c>
      <c r="F1501" s="23" t="s">
        <v>938</v>
      </c>
      <c r="G1501" s="0" t="n">
        <v>30.3</v>
      </c>
      <c r="H1501" s="0" t="n">
        <v>33</v>
      </c>
      <c r="I1501" s="23" t="s">
        <v>97</v>
      </c>
      <c r="J1501" s="0" t="n">
        <v>178</v>
      </c>
      <c r="K1501" s="0" t="n">
        <v>74</v>
      </c>
      <c r="M1501" s="0" t="n">
        <v>500.24</v>
      </c>
      <c r="N1501" s="0" t="n">
        <v>29.95</v>
      </c>
      <c r="O1501" s="0" t="n">
        <v>19.82</v>
      </c>
      <c r="P1501" s="0" t="n">
        <v>3.57</v>
      </c>
      <c r="Q1501" s="0" t="n">
        <v>2.86</v>
      </c>
      <c r="R1501" s="0" t="n">
        <v>5581</v>
      </c>
      <c r="S1501" s="0" t="n">
        <v>11695</v>
      </c>
      <c r="T1501" s="0" t="n">
        <v>61.55</v>
      </c>
      <c r="U1501" s="0" t="n">
        <v>2443</v>
      </c>
      <c r="V1501" s="0" t="n">
        <v>3</v>
      </c>
      <c r="W1501" s="0" t="str">
        <f aca="false">IF(OR(AND(B1501&gt;=1,B1501&lt;=6),B1501=10),"Vaca em lactação",IF(I1501="Male","Macho",IF(E1501&gt;=1,"Vaca seca",IF(I1501="Youngstock","Bezerra/recria","Novilha"))))</f>
        <v>Vaca em lactação</v>
      </c>
      <c r="X1501" s="0" t="str">
        <f aca="false">IF(AND(B1501&gt;=1,B1501&lt;=6),"Tanque",IF(B1501=10,"Descarte",""))</f>
        <v>Tanque</v>
      </c>
    </row>
    <row r="1502" customFormat="false" ht="15" hidden="false" customHeight="false" outlineLevel="0" collapsed="false">
      <c r="A1502" s="22" t="n">
        <v>46309</v>
      </c>
      <c r="B1502" s="0" t="n">
        <v>6</v>
      </c>
      <c r="C1502" s="0" t="n">
        <v>2802</v>
      </c>
      <c r="D1502" s="0" t="n">
        <v>338</v>
      </c>
      <c r="E1502" s="0" t="n">
        <v>3</v>
      </c>
      <c r="F1502" s="23" t="s">
        <v>939</v>
      </c>
      <c r="G1502" s="0" t="n">
        <v>17.1</v>
      </c>
      <c r="H1502" s="0" t="n">
        <v>27</v>
      </c>
      <c r="I1502" s="23" t="s">
        <v>97</v>
      </c>
      <c r="J1502" s="0" t="n">
        <v>338</v>
      </c>
      <c r="K1502" s="0" t="n">
        <v>65</v>
      </c>
      <c r="M1502" s="0" t="n">
        <v>519.35</v>
      </c>
      <c r="N1502" s="0" t="n">
        <v>13.05</v>
      </c>
      <c r="O1502" s="0" t="n">
        <v>14.72</v>
      </c>
      <c r="P1502" s="0" t="n">
        <v>3.73</v>
      </c>
      <c r="Q1502" s="0" t="n">
        <v>3.33</v>
      </c>
      <c r="R1502" s="0" t="n">
        <v>5502</v>
      </c>
      <c r="S1502" s="0" t="n">
        <v>10906</v>
      </c>
      <c r="T1502" s="0" t="n">
        <v>62.85</v>
      </c>
      <c r="U1502" s="0" t="n">
        <v>2428</v>
      </c>
      <c r="V1502" s="0" t="n">
        <v>6</v>
      </c>
      <c r="W1502" s="0" t="str">
        <f aca="false">IF(OR(AND(B1502&gt;=1,B1502&lt;=6),B1502=10),"Vaca em lactação",IF(I1502="Male","Macho",IF(E1502&gt;=1,"Vaca seca",IF(I1502="Youngstock","Bezerra/recria","Novilha"))))</f>
        <v>Vaca em lactação</v>
      </c>
      <c r="X1502" s="0" t="str">
        <f aca="false">IF(AND(B1502&gt;=1,B1502&lt;=6),"Tanque",IF(B1502=10,"Descarte",""))</f>
        <v>Tanque</v>
      </c>
    </row>
    <row r="1503" customFormat="false" ht="15" hidden="false" customHeight="false" outlineLevel="0" collapsed="false">
      <c r="A1503" s="22" t="n">
        <v>46309</v>
      </c>
      <c r="B1503" s="0" t="n">
        <v>6</v>
      </c>
      <c r="C1503" s="0" t="n">
        <v>2800</v>
      </c>
      <c r="D1503" s="0" t="n">
        <v>565</v>
      </c>
      <c r="E1503" s="0" t="n">
        <v>4</v>
      </c>
      <c r="F1503" s="23" t="s">
        <v>940</v>
      </c>
      <c r="G1503" s="0" t="n">
        <v>25.3</v>
      </c>
      <c r="H1503" s="0" t="n">
        <v>24</v>
      </c>
      <c r="I1503" s="23" t="s">
        <v>92</v>
      </c>
      <c r="J1503" s="0" t="n">
        <v>467</v>
      </c>
      <c r="K1503" s="0" t="n">
        <v>62</v>
      </c>
      <c r="L1503" s="0" t="n">
        <v>98</v>
      </c>
      <c r="M1503" s="0" t="n">
        <v>585.17</v>
      </c>
      <c r="N1503" s="0" t="n">
        <v>13.9</v>
      </c>
      <c r="O1503" s="0" t="n">
        <v>12.32</v>
      </c>
      <c r="P1503" s="0" t="n">
        <v>4.54</v>
      </c>
      <c r="Q1503" s="0" t="n">
        <v>3.57</v>
      </c>
      <c r="R1503" s="0" t="n">
        <v>6828</v>
      </c>
      <c r="S1503" s="0" t="n">
        <v>13188</v>
      </c>
      <c r="T1503" s="0" t="n">
        <v>75.45</v>
      </c>
      <c r="U1503" s="0" t="n">
        <v>2430</v>
      </c>
      <c r="V1503" s="0" t="n">
        <v>10</v>
      </c>
      <c r="W1503" s="0" t="str">
        <f aca="false">IF(OR(AND(B1503&gt;=1,B1503&lt;=6),B1503=10),"Vaca em lactação",IF(I1503="Male","Macho",IF(E1503&gt;=1,"Vaca seca",IF(I1503="Youngstock","Bezerra/recria","Novilha"))))</f>
        <v>Vaca em lactação</v>
      </c>
      <c r="X1503" s="0" t="str">
        <f aca="false">IF(AND(B1503&gt;=1,B1503&lt;=6),"Tanque",IF(B1503=10,"Descarte",""))</f>
        <v>Tanque</v>
      </c>
    </row>
    <row r="1504" customFormat="false" ht="15" hidden="false" customHeight="false" outlineLevel="0" collapsed="false">
      <c r="A1504" s="22" t="n">
        <v>46309</v>
      </c>
      <c r="B1504" s="0" t="n">
        <v>6</v>
      </c>
      <c r="C1504" s="0" t="n">
        <v>2765</v>
      </c>
      <c r="D1504" s="0" t="n">
        <v>666</v>
      </c>
      <c r="E1504" s="0" t="n">
        <v>4</v>
      </c>
      <c r="F1504" s="23" t="s">
        <v>941</v>
      </c>
      <c r="G1504" s="0" t="n">
        <v>21.6</v>
      </c>
      <c r="H1504" s="0" t="n">
        <v>22</v>
      </c>
      <c r="I1504" s="23" t="s">
        <v>506</v>
      </c>
      <c r="J1504" s="0" t="n">
        <v>666</v>
      </c>
      <c r="K1504" s="0" t="n">
        <v>72</v>
      </c>
      <c r="M1504" s="0" t="n">
        <v>312.45</v>
      </c>
      <c r="N1504" s="0" t="n">
        <v>19.07</v>
      </c>
      <c r="O1504" s="0" t="n">
        <v>23.03</v>
      </c>
      <c r="P1504" s="0" t="n">
        <v>4.66</v>
      </c>
      <c r="Q1504" s="0" t="n">
        <v>3.69</v>
      </c>
      <c r="R1504" s="0" t="n">
        <v>6070</v>
      </c>
      <c r="S1504" s="0" t="n">
        <v>12080</v>
      </c>
      <c r="T1504" s="0" t="n">
        <v>56</v>
      </c>
      <c r="U1504" s="0" t="n">
        <v>2463</v>
      </c>
      <c r="V1504" s="0" t="n">
        <v>10</v>
      </c>
      <c r="W1504" s="0" t="str">
        <f aca="false">IF(OR(AND(B1504&gt;=1,B1504&lt;=6),B1504=10),"Vaca em lactação",IF(I1504="Male","Macho",IF(E1504&gt;=1,"Vaca seca",IF(I1504="Youngstock","Bezerra/recria","Novilha"))))</f>
        <v>Vaca em lactação</v>
      </c>
      <c r="X1504" s="0" t="str">
        <f aca="false">IF(AND(B1504&gt;=1,B1504&lt;=6),"Tanque",IF(B1504=10,"Descarte",""))</f>
        <v>Tanque</v>
      </c>
    </row>
    <row r="1505" customFormat="false" ht="15" hidden="false" customHeight="false" outlineLevel="0" collapsed="false">
      <c r="A1505" s="22" t="n">
        <v>46309</v>
      </c>
      <c r="B1505" s="0" t="n">
        <v>6</v>
      </c>
      <c r="C1505" s="0" t="n">
        <v>5371</v>
      </c>
      <c r="D1505" s="0" t="n">
        <v>147</v>
      </c>
      <c r="E1505" s="0" t="n">
        <v>1</v>
      </c>
      <c r="F1505" s="23" t="s">
        <v>555</v>
      </c>
      <c r="G1505" s="0" t="n">
        <v>22.7</v>
      </c>
      <c r="H1505" s="0" t="n">
        <v>26</v>
      </c>
      <c r="I1505" s="23" t="s">
        <v>97</v>
      </c>
      <c r="J1505" s="0" t="n">
        <v>147</v>
      </c>
      <c r="K1505" s="0" t="n">
        <v>63</v>
      </c>
      <c r="M1505" s="0" t="n">
        <v>308.77</v>
      </c>
      <c r="N1505" s="0" t="n">
        <v>42.36</v>
      </c>
      <c r="O1505" s="0" t="n">
        <v>19.31</v>
      </c>
      <c r="P1505" s="0" t="n">
        <v>4.25</v>
      </c>
      <c r="Q1505" s="0" t="n">
        <v>3.42</v>
      </c>
      <c r="R1505" s="0" t="n">
        <v>2323</v>
      </c>
      <c r="S1505" s="0" t="n">
        <v>4854</v>
      </c>
      <c r="T1505" s="0" t="n">
        <v>26.45</v>
      </c>
      <c r="U1505" s="0" t="n">
        <v>953</v>
      </c>
      <c r="V1505" s="0" t="n">
        <v>4</v>
      </c>
      <c r="W1505" s="0" t="str">
        <f aca="false">IF(OR(AND(B1505&gt;=1,B1505&lt;=6),B1505=10),"Vaca em lactação",IF(I1505="Male","Macho",IF(E1505&gt;=1,"Vaca seca",IF(I1505="Youngstock","Bezerra/recria","Novilha"))))</f>
        <v>Vaca em lactação</v>
      </c>
      <c r="X1505" s="0" t="str">
        <f aca="false">IF(AND(B1505&gt;=1,B1505&lt;=6),"Tanque",IF(B1505=10,"Descarte",""))</f>
        <v>Tanque</v>
      </c>
    </row>
    <row r="1506" customFormat="false" ht="15" hidden="false" customHeight="false" outlineLevel="0" collapsed="false">
      <c r="A1506" s="22" t="n">
        <v>46309</v>
      </c>
      <c r="B1506" s="0" t="n">
        <v>6</v>
      </c>
      <c r="C1506" s="0" t="n">
        <v>5285</v>
      </c>
      <c r="D1506" s="0" t="n">
        <v>374</v>
      </c>
      <c r="E1506" s="0" t="n">
        <v>1</v>
      </c>
      <c r="F1506" s="23" t="s">
        <v>575</v>
      </c>
      <c r="G1506" s="0" t="n">
        <v>22.1</v>
      </c>
      <c r="H1506" s="0" t="n">
        <v>18</v>
      </c>
      <c r="I1506" s="23" t="s">
        <v>92</v>
      </c>
      <c r="J1506" s="0" t="n">
        <v>164</v>
      </c>
      <c r="K1506" s="0" t="n">
        <v>66</v>
      </c>
      <c r="L1506" s="0" t="n">
        <v>210</v>
      </c>
      <c r="M1506" s="0" t="n">
        <v>927.62</v>
      </c>
      <c r="N1506" s="0" t="n">
        <v>52.43</v>
      </c>
      <c r="O1506" s="0" t="n">
        <v>33.93</v>
      </c>
      <c r="P1506" s="0" t="n">
        <v>3.19</v>
      </c>
      <c r="Q1506" s="0" t="n">
        <v>4.03</v>
      </c>
      <c r="R1506" s="0" t="n">
        <v>3545</v>
      </c>
      <c r="S1506" s="0" t="n">
        <v>8144</v>
      </c>
      <c r="T1506" s="0" t="n">
        <v>38.6</v>
      </c>
      <c r="U1506" s="0" t="n">
        <v>983</v>
      </c>
      <c r="V1506" s="0" t="n">
        <v>4</v>
      </c>
      <c r="W1506" s="0" t="str">
        <f aca="false">IF(OR(AND(B1506&gt;=1,B1506&lt;=6),B1506=10),"Vaca em lactação",IF(I1506="Male","Macho",IF(E1506&gt;=1,"Vaca seca",IF(I1506="Youngstock","Bezerra/recria","Novilha"))))</f>
        <v>Vaca em lactação</v>
      </c>
      <c r="X1506" s="0" t="str">
        <f aca="false">IF(AND(B1506&gt;=1,B1506&lt;=6),"Tanque",IF(B1506=10,"Descarte",""))</f>
        <v>Tanque</v>
      </c>
    </row>
    <row r="1507" customFormat="false" ht="15" hidden="false" customHeight="false" outlineLevel="0" collapsed="false">
      <c r="A1507" s="22" t="n">
        <v>46309</v>
      </c>
      <c r="B1507" s="0" t="n">
        <v>6</v>
      </c>
      <c r="C1507" s="0" t="n">
        <v>5361</v>
      </c>
      <c r="D1507" s="0" t="n">
        <v>370</v>
      </c>
      <c r="E1507" s="0" t="n">
        <v>1</v>
      </c>
      <c r="F1507" s="23" t="s">
        <v>583</v>
      </c>
      <c r="G1507" s="0" t="n">
        <v>32</v>
      </c>
      <c r="H1507" s="0" t="n">
        <v>29</v>
      </c>
      <c r="I1507" s="23" t="s">
        <v>506</v>
      </c>
      <c r="J1507" s="0" t="n">
        <v>370</v>
      </c>
      <c r="K1507" s="0" t="n">
        <v>70</v>
      </c>
      <c r="M1507" s="0" t="n">
        <v>1572.99</v>
      </c>
      <c r="N1507" s="0" t="n">
        <v>27.39</v>
      </c>
      <c r="O1507" s="0" t="n">
        <v>51.99</v>
      </c>
      <c r="P1507" s="0" t="n">
        <v>5.07</v>
      </c>
      <c r="Q1507" s="0" t="n">
        <v>3.77</v>
      </c>
      <c r="R1507" s="0" t="n">
        <v>2626</v>
      </c>
      <c r="S1507" s="0" t="n">
        <v>6100</v>
      </c>
      <c r="T1507" s="0" t="n">
        <v>30</v>
      </c>
      <c r="U1507" s="0" t="n">
        <v>959</v>
      </c>
      <c r="V1507" s="0" t="n">
        <v>6</v>
      </c>
      <c r="W1507" s="0" t="str">
        <f aca="false">IF(OR(AND(B1507&gt;=1,B1507&lt;=6),B1507=10),"Vaca em lactação",IF(I1507="Male","Macho",IF(E1507&gt;=1,"Vaca seca",IF(I1507="Youngstock","Bezerra/recria","Novilha"))))</f>
        <v>Vaca em lactação</v>
      </c>
      <c r="X1507" s="0" t="str">
        <f aca="false">IF(AND(B1507&gt;=1,B1507&lt;=6),"Tanque",IF(B1507=10,"Descarte",""))</f>
        <v>Tanque</v>
      </c>
    </row>
    <row r="1508" customFormat="false" ht="15" hidden="false" customHeight="false" outlineLevel="0" collapsed="false">
      <c r="A1508" s="22" t="n">
        <v>46309</v>
      </c>
      <c r="B1508" s="0" t="n">
        <v>6</v>
      </c>
      <c r="C1508" s="0" t="n">
        <v>5340</v>
      </c>
      <c r="D1508" s="0" t="n">
        <v>331</v>
      </c>
      <c r="E1508" s="0" t="n">
        <v>1</v>
      </c>
      <c r="F1508" s="23" t="s">
        <v>942</v>
      </c>
      <c r="H1508" s="0" t="n">
        <v>27</v>
      </c>
      <c r="I1508" s="23" t="s">
        <v>92</v>
      </c>
      <c r="J1508" s="0" t="n">
        <v>104</v>
      </c>
      <c r="K1508" s="0" t="n">
        <v>65</v>
      </c>
      <c r="L1508" s="0" t="n">
        <v>227</v>
      </c>
      <c r="M1508" s="0" t="n">
        <v>491.21</v>
      </c>
      <c r="N1508" s="0" t="n">
        <v>39.87</v>
      </c>
      <c r="O1508" s="0" t="n">
        <v>24.07</v>
      </c>
      <c r="P1508" s="0" t="n">
        <v>4.5</v>
      </c>
      <c r="Q1508" s="0" t="n">
        <v>3.55</v>
      </c>
      <c r="R1508" s="0" t="n">
        <v>4117</v>
      </c>
      <c r="S1508" s="0" t="n">
        <v>8840</v>
      </c>
      <c r="T1508" s="0" t="n">
        <v>46.95</v>
      </c>
      <c r="U1508" s="0" t="n">
        <v>966</v>
      </c>
      <c r="V1508" s="0" t="n">
        <v>3</v>
      </c>
      <c r="W1508" s="0" t="str">
        <f aca="false">IF(OR(AND(B1508&gt;=1,B1508&lt;=6),B1508=10),"Vaca em lactação",IF(I1508="Male","Macho",IF(E1508&gt;=1,"Vaca seca",IF(I1508="Youngstock","Bezerra/recria","Novilha"))))</f>
        <v>Vaca em lactação</v>
      </c>
      <c r="X1508" s="0" t="str">
        <f aca="false">IF(AND(B1508&gt;=1,B1508&lt;=6),"Tanque",IF(B1508=10,"Descarte",""))</f>
        <v>Tanque</v>
      </c>
    </row>
    <row r="1509" customFormat="false" ht="15" hidden="false" customHeight="false" outlineLevel="0" collapsed="false">
      <c r="A1509" s="22" t="n">
        <v>46309</v>
      </c>
      <c r="B1509" s="0" t="n">
        <v>6</v>
      </c>
      <c r="C1509" s="0" t="n">
        <v>5444</v>
      </c>
      <c r="D1509" s="0" t="n">
        <v>264</v>
      </c>
      <c r="E1509" s="0" t="n">
        <v>1</v>
      </c>
      <c r="F1509" s="23" t="s">
        <v>589</v>
      </c>
      <c r="G1509" s="0" t="n">
        <v>28.2</v>
      </c>
      <c r="H1509" s="0" t="n">
        <v>23</v>
      </c>
      <c r="I1509" s="23" t="s">
        <v>92</v>
      </c>
      <c r="J1509" s="0" t="n">
        <v>90</v>
      </c>
      <c r="K1509" s="0" t="n">
        <v>68</v>
      </c>
      <c r="L1509" s="0" t="n">
        <v>174</v>
      </c>
      <c r="M1509" s="0" t="n">
        <v>342.13</v>
      </c>
      <c r="N1509" s="0" t="n">
        <v>78.07</v>
      </c>
      <c r="O1509" s="0" t="n">
        <v>44.52</v>
      </c>
      <c r="P1509" s="0" t="n">
        <v>4.58</v>
      </c>
      <c r="Q1509" s="0" t="n">
        <v>4.07</v>
      </c>
      <c r="R1509" s="0" t="n">
        <v>3409</v>
      </c>
      <c r="S1509" s="0" t="n">
        <v>7326</v>
      </c>
      <c r="T1509" s="0" t="n">
        <v>34.55</v>
      </c>
      <c r="U1509" s="0" t="n">
        <v>925</v>
      </c>
      <c r="V1509" s="0" t="n">
        <v>2</v>
      </c>
      <c r="W1509" s="0" t="str">
        <f aca="false">IF(OR(AND(B1509&gt;=1,B1509&lt;=6),B1509=10),"Vaca em lactação",IF(I1509="Male","Macho",IF(E1509&gt;=1,"Vaca seca",IF(I1509="Youngstock","Bezerra/recria","Novilha"))))</f>
        <v>Vaca em lactação</v>
      </c>
      <c r="X1509" s="0" t="str">
        <f aca="false">IF(AND(B1509&gt;=1,B1509&lt;=6),"Tanque",IF(B1509=10,"Descarte",""))</f>
        <v>Tanque</v>
      </c>
    </row>
    <row r="1510" customFormat="false" ht="15" hidden="false" customHeight="false" outlineLevel="0" collapsed="false">
      <c r="A1510" s="22" t="n">
        <v>46309</v>
      </c>
      <c r="B1510" s="0" t="n">
        <v>6</v>
      </c>
      <c r="C1510" s="0" t="n">
        <v>5068</v>
      </c>
      <c r="D1510" s="0" t="n">
        <v>351</v>
      </c>
      <c r="E1510" s="0" t="n">
        <v>1</v>
      </c>
      <c r="F1510" s="23" t="s">
        <v>943</v>
      </c>
      <c r="G1510" s="0" t="n">
        <v>32.5</v>
      </c>
      <c r="H1510" s="0" t="n">
        <v>29</v>
      </c>
      <c r="I1510" s="23" t="s">
        <v>97</v>
      </c>
      <c r="J1510" s="0" t="n">
        <v>351</v>
      </c>
      <c r="K1510" s="0" t="n">
        <v>65</v>
      </c>
      <c r="M1510" s="0" t="n">
        <v>1564.59</v>
      </c>
      <c r="N1510" s="0" t="n">
        <v>55.22</v>
      </c>
      <c r="O1510" s="0" t="n">
        <v>44.59</v>
      </c>
      <c r="P1510" s="0" t="n">
        <v>4.41</v>
      </c>
      <c r="Q1510" s="0" t="n">
        <v>3.66</v>
      </c>
      <c r="R1510" s="0" t="n">
        <v>4164</v>
      </c>
      <c r="S1510" s="0" t="n">
        <v>8984</v>
      </c>
      <c r="T1510" s="0" t="n">
        <v>47.4</v>
      </c>
      <c r="U1510" s="0" t="n">
        <v>1076</v>
      </c>
      <c r="V1510" s="0" t="n">
        <v>9</v>
      </c>
      <c r="W1510" s="0" t="str">
        <f aca="false">IF(OR(AND(B1510&gt;=1,B1510&lt;=6),B1510=10),"Vaca em lactação",IF(I1510="Male","Macho",IF(E1510&gt;=1,"Vaca seca",IF(I1510="Youngstock","Bezerra/recria","Novilha"))))</f>
        <v>Vaca em lactação</v>
      </c>
      <c r="X1510" s="0" t="str">
        <f aca="false">IF(AND(B1510&gt;=1,B1510&lt;=6),"Tanque",IF(B1510=10,"Descarte",""))</f>
        <v>Tanque</v>
      </c>
    </row>
    <row r="1511" customFormat="false" ht="15" hidden="false" customHeight="false" outlineLevel="0" collapsed="false">
      <c r="A1511" s="22" t="n">
        <v>46309</v>
      </c>
      <c r="B1511" s="0" t="n">
        <v>6</v>
      </c>
      <c r="C1511" s="0" t="n">
        <v>5077</v>
      </c>
      <c r="D1511" s="0" t="n">
        <v>413</v>
      </c>
      <c r="E1511" s="0" t="n">
        <v>1</v>
      </c>
      <c r="F1511" s="23" t="s">
        <v>787</v>
      </c>
      <c r="G1511" s="0" t="n">
        <v>24.7</v>
      </c>
      <c r="H1511" s="0" t="n">
        <v>24</v>
      </c>
      <c r="I1511" s="23" t="s">
        <v>92</v>
      </c>
      <c r="J1511" s="0" t="n">
        <v>343</v>
      </c>
      <c r="K1511" s="0" t="n">
        <v>63</v>
      </c>
      <c r="L1511" s="0" t="n">
        <v>70</v>
      </c>
      <c r="M1511" s="0" t="n">
        <v>1138.86</v>
      </c>
      <c r="N1511" s="0" t="n">
        <v>53.9</v>
      </c>
      <c r="O1511" s="0" t="n">
        <v>30.73</v>
      </c>
      <c r="P1511" s="0" t="n">
        <v>5.42</v>
      </c>
      <c r="Q1511" s="0" t="n">
        <v>4.2</v>
      </c>
      <c r="R1511" s="0" t="n">
        <v>3772</v>
      </c>
      <c r="S1511" s="0" t="n">
        <v>7622</v>
      </c>
      <c r="T1511" s="0" t="n">
        <v>44.45</v>
      </c>
      <c r="U1511" s="0" t="n">
        <v>1072</v>
      </c>
      <c r="V1511" s="0" t="n">
        <v>7</v>
      </c>
      <c r="W1511" s="0" t="str">
        <f aca="false">IF(OR(AND(B1511&gt;=1,B1511&lt;=6),B1511=10),"Vaca em lactação",IF(I1511="Male","Macho",IF(E1511&gt;=1,"Vaca seca",IF(I1511="Youngstock","Bezerra/recria","Novilha"))))</f>
        <v>Vaca em lactação</v>
      </c>
      <c r="X1511" s="0" t="str">
        <f aca="false">IF(AND(B1511&gt;=1,B1511&lt;=6),"Tanque",IF(B1511=10,"Descarte",""))</f>
        <v>Tanque</v>
      </c>
    </row>
    <row r="1512" customFormat="false" ht="15" hidden="false" customHeight="false" outlineLevel="0" collapsed="false">
      <c r="A1512" s="22" t="n">
        <v>46309</v>
      </c>
      <c r="B1512" s="0" t="n">
        <v>6</v>
      </c>
      <c r="C1512" s="0" t="n">
        <v>5042</v>
      </c>
      <c r="D1512" s="0" t="n">
        <v>429</v>
      </c>
      <c r="E1512" s="0" t="n">
        <v>1</v>
      </c>
      <c r="F1512" s="23" t="s">
        <v>460</v>
      </c>
      <c r="G1512" s="0" t="n">
        <v>20.4</v>
      </c>
      <c r="H1512" s="0" t="n">
        <v>19</v>
      </c>
      <c r="I1512" s="23" t="s">
        <v>97</v>
      </c>
      <c r="J1512" s="0" t="n">
        <v>429</v>
      </c>
      <c r="K1512" s="0" t="n">
        <v>65</v>
      </c>
      <c r="M1512" s="0" t="n">
        <v>1683.34</v>
      </c>
      <c r="N1512" s="0" t="n">
        <v>73.81</v>
      </c>
      <c r="O1512" s="0" t="n">
        <v>66.68</v>
      </c>
      <c r="P1512" s="0" t="n">
        <v>4.94</v>
      </c>
      <c r="Q1512" s="0" t="n">
        <v>4.34</v>
      </c>
      <c r="R1512" s="0" t="n">
        <v>5709</v>
      </c>
      <c r="S1512" s="0" t="n">
        <v>10748</v>
      </c>
      <c r="T1512" s="0" t="n">
        <v>62.8</v>
      </c>
      <c r="U1512" s="0" t="n">
        <v>1091</v>
      </c>
      <c r="V1512" s="0" t="n">
        <v>12</v>
      </c>
      <c r="W1512" s="0" t="str">
        <f aca="false">IF(OR(AND(B1512&gt;=1,B1512&lt;=6),B1512=10),"Vaca em lactação",IF(I1512="Male","Macho",IF(E1512&gt;=1,"Vaca seca",IF(I1512="Youngstock","Bezerra/recria","Novilha"))))</f>
        <v>Vaca em lactação</v>
      </c>
      <c r="X1512" s="0" t="str">
        <f aca="false">IF(AND(B1512&gt;=1,B1512&lt;=6),"Tanque",IF(B1512=10,"Descarte",""))</f>
        <v>Tanque</v>
      </c>
    </row>
    <row r="1513" customFormat="false" ht="15" hidden="false" customHeight="false" outlineLevel="0" collapsed="false">
      <c r="A1513" s="22" t="n">
        <v>46309</v>
      </c>
      <c r="B1513" s="0" t="n">
        <v>6</v>
      </c>
      <c r="C1513" s="0" t="n">
        <v>5056</v>
      </c>
      <c r="D1513" s="0" t="n">
        <v>390</v>
      </c>
      <c r="E1513" s="0" t="n">
        <v>1</v>
      </c>
      <c r="F1513" s="23" t="s">
        <v>790</v>
      </c>
      <c r="G1513" s="0" t="n">
        <v>23.7</v>
      </c>
      <c r="H1513" s="0" t="n">
        <v>23</v>
      </c>
      <c r="I1513" s="23" t="s">
        <v>506</v>
      </c>
      <c r="J1513" s="0" t="n">
        <v>390</v>
      </c>
      <c r="K1513" s="0" t="n">
        <v>68</v>
      </c>
      <c r="M1513" s="0" t="n">
        <v>1319.06</v>
      </c>
      <c r="N1513" s="0" t="n">
        <v>41.35</v>
      </c>
      <c r="O1513" s="0" t="n">
        <v>49.3</v>
      </c>
      <c r="P1513" s="0" t="n">
        <v>4.07</v>
      </c>
      <c r="Q1513" s="0" t="n">
        <v>3.55</v>
      </c>
      <c r="R1513" s="0" t="n">
        <v>4526</v>
      </c>
      <c r="S1513" s="0" t="n">
        <v>10434</v>
      </c>
      <c r="T1513" s="0" t="n">
        <v>53.8</v>
      </c>
      <c r="U1513" s="0" t="n">
        <v>1082</v>
      </c>
      <c r="V1513" s="0" t="n">
        <v>3</v>
      </c>
      <c r="W1513" s="0" t="str">
        <f aca="false">IF(OR(AND(B1513&gt;=1,B1513&lt;=6),B1513=10),"Vaca em lactação",IF(I1513="Male","Macho",IF(E1513&gt;=1,"Vaca seca",IF(I1513="Youngstock","Bezerra/recria","Novilha"))))</f>
        <v>Vaca em lactação</v>
      </c>
      <c r="X1513" s="0" t="str">
        <f aca="false">IF(AND(B1513&gt;=1,B1513&lt;=6),"Tanque",IF(B1513=10,"Descarte",""))</f>
        <v>Tanque</v>
      </c>
    </row>
    <row r="1514" customFormat="false" ht="15" hidden="false" customHeight="false" outlineLevel="0" collapsed="false">
      <c r="A1514" s="22" t="n">
        <v>46309</v>
      </c>
      <c r="B1514" s="0" t="n">
        <v>6</v>
      </c>
      <c r="C1514" s="0" t="n">
        <v>5109</v>
      </c>
      <c r="D1514" s="0" t="n">
        <v>376</v>
      </c>
      <c r="E1514" s="0" t="n">
        <v>1</v>
      </c>
      <c r="F1514" s="23" t="s">
        <v>793</v>
      </c>
      <c r="G1514" s="0" t="n">
        <v>29</v>
      </c>
      <c r="H1514" s="0" t="n">
        <v>28</v>
      </c>
      <c r="I1514" s="23" t="s">
        <v>92</v>
      </c>
      <c r="J1514" s="0" t="n">
        <v>292</v>
      </c>
      <c r="K1514" s="0" t="n">
        <v>68</v>
      </c>
      <c r="L1514" s="0" t="n">
        <v>84</v>
      </c>
      <c r="M1514" s="0" t="n">
        <v>769.4</v>
      </c>
      <c r="N1514" s="0" t="n">
        <v>55.55</v>
      </c>
      <c r="O1514" s="0" t="n">
        <v>34.89</v>
      </c>
      <c r="P1514" s="0" t="n">
        <v>8.74</v>
      </c>
      <c r="Q1514" s="0" t="n">
        <v>5.67</v>
      </c>
      <c r="R1514" s="0" t="n">
        <v>4340</v>
      </c>
      <c r="S1514" s="0" t="n">
        <v>8220</v>
      </c>
      <c r="T1514" s="0" t="n">
        <v>47.05</v>
      </c>
      <c r="U1514" s="0" t="n">
        <v>1061</v>
      </c>
      <c r="V1514" s="0" t="n">
        <v>6</v>
      </c>
      <c r="W1514" s="0" t="str">
        <f aca="false">IF(OR(AND(B1514&gt;=1,B1514&lt;=6),B1514=10),"Vaca em lactação",IF(I1514="Male","Macho",IF(E1514&gt;=1,"Vaca seca",IF(I1514="Youngstock","Bezerra/recria","Novilha"))))</f>
        <v>Vaca em lactação</v>
      </c>
      <c r="X1514" s="0" t="str">
        <f aca="false">IF(AND(B1514&gt;=1,B1514&lt;=6),"Tanque",IF(B1514=10,"Descarte",""))</f>
        <v>Tanque</v>
      </c>
    </row>
    <row r="1515" customFormat="false" ht="15" hidden="false" customHeight="false" outlineLevel="0" collapsed="false">
      <c r="A1515" s="22" t="n">
        <v>46309</v>
      </c>
      <c r="B1515" s="0" t="n">
        <v>6</v>
      </c>
      <c r="C1515" s="0" t="n">
        <v>5114</v>
      </c>
      <c r="D1515" s="0" t="n">
        <v>431</v>
      </c>
      <c r="E1515" s="0" t="n">
        <v>1</v>
      </c>
      <c r="F1515" s="23" t="s">
        <v>944</v>
      </c>
      <c r="G1515" s="0" t="n">
        <v>23.9</v>
      </c>
      <c r="H1515" s="0" t="n">
        <v>20</v>
      </c>
      <c r="I1515" s="23" t="s">
        <v>92</v>
      </c>
      <c r="J1515" s="0" t="n">
        <v>375</v>
      </c>
      <c r="K1515" s="0" t="n">
        <v>60</v>
      </c>
      <c r="L1515" s="0" t="n">
        <v>56</v>
      </c>
      <c r="M1515" s="0" t="n">
        <v>781.29</v>
      </c>
      <c r="N1515" s="0" t="n">
        <v>58.53</v>
      </c>
      <c r="O1515" s="0" t="n">
        <v>35.4</v>
      </c>
      <c r="P1515" s="0" t="n">
        <v>5.69</v>
      </c>
      <c r="Q1515" s="0" t="n">
        <v>4.04</v>
      </c>
      <c r="R1515" s="0" t="n">
        <v>3829</v>
      </c>
      <c r="S1515" s="0" t="n">
        <v>6868</v>
      </c>
      <c r="T1515" s="0" t="n">
        <v>41.4</v>
      </c>
      <c r="U1515" s="0" t="n">
        <v>1059</v>
      </c>
      <c r="V1515" s="0" t="n">
        <v>10</v>
      </c>
      <c r="W1515" s="0" t="str">
        <f aca="false">IF(OR(AND(B1515&gt;=1,B1515&lt;=6),B1515=10),"Vaca em lactação",IF(I1515="Male","Macho",IF(E1515&gt;=1,"Vaca seca",IF(I1515="Youngstock","Bezerra/recria","Novilha"))))</f>
        <v>Vaca em lactação</v>
      </c>
      <c r="X1515" s="0" t="str">
        <f aca="false">IF(AND(B1515&gt;=1,B1515&lt;=6),"Tanque",IF(B1515=10,"Descarte",""))</f>
        <v>Tanque</v>
      </c>
    </row>
    <row r="1516" customFormat="false" ht="15" hidden="false" customHeight="false" outlineLevel="0" collapsed="false">
      <c r="A1516" s="22" t="n">
        <v>46309</v>
      </c>
      <c r="B1516" s="0" t="n">
        <v>6</v>
      </c>
      <c r="C1516" s="0" t="n">
        <v>5125</v>
      </c>
      <c r="D1516" s="0" t="n">
        <v>311</v>
      </c>
      <c r="E1516" s="0" t="n">
        <v>1</v>
      </c>
      <c r="F1516" s="23" t="s">
        <v>593</v>
      </c>
      <c r="G1516" s="0" t="n">
        <v>31.4</v>
      </c>
      <c r="H1516" s="0" t="n">
        <v>28</v>
      </c>
      <c r="I1516" s="23" t="s">
        <v>506</v>
      </c>
      <c r="J1516" s="0" t="n">
        <v>311</v>
      </c>
      <c r="K1516" s="0" t="n">
        <v>66</v>
      </c>
      <c r="M1516" s="0" t="n">
        <v>1270.51</v>
      </c>
      <c r="N1516" s="0" t="n">
        <v>41.97</v>
      </c>
      <c r="O1516" s="0" t="n">
        <v>27.21</v>
      </c>
      <c r="P1516" s="0" t="n">
        <v>2.81</v>
      </c>
      <c r="Q1516" s="0" t="n">
        <v>3.41</v>
      </c>
      <c r="R1516" s="0" t="n">
        <v>2822</v>
      </c>
      <c r="S1516" s="0" t="n">
        <v>6754</v>
      </c>
      <c r="T1516" s="0" t="n">
        <v>29.25</v>
      </c>
      <c r="U1516" s="0" t="n">
        <v>1055</v>
      </c>
      <c r="V1516" s="0" t="n">
        <v>2</v>
      </c>
      <c r="W1516" s="0" t="str">
        <f aca="false">IF(OR(AND(B1516&gt;=1,B1516&lt;=6),B1516=10),"Vaca em lactação",IF(I1516="Male","Macho",IF(E1516&gt;=1,"Vaca seca",IF(I1516="Youngstock","Bezerra/recria","Novilha"))))</f>
        <v>Vaca em lactação</v>
      </c>
      <c r="X1516" s="0" t="str">
        <f aca="false">IF(AND(B1516&gt;=1,B1516&lt;=6),"Tanque",IF(B1516=10,"Descarte",""))</f>
        <v>Tanque</v>
      </c>
    </row>
    <row r="1517" customFormat="false" ht="15" hidden="false" customHeight="false" outlineLevel="0" collapsed="false">
      <c r="A1517" s="22" t="n">
        <v>46309</v>
      </c>
      <c r="B1517" s="0" t="n">
        <v>6</v>
      </c>
      <c r="C1517" s="0" t="n">
        <v>5090</v>
      </c>
      <c r="D1517" s="0" t="n">
        <v>13</v>
      </c>
      <c r="E1517" s="0" t="n">
        <v>2</v>
      </c>
      <c r="F1517" s="23" t="s">
        <v>281</v>
      </c>
      <c r="G1517" s="0" t="n">
        <v>25.5</v>
      </c>
      <c r="H1517" s="0" t="n">
        <v>28</v>
      </c>
      <c r="I1517" s="23" t="s">
        <v>94</v>
      </c>
      <c r="J1517" s="0" t="n">
        <v>13</v>
      </c>
      <c r="M1517" s="0" t="n">
        <v>978.96</v>
      </c>
      <c r="N1517" s="0" t="n">
        <v>55.83</v>
      </c>
      <c r="O1517" s="0" t="n">
        <v>32.31</v>
      </c>
      <c r="R1517" s="0" t="n">
        <v>2415</v>
      </c>
      <c r="S1517" s="0" t="n">
        <v>4855</v>
      </c>
      <c r="U1517" s="0" t="n">
        <v>1068</v>
      </c>
      <c r="V1517" s="0" t="n">
        <v>0</v>
      </c>
      <c r="W1517" s="0" t="str">
        <f aca="false">IF(OR(AND(B1517&gt;=1,B1517&lt;=6),B1517=10),"Vaca em lactação",IF(I1517="Male","Macho",IF(E1517&gt;=1,"Vaca seca",IF(I1517="Youngstock","Bezerra/recria","Novilha"))))</f>
        <v>Vaca em lactação</v>
      </c>
      <c r="X1517" s="0" t="str">
        <f aca="false">IF(AND(B1517&gt;=1,B1517&lt;=6),"Tanque",IF(B1517=10,"Descarte",""))</f>
        <v>Tanque</v>
      </c>
    </row>
    <row r="1518" customFormat="false" ht="15" hidden="false" customHeight="false" outlineLevel="0" collapsed="false">
      <c r="A1518" s="22" t="n">
        <v>46309</v>
      </c>
      <c r="B1518" s="0" t="n">
        <v>6</v>
      </c>
      <c r="C1518" s="0" t="n">
        <v>4985</v>
      </c>
      <c r="D1518" s="0" t="n">
        <v>111</v>
      </c>
      <c r="E1518" s="0" t="n">
        <v>2</v>
      </c>
      <c r="F1518" s="23" t="s">
        <v>945</v>
      </c>
      <c r="G1518" s="0" t="n">
        <v>30.3</v>
      </c>
      <c r="H1518" s="0" t="n">
        <v>29</v>
      </c>
      <c r="I1518" s="23" t="s">
        <v>97</v>
      </c>
      <c r="J1518" s="0" t="n">
        <v>111</v>
      </c>
      <c r="K1518" s="0" t="n">
        <v>62</v>
      </c>
      <c r="M1518" s="0" t="n">
        <v>853.01</v>
      </c>
      <c r="N1518" s="0" t="n">
        <v>79.43</v>
      </c>
      <c r="O1518" s="0" t="n">
        <v>47.62</v>
      </c>
      <c r="P1518" s="0" t="n">
        <v>4.1</v>
      </c>
      <c r="Q1518" s="0" t="n">
        <v>4.24</v>
      </c>
      <c r="R1518" s="0" t="n">
        <v>3372</v>
      </c>
      <c r="S1518" s="0" t="n">
        <v>6653</v>
      </c>
      <c r="T1518" s="0" t="n">
        <v>33.8</v>
      </c>
      <c r="U1518" s="0" t="n">
        <v>1126</v>
      </c>
      <c r="V1518" s="0" t="n">
        <v>2</v>
      </c>
      <c r="W1518" s="0" t="str">
        <f aca="false">IF(OR(AND(B1518&gt;=1,B1518&lt;=6),B1518=10),"Vaca em lactação",IF(I1518="Male","Macho",IF(E1518&gt;=1,"Vaca seca",IF(I1518="Youngstock","Bezerra/recria","Novilha"))))</f>
        <v>Vaca em lactação</v>
      </c>
      <c r="X1518" s="0" t="str">
        <f aca="false">IF(AND(B1518&gt;=1,B1518&lt;=6),"Tanque",IF(B1518=10,"Descarte",""))</f>
        <v>Tanque</v>
      </c>
    </row>
    <row r="1519" customFormat="false" ht="15" hidden="false" customHeight="false" outlineLevel="0" collapsed="false">
      <c r="A1519" s="22" t="n">
        <v>46309</v>
      </c>
      <c r="B1519" s="0" t="n">
        <v>6</v>
      </c>
      <c r="C1519" s="0" t="n">
        <v>4988</v>
      </c>
      <c r="D1519" s="0" t="n">
        <v>196</v>
      </c>
      <c r="E1519" s="0" t="n">
        <v>2</v>
      </c>
      <c r="F1519" s="23" t="s">
        <v>465</v>
      </c>
      <c r="G1519" s="0" t="n">
        <v>23.5</v>
      </c>
      <c r="H1519" s="0" t="n">
        <v>17</v>
      </c>
      <c r="I1519" s="23" t="s">
        <v>92</v>
      </c>
      <c r="J1519" s="0" t="n">
        <v>63</v>
      </c>
      <c r="K1519" s="0" t="n">
        <v>63</v>
      </c>
      <c r="L1519" s="0" t="n">
        <v>133</v>
      </c>
      <c r="M1519" s="0" t="n">
        <v>634.62</v>
      </c>
      <c r="N1519" s="0" t="n">
        <v>63.46</v>
      </c>
      <c r="O1519" s="0" t="n">
        <v>33.79</v>
      </c>
      <c r="P1519" s="0" t="n">
        <v>4.56</v>
      </c>
      <c r="Q1519" s="0" t="n">
        <v>3.57</v>
      </c>
      <c r="R1519" s="0" t="n">
        <v>3839</v>
      </c>
      <c r="S1519" s="0" t="n">
        <v>7941</v>
      </c>
      <c r="T1519" s="0" t="n">
        <v>44.05</v>
      </c>
      <c r="U1519" s="0" t="n">
        <v>1125</v>
      </c>
      <c r="V1519" s="0" t="n">
        <v>1</v>
      </c>
      <c r="W1519" s="0" t="str">
        <f aca="false">IF(OR(AND(B1519&gt;=1,B1519&lt;=6),B1519=10),"Vaca em lactação",IF(I1519="Male","Macho",IF(E1519&gt;=1,"Vaca seca",IF(I1519="Youngstock","Bezerra/recria","Novilha"))))</f>
        <v>Vaca em lactação</v>
      </c>
      <c r="X1519" s="0" t="str">
        <f aca="false">IF(AND(B1519&gt;=1,B1519&lt;=6),"Tanque",IF(B1519=10,"Descarte",""))</f>
        <v>Tanque</v>
      </c>
    </row>
    <row r="1520" customFormat="false" ht="15" hidden="false" customHeight="false" outlineLevel="0" collapsed="false">
      <c r="A1520" s="22" t="n">
        <v>46309</v>
      </c>
      <c r="B1520" s="0" t="n">
        <v>6</v>
      </c>
      <c r="C1520" s="0" t="n">
        <v>5034</v>
      </c>
      <c r="D1520" s="0" t="n">
        <v>463</v>
      </c>
      <c r="E1520" s="0" t="n">
        <v>1</v>
      </c>
      <c r="F1520" s="23" t="s">
        <v>466</v>
      </c>
      <c r="G1520" s="0" t="n">
        <v>39.9</v>
      </c>
      <c r="H1520" s="0" t="n">
        <v>34</v>
      </c>
      <c r="I1520" s="23" t="s">
        <v>506</v>
      </c>
      <c r="J1520" s="0" t="n">
        <v>463</v>
      </c>
      <c r="K1520" s="0" t="n">
        <v>64</v>
      </c>
      <c r="M1520" s="0" t="n">
        <v>300.03</v>
      </c>
      <c r="N1520" s="0" t="n">
        <v>0.75</v>
      </c>
      <c r="O1520" s="0" t="n">
        <v>5.02</v>
      </c>
      <c r="P1520" s="0" t="n">
        <v>4.06</v>
      </c>
      <c r="Q1520" s="0" t="n">
        <v>3.53</v>
      </c>
      <c r="R1520" s="0" t="n">
        <v>3875</v>
      </c>
      <c r="S1520" s="0" t="n">
        <v>8866</v>
      </c>
      <c r="T1520" s="0" t="n">
        <v>47.35</v>
      </c>
      <c r="U1520" s="0" t="n">
        <v>1099</v>
      </c>
      <c r="V1520" s="0" t="n">
        <v>2</v>
      </c>
      <c r="W1520" s="0" t="str">
        <f aca="false">IF(OR(AND(B1520&gt;=1,B1520&lt;=6),B1520=10),"Vaca em lactação",IF(I1520="Male","Macho",IF(E1520&gt;=1,"Vaca seca",IF(I1520="Youngstock","Bezerra/recria","Novilha"))))</f>
        <v>Vaca em lactação</v>
      </c>
      <c r="X1520" s="0" t="str">
        <f aca="false">IF(AND(B1520&gt;=1,B1520&lt;=6),"Tanque",IF(B1520=10,"Descarte",""))</f>
        <v>Tanque</v>
      </c>
    </row>
    <row r="1521" customFormat="false" ht="15" hidden="false" customHeight="false" outlineLevel="0" collapsed="false">
      <c r="A1521" s="22" t="n">
        <v>46309</v>
      </c>
      <c r="B1521" s="0" t="n">
        <v>6</v>
      </c>
      <c r="C1521" s="0" t="n">
        <v>5032</v>
      </c>
      <c r="D1521" s="0" t="n">
        <v>104</v>
      </c>
      <c r="E1521" s="0" t="n">
        <v>2</v>
      </c>
      <c r="F1521" s="23" t="s">
        <v>466</v>
      </c>
      <c r="G1521" s="0" t="n">
        <v>10.6</v>
      </c>
      <c r="H1521" s="0" t="n">
        <v>23</v>
      </c>
      <c r="I1521" s="23" t="s">
        <v>109</v>
      </c>
      <c r="J1521" s="0" t="n">
        <v>104</v>
      </c>
      <c r="K1521" s="0" t="n">
        <v>69</v>
      </c>
      <c r="M1521" s="0" t="n">
        <v>1365.73</v>
      </c>
      <c r="N1521" s="0" t="n">
        <v>61.06</v>
      </c>
      <c r="O1521" s="0" t="n">
        <v>45.41</v>
      </c>
      <c r="P1521" s="0" t="n">
        <v>3.79</v>
      </c>
      <c r="Q1521" s="0" t="n">
        <v>3.76</v>
      </c>
      <c r="R1521" s="0" t="n">
        <v>3953</v>
      </c>
      <c r="S1521" s="0" t="n">
        <v>7840</v>
      </c>
      <c r="T1521" s="0" t="n">
        <v>47.05</v>
      </c>
      <c r="U1521" s="0" t="n">
        <v>1099</v>
      </c>
      <c r="V1521" s="0" t="n">
        <v>1</v>
      </c>
      <c r="W1521" s="0" t="str">
        <f aca="false">IF(OR(AND(B1521&gt;=1,B1521&lt;=6),B1521=10),"Vaca em lactação",IF(I1521="Male","Macho",IF(E1521&gt;=1,"Vaca seca",IF(I1521="Youngstock","Bezerra/recria","Novilha"))))</f>
        <v>Vaca em lactação</v>
      </c>
      <c r="X1521" s="0" t="str">
        <f aca="false">IF(AND(B1521&gt;=1,B1521&lt;=6),"Tanque",IF(B1521=10,"Descarte",""))</f>
        <v>Tanque</v>
      </c>
    </row>
    <row r="1522" customFormat="false" ht="15" hidden="false" customHeight="false" outlineLevel="0" collapsed="false">
      <c r="A1522" s="22" t="n">
        <v>46309</v>
      </c>
      <c r="B1522" s="0" t="n">
        <v>6</v>
      </c>
      <c r="C1522" s="0" t="n">
        <v>5031</v>
      </c>
      <c r="D1522" s="0" t="n">
        <v>468</v>
      </c>
      <c r="E1522" s="0" t="n">
        <v>1</v>
      </c>
      <c r="F1522" s="23" t="s">
        <v>946</v>
      </c>
      <c r="G1522" s="0" t="n">
        <v>20.1</v>
      </c>
      <c r="H1522" s="0" t="n">
        <v>16</v>
      </c>
      <c r="I1522" s="23" t="s">
        <v>97</v>
      </c>
      <c r="J1522" s="0" t="n">
        <v>468</v>
      </c>
      <c r="K1522" s="0" t="n">
        <v>62</v>
      </c>
      <c r="M1522" s="0" t="n">
        <v>1210.38</v>
      </c>
      <c r="N1522" s="0" t="n">
        <v>37.34</v>
      </c>
      <c r="O1522" s="0" t="n">
        <v>26.7</v>
      </c>
      <c r="P1522" s="0" t="n">
        <v>4.16</v>
      </c>
      <c r="Q1522" s="0" t="n">
        <v>3.77</v>
      </c>
      <c r="R1522" s="0" t="n">
        <v>3683</v>
      </c>
      <c r="S1522" s="0" t="n">
        <v>8224</v>
      </c>
      <c r="T1522" s="0" t="n">
        <v>36.45</v>
      </c>
      <c r="U1522" s="0" t="n">
        <v>1100</v>
      </c>
      <c r="V1522" s="0" t="n">
        <v>8</v>
      </c>
      <c r="W1522" s="0" t="str">
        <f aca="false">IF(OR(AND(B1522&gt;=1,B1522&lt;=6),B1522=10),"Vaca em lactação",IF(I1522="Male","Macho",IF(E1522&gt;=1,"Vaca seca",IF(I1522="Youngstock","Bezerra/recria","Novilha"))))</f>
        <v>Vaca em lactação</v>
      </c>
      <c r="X1522" s="0" t="str">
        <f aca="false">IF(AND(B1522&gt;=1,B1522&lt;=6),"Tanque",IF(B1522=10,"Descarte",""))</f>
        <v>Tanque</v>
      </c>
    </row>
    <row r="1523" customFormat="false" ht="15" hidden="false" customHeight="false" outlineLevel="0" collapsed="false">
      <c r="A1523" s="22" t="n">
        <v>46309</v>
      </c>
      <c r="B1523" s="0" t="n">
        <v>6</v>
      </c>
      <c r="C1523" s="0" t="n">
        <v>5262</v>
      </c>
      <c r="D1523" s="0" t="n">
        <v>285</v>
      </c>
      <c r="E1523" s="0" t="n">
        <v>1</v>
      </c>
      <c r="F1523" s="23" t="s">
        <v>601</v>
      </c>
      <c r="G1523" s="0" t="n">
        <v>52.2</v>
      </c>
      <c r="H1523" s="0" t="n">
        <v>48</v>
      </c>
      <c r="I1523" s="23" t="s">
        <v>92</v>
      </c>
      <c r="J1523" s="0" t="n">
        <v>89</v>
      </c>
      <c r="K1523" s="0" t="n">
        <v>89</v>
      </c>
      <c r="L1523" s="0" t="n">
        <v>196</v>
      </c>
      <c r="M1523" s="0" t="n">
        <v>633.78</v>
      </c>
      <c r="N1523" s="0" t="n">
        <v>52.92</v>
      </c>
      <c r="O1523" s="0" t="n">
        <v>29.71</v>
      </c>
      <c r="P1523" s="0" t="n">
        <v>3.92</v>
      </c>
      <c r="Q1523" s="0" t="n">
        <v>3.29</v>
      </c>
      <c r="R1523" s="0" t="n">
        <v>4548</v>
      </c>
      <c r="S1523" s="0" t="n">
        <v>9649</v>
      </c>
      <c r="T1523" s="0" t="n">
        <v>46.9</v>
      </c>
      <c r="U1523" s="0" t="n">
        <v>993</v>
      </c>
      <c r="V1523" s="0" t="n">
        <v>1</v>
      </c>
      <c r="W1523" s="0" t="str">
        <f aca="false">IF(OR(AND(B1523&gt;=1,B1523&lt;=6),B1523=10),"Vaca em lactação",IF(I1523="Male","Macho",IF(E1523&gt;=1,"Vaca seca",IF(I1523="Youngstock","Bezerra/recria","Novilha"))))</f>
        <v>Vaca em lactação</v>
      </c>
      <c r="X1523" s="0" t="str">
        <f aca="false">IF(AND(B1523&gt;=1,B1523&lt;=6),"Tanque",IF(B1523=10,"Descarte",""))</f>
        <v>Tanque</v>
      </c>
    </row>
    <row r="1524" customFormat="false" ht="15" hidden="false" customHeight="false" outlineLevel="0" collapsed="false">
      <c r="A1524" s="22" t="n">
        <v>46309</v>
      </c>
      <c r="B1524" s="0" t="n">
        <v>6</v>
      </c>
      <c r="C1524" s="0" t="n">
        <v>5274</v>
      </c>
      <c r="D1524" s="0" t="n">
        <v>354</v>
      </c>
      <c r="E1524" s="0" t="n">
        <v>1</v>
      </c>
      <c r="F1524" s="23" t="s">
        <v>602</v>
      </c>
      <c r="H1524" s="0" t="n">
        <v>18</v>
      </c>
      <c r="I1524" s="23" t="s">
        <v>97</v>
      </c>
      <c r="J1524" s="0" t="n">
        <v>354</v>
      </c>
      <c r="K1524" s="0" t="n">
        <v>68</v>
      </c>
      <c r="M1524" s="0" t="n">
        <v>1220.99</v>
      </c>
      <c r="N1524" s="0" t="n">
        <v>71.58</v>
      </c>
      <c r="O1524" s="0" t="n">
        <v>45.37</v>
      </c>
      <c r="P1524" s="0" t="n">
        <v>5.96</v>
      </c>
      <c r="Q1524" s="0" t="n">
        <v>4.35</v>
      </c>
      <c r="R1524" s="0" t="n">
        <v>3429</v>
      </c>
      <c r="S1524" s="0" t="n">
        <v>6737</v>
      </c>
      <c r="T1524" s="0" t="n">
        <v>32.65</v>
      </c>
      <c r="U1524" s="0" t="n">
        <v>987</v>
      </c>
      <c r="V1524" s="0" t="n">
        <v>7</v>
      </c>
      <c r="W1524" s="0" t="str">
        <f aca="false">IF(OR(AND(B1524&gt;=1,B1524&lt;=6),B1524=10),"Vaca em lactação",IF(I1524="Male","Macho",IF(E1524&gt;=1,"Vaca seca",IF(I1524="Youngstock","Bezerra/recria","Novilha"))))</f>
        <v>Vaca em lactação</v>
      </c>
      <c r="X1524" s="0" t="str">
        <f aca="false">IF(AND(B1524&gt;=1,B1524&lt;=6),"Tanque",IF(B1524=10,"Descarte",""))</f>
        <v>Tanque</v>
      </c>
    </row>
    <row r="1525" customFormat="false" ht="15" hidden="false" customHeight="false" outlineLevel="0" collapsed="false">
      <c r="A1525" s="22" t="n">
        <v>46309</v>
      </c>
      <c r="B1525" s="0" t="n">
        <v>6</v>
      </c>
      <c r="C1525" s="0" t="n">
        <v>5278</v>
      </c>
      <c r="D1525" s="0" t="n">
        <v>24</v>
      </c>
      <c r="E1525" s="0" t="n">
        <v>2</v>
      </c>
      <c r="F1525" s="23" t="s">
        <v>947</v>
      </c>
      <c r="G1525" s="0" t="n">
        <v>21.4</v>
      </c>
      <c r="H1525" s="0" t="n">
        <v>18</v>
      </c>
      <c r="I1525" s="23" t="s">
        <v>94</v>
      </c>
      <c r="J1525" s="0" t="n">
        <v>24</v>
      </c>
      <c r="M1525" s="0" t="n">
        <v>997.32</v>
      </c>
      <c r="N1525" s="0" t="n">
        <v>88.28</v>
      </c>
      <c r="O1525" s="0" t="n">
        <v>40.94</v>
      </c>
      <c r="R1525" s="0" t="n">
        <v>1270</v>
      </c>
      <c r="S1525" s="0" t="n">
        <v>2553</v>
      </c>
      <c r="U1525" s="0" t="n">
        <v>986</v>
      </c>
      <c r="V1525" s="0" t="n">
        <v>0</v>
      </c>
      <c r="W1525" s="0" t="str">
        <f aca="false">IF(OR(AND(B1525&gt;=1,B1525&lt;=6),B1525=10),"Vaca em lactação",IF(I1525="Male","Macho",IF(E1525&gt;=1,"Vaca seca",IF(I1525="Youngstock","Bezerra/recria","Novilha"))))</f>
        <v>Vaca em lactação</v>
      </c>
      <c r="X1525" s="0" t="str">
        <f aca="false">IF(AND(B1525&gt;=1,B1525&lt;=6),"Tanque",IF(B1525=10,"Descarte",""))</f>
        <v>Tanque</v>
      </c>
    </row>
    <row r="1526" customFormat="false" ht="15" hidden="false" customHeight="false" outlineLevel="0" collapsed="false">
      <c r="A1526" s="22" t="n">
        <v>46309</v>
      </c>
      <c r="B1526" s="0" t="n">
        <v>6</v>
      </c>
      <c r="C1526" s="0" t="n">
        <v>5251</v>
      </c>
      <c r="D1526" s="0" t="n">
        <v>371</v>
      </c>
      <c r="E1526" s="0" t="n">
        <v>1</v>
      </c>
      <c r="F1526" s="23" t="s">
        <v>606</v>
      </c>
      <c r="G1526" s="0" t="n">
        <v>14.3</v>
      </c>
      <c r="H1526" s="0" t="n">
        <v>17</v>
      </c>
      <c r="I1526" s="23" t="s">
        <v>92</v>
      </c>
      <c r="J1526" s="0" t="n">
        <v>238</v>
      </c>
      <c r="K1526" s="0" t="n">
        <v>63</v>
      </c>
      <c r="L1526" s="0" t="n">
        <v>133</v>
      </c>
      <c r="M1526" s="0" t="n">
        <v>1214.46</v>
      </c>
      <c r="N1526" s="0" t="n">
        <v>61.47</v>
      </c>
      <c r="O1526" s="0" t="n">
        <v>40.44</v>
      </c>
      <c r="P1526" s="0" t="n">
        <v>3.87</v>
      </c>
      <c r="Q1526" s="0" t="n">
        <v>3.4</v>
      </c>
      <c r="R1526" s="0" t="n">
        <v>4268</v>
      </c>
      <c r="S1526" s="0" t="n">
        <v>9537</v>
      </c>
      <c r="T1526" s="0" t="n">
        <v>44.2</v>
      </c>
      <c r="U1526" s="0" t="n">
        <v>998</v>
      </c>
      <c r="V1526" s="0" t="n">
        <v>6</v>
      </c>
      <c r="W1526" s="0" t="str">
        <f aca="false">IF(OR(AND(B1526&gt;=1,B1526&lt;=6),B1526=10),"Vaca em lactação",IF(I1526="Male","Macho",IF(E1526&gt;=1,"Vaca seca",IF(I1526="Youngstock","Bezerra/recria","Novilha"))))</f>
        <v>Vaca em lactação</v>
      </c>
      <c r="X1526" s="0" t="str">
        <f aca="false">IF(AND(B1526&gt;=1,B1526&lt;=6),"Tanque",IF(B1526=10,"Descarte",""))</f>
        <v>Tanque</v>
      </c>
    </row>
    <row r="1527" customFormat="false" ht="15" hidden="false" customHeight="false" outlineLevel="0" collapsed="false">
      <c r="A1527" s="22" t="n">
        <v>46309</v>
      </c>
      <c r="B1527" s="0" t="n">
        <v>6</v>
      </c>
      <c r="C1527" s="0" t="n">
        <v>5249</v>
      </c>
      <c r="D1527" s="0" t="n">
        <v>32</v>
      </c>
      <c r="E1527" s="0" t="n">
        <v>2</v>
      </c>
      <c r="F1527" s="23" t="s">
        <v>606</v>
      </c>
      <c r="G1527" s="0" t="n">
        <v>34.1</v>
      </c>
      <c r="H1527" s="0" t="n">
        <v>24</v>
      </c>
      <c r="I1527" s="23" t="s">
        <v>94</v>
      </c>
      <c r="J1527" s="0" t="n">
        <v>32</v>
      </c>
      <c r="M1527" s="0" t="n">
        <v>267.95</v>
      </c>
      <c r="N1527" s="0" t="n">
        <v>45.65</v>
      </c>
      <c r="O1527" s="0" t="n">
        <v>25.45</v>
      </c>
      <c r="P1527" s="0" t="n">
        <v>4.92</v>
      </c>
      <c r="Q1527" s="0" t="n">
        <v>4.58</v>
      </c>
      <c r="R1527" s="0" t="n">
        <v>2699</v>
      </c>
      <c r="S1527" s="0" t="n">
        <v>5425</v>
      </c>
      <c r="U1527" s="0" t="n">
        <v>998</v>
      </c>
      <c r="V1527" s="0" t="n">
        <v>0</v>
      </c>
      <c r="W1527" s="0" t="str">
        <f aca="false">IF(OR(AND(B1527&gt;=1,B1527&lt;=6),B1527=10),"Vaca em lactação",IF(I1527="Male","Macho",IF(E1527&gt;=1,"Vaca seca",IF(I1527="Youngstock","Bezerra/recria","Novilha"))))</f>
        <v>Vaca em lactação</v>
      </c>
      <c r="X1527" s="0" t="str">
        <f aca="false">IF(AND(B1527&gt;=1,B1527&lt;=6),"Tanque",IF(B1527=10,"Descarte",""))</f>
        <v>Tanque</v>
      </c>
    </row>
    <row r="1528" customFormat="false" ht="15" hidden="false" customHeight="false" outlineLevel="0" collapsed="false">
      <c r="A1528" s="22" t="n">
        <v>46309</v>
      </c>
      <c r="B1528" s="0" t="n">
        <v>6</v>
      </c>
      <c r="C1528" s="0" t="n">
        <v>5128</v>
      </c>
      <c r="D1528" s="0" t="n">
        <v>415</v>
      </c>
      <c r="E1528" s="0" t="n">
        <v>1</v>
      </c>
      <c r="F1528" s="23" t="s">
        <v>948</v>
      </c>
      <c r="G1528" s="0" t="n">
        <v>25.5</v>
      </c>
      <c r="H1528" s="0" t="n">
        <v>22</v>
      </c>
      <c r="I1528" s="23" t="s">
        <v>92</v>
      </c>
      <c r="J1528" s="0" t="n">
        <v>282</v>
      </c>
      <c r="K1528" s="0" t="n">
        <v>65</v>
      </c>
      <c r="L1528" s="0" t="n">
        <v>133</v>
      </c>
      <c r="M1528" s="0" t="n">
        <v>182.69</v>
      </c>
      <c r="N1528" s="0" t="n">
        <v>68.6</v>
      </c>
      <c r="O1528" s="0" t="n">
        <v>26.24</v>
      </c>
      <c r="P1528" s="0" t="n">
        <v>6.97</v>
      </c>
      <c r="Q1528" s="0" t="n">
        <v>4.94</v>
      </c>
      <c r="R1528" s="0" t="n">
        <v>3787</v>
      </c>
      <c r="S1528" s="0" t="n">
        <v>7009</v>
      </c>
      <c r="T1528" s="0" t="n">
        <v>42.8</v>
      </c>
      <c r="U1528" s="0" t="n">
        <v>1054</v>
      </c>
      <c r="V1528" s="0" t="n">
        <v>7</v>
      </c>
      <c r="W1528" s="0" t="str">
        <f aca="false">IF(OR(AND(B1528&gt;=1,B1528&lt;=6),B1528=10),"Vaca em lactação",IF(I1528="Male","Macho",IF(E1528&gt;=1,"Vaca seca",IF(I1528="Youngstock","Bezerra/recria","Novilha"))))</f>
        <v>Vaca em lactação</v>
      </c>
      <c r="X1528" s="0" t="str">
        <f aca="false">IF(AND(B1528&gt;=1,B1528&lt;=6),"Tanque",IF(B1528=10,"Descarte",""))</f>
        <v>Tanque</v>
      </c>
    </row>
    <row r="1529" customFormat="false" ht="15" hidden="false" customHeight="false" outlineLevel="0" collapsed="false">
      <c r="A1529" s="22" t="n">
        <v>46309</v>
      </c>
      <c r="B1529" s="0" t="n">
        <v>6</v>
      </c>
      <c r="C1529" s="0" t="n">
        <v>5146</v>
      </c>
      <c r="D1529" s="0" t="n">
        <v>415</v>
      </c>
      <c r="E1529" s="0" t="n">
        <v>1</v>
      </c>
      <c r="F1529" s="23" t="s">
        <v>949</v>
      </c>
      <c r="G1529" s="0" t="n">
        <v>19.9</v>
      </c>
      <c r="H1529" s="0" t="n">
        <v>20</v>
      </c>
      <c r="I1529" s="23" t="s">
        <v>109</v>
      </c>
      <c r="J1529" s="0" t="n">
        <v>415</v>
      </c>
      <c r="K1529" s="0" t="n">
        <v>65</v>
      </c>
      <c r="M1529" s="0" t="n">
        <v>308.08</v>
      </c>
      <c r="N1529" s="0" t="n">
        <v>44.18</v>
      </c>
      <c r="O1529" s="0" t="n">
        <v>26.25</v>
      </c>
      <c r="P1529" s="0" t="n">
        <v>6.09</v>
      </c>
      <c r="Q1529" s="0" t="n">
        <v>4.37</v>
      </c>
      <c r="R1529" s="0" t="n">
        <v>3518</v>
      </c>
      <c r="S1529" s="0" t="n">
        <v>6788</v>
      </c>
      <c r="T1529" s="0" t="n">
        <v>37.6</v>
      </c>
      <c r="U1529" s="0" t="n">
        <v>1047</v>
      </c>
      <c r="V1529" s="0" t="n">
        <v>6</v>
      </c>
      <c r="W1529" s="0" t="str">
        <f aca="false">IF(OR(AND(B1529&gt;=1,B1529&lt;=6),B1529=10),"Vaca em lactação",IF(I1529="Male","Macho",IF(E1529&gt;=1,"Vaca seca",IF(I1529="Youngstock","Bezerra/recria","Novilha"))))</f>
        <v>Vaca em lactação</v>
      </c>
      <c r="X1529" s="0" t="str">
        <f aca="false">IF(AND(B1529&gt;=1,B1529&lt;=6),"Tanque",IF(B1529=10,"Descarte",""))</f>
        <v>Tanque</v>
      </c>
    </row>
    <row r="1530" customFormat="false" ht="15" hidden="false" customHeight="false" outlineLevel="0" collapsed="false">
      <c r="A1530" s="22" t="n">
        <v>46309</v>
      </c>
      <c r="B1530" s="0" t="n">
        <v>6</v>
      </c>
      <c r="C1530" s="0" t="n">
        <v>5144</v>
      </c>
      <c r="D1530" s="0" t="n">
        <v>421</v>
      </c>
      <c r="E1530" s="0" t="n">
        <v>1</v>
      </c>
      <c r="F1530" s="23" t="s">
        <v>949</v>
      </c>
      <c r="H1530" s="0" t="n">
        <v>20</v>
      </c>
      <c r="I1530" s="23" t="s">
        <v>92</v>
      </c>
      <c r="J1530" s="0" t="n">
        <v>246</v>
      </c>
      <c r="K1530" s="0" t="n">
        <v>57</v>
      </c>
      <c r="L1530" s="0" t="n">
        <v>175</v>
      </c>
      <c r="M1530" s="0" t="n">
        <v>738.88</v>
      </c>
      <c r="N1530" s="0" t="n">
        <v>19.81</v>
      </c>
      <c r="O1530" s="0" t="n">
        <v>28</v>
      </c>
      <c r="P1530" s="0" t="n">
        <v>5.05</v>
      </c>
      <c r="Q1530" s="0" t="n">
        <v>3.72</v>
      </c>
      <c r="R1530" s="0" t="n">
        <v>3633</v>
      </c>
      <c r="S1530" s="0" t="n">
        <v>8319</v>
      </c>
      <c r="T1530" s="0" t="n">
        <v>40.15</v>
      </c>
      <c r="U1530" s="0" t="n">
        <v>1047</v>
      </c>
      <c r="V1530" s="0" t="n">
        <v>6</v>
      </c>
      <c r="W1530" s="0" t="str">
        <f aca="false">IF(OR(AND(B1530&gt;=1,B1530&lt;=6),B1530=10),"Vaca em lactação",IF(I1530="Male","Macho",IF(E1530&gt;=1,"Vaca seca",IF(I1530="Youngstock","Bezerra/recria","Novilha"))))</f>
        <v>Vaca em lactação</v>
      </c>
      <c r="X1530" s="0" t="str">
        <f aca="false">IF(AND(B1530&gt;=1,B1530&lt;=6),"Tanque",IF(B1530=10,"Descarte",""))</f>
        <v>Tanque</v>
      </c>
    </row>
    <row r="1531" customFormat="false" ht="15" hidden="false" customHeight="false" outlineLevel="0" collapsed="false">
      <c r="A1531" s="22" t="n">
        <v>46309</v>
      </c>
      <c r="B1531" s="0" t="n">
        <v>6</v>
      </c>
      <c r="C1531" s="0" t="n">
        <v>5205</v>
      </c>
      <c r="D1531" s="0" t="n">
        <v>311</v>
      </c>
      <c r="E1531" s="0" t="n">
        <v>1</v>
      </c>
      <c r="F1531" s="23" t="s">
        <v>950</v>
      </c>
      <c r="G1531" s="0" t="n">
        <v>31.5</v>
      </c>
      <c r="H1531" s="0" t="n">
        <v>30</v>
      </c>
      <c r="I1531" s="23" t="s">
        <v>506</v>
      </c>
      <c r="J1531" s="0" t="n">
        <v>311</v>
      </c>
      <c r="K1531" s="0" t="n">
        <v>66</v>
      </c>
      <c r="M1531" s="0" t="n">
        <v>1452.69</v>
      </c>
      <c r="N1531" s="0" t="n">
        <v>48.12</v>
      </c>
      <c r="O1531" s="0" t="n">
        <v>39.89</v>
      </c>
      <c r="P1531" s="0" t="n">
        <v>2.69</v>
      </c>
      <c r="Q1531" s="0" t="n">
        <v>3.75</v>
      </c>
      <c r="R1531" s="0" t="n">
        <v>2657</v>
      </c>
      <c r="S1531" s="0" t="n">
        <v>6047</v>
      </c>
      <c r="T1531" s="0" t="n">
        <v>29.4</v>
      </c>
      <c r="U1531" s="0" t="n">
        <v>1024</v>
      </c>
      <c r="V1531" s="0" t="n">
        <v>2</v>
      </c>
      <c r="W1531" s="0" t="str">
        <f aca="false">IF(OR(AND(B1531&gt;=1,B1531&lt;=6),B1531=10),"Vaca em lactação",IF(I1531="Male","Macho",IF(E1531&gt;=1,"Vaca seca",IF(I1531="Youngstock","Bezerra/recria","Novilha"))))</f>
        <v>Vaca em lactação</v>
      </c>
      <c r="X1531" s="0" t="str">
        <f aca="false">IF(AND(B1531&gt;=1,B1531&lt;=6),"Tanque",IF(B1531=10,"Descarte",""))</f>
        <v>Tanque</v>
      </c>
    </row>
    <row r="1532" customFormat="false" ht="15" hidden="false" customHeight="false" outlineLevel="0" collapsed="false">
      <c r="A1532" s="22" t="n">
        <v>46309</v>
      </c>
      <c r="B1532" s="0" t="n">
        <v>6</v>
      </c>
      <c r="C1532" s="0" t="n">
        <v>4780</v>
      </c>
      <c r="D1532" s="0" t="n">
        <v>155</v>
      </c>
      <c r="E1532" s="0" t="n">
        <v>2</v>
      </c>
      <c r="F1532" s="23" t="s">
        <v>476</v>
      </c>
      <c r="G1532" s="0" t="n">
        <v>28.6</v>
      </c>
      <c r="H1532" s="0" t="n">
        <v>27</v>
      </c>
      <c r="I1532" s="23" t="s">
        <v>92</v>
      </c>
      <c r="J1532" s="0" t="n">
        <v>120</v>
      </c>
      <c r="K1532" s="0" t="n">
        <v>61</v>
      </c>
      <c r="L1532" s="0" t="n">
        <v>35</v>
      </c>
      <c r="M1532" s="0" t="n">
        <v>-87.04</v>
      </c>
      <c r="N1532" s="0" t="n">
        <v>66.25</v>
      </c>
      <c r="O1532" s="0" t="n">
        <v>27.4</v>
      </c>
      <c r="P1532" s="0" t="n">
        <v>5.26</v>
      </c>
      <c r="Q1532" s="0" t="n">
        <v>3.62</v>
      </c>
      <c r="R1532" s="0" t="n">
        <v>3767</v>
      </c>
      <c r="S1532" s="0" t="n">
        <v>6911</v>
      </c>
      <c r="T1532" s="0" t="n">
        <v>40</v>
      </c>
      <c r="U1532" s="0" t="n">
        <v>1215</v>
      </c>
      <c r="V1532" s="0" t="n">
        <v>3</v>
      </c>
      <c r="W1532" s="0" t="str">
        <f aca="false">IF(OR(AND(B1532&gt;=1,B1532&lt;=6),B1532=10),"Vaca em lactação",IF(I1532="Male","Macho",IF(E1532&gt;=1,"Vaca seca",IF(I1532="Youngstock","Bezerra/recria","Novilha"))))</f>
        <v>Vaca em lactação</v>
      </c>
      <c r="X1532" s="0" t="str">
        <f aca="false">IF(AND(B1532&gt;=1,B1532&lt;=6),"Tanque",IF(B1532=10,"Descarte",""))</f>
        <v>Tanque</v>
      </c>
    </row>
    <row r="1533" customFormat="false" ht="15" hidden="false" customHeight="false" outlineLevel="0" collapsed="false">
      <c r="A1533" s="22" t="n">
        <v>46309</v>
      </c>
      <c r="B1533" s="0" t="n">
        <v>6</v>
      </c>
      <c r="C1533" s="0" t="n">
        <v>4778</v>
      </c>
      <c r="D1533" s="0" t="n">
        <v>575</v>
      </c>
      <c r="E1533" s="0" t="n">
        <v>1</v>
      </c>
      <c r="F1533" s="23" t="s">
        <v>302</v>
      </c>
      <c r="G1533" s="0" t="n">
        <v>29.9</v>
      </c>
      <c r="H1533" s="0" t="n">
        <v>25</v>
      </c>
      <c r="I1533" s="23" t="s">
        <v>92</v>
      </c>
      <c r="J1533" s="0" t="n">
        <v>425</v>
      </c>
      <c r="K1533" s="0" t="n">
        <v>65</v>
      </c>
      <c r="L1533" s="0" t="n">
        <v>150</v>
      </c>
      <c r="M1533" s="0" t="n">
        <v>314.49</v>
      </c>
      <c r="N1533" s="0" t="n">
        <v>77.4</v>
      </c>
      <c r="O1533" s="0" t="n">
        <v>19.55</v>
      </c>
      <c r="P1533" s="0" t="n">
        <v>5.31</v>
      </c>
      <c r="Q1533" s="0" t="n">
        <v>3.99</v>
      </c>
      <c r="R1533" s="0" t="n">
        <v>3384</v>
      </c>
      <c r="S1533" s="0" t="n">
        <v>7730</v>
      </c>
      <c r="T1533" s="0" t="n">
        <v>38.3</v>
      </c>
      <c r="U1533" s="0" t="n">
        <v>1216</v>
      </c>
      <c r="V1533" s="0" t="n">
        <v>7</v>
      </c>
      <c r="W1533" s="0" t="str">
        <f aca="false">IF(OR(AND(B1533&gt;=1,B1533&lt;=6),B1533=10),"Vaca em lactação",IF(I1533="Male","Macho",IF(E1533&gt;=1,"Vaca seca",IF(I1533="Youngstock","Bezerra/recria","Novilha"))))</f>
        <v>Vaca em lactação</v>
      </c>
      <c r="X1533" s="0" t="str">
        <f aca="false">IF(AND(B1533&gt;=1,B1533&lt;=6),"Tanque",IF(B1533=10,"Descarte",""))</f>
        <v>Tanque</v>
      </c>
    </row>
    <row r="1534" customFormat="false" ht="15" hidden="false" customHeight="false" outlineLevel="0" collapsed="false">
      <c r="A1534" s="22" t="n">
        <v>46309</v>
      </c>
      <c r="B1534" s="0" t="n">
        <v>6</v>
      </c>
      <c r="C1534" s="0" t="n">
        <v>4783</v>
      </c>
      <c r="D1534" s="0" t="n">
        <v>205</v>
      </c>
      <c r="E1534" s="0" t="n">
        <v>2</v>
      </c>
      <c r="F1534" s="23" t="s">
        <v>810</v>
      </c>
      <c r="G1534" s="0" t="n">
        <v>29.6</v>
      </c>
      <c r="H1534" s="0" t="n">
        <v>26</v>
      </c>
      <c r="I1534" s="23" t="s">
        <v>92</v>
      </c>
      <c r="J1534" s="0" t="n">
        <v>149</v>
      </c>
      <c r="K1534" s="0" t="n">
        <v>66</v>
      </c>
      <c r="L1534" s="0" t="n">
        <v>56</v>
      </c>
      <c r="M1534" s="0" t="n">
        <v>1156.44</v>
      </c>
      <c r="N1534" s="0" t="n">
        <v>60.16</v>
      </c>
      <c r="O1534" s="0" t="n">
        <v>47.73</v>
      </c>
      <c r="P1534" s="0" t="n">
        <v>3.69</v>
      </c>
      <c r="Q1534" s="0" t="n">
        <v>3.86</v>
      </c>
      <c r="R1534" s="0" t="n">
        <v>4053</v>
      </c>
      <c r="S1534" s="0" t="n">
        <v>8482</v>
      </c>
      <c r="T1534" s="0" t="n">
        <v>42.8</v>
      </c>
      <c r="U1534" s="0" t="n">
        <v>1213</v>
      </c>
      <c r="V1534" s="0" t="n">
        <v>4</v>
      </c>
      <c r="W1534" s="0" t="str">
        <f aca="false">IF(OR(AND(B1534&gt;=1,B1534&lt;=6),B1534=10),"Vaca em lactação",IF(I1534="Male","Macho",IF(E1534&gt;=1,"Vaca seca",IF(I1534="Youngstock","Bezerra/recria","Novilha"))))</f>
        <v>Vaca em lactação</v>
      </c>
      <c r="X1534" s="0" t="str">
        <f aca="false">IF(AND(B1534&gt;=1,B1534&lt;=6),"Tanque",IF(B1534=10,"Descarte",""))</f>
        <v>Tanque</v>
      </c>
    </row>
    <row r="1535" customFormat="false" ht="15" hidden="false" customHeight="false" outlineLevel="0" collapsed="false">
      <c r="A1535" s="22" t="n">
        <v>46309</v>
      </c>
      <c r="B1535" s="0" t="n">
        <v>6</v>
      </c>
      <c r="C1535" s="0" t="n">
        <v>4769</v>
      </c>
      <c r="D1535" s="0" t="n">
        <v>247</v>
      </c>
      <c r="E1535" s="0" t="n">
        <v>2</v>
      </c>
      <c r="F1535" s="23" t="s">
        <v>951</v>
      </c>
      <c r="G1535" s="0" t="n">
        <v>21.7</v>
      </c>
      <c r="H1535" s="0" t="n">
        <v>20</v>
      </c>
      <c r="I1535" s="23" t="s">
        <v>506</v>
      </c>
      <c r="J1535" s="0" t="n">
        <v>247</v>
      </c>
      <c r="K1535" s="0" t="n">
        <v>65</v>
      </c>
      <c r="M1535" s="0" t="n">
        <v>8.47</v>
      </c>
      <c r="N1535" s="0" t="n">
        <v>66.36</v>
      </c>
      <c r="O1535" s="0" t="n">
        <v>24.55</v>
      </c>
      <c r="P1535" s="0" t="n">
        <v>5.91</v>
      </c>
      <c r="Q1535" s="0" t="n">
        <v>4.67</v>
      </c>
      <c r="R1535" s="0" t="n">
        <v>4233</v>
      </c>
      <c r="S1535" s="0" t="n">
        <v>7774</v>
      </c>
      <c r="T1535" s="0" t="n">
        <v>43.8</v>
      </c>
      <c r="U1535" s="0" t="n">
        <v>1219</v>
      </c>
      <c r="V1535" s="0" t="n">
        <v>4</v>
      </c>
      <c r="W1535" s="0" t="str">
        <f aca="false">IF(OR(AND(B1535&gt;=1,B1535&lt;=6),B1535=10),"Vaca em lactação",IF(I1535="Male","Macho",IF(E1535&gt;=1,"Vaca seca",IF(I1535="Youngstock","Bezerra/recria","Novilha"))))</f>
        <v>Vaca em lactação</v>
      </c>
      <c r="X1535" s="0" t="str">
        <f aca="false">IF(AND(B1535&gt;=1,B1535&lt;=6),"Tanque",IF(B1535=10,"Descarte",""))</f>
        <v>Tanque</v>
      </c>
    </row>
    <row r="1536" customFormat="false" ht="15" hidden="false" customHeight="false" outlineLevel="0" collapsed="false">
      <c r="A1536" s="22" t="n">
        <v>46309</v>
      </c>
      <c r="B1536" s="0" t="n">
        <v>6</v>
      </c>
      <c r="C1536" s="0" t="n">
        <v>4771</v>
      </c>
      <c r="D1536" s="0" t="n">
        <v>557</v>
      </c>
      <c r="E1536" s="0" t="n">
        <v>1</v>
      </c>
      <c r="F1536" s="23" t="s">
        <v>951</v>
      </c>
      <c r="G1536" s="0" t="n">
        <v>26.6</v>
      </c>
      <c r="H1536" s="0" t="n">
        <v>25</v>
      </c>
      <c r="I1536" s="23" t="s">
        <v>92</v>
      </c>
      <c r="J1536" s="0" t="n">
        <v>462</v>
      </c>
      <c r="K1536" s="0" t="n">
        <v>61</v>
      </c>
      <c r="L1536" s="0" t="n">
        <v>95</v>
      </c>
      <c r="M1536" s="0" t="n">
        <v>280.1</v>
      </c>
      <c r="N1536" s="0" t="n">
        <v>68.95</v>
      </c>
      <c r="O1536" s="0" t="n">
        <v>16.57</v>
      </c>
      <c r="P1536" s="0" t="n">
        <v>3.33</v>
      </c>
      <c r="Q1536" s="0" t="n">
        <v>4.35</v>
      </c>
      <c r="R1536" s="0" t="n">
        <v>3457</v>
      </c>
      <c r="S1536" s="0" t="n">
        <v>7733</v>
      </c>
      <c r="T1536" s="0" t="n">
        <v>40</v>
      </c>
      <c r="U1536" s="0" t="n">
        <v>1219</v>
      </c>
      <c r="V1536" s="0" t="n">
        <v>12</v>
      </c>
      <c r="W1536" s="0" t="str">
        <f aca="false">IF(OR(AND(B1536&gt;=1,B1536&lt;=6),B1536=10),"Vaca em lactação",IF(I1536="Male","Macho",IF(E1536&gt;=1,"Vaca seca",IF(I1536="Youngstock","Bezerra/recria","Novilha"))))</f>
        <v>Vaca em lactação</v>
      </c>
      <c r="X1536" s="0" t="str">
        <f aca="false">IF(AND(B1536&gt;=1,B1536&lt;=6),"Tanque",IF(B1536=10,"Descarte",""))</f>
        <v>Tanque</v>
      </c>
    </row>
    <row r="1537" customFormat="false" ht="15" hidden="false" customHeight="false" outlineLevel="0" collapsed="false">
      <c r="A1537" s="22" t="n">
        <v>46309</v>
      </c>
      <c r="B1537" s="0" t="n">
        <v>6</v>
      </c>
      <c r="C1537" s="0" t="n">
        <v>4660</v>
      </c>
      <c r="D1537" s="0" t="n">
        <v>208</v>
      </c>
      <c r="E1537" s="0" t="n">
        <v>2</v>
      </c>
      <c r="F1537" s="23" t="s">
        <v>313</v>
      </c>
      <c r="G1537" s="0" t="n">
        <v>25.4</v>
      </c>
      <c r="H1537" s="0" t="n">
        <v>17</v>
      </c>
      <c r="I1537" s="23" t="s">
        <v>92</v>
      </c>
      <c r="J1537" s="0" t="n">
        <v>145</v>
      </c>
      <c r="K1537" s="0" t="n">
        <v>75</v>
      </c>
      <c r="L1537" s="0" t="n">
        <v>63</v>
      </c>
      <c r="M1537" s="0" t="n">
        <v>1123</v>
      </c>
      <c r="N1537" s="0" t="n">
        <v>61</v>
      </c>
      <c r="O1537" s="0" t="n">
        <v>40.6</v>
      </c>
      <c r="P1537" s="0" t="n">
        <v>4.83</v>
      </c>
      <c r="Q1537" s="0" t="n">
        <v>3.75</v>
      </c>
      <c r="R1537" s="0" t="n">
        <v>1970</v>
      </c>
      <c r="S1537" s="0" t="n">
        <v>4237</v>
      </c>
      <c r="T1537" s="0" t="n">
        <v>14.05</v>
      </c>
      <c r="U1537" s="0" t="n">
        <v>1279</v>
      </c>
      <c r="V1537" s="0" t="n">
        <v>3</v>
      </c>
      <c r="W1537" s="0" t="str">
        <f aca="false">IF(OR(AND(B1537&gt;=1,B1537&lt;=6),B1537=10),"Vaca em lactação",IF(I1537="Male","Macho",IF(E1537&gt;=1,"Vaca seca",IF(I1537="Youngstock","Bezerra/recria","Novilha"))))</f>
        <v>Vaca em lactação</v>
      </c>
      <c r="X1537" s="0" t="str">
        <f aca="false">IF(AND(B1537&gt;=1,B1537&lt;=6),"Tanque",IF(B1537=10,"Descarte",""))</f>
        <v>Tanque</v>
      </c>
    </row>
    <row r="1538" customFormat="false" ht="15" hidden="false" customHeight="false" outlineLevel="0" collapsed="false">
      <c r="A1538" s="22" t="n">
        <v>46309</v>
      </c>
      <c r="B1538" s="0" t="n">
        <v>6</v>
      </c>
      <c r="C1538" s="0" t="n">
        <v>4656</v>
      </c>
      <c r="D1538" s="0" t="n">
        <v>290</v>
      </c>
      <c r="E1538" s="0" t="n">
        <v>2</v>
      </c>
      <c r="F1538" s="23" t="s">
        <v>815</v>
      </c>
      <c r="G1538" s="0" t="n">
        <v>16.1</v>
      </c>
      <c r="H1538" s="0" t="n">
        <v>19</v>
      </c>
      <c r="I1538" s="23" t="s">
        <v>97</v>
      </c>
      <c r="J1538" s="0" t="n">
        <v>290</v>
      </c>
      <c r="K1538" s="0" t="n">
        <v>66</v>
      </c>
      <c r="M1538" s="0" t="n">
        <v>214.11</v>
      </c>
      <c r="N1538" s="0" t="n">
        <v>60.71</v>
      </c>
      <c r="O1538" s="0" t="n">
        <v>37.98</v>
      </c>
      <c r="P1538" s="0" t="n">
        <v>5.21</v>
      </c>
      <c r="Q1538" s="0" t="n">
        <v>3.92</v>
      </c>
      <c r="R1538" s="0" t="n">
        <v>4191</v>
      </c>
      <c r="S1538" s="0" t="n">
        <v>9017</v>
      </c>
      <c r="T1538" s="0" t="n">
        <v>49.8</v>
      </c>
      <c r="U1538" s="0" t="n">
        <v>1280</v>
      </c>
      <c r="V1538" s="0" t="n">
        <v>7</v>
      </c>
      <c r="W1538" s="0" t="str">
        <f aca="false">IF(OR(AND(B1538&gt;=1,B1538&lt;=6),B1538=10),"Vaca em lactação",IF(I1538="Male","Macho",IF(E1538&gt;=1,"Vaca seca",IF(I1538="Youngstock","Bezerra/recria","Novilha"))))</f>
        <v>Vaca em lactação</v>
      </c>
      <c r="X1538" s="0" t="str">
        <f aca="false">IF(AND(B1538&gt;=1,B1538&lt;=6),"Tanque",IF(B1538=10,"Descarte",""))</f>
        <v>Tanque</v>
      </c>
    </row>
    <row r="1539" customFormat="false" ht="15" hidden="false" customHeight="false" outlineLevel="0" collapsed="false">
      <c r="A1539" s="22" t="n">
        <v>46309</v>
      </c>
      <c r="B1539" s="0" t="n">
        <v>6</v>
      </c>
      <c r="C1539" s="0" t="n">
        <v>4672</v>
      </c>
      <c r="D1539" s="0" t="n">
        <v>233</v>
      </c>
      <c r="E1539" s="0" t="n">
        <v>2</v>
      </c>
      <c r="F1539" s="23" t="s">
        <v>952</v>
      </c>
      <c r="G1539" s="0" t="n">
        <v>30</v>
      </c>
      <c r="H1539" s="0" t="n">
        <v>29</v>
      </c>
      <c r="I1539" s="23" t="s">
        <v>92</v>
      </c>
      <c r="J1539" s="0" t="n">
        <v>107</v>
      </c>
      <c r="K1539" s="0" t="n">
        <v>65</v>
      </c>
      <c r="L1539" s="0" t="n">
        <v>126</v>
      </c>
      <c r="M1539" s="0" t="n">
        <v>1061.76</v>
      </c>
      <c r="N1539" s="0" t="n">
        <v>36.1</v>
      </c>
      <c r="O1539" s="0" t="n">
        <v>28.86</v>
      </c>
      <c r="P1539" s="0" t="n">
        <v>4.61</v>
      </c>
      <c r="Q1539" s="0" t="n">
        <v>3.55</v>
      </c>
      <c r="R1539" s="0" t="n">
        <v>3594</v>
      </c>
      <c r="S1539" s="0" t="n">
        <v>7009</v>
      </c>
      <c r="T1539" s="0" t="n">
        <v>38.6</v>
      </c>
      <c r="U1539" s="0" t="n">
        <v>1270</v>
      </c>
      <c r="V1539" s="0" t="n">
        <v>2</v>
      </c>
      <c r="W1539" s="0" t="str">
        <f aca="false">IF(OR(AND(B1539&gt;=1,B1539&lt;=6),B1539=10),"Vaca em lactação",IF(I1539="Male","Macho",IF(E1539&gt;=1,"Vaca seca",IF(I1539="Youngstock","Bezerra/recria","Novilha"))))</f>
        <v>Vaca em lactação</v>
      </c>
      <c r="X1539" s="0" t="str">
        <f aca="false">IF(AND(B1539&gt;=1,B1539&lt;=6),"Tanque",IF(B1539=10,"Descarte",""))</f>
        <v>Tanque</v>
      </c>
    </row>
    <row r="1540" customFormat="false" ht="15" hidden="false" customHeight="false" outlineLevel="0" collapsed="false">
      <c r="A1540" s="22" t="n">
        <v>46309</v>
      </c>
      <c r="B1540" s="0" t="n">
        <v>6</v>
      </c>
      <c r="C1540" s="0" t="n">
        <v>4649</v>
      </c>
      <c r="D1540" s="0" t="n">
        <v>629</v>
      </c>
      <c r="E1540" s="0" t="n">
        <v>1</v>
      </c>
      <c r="F1540" s="23" t="s">
        <v>953</v>
      </c>
      <c r="G1540" s="0" t="n">
        <v>23.7</v>
      </c>
      <c r="H1540" s="0" t="n">
        <v>23</v>
      </c>
      <c r="I1540" s="23" t="s">
        <v>92</v>
      </c>
      <c r="J1540" s="0" t="n">
        <v>524</v>
      </c>
      <c r="K1540" s="0" t="n">
        <v>70</v>
      </c>
      <c r="L1540" s="0" t="n">
        <v>105</v>
      </c>
      <c r="M1540" s="0" t="n">
        <v>634.17</v>
      </c>
      <c r="N1540" s="0" t="n">
        <v>39.49</v>
      </c>
      <c r="O1540" s="0" t="n">
        <v>18.98</v>
      </c>
      <c r="P1540" s="0" t="n">
        <v>5.15</v>
      </c>
      <c r="Q1540" s="0" t="n">
        <v>3.94</v>
      </c>
      <c r="R1540" s="0" t="n">
        <v>2986</v>
      </c>
      <c r="S1540" s="0" t="n">
        <v>7016</v>
      </c>
      <c r="T1540" s="0" t="n">
        <v>36.6</v>
      </c>
      <c r="U1540" s="0" t="n">
        <v>1284</v>
      </c>
      <c r="V1540" s="0" t="n">
        <v>9</v>
      </c>
      <c r="W1540" s="0" t="str">
        <f aca="false">IF(OR(AND(B1540&gt;=1,B1540&lt;=6),B1540=10),"Vaca em lactação",IF(I1540="Male","Macho",IF(E1540&gt;=1,"Vaca seca",IF(I1540="Youngstock","Bezerra/recria","Novilha"))))</f>
        <v>Vaca em lactação</v>
      </c>
      <c r="X1540" s="0" t="str">
        <f aca="false">IF(AND(B1540&gt;=1,B1540&lt;=6),"Tanque",IF(B1540=10,"Descarte",""))</f>
        <v>Tanque</v>
      </c>
    </row>
    <row r="1541" customFormat="false" ht="15" hidden="false" customHeight="false" outlineLevel="0" collapsed="false">
      <c r="A1541" s="22" t="n">
        <v>46309</v>
      </c>
      <c r="B1541" s="0" t="n">
        <v>6</v>
      </c>
      <c r="C1541" s="0" t="n">
        <v>4725</v>
      </c>
      <c r="D1541" s="0" t="n">
        <v>262</v>
      </c>
      <c r="E1541" s="0" t="n">
        <v>2</v>
      </c>
      <c r="F1541" s="23" t="s">
        <v>954</v>
      </c>
      <c r="G1541" s="0" t="n">
        <v>17.9</v>
      </c>
      <c r="H1541" s="0" t="n">
        <v>17</v>
      </c>
      <c r="I1541" s="23" t="s">
        <v>506</v>
      </c>
      <c r="J1541" s="0" t="n">
        <v>262</v>
      </c>
      <c r="K1541" s="0" t="n">
        <v>66</v>
      </c>
      <c r="M1541" s="0" t="n">
        <v>323.41</v>
      </c>
      <c r="N1541" s="0" t="n">
        <v>28.37</v>
      </c>
      <c r="O1541" s="0" t="n">
        <v>24.88</v>
      </c>
      <c r="P1541" s="0" t="n">
        <v>5.79</v>
      </c>
      <c r="Q1541" s="0" t="n">
        <v>4.08</v>
      </c>
      <c r="R1541" s="0" t="n">
        <v>4706</v>
      </c>
      <c r="S1541" s="0" t="n">
        <v>9221</v>
      </c>
      <c r="T1541" s="0" t="n">
        <v>50.2</v>
      </c>
      <c r="U1541" s="0" t="n">
        <v>1238</v>
      </c>
      <c r="V1541" s="0" t="n">
        <v>4</v>
      </c>
      <c r="W1541" s="0" t="str">
        <f aca="false">IF(OR(AND(B1541&gt;=1,B1541&lt;=6),B1541=10),"Vaca em lactação",IF(I1541="Male","Macho",IF(E1541&gt;=1,"Vaca seca",IF(I1541="Youngstock","Bezerra/recria","Novilha"))))</f>
        <v>Vaca em lactação</v>
      </c>
      <c r="X1541" s="0" t="str">
        <f aca="false">IF(AND(B1541&gt;=1,B1541&lt;=6),"Tanque",IF(B1541=10,"Descarte",""))</f>
        <v>Tanque</v>
      </c>
    </row>
    <row r="1542" customFormat="false" ht="15" hidden="false" customHeight="false" outlineLevel="0" collapsed="false">
      <c r="A1542" s="22" t="n">
        <v>46309</v>
      </c>
      <c r="B1542" s="0" t="n">
        <v>6</v>
      </c>
      <c r="C1542" s="0" t="n">
        <v>4700</v>
      </c>
      <c r="D1542" s="0" t="n">
        <v>244</v>
      </c>
      <c r="E1542" s="0" t="n">
        <v>2</v>
      </c>
      <c r="F1542" s="23" t="s">
        <v>955</v>
      </c>
      <c r="G1542" s="0" t="n">
        <v>23.6</v>
      </c>
      <c r="H1542" s="0" t="n">
        <v>22</v>
      </c>
      <c r="I1542" s="23" t="s">
        <v>97</v>
      </c>
      <c r="J1542" s="0" t="n">
        <v>244</v>
      </c>
      <c r="K1542" s="0" t="n">
        <v>69</v>
      </c>
      <c r="M1542" s="0" t="n">
        <v>-594.2</v>
      </c>
      <c r="N1542" s="0" t="n">
        <v>47.83</v>
      </c>
      <c r="O1542" s="0" t="n">
        <v>5.39</v>
      </c>
      <c r="P1542" s="0" t="n">
        <v>6.03</v>
      </c>
      <c r="Q1542" s="0" t="n">
        <v>3.84</v>
      </c>
      <c r="R1542" s="0" t="n">
        <v>2759</v>
      </c>
      <c r="S1542" s="0" t="n">
        <v>5427</v>
      </c>
      <c r="T1542" s="0" t="n">
        <v>30</v>
      </c>
      <c r="U1542" s="0" t="n">
        <v>1254</v>
      </c>
      <c r="V1542" s="0" t="n">
        <v>7</v>
      </c>
      <c r="W1542" s="0" t="str">
        <f aca="false">IF(OR(AND(B1542&gt;=1,B1542&lt;=6),B1542=10),"Vaca em lactação",IF(I1542="Male","Macho",IF(E1542&gt;=1,"Vaca seca",IF(I1542="Youngstock","Bezerra/recria","Novilha"))))</f>
        <v>Vaca em lactação</v>
      </c>
      <c r="X1542" s="0" t="str">
        <f aca="false">IF(AND(B1542&gt;=1,B1542&lt;=6),"Tanque",IF(B1542=10,"Descarte",""))</f>
        <v>Tanque</v>
      </c>
    </row>
    <row r="1543" customFormat="false" ht="15" hidden="false" customHeight="false" outlineLevel="0" collapsed="false">
      <c r="A1543" s="22" t="n">
        <v>46309</v>
      </c>
      <c r="B1543" s="0" t="n">
        <v>6</v>
      </c>
      <c r="C1543" s="0" t="n">
        <v>4716</v>
      </c>
      <c r="D1543" s="0" t="n">
        <v>311</v>
      </c>
      <c r="E1543" s="0" t="n">
        <v>2</v>
      </c>
      <c r="F1543" s="23" t="s">
        <v>956</v>
      </c>
      <c r="G1543" s="0" t="n">
        <v>30.7</v>
      </c>
      <c r="H1543" s="0" t="n">
        <v>28</v>
      </c>
      <c r="I1543" s="23" t="s">
        <v>92</v>
      </c>
      <c r="J1543" s="0" t="n">
        <v>136</v>
      </c>
      <c r="K1543" s="0" t="n">
        <v>66</v>
      </c>
      <c r="L1543" s="0" t="n">
        <v>175</v>
      </c>
      <c r="M1543" s="0" t="n">
        <v>719.88</v>
      </c>
      <c r="N1543" s="0" t="n">
        <v>61.48</v>
      </c>
      <c r="O1543" s="0" t="n">
        <v>34.36</v>
      </c>
      <c r="P1543" s="0" t="n">
        <v>4.38</v>
      </c>
      <c r="Q1543" s="0" t="n">
        <v>3.98</v>
      </c>
      <c r="R1543" s="0" t="n">
        <v>6250</v>
      </c>
      <c r="S1543" s="0" t="n">
        <v>11859</v>
      </c>
      <c r="T1543" s="0" t="n">
        <v>66.75</v>
      </c>
      <c r="U1543" s="0" t="n">
        <v>1244</v>
      </c>
      <c r="V1543" s="0" t="n">
        <v>3</v>
      </c>
      <c r="W1543" s="0" t="str">
        <f aca="false">IF(OR(AND(B1543&gt;=1,B1543&lt;=6),B1543=10),"Vaca em lactação",IF(I1543="Male","Macho",IF(E1543&gt;=1,"Vaca seca",IF(I1543="Youngstock","Bezerra/recria","Novilha"))))</f>
        <v>Vaca em lactação</v>
      </c>
      <c r="X1543" s="0" t="str">
        <f aca="false">IF(AND(B1543&gt;=1,B1543&lt;=6),"Tanque",IF(B1543=10,"Descarte",""))</f>
        <v>Tanque</v>
      </c>
    </row>
    <row r="1544" customFormat="false" ht="15" hidden="false" customHeight="false" outlineLevel="0" collapsed="false">
      <c r="A1544" s="22" t="n">
        <v>46309</v>
      </c>
      <c r="B1544" s="0" t="n">
        <v>6</v>
      </c>
      <c r="C1544" s="0" t="n">
        <v>4932</v>
      </c>
      <c r="D1544" s="0" t="n">
        <v>242</v>
      </c>
      <c r="E1544" s="0" t="n">
        <v>2</v>
      </c>
      <c r="F1544" s="23" t="s">
        <v>830</v>
      </c>
      <c r="G1544" s="0" t="n">
        <v>23.1</v>
      </c>
      <c r="H1544" s="0" t="n">
        <v>23</v>
      </c>
      <c r="I1544" s="23" t="s">
        <v>92</v>
      </c>
      <c r="J1544" s="0" t="n">
        <v>67</v>
      </c>
      <c r="K1544" s="0" t="n">
        <v>67</v>
      </c>
      <c r="L1544" s="0" t="n">
        <v>175</v>
      </c>
      <c r="M1544" s="0" t="n">
        <v>187.08</v>
      </c>
      <c r="N1544" s="0" t="n">
        <v>11.43</v>
      </c>
      <c r="O1544" s="0" t="n">
        <v>16.92</v>
      </c>
      <c r="P1544" s="0" t="n">
        <v>5.47</v>
      </c>
      <c r="Q1544" s="0" t="n">
        <v>4.24</v>
      </c>
      <c r="R1544" s="0" t="n">
        <v>3133</v>
      </c>
      <c r="S1544" s="0" t="n">
        <v>6741</v>
      </c>
      <c r="T1544" s="0" t="n">
        <v>41.1</v>
      </c>
      <c r="U1544" s="0" t="n">
        <v>1153</v>
      </c>
      <c r="V1544" s="0" t="n">
        <v>1</v>
      </c>
      <c r="W1544" s="0" t="str">
        <f aca="false">IF(OR(AND(B1544&gt;=1,B1544&lt;=6),B1544=10),"Vaca em lactação",IF(I1544="Male","Macho",IF(E1544&gt;=1,"Vaca seca",IF(I1544="Youngstock","Bezerra/recria","Novilha"))))</f>
        <v>Vaca em lactação</v>
      </c>
      <c r="X1544" s="0" t="str">
        <f aca="false">IF(AND(B1544&gt;=1,B1544&lt;=6),"Tanque",IF(B1544=10,"Descarte",""))</f>
        <v>Tanque</v>
      </c>
    </row>
    <row r="1545" customFormat="false" ht="15" hidden="false" customHeight="false" outlineLevel="0" collapsed="false">
      <c r="A1545" s="22" t="n">
        <v>46309</v>
      </c>
      <c r="B1545" s="0" t="n">
        <v>6</v>
      </c>
      <c r="C1545" s="0" t="n">
        <v>4941</v>
      </c>
      <c r="D1545" s="0" t="n">
        <v>311</v>
      </c>
      <c r="E1545" s="0" t="n">
        <v>1</v>
      </c>
      <c r="F1545" s="23" t="s">
        <v>332</v>
      </c>
      <c r="G1545" s="0" t="n">
        <v>28.1</v>
      </c>
      <c r="H1545" s="0" t="n">
        <v>29</v>
      </c>
      <c r="I1545" s="23" t="s">
        <v>92</v>
      </c>
      <c r="J1545" s="0" t="n">
        <v>157</v>
      </c>
      <c r="K1545" s="0" t="n">
        <v>59</v>
      </c>
      <c r="L1545" s="0" t="n">
        <v>154</v>
      </c>
      <c r="M1545" s="0" t="n">
        <v>926.35</v>
      </c>
      <c r="N1545" s="0" t="n">
        <v>70.52</v>
      </c>
      <c r="O1545" s="0" t="n">
        <v>45.47</v>
      </c>
      <c r="P1545" s="0" t="n">
        <v>5.21</v>
      </c>
      <c r="Q1545" s="0" t="n">
        <v>4.35</v>
      </c>
      <c r="R1545" s="0" t="n">
        <v>3397</v>
      </c>
      <c r="S1545" s="0" t="n">
        <v>7206</v>
      </c>
      <c r="T1545" s="0" t="n">
        <v>35.7</v>
      </c>
      <c r="U1545" s="0" t="n">
        <v>1150</v>
      </c>
      <c r="V1545" s="0" t="n">
        <v>3</v>
      </c>
      <c r="W1545" s="0" t="str">
        <f aca="false">IF(OR(AND(B1545&gt;=1,B1545&lt;=6),B1545=10),"Vaca em lactação",IF(I1545="Male","Macho",IF(E1545&gt;=1,"Vaca seca",IF(I1545="Youngstock","Bezerra/recria","Novilha"))))</f>
        <v>Vaca em lactação</v>
      </c>
      <c r="X1545" s="0" t="str">
        <f aca="false">IF(AND(B1545&gt;=1,B1545&lt;=6),"Tanque",IF(B1545=10,"Descarte",""))</f>
        <v>Tanque</v>
      </c>
    </row>
    <row r="1546" customFormat="false" ht="15" hidden="false" customHeight="false" outlineLevel="0" collapsed="false">
      <c r="A1546" s="22" t="n">
        <v>46309</v>
      </c>
      <c r="B1546" s="0" t="n">
        <v>6</v>
      </c>
      <c r="C1546" s="0" t="n">
        <v>4927</v>
      </c>
      <c r="D1546" s="0" t="n">
        <v>23</v>
      </c>
      <c r="E1546" s="0" t="n">
        <v>2</v>
      </c>
      <c r="F1546" s="23" t="s">
        <v>957</v>
      </c>
      <c r="H1546" s="0" t="n">
        <v>17</v>
      </c>
      <c r="I1546" s="23" t="s">
        <v>94</v>
      </c>
      <c r="J1546" s="0" t="n">
        <v>23</v>
      </c>
      <c r="M1546" s="0" t="n">
        <v>744.94</v>
      </c>
      <c r="N1546" s="0" t="n">
        <v>38.94</v>
      </c>
      <c r="O1546" s="0" t="n">
        <v>37.72</v>
      </c>
      <c r="R1546" s="0" t="n">
        <v>3824</v>
      </c>
      <c r="S1546" s="0" t="n">
        <v>7687</v>
      </c>
      <c r="U1546" s="0" t="n">
        <v>1156</v>
      </c>
      <c r="V1546" s="0" t="n">
        <v>0</v>
      </c>
      <c r="W1546" s="0" t="str">
        <f aca="false">IF(OR(AND(B1546&gt;=1,B1546&lt;=6),B1546=10),"Vaca em lactação",IF(I1546="Male","Macho",IF(E1546&gt;=1,"Vaca seca",IF(I1546="Youngstock","Bezerra/recria","Novilha"))))</f>
        <v>Vaca em lactação</v>
      </c>
      <c r="X1546" s="0" t="str">
        <f aca="false">IF(AND(B1546&gt;=1,B1546&lt;=6),"Tanque",IF(B1546=10,"Descarte",""))</f>
        <v>Tanque</v>
      </c>
    </row>
    <row r="1547" customFormat="false" ht="15" hidden="false" customHeight="false" outlineLevel="0" collapsed="false">
      <c r="A1547" s="22" t="n">
        <v>46309</v>
      </c>
      <c r="B1547" s="0" t="n">
        <v>6</v>
      </c>
      <c r="C1547" s="0" t="n">
        <v>4969</v>
      </c>
      <c r="D1547" s="0" t="n">
        <v>31</v>
      </c>
      <c r="E1547" s="0" t="n">
        <v>2</v>
      </c>
      <c r="F1547" s="23" t="s">
        <v>489</v>
      </c>
      <c r="H1547" s="0" t="n">
        <v>19</v>
      </c>
      <c r="I1547" s="23" t="s">
        <v>94</v>
      </c>
      <c r="J1547" s="0" t="n">
        <v>31</v>
      </c>
      <c r="M1547" s="0" t="n">
        <v>1192.64</v>
      </c>
      <c r="N1547" s="0" t="n">
        <v>38.56</v>
      </c>
      <c r="O1547" s="0" t="n">
        <v>27.78</v>
      </c>
      <c r="P1547" s="0" t="n">
        <v>0</v>
      </c>
      <c r="Q1547" s="0" t="n">
        <v>0</v>
      </c>
      <c r="R1547" s="0" t="n">
        <v>2403</v>
      </c>
      <c r="S1547" s="0" t="n">
        <v>4831</v>
      </c>
      <c r="U1547" s="0" t="n">
        <v>1137</v>
      </c>
      <c r="V1547" s="0" t="n">
        <v>0</v>
      </c>
      <c r="W1547" s="0" t="str">
        <f aca="false">IF(OR(AND(B1547&gt;=1,B1547&lt;=6),B1547=10),"Vaca em lactação",IF(I1547="Male","Macho",IF(E1547&gt;=1,"Vaca seca",IF(I1547="Youngstock","Bezerra/recria","Novilha"))))</f>
        <v>Vaca em lactação</v>
      </c>
      <c r="X1547" s="0" t="str">
        <f aca="false">IF(AND(B1547&gt;=1,B1547&lt;=6),"Tanque",IF(B1547=10,"Descarte",""))</f>
        <v>Tanque</v>
      </c>
    </row>
    <row r="1548" customFormat="false" ht="15" hidden="false" customHeight="false" outlineLevel="0" collapsed="false">
      <c r="A1548" s="22" t="n">
        <v>46309</v>
      </c>
      <c r="B1548" s="0" t="n">
        <v>6</v>
      </c>
      <c r="C1548" s="0" t="n">
        <v>4951</v>
      </c>
      <c r="D1548" s="0" t="n">
        <v>496</v>
      </c>
      <c r="E1548" s="0" t="n">
        <v>1</v>
      </c>
      <c r="F1548" s="23" t="s">
        <v>338</v>
      </c>
      <c r="G1548" s="0" t="n">
        <v>27.4</v>
      </c>
      <c r="H1548" s="0" t="n">
        <v>25</v>
      </c>
      <c r="I1548" s="23" t="s">
        <v>506</v>
      </c>
      <c r="J1548" s="0" t="n">
        <v>496</v>
      </c>
      <c r="K1548" s="0" t="n">
        <v>62</v>
      </c>
      <c r="M1548" s="0" t="n">
        <v>885.72</v>
      </c>
      <c r="N1548" s="0" t="n">
        <v>81.78</v>
      </c>
      <c r="O1548" s="0" t="n">
        <v>48.24</v>
      </c>
      <c r="P1548" s="0" t="n">
        <v>5.64</v>
      </c>
      <c r="Q1548" s="0" t="n">
        <v>4.54</v>
      </c>
      <c r="R1548" s="0" t="n">
        <v>4222</v>
      </c>
      <c r="S1548" s="0" t="n">
        <v>8965</v>
      </c>
      <c r="T1548" s="0" t="n">
        <v>51.2</v>
      </c>
      <c r="U1548" s="0" t="n">
        <v>1146</v>
      </c>
      <c r="V1548" s="0" t="n">
        <v>11</v>
      </c>
      <c r="W1548" s="0" t="str">
        <f aca="false">IF(OR(AND(B1548&gt;=1,B1548&lt;=6),B1548=10),"Vaca em lactação",IF(I1548="Male","Macho",IF(E1548&gt;=1,"Vaca seca",IF(I1548="Youngstock","Bezerra/recria","Novilha"))))</f>
        <v>Vaca em lactação</v>
      </c>
      <c r="X1548" s="0" t="str">
        <f aca="false">IF(AND(B1548&gt;=1,B1548&lt;=6),"Tanque",IF(B1548=10,"Descarte",""))</f>
        <v>Tanque</v>
      </c>
    </row>
    <row r="1549" customFormat="false" ht="15" hidden="false" customHeight="false" outlineLevel="0" collapsed="false">
      <c r="A1549" s="22" t="n">
        <v>46309</v>
      </c>
      <c r="B1549" s="0" t="n">
        <v>6</v>
      </c>
      <c r="C1549" s="0" t="n">
        <v>4860</v>
      </c>
      <c r="D1549" s="0" t="n">
        <v>173</v>
      </c>
      <c r="E1549" s="0" t="n">
        <v>2</v>
      </c>
      <c r="F1549" s="23" t="s">
        <v>958</v>
      </c>
      <c r="G1549" s="0" t="n">
        <v>23.5</v>
      </c>
      <c r="H1549" s="0" t="n">
        <v>28</v>
      </c>
      <c r="I1549" s="23" t="s">
        <v>92</v>
      </c>
      <c r="J1549" s="0" t="n">
        <v>117</v>
      </c>
      <c r="K1549" s="0" t="n">
        <v>61</v>
      </c>
      <c r="L1549" s="0" t="n">
        <v>56</v>
      </c>
      <c r="M1549" s="0" t="n">
        <v>555.41</v>
      </c>
      <c r="N1549" s="0" t="n">
        <v>65.43</v>
      </c>
      <c r="O1549" s="0" t="n">
        <v>35.41</v>
      </c>
      <c r="P1549" s="0" t="n">
        <v>5.1</v>
      </c>
      <c r="Q1549" s="0" t="n">
        <v>3.6</v>
      </c>
      <c r="R1549" s="0" t="n">
        <v>5684</v>
      </c>
      <c r="S1549" s="0" t="n">
        <v>10238</v>
      </c>
      <c r="T1549" s="0" t="n">
        <v>63.4</v>
      </c>
      <c r="U1549" s="0" t="n">
        <v>1187</v>
      </c>
      <c r="V1549" s="0" t="n">
        <v>3</v>
      </c>
      <c r="W1549" s="0" t="str">
        <f aca="false">IF(OR(AND(B1549&gt;=1,B1549&lt;=6),B1549=10),"Vaca em lactação",IF(I1549="Male","Macho",IF(E1549&gt;=1,"Vaca seca",IF(I1549="Youngstock","Bezerra/recria","Novilha"))))</f>
        <v>Vaca em lactação</v>
      </c>
      <c r="X1549" s="0" t="str">
        <f aca="false">IF(AND(B1549&gt;=1,B1549&lt;=6),"Tanque",IF(B1549=10,"Descarte",""))</f>
        <v>Tanque</v>
      </c>
    </row>
    <row r="1550" customFormat="false" ht="15" hidden="false" customHeight="false" outlineLevel="0" collapsed="false">
      <c r="A1550" s="22" t="n">
        <v>46309</v>
      </c>
      <c r="B1550" s="0" t="n">
        <v>6</v>
      </c>
      <c r="C1550" s="0" t="n">
        <v>4846</v>
      </c>
      <c r="D1550" s="0" t="n">
        <v>217</v>
      </c>
      <c r="E1550" s="0" t="n">
        <v>2</v>
      </c>
      <c r="F1550" s="23" t="s">
        <v>343</v>
      </c>
      <c r="G1550" s="0" t="n">
        <v>23.4</v>
      </c>
      <c r="H1550" s="0" t="n">
        <v>22</v>
      </c>
      <c r="I1550" s="23" t="s">
        <v>92</v>
      </c>
      <c r="J1550" s="0" t="n">
        <v>179</v>
      </c>
      <c r="K1550" s="0" t="n">
        <v>63</v>
      </c>
      <c r="L1550" s="0" t="n">
        <v>38</v>
      </c>
      <c r="M1550" s="0" t="n">
        <v>714.07</v>
      </c>
      <c r="N1550" s="0" t="n">
        <v>63.92</v>
      </c>
      <c r="O1550" s="0" t="n">
        <v>48.92</v>
      </c>
      <c r="P1550" s="0" t="n">
        <v>6.56</v>
      </c>
      <c r="Q1550" s="0" t="n">
        <v>4.28</v>
      </c>
      <c r="R1550" s="0" t="n">
        <v>4112</v>
      </c>
      <c r="S1550" s="0" t="n">
        <v>7416</v>
      </c>
      <c r="T1550" s="0" t="n">
        <v>46.5</v>
      </c>
      <c r="U1550" s="0" t="n">
        <v>1192</v>
      </c>
      <c r="V1550" s="0" t="n">
        <v>4</v>
      </c>
      <c r="W1550" s="0" t="str">
        <f aca="false">IF(OR(AND(B1550&gt;=1,B1550&lt;=6),B1550=10),"Vaca em lactação",IF(I1550="Male","Macho",IF(E1550&gt;=1,"Vaca seca",IF(I1550="Youngstock","Bezerra/recria","Novilha"))))</f>
        <v>Vaca em lactação</v>
      </c>
      <c r="X1550" s="0" t="str">
        <f aca="false">IF(AND(B1550&gt;=1,B1550&lt;=6),"Tanque",IF(B1550=10,"Descarte",""))</f>
        <v>Tanque</v>
      </c>
    </row>
    <row r="1551" customFormat="false" ht="15" hidden="false" customHeight="false" outlineLevel="0" collapsed="false">
      <c r="A1551" s="22" t="n">
        <v>46309</v>
      </c>
      <c r="B1551" s="0" t="n">
        <v>6</v>
      </c>
      <c r="C1551" s="0" t="n">
        <v>4849</v>
      </c>
      <c r="D1551" s="0" t="n">
        <v>259</v>
      </c>
      <c r="E1551" s="0" t="n">
        <v>2</v>
      </c>
      <c r="F1551" s="23" t="s">
        <v>345</v>
      </c>
      <c r="G1551" s="0" t="n">
        <v>31.1</v>
      </c>
      <c r="H1551" s="0" t="n">
        <v>28</v>
      </c>
      <c r="I1551" s="23" t="s">
        <v>92</v>
      </c>
      <c r="J1551" s="0" t="n">
        <v>183</v>
      </c>
      <c r="K1551" s="0" t="n">
        <v>77</v>
      </c>
      <c r="L1551" s="0" t="n">
        <v>76</v>
      </c>
      <c r="M1551" s="0" t="n">
        <v>917.42</v>
      </c>
      <c r="N1551" s="0" t="n">
        <v>38.64</v>
      </c>
      <c r="O1551" s="0" t="n">
        <v>26.77</v>
      </c>
      <c r="P1551" s="0" t="n">
        <v>4.03</v>
      </c>
      <c r="Q1551" s="0" t="n">
        <v>3.62</v>
      </c>
      <c r="R1551" s="0" t="n">
        <v>3218</v>
      </c>
      <c r="S1551" s="0" t="n">
        <v>6454</v>
      </c>
      <c r="T1551" s="0" t="n">
        <v>35.05</v>
      </c>
      <c r="U1551" s="0" t="n">
        <v>1191</v>
      </c>
      <c r="V1551" s="0" t="n">
        <v>4</v>
      </c>
      <c r="W1551" s="0" t="str">
        <f aca="false">IF(OR(AND(B1551&gt;=1,B1551&lt;=6),B1551=10),"Vaca em lactação",IF(I1551="Male","Macho",IF(E1551&gt;=1,"Vaca seca",IF(I1551="Youngstock","Bezerra/recria","Novilha"))))</f>
        <v>Vaca em lactação</v>
      </c>
      <c r="X1551" s="0" t="str">
        <f aca="false">IF(AND(B1551&gt;=1,B1551&lt;=6),"Tanque",IF(B1551=10,"Descarte",""))</f>
        <v>Tanque</v>
      </c>
    </row>
    <row r="1552" customFormat="false" ht="15" hidden="false" customHeight="false" outlineLevel="0" collapsed="false">
      <c r="A1552" s="22" t="n">
        <v>46309</v>
      </c>
      <c r="B1552" s="0" t="n">
        <v>6</v>
      </c>
      <c r="C1552" s="0" t="n">
        <v>4900</v>
      </c>
      <c r="D1552" s="0" t="n">
        <v>211</v>
      </c>
      <c r="E1552" s="0" t="n">
        <v>2</v>
      </c>
      <c r="F1552" s="23" t="s">
        <v>347</v>
      </c>
      <c r="G1552" s="0" t="n">
        <v>30.9</v>
      </c>
      <c r="H1552" s="0" t="n">
        <v>27</v>
      </c>
      <c r="I1552" s="23" t="s">
        <v>97</v>
      </c>
      <c r="J1552" s="0" t="n">
        <v>211</v>
      </c>
      <c r="K1552" s="0" t="n">
        <v>64</v>
      </c>
      <c r="M1552" s="0" t="n">
        <v>708.22</v>
      </c>
      <c r="N1552" s="0" t="n">
        <v>46.18</v>
      </c>
      <c r="O1552" s="0" t="n">
        <v>28.6</v>
      </c>
      <c r="P1552" s="0" t="n">
        <v>5.3</v>
      </c>
      <c r="Q1552" s="0" t="n">
        <v>3.99</v>
      </c>
      <c r="R1552" s="0" t="n">
        <v>4564</v>
      </c>
      <c r="S1552" s="0" t="n">
        <v>7487</v>
      </c>
      <c r="T1552" s="0" t="n">
        <v>55.25</v>
      </c>
      <c r="U1552" s="0" t="n">
        <v>1167</v>
      </c>
      <c r="V1552" s="0" t="n">
        <v>2</v>
      </c>
      <c r="W1552" s="0" t="str">
        <f aca="false">IF(OR(AND(B1552&gt;=1,B1552&lt;=6),B1552=10),"Vaca em lactação",IF(I1552="Male","Macho",IF(E1552&gt;=1,"Vaca seca",IF(I1552="Youngstock","Bezerra/recria","Novilha"))))</f>
        <v>Vaca em lactação</v>
      </c>
      <c r="X1552" s="0" t="str">
        <f aca="false">IF(AND(B1552&gt;=1,B1552&lt;=6),"Tanque",IF(B1552=10,"Descarte",""))</f>
        <v>Tanque</v>
      </c>
    </row>
    <row r="1553" customFormat="false" ht="15" hidden="false" customHeight="false" outlineLevel="0" collapsed="false">
      <c r="A1553" s="22" t="n">
        <v>46309</v>
      </c>
      <c r="B1553" s="0" t="n">
        <v>6</v>
      </c>
      <c r="C1553" s="0" t="n">
        <v>4898</v>
      </c>
      <c r="D1553" s="0" t="n">
        <v>451</v>
      </c>
      <c r="E1553" s="0" t="n">
        <v>1</v>
      </c>
      <c r="F1553" s="23" t="s">
        <v>347</v>
      </c>
      <c r="G1553" s="0" t="n">
        <v>30.5</v>
      </c>
      <c r="H1553" s="0" t="n">
        <v>31</v>
      </c>
      <c r="I1553" s="23" t="s">
        <v>506</v>
      </c>
      <c r="J1553" s="0" t="n">
        <v>451</v>
      </c>
      <c r="K1553" s="0" t="n">
        <v>59</v>
      </c>
      <c r="M1553" s="0" t="n">
        <v>560.51</v>
      </c>
      <c r="N1553" s="0" t="n">
        <v>67.52</v>
      </c>
      <c r="O1553" s="0" t="n">
        <v>36.3</v>
      </c>
      <c r="P1553" s="0" t="n">
        <v>5.76</v>
      </c>
      <c r="Q1553" s="0" t="n">
        <v>4.09</v>
      </c>
      <c r="R1553" s="0" t="n">
        <v>2965</v>
      </c>
      <c r="S1553" s="0" t="n">
        <v>6781</v>
      </c>
      <c r="T1553" s="0" t="n">
        <v>35.15</v>
      </c>
      <c r="U1553" s="0" t="n">
        <v>1167</v>
      </c>
      <c r="V1553" s="0" t="n">
        <v>10</v>
      </c>
      <c r="W1553" s="0" t="str">
        <f aca="false">IF(OR(AND(B1553&gt;=1,B1553&lt;=6),B1553=10),"Vaca em lactação",IF(I1553="Male","Macho",IF(E1553&gt;=1,"Vaca seca",IF(I1553="Youngstock","Bezerra/recria","Novilha"))))</f>
        <v>Vaca em lactação</v>
      </c>
      <c r="X1553" s="0" t="str">
        <f aca="false">IF(AND(B1553&gt;=1,B1553&lt;=6),"Tanque",IF(B1553=10,"Descarte",""))</f>
        <v>Tanque</v>
      </c>
    </row>
    <row r="1554" customFormat="false" ht="15" hidden="false" customHeight="false" outlineLevel="0" collapsed="false">
      <c r="A1554" s="22" t="n">
        <v>46309</v>
      </c>
      <c r="B1554" s="0" t="n">
        <v>6</v>
      </c>
      <c r="C1554" s="0" t="n">
        <v>4908</v>
      </c>
      <c r="D1554" s="0" t="n">
        <v>516</v>
      </c>
      <c r="E1554" s="0" t="n">
        <v>1</v>
      </c>
      <c r="F1554" s="23" t="s">
        <v>497</v>
      </c>
      <c r="G1554" s="0" t="n">
        <v>23</v>
      </c>
      <c r="H1554" s="0" t="n">
        <v>23</v>
      </c>
      <c r="I1554" s="23" t="s">
        <v>92</v>
      </c>
      <c r="J1554" s="0" t="n">
        <v>436</v>
      </c>
      <c r="K1554" s="0" t="n">
        <v>61</v>
      </c>
      <c r="L1554" s="0" t="n">
        <v>80</v>
      </c>
      <c r="M1554" s="0" t="n">
        <v>548.74</v>
      </c>
      <c r="N1554" s="0" t="n">
        <v>60.23</v>
      </c>
      <c r="O1554" s="0" t="n">
        <v>37.99</v>
      </c>
      <c r="P1554" s="0" t="n">
        <v>6.02</v>
      </c>
      <c r="Q1554" s="0" t="n">
        <v>4.98</v>
      </c>
      <c r="R1554" s="0" t="n">
        <v>4886</v>
      </c>
      <c r="S1554" s="0" t="n">
        <v>9669</v>
      </c>
      <c r="T1554" s="0" t="n">
        <v>44.5</v>
      </c>
      <c r="U1554" s="0" t="n">
        <v>1163</v>
      </c>
      <c r="V1554" s="0" t="n">
        <v>12</v>
      </c>
      <c r="W1554" s="0" t="str">
        <f aca="false">IF(OR(AND(B1554&gt;=1,B1554&lt;=6),B1554=10),"Vaca em lactação",IF(I1554="Male","Macho",IF(E1554&gt;=1,"Vaca seca",IF(I1554="Youngstock","Bezerra/recria","Novilha"))))</f>
        <v>Vaca em lactação</v>
      </c>
      <c r="X1554" s="0" t="str">
        <f aca="false">IF(AND(B1554&gt;=1,B1554&lt;=6),"Tanque",IF(B1554=10,"Descarte",""))</f>
        <v>Tanque</v>
      </c>
    </row>
    <row r="1555" customFormat="false" ht="15" hidden="false" customHeight="false" outlineLevel="0" collapsed="false">
      <c r="A1555" s="22" t="n">
        <v>46309</v>
      </c>
      <c r="B1555" s="0" t="n">
        <v>6</v>
      </c>
      <c r="C1555" s="0" t="n">
        <v>4878</v>
      </c>
      <c r="D1555" s="0" t="n">
        <v>38</v>
      </c>
      <c r="E1555" s="0" t="n">
        <v>2</v>
      </c>
      <c r="F1555" s="23" t="s">
        <v>959</v>
      </c>
      <c r="G1555" s="0" t="n">
        <v>16.9</v>
      </c>
      <c r="H1555" s="0" t="n">
        <v>20</v>
      </c>
      <c r="I1555" s="23" t="s">
        <v>94</v>
      </c>
      <c r="J1555" s="0" t="n">
        <v>38</v>
      </c>
      <c r="M1555" s="0" t="n">
        <v>2087.42</v>
      </c>
      <c r="N1555" s="0" t="n">
        <v>13.89</v>
      </c>
      <c r="O1555" s="0" t="n">
        <v>35.07</v>
      </c>
      <c r="P1555" s="0" t="n">
        <v>3.93</v>
      </c>
      <c r="Q1555" s="0" t="n">
        <v>3.89</v>
      </c>
      <c r="R1555" s="0" t="n">
        <v>1672</v>
      </c>
      <c r="S1555" s="0" t="n">
        <v>3362</v>
      </c>
      <c r="U1555" s="0" t="n">
        <v>1177</v>
      </c>
      <c r="V1555" s="0" t="n">
        <v>0</v>
      </c>
      <c r="W1555" s="0" t="str">
        <f aca="false">IF(OR(AND(B1555&gt;=1,B1555&lt;=6),B1555=10),"Vaca em lactação",IF(I1555="Male","Macho",IF(E1555&gt;=1,"Vaca seca",IF(I1555="Youngstock","Bezerra/recria","Novilha"))))</f>
        <v>Vaca em lactação</v>
      </c>
      <c r="X1555" s="0" t="str">
        <f aca="false">IF(AND(B1555&gt;=1,B1555&lt;=6),"Tanque",IF(B1555=10,"Descarte",""))</f>
        <v>Tanque</v>
      </c>
    </row>
    <row r="1556" customFormat="false" ht="15" hidden="false" customHeight="false" outlineLevel="0" collapsed="false">
      <c r="A1556" s="22" t="n">
        <v>46309</v>
      </c>
      <c r="B1556" s="0" t="n">
        <v>6</v>
      </c>
      <c r="C1556" s="0" t="n">
        <v>4881</v>
      </c>
      <c r="D1556" s="0" t="n">
        <v>204</v>
      </c>
      <c r="E1556" s="0" t="n">
        <v>2</v>
      </c>
      <c r="F1556" s="23" t="s">
        <v>959</v>
      </c>
      <c r="G1556" s="0" t="n">
        <v>17.2</v>
      </c>
      <c r="H1556" s="0" t="n">
        <v>22</v>
      </c>
      <c r="I1556" s="23" t="s">
        <v>92</v>
      </c>
      <c r="J1556" s="0" t="n">
        <v>152</v>
      </c>
      <c r="K1556" s="0" t="n">
        <v>71</v>
      </c>
      <c r="L1556" s="0" t="n">
        <v>52</v>
      </c>
      <c r="M1556" s="0" t="n">
        <v>888.58</v>
      </c>
      <c r="N1556" s="0" t="n">
        <v>66.09</v>
      </c>
      <c r="O1556" s="0" t="n">
        <v>37.26</v>
      </c>
      <c r="P1556" s="0" t="n">
        <v>4.35</v>
      </c>
      <c r="Q1556" s="0" t="n">
        <v>3.8</v>
      </c>
      <c r="R1556" s="0" t="n">
        <v>2416</v>
      </c>
      <c r="S1556" s="0" t="n">
        <v>4877</v>
      </c>
      <c r="T1556" s="0" t="n">
        <v>27.85</v>
      </c>
      <c r="U1556" s="0" t="n">
        <v>1177</v>
      </c>
      <c r="V1556" s="0" t="n">
        <v>4</v>
      </c>
      <c r="W1556" s="0" t="str">
        <f aca="false">IF(OR(AND(B1556&gt;=1,B1556&lt;=6),B1556=10),"Vaca em lactação",IF(I1556="Male","Macho",IF(E1556&gt;=1,"Vaca seca",IF(I1556="Youngstock","Bezerra/recria","Novilha"))))</f>
        <v>Vaca em lactação</v>
      </c>
      <c r="X1556" s="0" t="str">
        <f aca="false">IF(AND(B1556&gt;=1,B1556&lt;=6),"Tanque",IF(B1556=10,"Descarte",""))</f>
        <v>Tanque</v>
      </c>
    </row>
    <row r="1557" customFormat="false" ht="15" hidden="false" customHeight="false" outlineLevel="0" collapsed="false">
      <c r="A1557" s="22" t="n">
        <v>46309</v>
      </c>
      <c r="B1557" s="0" t="n">
        <v>6</v>
      </c>
      <c r="C1557" s="0" t="n">
        <v>4272</v>
      </c>
      <c r="D1557" s="0" t="n">
        <v>37</v>
      </c>
      <c r="E1557" s="0" t="n">
        <v>3</v>
      </c>
      <c r="F1557" s="23" t="s">
        <v>504</v>
      </c>
      <c r="G1557" s="0" t="n">
        <v>26.3</v>
      </c>
      <c r="H1557" s="0" t="n">
        <v>23</v>
      </c>
      <c r="I1557" s="23" t="s">
        <v>94</v>
      </c>
      <c r="J1557" s="0" t="n">
        <v>37</v>
      </c>
      <c r="M1557" s="0" t="n">
        <v>232.9</v>
      </c>
      <c r="N1557" s="0" t="n">
        <v>58.66</v>
      </c>
      <c r="O1557" s="0" t="n">
        <v>31.79</v>
      </c>
      <c r="R1557" s="0" t="n">
        <v>1885</v>
      </c>
      <c r="S1557" s="0" t="n">
        <v>3789</v>
      </c>
      <c r="U1557" s="0" t="n">
        <v>1466</v>
      </c>
      <c r="V1557" s="0" t="n">
        <v>0</v>
      </c>
      <c r="W1557" s="0" t="str">
        <f aca="false">IF(OR(AND(B1557&gt;=1,B1557&lt;=6),B1557=10),"Vaca em lactação",IF(I1557="Male","Macho",IF(E1557&gt;=1,"Vaca seca",IF(I1557="Youngstock","Bezerra/recria","Novilha"))))</f>
        <v>Vaca em lactação</v>
      </c>
      <c r="X1557" s="0" t="str">
        <f aca="false">IF(AND(B1557&gt;=1,B1557&lt;=6),"Tanque",IF(B1557=10,"Descarte",""))</f>
        <v>Tanque</v>
      </c>
    </row>
    <row r="1558" customFormat="false" ht="15" hidden="false" customHeight="false" outlineLevel="0" collapsed="false">
      <c r="A1558" s="22" t="n">
        <v>46309</v>
      </c>
      <c r="B1558" s="0" t="n">
        <v>6</v>
      </c>
      <c r="C1558" s="0" t="n">
        <v>4285</v>
      </c>
      <c r="D1558" s="0" t="n">
        <v>306</v>
      </c>
      <c r="E1558" s="0" t="n">
        <v>2</v>
      </c>
      <c r="F1558" s="23" t="s">
        <v>505</v>
      </c>
      <c r="G1558" s="0" t="n">
        <v>20.3</v>
      </c>
      <c r="H1558" s="0" t="n">
        <v>17</v>
      </c>
      <c r="I1558" s="23" t="s">
        <v>92</v>
      </c>
      <c r="J1558" s="0" t="n">
        <v>85</v>
      </c>
      <c r="K1558" s="0" t="n">
        <v>61</v>
      </c>
      <c r="L1558" s="0" t="n">
        <v>221</v>
      </c>
      <c r="M1558" s="0" t="n">
        <v>787.32</v>
      </c>
      <c r="N1558" s="0" t="n">
        <v>53.11</v>
      </c>
      <c r="O1558" s="0" t="n">
        <v>27.85</v>
      </c>
      <c r="P1558" s="0" t="n">
        <v>4.73</v>
      </c>
      <c r="Q1558" s="0" t="n">
        <v>3.89</v>
      </c>
      <c r="R1558" s="0" t="n">
        <v>5942</v>
      </c>
      <c r="S1558" s="0" t="n">
        <v>11534</v>
      </c>
      <c r="T1558" s="0" t="n">
        <v>68.25</v>
      </c>
      <c r="U1558" s="0" t="n">
        <v>1458</v>
      </c>
      <c r="V1558" s="0" t="n">
        <v>2</v>
      </c>
      <c r="W1558" s="0" t="str">
        <f aca="false">IF(OR(AND(B1558&gt;=1,B1558&lt;=6),B1558=10),"Vaca em lactação",IF(I1558="Male","Macho",IF(E1558&gt;=1,"Vaca seca",IF(I1558="Youngstock","Bezerra/recria","Novilha"))))</f>
        <v>Vaca em lactação</v>
      </c>
      <c r="X1558" s="0" t="str">
        <f aca="false">IF(AND(B1558&gt;=1,B1558&lt;=6),"Tanque",IF(B1558=10,"Descarte",""))</f>
        <v>Tanque</v>
      </c>
    </row>
    <row r="1559" customFormat="false" ht="15" hidden="false" customHeight="false" outlineLevel="0" collapsed="false">
      <c r="A1559" s="22" t="n">
        <v>46309</v>
      </c>
      <c r="B1559" s="0" t="n">
        <v>6</v>
      </c>
      <c r="C1559" s="0" t="n">
        <v>4236</v>
      </c>
      <c r="D1559" s="0" t="n">
        <v>393</v>
      </c>
      <c r="E1559" s="0" t="n">
        <v>2</v>
      </c>
      <c r="F1559" s="23" t="s">
        <v>841</v>
      </c>
      <c r="G1559" s="0" t="n">
        <v>16.5</v>
      </c>
      <c r="H1559" s="0" t="n">
        <v>16</v>
      </c>
      <c r="I1559" s="23" t="s">
        <v>92</v>
      </c>
      <c r="J1559" s="0" t="n">
        <v>176</v>
      </c>
      <c r="K1559" s="0" t="n">
        <v>64</v>
      </c>
      <c r="L1559" s="0" t="n">
        <v>217</v>
      </c>
      <c r="M1559" s="0" t="n">
        <v>544.67</v>
      </c>
      <c r="N1559" s="0" t="n">
        <v>67.75</v>
      </c>
      <c r="O1559" s="0" t="n">
        <v>25.21</v>
      </c>
      <c r="P1559" s="0" t="n">
        <v>4.78</v>
      </c>
      <c r="Q1559" s="0" t="n">
        <v>4</v>
      </c>
      <c r="R1559" s="0" t="n">
        <v>7304</v>
      </c>
      <c r="S1559" s="0" t="n">
        <v>14144</v>
      </c>
      <c r="T1559" s="0" t="n">
        <v>78.85</v>
      </c>
      <c r="U1559" s="0" t="n">
        <v>1487</v>
      </c>
      <c r="V1559" s="0" t="n">
        <v>3</v>
      </c>
      <c r="W1559" s="0" t="str">
        <f aca="false">IF(OR(AND(B1559&gt;=1,B1559&lt;=6),B1559=10),"Vaca em lactação",IF(I1559="Male","Macho",IF(E1559&gt;=1,"Vaca seca",IF(I1559="Youngstock","Bezerra/recria","Novilha"))))</f>
        <v>Vaca em lactação</v>
      </c>
      <c r="X1559" s="0" t="str">
        <f aca="false">IF(AND(B1559&gt;=1,B1559&lt;=6),"Tanque",IF(B1559=10,"Descarte",""))</f>
        <v>Tanque</v>
      </c>
    </row>
    <row r="1560" customFormat="false" ht="15" hidden="false" customHeight="false" outlineLevel="0" collapsed="false">
      <c r="A1560" s="22" t="n">
        <v>46309</v>
      </c>
      <c r="B1560" s="0" t="n">
        <v>6</v>
      </c>
      <c r="C1560" s="0" t="n">
        <v>4333</v>
      </c>
      <c r="D1560" s="0" t="n">
        <v>46</v>
      </c>
      <c r="E1560" s="0" t="n">
        <v>2</v>
      </c>
      <c r="F1560" s="23" t="s">
        <v>509</v>
      </c>
      <c r="I1560" s="23" t="s">
        <v>94</v>
      </c>
      <c r="J1560" s="0" t="n">
        <v>46</v>
      </c>
      <c r="M1560" s="0" t="n">
        <v>293.22</v>
      </c>
      <c r="N1560" s="0" t="n">
        <v>72.59</v>
      </c>
      <c r="O1560" s="0" t="n">
        <v>26.09</v>
      </c>
      <c r="P1560" s="0" t="n">
        <v>5.63</v>
      </c>
      <c r="Q1560" s="0" t="n">
        <v>3.28</v>
      </c>
      <c r="R1560" s="0" t="n">
        <v>3854</v>
      </c>
      <c r="S1560" s="0" t="n">
        <v>7748</v>
      </c>
      <c r="U1560" s="0" t="n">
        <v>1431</v>
      </c>
      <c r="V1560" s="0" t="n">
        <v>0</v>
      </c>
      <c r="W1560" s="0" t="str">
        <f aca="false">IF(OR(AND(B1560&gt;=1,B1560&lt;=6),B1560=10),"Vaca em lactação",IF(I1560="Male","Macho",IF(E1560&gt;=1,"Vaca seca",IF(I1560="Youngstock","Bezerra/recria","Novilha"))))</f>
        <v>Vaca em lactação</v>
      </c>
      <c r="X1560" s="0" t="str">
        <f aca="false">IF(AND(B1560&gt;=1,B1560&lt;=6),"Tanque",IF(B1560=10,"Descarte",""))</f>
        <v>Tanque</v>
      </c>
    </row>
    <row r="1561" customFormat="false" ht="15" hidden="false" customHeight="false" outlineLevel="0" collapsed="false">
      <c r="A1561" s="22" t="n">
        <v>46309</v>
      </c>
      <c r="B1561" s="0" t="n">
        <v>6</v>
      </c>
      <c r="C1561" s="0" t="n">
        <v>4337</v>
      </c>
      <c r="D1561" s="0" t="n">
        <v>433</v>
      </c>
      <c r="E1561" s="0" t="n">
        <v>2</v>
      </c>
      <c r="F1561" s="23" t="s">
        <v>960</v>
      </c>
      <c r="G1561" s="0" t="n">
        <v>20.6</v>
      </c>
      <c r="H1561" s="0" t="n">
        <v>17</v>
      </c>
      <c r="I1561" s="23" t="s">
        <v>92</v>
      </c>
      <c r="J1561" s="0" t="n">
        <v>314</v>
      </c>
      <c r="K1561" s="0" t="n">
        <v>62</v>
      </c>
      <c r="L1561" s="0" t="n">
        <v>119</v>
      </c>
      <c r="M1561" s="0" t="n">
        <v>614.26</v>
      </c>
      <c r="N1561" s="0" t="n">
        <v>43.2</v>
      </c>
      <c r="O1561" s="0" t="n">
        <v>26.37</v>
      </c>
      <c r="P1561" s="0" t="n">
        <v>4.19</v>
      </c>
      <c r="Q1561" s="0" t="n">
        <v>3.92</v>
      </c>
      <c r="R1561" s="0" t="n">
        <v>2962</v>
      </c>
      <c r="S1561" s="0" t="n">
        <v>6022</v>
      </c>
      <c r="T1561" s="0" t="n">
        <v>35.9</v>
      </c>
      <c r="U1561" s="0" t="n">
        <v>1430</v>
      </c>
      <c r="V1561" s="0" t="n">
        <v>6</v>
      </c>
      <c r="W1561" s="0" t="str">
        <f aca="false">IF(OR(AND(B1561&gt;=1,B1561&lt;=6),B1561=10),"Vaca em lactação",IF(I1561="Male","Macho",IF(E1561&gt;=1,"Vaca seca",IF(I1561="Youngstock","Bezerra/recria","Novilha"))))</f>
        <v>Vaca em lactação</v>
      </c>
      <c r="X1561" s="0" t="str">
        <f aca="false">IF(AND(B1561&gt;=1,B1561&lt;=6),"Tanque",IF(B1561=10,"Descarte",""))</f>
        <v>Tanque</v>
      </c>
    </row>
    <row r="1562" customFormat="false" ht="15" hidden="false" customHeight="false" outlineLevel="0" collapsed="false">
      <c r="A1562" s="22" t="n">
        <v>46309</v>
      </c>
      <c r="B1562" s="0" t="n">
        <v>6</v>
      </c>
      <c r="C1562" s="0" t="n">
        <v>4336</v>
      </c>
      <c r="D1562" s="0" t="n">
        <v>223</v>
      </c>
      <c r="E1562" s="0" t="n">
        <v>2</v>
      </c>
      <c r="F1562" s="23" t="s">
        <v>960</v>
      </c>
      <c r="G1562" s="0" t="n">
        <v>25.2</v>
      </c>
      <c r="H1562" s="0" t="n">
        <v>25</v>
      </c>
      <c r="I1562" s="23" t="s">
        <v>506</v>
      </c>
      <c r="J1562" s="0" t="n">
        <v>223</v>
      </c>
      <c r="K1562" s="0" t="n">
        <v>69</v>
      </c>
      <c r="M1562" s="0" t="n">
        <v>1091.4</v>
      </c>
      <c r="N1562" s="0" t="n">
        <v>48.99</v>
      </c>
      <c r="O1562" s="0" t="n">
        <v>46.45</v>
      </c>
      <c r="P1562" s="0" t="n">
        <v>4.5</v>
      </c>
      <c r="Q1562" s="0" t="n">
        <v>3.77</v>
      </c>
      <c r="R1562" s="0" t="n">
        <v>4024</v>
      </c>
      <c r="S1562" s="0" t="n">
        <v>7015</v>
      </c>
      <c r="T1562" s="0" t="n">
        <v>42.7</v>
      </c>
      <c r="U1562" s="0" t="n">
        <v>1430</v>
      </c>
      <c r="V1562" s="0" t="n">
        <v>2</v>
      </c>
      <c r="W1562" s="0" t="str">
        <f aca="false">IF(OR(AND(B1562&gt;=1,B1562&lt;=6),B1562=10),"Vaca em lactação",IF(I1562="Male","Macho",IF(E1562&gt;=1,"Vaca seca",IF(I1562="Youngstock","Bezerra/recria","Novilha"))))</f>
        <v>Vaca em lactação</v>
      </c>
      <c r="X1562" s="0" t="str">
        <f aca="false">IF(AND(B1562&gt;=1,B1562&lt;=6),"Tanque",IF(B1562=10,"Descarte",""))</f>
        <v>Tanque</v>
      </c>
    </row>
    <row r="1563" customFormat="false" ht="15" hidden="false" customHeight="false" outlineLevel="0" collapsed="false">
      <c r="A1563" s="22" t="n">
        <v>46309</v>
      </c>
      <c r="B1563" s="0" t="n">
        <v>6</v>
      </c>
      <c r="C1563" s="0" t="n">
        <v>4335</v>
      </c>
      <c r="D1563" s="0" t="n">
        <v>628</v>
      </c>
      <c r="E1563" s="0" t="n">
        <v>1</v>
      </c>
      <c r="F1563" s="23" t="s">
        <v>960</v>
      </c>
      <c r="H1563" s="0" t="n">
        <v>16</v>
      </c>
      <c r="I1563" s="23" t="s">
        <v>506</v>
      </c>
      <c r="J1563" s="0" t="n">
        <v>628</v>
      </c>
      <c r="K1563" s="0" t="n">
        <v>83</v>
      </c>
      <c r="M1563" s="0" t="n">
        <v>518.83</v>
      </c>
      <c r="N1563" s="0" t="n">
        <v>49.53</v>
      </c>
      <c r="O1563" s="0" t="n">
        <v>25.33</v>
      </c>
      <c r="P1563" s="0" t="n">
        <v>5.1</v>
      </c>
      <c r="Q1563" s="0" t="n">
        <v>4.2</v>
      </c>
      <c r="R1563" s="0" t="n">
        <v>2442</v>
      </c>
      <c r="S1563" s="0" t="n">
        <v>4684</v>
      </c>
      <c r="T1563" s="0" t="n">
        <v>38.35</v>
      </c>
      <c r="U1563" s="0" t="n">
        <v>1430</v>
      </c>
      <c r="V1563" s="0" t="n">
        <v>6</v>
      </c>
      <c r="W1563" s="0" t="str">
        <f aca="false">IF(OR(AND(B1563&gt;=1,B1563&lt;=6),B1563=10),"Vaca em lactação",IF(I1563="Male","Macho",IF(E1563&gt;=1,"Vaca seca",IF(I1563="Youngstock","Bezerra/recria","Novilha"))))</f>
        <v>Vaca em lactação</v>
      </c>
      <c r="X1563" s="0" t="str">
        <f aca="false">IF(AND(B1563&gt;=1,B1563&lt;=6),"Tanque",IF(B1563=10,"Descarte",""))</f>
        <v>Tanque</v>
      </c>
    </row>
    <row r="1564" customFormat="false" ht="15" hidden="false" customHeight="false" outlineLevel="0" collapsed="false">
      <c r="A1564" s="22" t="n">
        <v>46309</v>
      </c>
      <c r="B1564" s="0" t="n">
        <v>6</v>
      </c>
      <c r="C1564" s="0" t="n">
        <v>4302</v>
      </c>
      <c r="D1564" s="0" t="n">
        <v>323</v>
      </c>
      <c r="E1564" s="0" t="n">
        <v>2</v>
      </c>
      <c r="F1564" s="23" t="s">
        <v>846</v>
      </c>
      <c r="H1564" s="0" t="n">
        <v>23</v>
      </c>
      <c r="I1564" s="23" t="s">
        <v>92</v>
      </c>
      <c r="J1564" s="0" t="n">
        <v>268</v>
      </c>
      <c r="K1564" s="0" t="n">
        <v>64</v>
      </c>
      <c r="L1564" s="0" t="n">
        <v>55</v>
      </c>
      <c r="M1564" s="0" t="n">
        <v>242.61</v>
      </c>
      <c r="N1564" s="0" t="n">
        <v>66.09</v>
      </c>
      <c r="O1564" s="0" t="n">
        <v>22.81</v>
      </c>
      <c r="P1564" s="0" t="n">
        <v>6.88</v>
      </c>
      <c r="Q1564" s="0" t="n">
        <v>4.86</v>
      </c>
      <c r="R1564" s="0" t="n">
        <v>2584</v>
      </c>
      <c r="S1564" s="0" t="n">
        <v>5498</v>
      </c>
      <c r="T1564" s="0" t="n">
        <v>25.95</v>
      </c>
      <c r="U1564" s="0" t="n">
        <v>1446</v>
      </c>
      <c r="V1564" s="0" t="n">
        <v>3</v>
      </c>
      <c r="W1564" s="0" t="str">
        <f aca="false">IF(OR(AND(B1564&gt;=1,B1564&lt;=6),B1564=10),"Vaca em lactação",IF(I1564="Male","Macho",IF(E1564&gt;=1,"Vaca seca",IF(I1564="Youngstock","Bezerra/recria","Novilha"))))</f>
        <v>Vaca em lactação</v>
      </c>
      <c r="X1564" s="0" t="str">
        <f aca="false">IF(AND(B1564&gt;=1,B1564&lt;=6),"Tanque",IF(B1564=10,"Descarte",""))</f>
        <v>Tanque</v>
      </c>
    </row>
    <row r="1565" customFormat="false" ht="15" hidden="false" customHeight="false" outlineLevel="0" collapsed="false">
      <c r="A1565" s="22" t="n">
        <v>46309</v>
      </c>
      <c r="B1565" s="0" t="n">
        <v>6</v>
      </c>
      <c r="C1565" s="0" t="n">
        <v>4326</v>
      </c>
      <c r="D1565" s="0" t="n">
        <v>440</v>
      </c>
      <c r="E1565" s="0" t="n">
        <v>2</v>
      </c>
      <c r="F1565" s="23" t="s">
        <v>371</v>
      </c>
      <c r="H1565" s="0" t="n">
        <v>21</v>
      </c>
      <c r="I1565" s="23" t="s">
        <v>92</v>
      </c>
      <c r="J1565" s="0" t="n">
        <v>240</v>
      </c>
      <c r="K1565" s="0" t="n">
        <v>154</v>
      </c>
      <c r="L1565" s="0" t="n">
        <v>200</v>
      </c>
      <c r="M1565" s="0" t="n">
        <v>303.22</v>
      </c>
      <c r="N1565" s="0" t="n">
        <v>34.51</v>
      </c>
      <c r="O1565" s="0" t="n">
        <v>25.84</v>
      </c>
      <c r="P1565" s="0" t="n">
        <v>5.4</v>
      </c>
      <c r="Q1565" s="0" t="n">
        <v>4.64</v>
      </c>
      <c r="R1565" s="0" t="n">
        <v>3940</v>
      </c>
      <c r="S1565" s="0" t="n">
        <v>8099</v>
      </c>
      <c r="T1565" s="0" t="n">
        <v>47.2</v>
      </c>
      <c r="U1565" s="0" t="n">
        <v>1434</v>
      </c>
      <c r="V1565" s="0" t="n">
        <v>5</v>
      </c>
      <c r="W1565" s="0" t="str">
        <f aca="false">IF(OR(AND(B1565&gt;=1,B1565&lt;=6),B1565=10),"Vaca em lactação",IF(I1565="Male","Macho",IF(E1565&gt;=1,"Vaca seca",IF(I1565="Youngstock","Bezerra/recria","Novilha"))))</f>
        <v>Vaca em lactação</v>
      </c>
      <c r="X1565" s="0" t="str">
        <f aca="false">IF(AND(B1565&gt;=1,B1565&lt;=6),"Tanque",IF(B1565=10,"Descarte",""))</f>
        <v>Tanque</v>
      </c>
    </row>
    <row r="1566" customFormat="false" ht="15" hidden="false" customHeight="false" outlineLevel="0" collapsed="false">
      <c r="A1566" s="22" t="n">
        <v>46309</v>
      </c>
      <c r="B1566" s="0" t="n">
        <v>6</v>
      </c>
      <c r="C1566" s="0" t="n">
        <v>4099</v>
      </c>
      <c r="D1566" s="0" t="n">
        <v>204</v>
      </c>
      <c r="E1566" s="0" t="n">
        <v>3</v>
      </c>
      <c r="F1566" s="23" t="s">
        <v>849</v>
      </c>
      <c r="G1566" s="0" t="n">
        <v>29</v>
      </c>
      <c r="H1566" s="0" t="n">
        <v>25</v>
      </c>
      <c r="I1566" s="23" t="s">
        <v>109</v>
      </c>
      <c r="J1566" s="0" t="n">
        <v>204</v>
      </c>
      <c r="K1566" s="0" t="n">
        <v>71</v>
      </c>
      <c r="M1566" s="0" t="n">
        <v>1145.34</v>
      </c>
      <c r="N1566" s="0" t="n">
        <v>43.83</v>
      </c>
      <c r="O1566" s="0" t="n">
        <v>33.05</v>
      </c>
      <c r="P1566" s="0" t="n">
        <v>5.2</v>
      </c>
      <c r="Q1566" s="0" t="n">
        <v>3.65</v>
      </c>
      <c r="R1566" s="0" t="n">
        <v>2691</v>
      </c>
      <c r="S1566" s="0" t="n">
        <v>5560</v>
      </c>
      <c r="T1566" s="0" t="n">
        <v>30.9</v>
      </c>
      <c r="U1566" s="0" t="n">
        <v>1548</v>
      </c>
      <c r="V1566" s="0" t="n">
        <v>6</v>
      </c>
      <c r="W1566" s="0" t="str">
        <f aca="false">IF(OR(AND(B1566&gt;=1,B1566&lt;=6),B1566=10),"Vaca em lactação",IF(I1566="Male","Macho",IF(E1566&gt;=1,"Vaca seca",IF(I1566="Youngstock","Bezerra/recria","Novilha"))))</f>
        <v>Vaca em lactação</v>
      </c>
      <c r="X1566" s="0" t="str">
        <f aca="false">IF(AND(B1566&gt;=1,B1566&lt;=6),"Tanque",IF(B1566=10,"Descarte",""))</f>
        <v>Tanque</v>
      </c>
    </row>
    <row r="1567" customFormat="false" ht="15" hidden="false" customHeight="false" outlineLevel="0" collapsed="false">
      <c r="A1567" s="22" t="n">
        <v>46309</v>
      </c>
      <c r="B1567" s="0" t="n">
        <v>6</v>
      </c>
      <c r="C1567" s="0" t="n">
        <v>4095</v>
      </c>
      <c r="D1567" s="0" t="n">
        <v>898</v>
      </c>
      <c r="E1567" s="0" t="n">
        <v>1</v>
      </c>
      <c r="F1567" s="23" t="s">
        <v>961</v>
      </c>
      <c r="G1567" s="0" t="n">
        <v>7.6</v>
      </c>
      <c r="H1567" s="0" t="n">
        <v>13</v>
      </c>
      <c r="I1567" s="23" t="s">
        <v>92</v>
      </c>
      <c r="J1567" s="0" t="n">
        <v>863</v>
      </c>
      <c r="K1567" s="0" t="n">
        <v>115</v>
      </c>
      <c r="L1567" s="0" t="n">
        <v>35</v>
      </c>
      <c r="M1567" s="0" t="n">
        <v>930.84</v>
      </c>
      <c r="N1567" s="0" t="n">
        <v>70.71</v>
      </c>
      <c r="O1567" s="0" t="n">
        <v>40.33</v>
      </c>
      <c r="P1567" s="0" t="n">
        <v>6.24</v>
      </c>
      <c r="Q1567" s="0" t="n">
        <v>4.92</v>
      </c>
      <c r="R1567" s="0" t="n">
        <v>3552</v>
      </c>
      <c r="S1567" s="0" t="n">
        <v>7780</v>
      </c>
      <c r="T1567" s="0" t="n">
        <v>40.65</v>
      </c>
      <c r="U1567" s="0" t="n">
        <v>1551</v>
      </c>
      <c r="V1567" s="0" t="n">
        <v>11</v>
      </c>
      <c r="W1567" s="0" t="str">
        <f aca="false">IF(OR(AND(B1567&gt;=1,B1567&lt;=6),B1567=10),"Vaca em lactação",IF(I1567="Male","Macho",IF(E1567&gt;=1,"Vaca seca",IF(I1567="Youngstock","Bezerra/recria","Novilha"))))</f>
        <v>Vaca em lactação</v>
      </c>
      <c r="X1567" s="0" t="str">
        <f aca="false">IF(AND(B1567&gt;=1,B1567&lt;=6),"Tanque",IF(B1567=10,"Descarte",""))</f>
        <v>Tanque</v>
      </c>
    </row>
    <row r="1568" customFormat="false" ht="15" hidden="false" customHeight="false" outlineLevel="0" collapsed="false">
      <c r="A1568" s="22" t="n">
        <v>46309</v>
      </c>
      <c r="B1568" s="0" t="n">
        <v>6</v>
      </c>
      <c r="C1568" s="0" t="n">
        <v>4115</v>
      </c>
      <c r="D1568" s="0" t="n">
        <v>502</v>
      </c>
      <c r="E1568" s="0" t="n">
        <v>2</v>
      </c>
      <c r="F1568" s="23" t="s">
        <v>962</v>
      </c>
      <c r="I1568" s="23" t="s">
        <v>506</v>
      </c>
      <c r="J1568" s="0" t="n">
        <v>502</v>
      </c>
      <c r="K1568" s="0" t="n">
        <v>61</v>
      </c>
      <c r="M1568" s="0" t="n">
        <v>1234.69</v>
      </c>
      <c r="N1568" s="0" t="n">
        <v>33.15</v>
      </c>
      <c r="O1568" s="0" t="n">
        <v>34.98</v>
      </c>
      <c r="P1568" s="0" t="n">
        <v>4.21</v>
      </c>
      <c r="Q1568" s="0" t="n">
        <v>3.62</v>
      </c>
      <c r="R1568" s="0" t="n">
        <v>5436</v>
      </c>
      <c r="S1568" s="0" t="n">
        <v>10144</v>
      </c>
      <c r="T1568" s="0" t="n">
        <v>56.45</v>
      </c>
      <c r="U1568" s="0" t="n">
        <v>1538</v>
      </c>
      <c r="V1568" s="0" t="n">
        <v>6</v>
      </c>
      <c r="W1568" s="0" t="str">
        <f aca="false">IF(OR(AND(B1568&gt;=1,B1568&lt;=6),B1568=10),"Vaca em lactação",IF(I1568="Male","Macho",IF(E1568&gt;=1,"Vaca seca",IF(I1568="Youngstock","Bezerra/recria","Novilha"))))</f>
        <v>Vaca em lactação</v>
      </c>
      <c r="X1568" s="0" t="str">
        <f aca="false">IF(AND(B1568&gt;=1,B1568&lt;=6),"Tanque",IF(B1568=10,"Descarte",""))</f>
        <v>Tanque</v>
      </c>
    </row>
    <row r="1569" customFormat="false" ht="15" hidden="false" customHeight="false" outlineLevel="0" collapsed="false">
      <c r="A1569" s="22" t="n">
        <v>46309</v>
      </c>
      <c r="B1569" s="0" t="n">
        <v>6</v>
      </c>
      <c r="C1569" s="0" t="n">
        <v>4120</v>
      </c>
      <c r="D1569" s="0" t="n">
        <v>379</v>
      </c>
      <c r="E1569" s="0" t="n">
        <v>2</v>
      </c>
      <c r="F1569" s="23" t="s">
        <v>379</v>
      </c>
      <c r="G1569" s="0" t="n">
        <v>5.1</v>
      </c>
      <c r="H1569" s="0" t="n">
        <v>10</v>
      </c>
      <c r="I1569" s="23" t="s">
        <v>92</v>
      </c>
      <c r="J1569" s="0" t="n">
        <v>226</v>
      </c>
      <c r="K1569" s="0" t="n">
        <v>64</v>
      </c>
      <c r="L1569" s="0" t="n">
        <v>153</v>
      </c>
      <c r="M1569" s="0" t="n">
        <v>1117.19</v>
      </c>
      <c r="N1569" s="0" t="n">
        <v>53.86</v>
      </c>
      <c r="O1569" s="0" t="n">
        <v>35.8</v>
      </c>
      <c r="P1569" s="0" t="n">
        <v>4.36</v>
      </c>
      <c r="Q1569" s="0" t="n">
        <v>3.72</v>
      </c>
      <c r="R1569" s="0" t="n">
        <v>6944</v>
      </c>
      <c r="S1569" s="0" t="n">
        <v>12946</v>
      </c>
      <c r="T1569" s="0" t="n">
        <v>73.55</v>
      </c>
      <c r="U1569" s="0" t="n">
        <v>1537</v>
      </c>
      <c r="V1569" s="0" t="n">
        <v>6</v>
      </c>
      <c r="W1569" s="0" t="str">
        <f aca="false">IF(OR(AND(B1569&gt;=1,B1569&lt;=6),B1569=10),"Vaca em lactação",IF(I1569="Male","Macho",IF(E1569&gt;=1,"Vaca seca",IF(I1569="Youngstock","Bezerra/recria","Novilha"))))</f>
        <v>Vaca em lactação</v>
      </c>
      <c r="X1569" s="0" t="str">
        <f aca="false">IF(AND(B1569&gt;=1,B1569&lt;=6),"Tanque",IF(B1569=10,"Descarte",""))</f>
        <v>Tanque</v>
      </c>
    </row>
    <row r="1570" customFormat="false" ht="15" hidden="false" customHeight="false" outlineLevel="0" collapsed="false">
      <c r="A1570" s="22" t="n">
        <v>46309</v>
      </c>
      <c r="B1570" s="0" t="n">
        <v>6</v>
      </c>
      <c r="C1570" s="0" t="n">
        <v>4194</v>
      </c>
      <c r="D1570" s="0" t="n">
        <v>136</v>
      </c>
      <c r="E1570" s="0" t="n">
        <v>3</v>
      </c>
      <c r="F1570" s="23" t="s">
        <v>963</v>
      </c>
      <c r="G1570" s="0" t="n">
        <v>26.6</v>
      </c>
      <c r="H1570" s="0" t="n">
        <v>27</v>
      </c>
      <c r="I1570" s="23" t="s">
        <v>97</v>
      </c>
      <c r="J1570" s="0" t="n">
        <v>136</v>
      </c>
      <c r="K1570" s="0" t="n">
        <v>73</v>
      </c>
      <c r="M1570" s="0" t="n">
        <v>864.4</v>
      </c>
      <c r="N1570" s="0" t="n">
        <v>74.21</v>
      </c>
      <c r="O1570" s="0" t="n">
        <v>39.82</v>
      </c>
      <c r="P1570" s="0" t="n">
        <v>6.21</v>
      </c>
      <c r="Q1570" s="0" t="n">
        <v>4.47</v>
      </c>
      <c r="R1570" s="0" t="n">
        <v>2297</v>
      </c>
      <c r="S1570" s="0" t="n">
        <v>4801</v>
      </c>
      <c r="T1570" s="0" t="n">
        <v>24.4</v>
      </c>
      <c r="U1570" s="0" t="n">
        <v>1505</v>
      </c>
      <c r="V1570" s="0" t="n">
        <v>2</v>
      </c>
      <c r="W1570" s="0" t="str">
        <f aca="false">IF(OR(AND(B1570&gt;=1,B1570&lt;=6),B1570=10),"Vaca em lactação",IF(I1570="Male","Macho",IF(E1570&gt;=1,"Vaca seca",IF(I1570="Youngstock","Bezerra/recria","Novilha"))))</f>
        <v>Vaca em lactação</v>
      </c>
      <c r="X1570" s="0" t="str">
        <f aca="false">IF(AND(B1570&gt;=1,B1570&lt;=6),"Tanque",IF(B1570=10,"Descarte",""))</f>
        <v>Tanque</v>
      </c>
    </row>
    <row r="1571" customFormat="false" ht="15" hidden="false" customHeight="false" outlineLevel="0" collapsed="false">
      <c r="A1571" s="22" t="n">
        <v>46309</v>
      </c>
      <c r="B1571" s="0" t="n">
        <v>6</v>
      </c>
      <c r="C1571" s="0" t="n">
        <v>4212</v>
      </c>
      <c r="D1571" s="0" t="n">
        <v>280</v>
      </c>
      <c r="E1571" s="0" t="n">
        <v>2</v>
      </c>
      <c r="F1571" s="23" t="s">
        <v>380</v>
      </c>
      <c r="G1571" s="0" t="n">
        <v>20.1</v>
      </c>
      <c r="H1571" s="0" t="n">
        <v>18</v>
      </c>
      <c r="I1571" s="23" t="s">
        <v>92</v>
      </c>
      <c r="J1571" s="0" t="n">
        <v>231</v>
      </c>
      <c r="K1571" s="0" t="n">
        <v>70</v>
      </c>
      <c r="L1571" s="0" t="n">
        <v>49</v>
      </c>
      <c r="M1571" s="0" t="n">
        <v>114.85</v>
      </c>
      <c r="N1571" s="0" t="n">
        <v>59.06</v>
      </c>
      <c r="O1571" s="0" t="n">
        <v>24.18</v>
      </c>
      <c r="P1571" s="0" t="n">
        <v>5.05</v>
      </c>
      <c r="Q1571" s="0" t="n">
        <v>4.06</v>
      </c>
      <c r="R1571" s="0" t="n">
        <v>3261</v>
      </c>
      <c r="S1571" s="0" t="n">
        <v>5730</v>
      </c>
      <c r="T1571" s="0" t="n">
        <v>35.9</v>
      </c>
      <c r="U1571" s="0" t="n">
        <v>1495</v>
      </c>
      <c r="V1571" s="0" t="n">
        <v>4</v>
      </c>
      <c r="W1571" s="0" t="str">
        <f aca="false">IF(OR(AND(B1571&gt;=1,B1571&lt;=6),B1571=10),"Vaca em lactação",IF(I1571="Male","Macho",IF(E1571&gt;=1,"Vaca seca",IF(I1571="Youngstock","Bezerra/recria","Novilha"))))</f>
        <v>Vaca em lactação</v>
      </c>
      <c r="X1571" s="0" t="str">
        <f aca="false">IF(AND(B1571&gt;=1,B1571&lt;=6),"Tanque",IF(B1571=10,"Descarte",""))</f>
        <v>Tanque</v>
      </c>
    </row>
    <row r="1572" customFormat="false" ht="15" hidden="false" customHeight="false" outlineLevel="0" collapsed="false">
      <c r="A1572" s="22" t="n">
        <v>46309</v>
      </c>
      <c r="B1572" s="0" t="n">
        <v>6</v>
      </c>
      <c r="C1572" s="0" t="n">
        <v>4219</v>
      </c>
      <c r="D1572" s="0" t="n">
        <v>112</v>
      </c>
      <c r="E1572" s="0" t="n">
        <v>3</v>
      </c>
      <c r="F1572" s="23" t="s">
        <v>517</v>
      </c>
      <c r="H1572" s="0" t="n">
        <v>17</v>
      </c>
      <c r="I1572" s="23" t="s">
        <v>97</v>
      </c>
      <c r="J1572" s="0" t="n">
        <v>112</v>
      </c>
      <c r="K1572" s="0" t="n">
        <v>63</v>
      </c>
      <c r="M1572" s="0" t="n">
        <v>326.46</v>
      </c>
      <c r="N1572" s="0" t="n">
        <v>21.46</v>
      </c>
      <c r="O1572" s="0" t="n">
        <v>14.53</v>
      </c>
      <c r="P1572" s="0" t="n">
        <v>5.31</v>
      </c>
      <c r="Q1572" s="0" t="n">
        <v>4.14</v>
      </c>
      <c r="R1572" s="0" t="n">
        <v>2197</v>
      </c>
      <c r="S1572" s="0" t="n">
        <v>4315</v>
      </c>
      <c r="T1572" s="0" t="n">
        <v>20.75</v>
      </c>
      <c r="U1572" s="0" t="n">
        <v>1494</v>
      </c>
      <c r="V1572" s="0" t="n">
        <v>3</v>
      </c>
      <c r="W1572" s="0" t="str">
        <f aca="false">IF(OR(AND(B1572&gt;=1,B1572&lt;=6),B1572=10),"Vaca em lactação",IF(I1572="Male","Macho",IF(E1572&gt;=1,"Vaca seca",IF(I1572="Youngstock","Bezerra/recria","Novilha"))))</f>
        <v>Vaca em lactação</v>
      </c>
      <c r="X1572" s="0" t="str">
        <f aca="false">IF(AND(B1572&gt;=1,B1572&lt;=6),"Tanque",IF(B1572=10,"Descarte",""))</f>
        <v>Tanque</v>
      </c>
    </row>
    <row r="1573" customFormat="false" ht="15" hidden="false" customHeight="false" outlineLevel="0" collapsed="false">
      <c r="A1573" s="22" t="n">
        <v>46309</v>
      </c>
      <c r="B1573" s="0" t="n">
        <v>6</v>
      </c>
      <c r="C1573" s="0" t="n">
        <v>4159</v>
      </c>
      <c r="D1573" s="0" t="n">
        <v>361</v>
      </c>
      <c r="E1573" s="0" t="n">
        <v>2</v>
      </c>
      <c r="F1573" s="23" t="s">
        <v>374</v>
      </c>
      <c r="G1573" s="0" t="n">
        <v>26.2</v>
      </c>
      <c r="H1573" s="0" t="n">
        <v>21</v>
      </c>
      <c r="I1573" s="23" t="s">
        <v>92</v>
      </c>
      <c r="J1573" s="0" t="n">
        <v>312</v>
      </c>
      <c r="K1573" s="0" t="n">
        <v>68</v>
      </c>
      <c r="L1573" s="0" t="n">
        <v>49</v>
      </c>
      <c r="M1573" s="0" t="n">
        <v>307.64</v>
      </c>
      <c r="N1573" s="0" t="n">
        <v>32.87</v>
      </c>
      <c r="O1573" s="0" t="n">
        <v>23.75</v>
      </c>
      <c r="P1573" s="0" t="n">
        <v>4.96</v>
      </c>
      <c r="Q1573" s="0" t="n">
        <v>4.12</v>
      </c>
      <c r="R1573" s="0" t="n">
        <v>3485</v>
      </c>
      <c r="S1573" s="0" t="n">
        <v>8401</v>
      </c>
      <c r="T1573" s="0" t="n">
        <v>41.75</v>
      </c>
      <c r="U1573" s="0" t="n">
        <v>1523</v>
      </c>
      <c r="V1573" s="0" t="n">
        <v>6</v>
      </c>
      <c r="W1573" s="0" t="str">
        <f aca="false">IF(OR(AND(B1573&gt;=1,B1573&lt;=6),B1573=10),"Vaca em lactação",IF(I1573="Male","Macho",IF(E1573&gt;=1,"Vaca seca",IF(I1573="Youngstock","Bezerra/recria","Novilha"))))</f>
        <v>Vaca em lactação</v>
      </c>
      <c r="X1573" s="0" t="str">
        <f aca="false">IF(AND(B1573&gt;=1,B1573&lt;=6),"Tanque",IF(B1573=10,"Descarte",""))</f>
        <v>Tanque</v>
      </c>
    </row>
    <row r="1574" customFormat="false" ht="15" hidden="false" customHeight="false" outlineLevel="0" collapsed="false">
      <c r="A1574" s="22" t="n">
        <v>46309</v>
      </c>
      <c r="B1574" s="0" t="n">
        <v>6</v>
      </c>
      <c r="C1574" s="0" t="n">
        <v>4173</v>
      </c>
      <c r="D1574" s="0" t="n">
        <v>161</v>
      </c>
      <c r="E1574" s="0" t="n">
        <v>3</v>
      </c>
      <c r="F1574" s="23" t="s">
        <v>964</v>
      </c>
      <c r="G1574" s="0" t="n">
        <v>24.5</v>
      </c>
      <c r="H1574" s="0" t="n">
        <v>22</v>
      </c>
      <c r="I1574" s="23" t="s">
        <v>92</v>
      </c>
      <c r="J1574" s="0" t="n">
        <v>85</v>
      </c>
      <c r="K1574" s="0" t="n">
        <v>63</v>
      </c>
      <c r="L1574" s="0" t="n">
        <v>76</v>
      </c>
      <c r="M1574" s="0" t="n">
        <v>711.02</v>
      </c>
      <c r="N1574" s="0" t="n">
        <v>27.43</v>
      </c>
      <c r="O1574" s="0" t="n">
        <v>24.75</v>
      </c>
      <c r="P1574" s="0" t="n">
        <v>3.39</v>
      </c>
      <c r="Q1574" s="0" t="n">
        <v>3.52</v>
      </c>
      <c r="R1574" s="0" t="n">
        <v>3582</v>
      </c>
      <c r="S1574" s="0" t="n">
        <v>7402</v>
      </c>
      <c r="T1574" s="0" t="n">
        <v>37.3</v>
      </c>
      <c r="U1574" s="0" t="n">
        <v>1518</v>
      </c>
      <c r="V1574" s="0" t="n">
        <v>2</v>
      </c>
      <c r="W1574" s="0" t="str">
        <f aca="false">IF(OR(AND(B1574&gt;=1,B1574&lt;=6),B1574=10),"Vaca em lactação",IF(I1574="Male","Macho",IF(E1574&gt;=1,"Vaca seca",IF(I1574="Youngstock","Bezerra/recria","Novilha"))))</f>
        <v>Vaca em lactação</v>
      </c>
      <c r="X1574" s="0" t="str">
        <f aca="false">IF(AND(B1574&gt;=1,B1574&lt;=6),"Tanque",IF(B1574=10,"Descarte",""))</f>
        <v>Tanque</v>
      </c>
    </row>
    <row r="1575" customFormat="false" ht="15" hidden="false" customHeight="false" outlineLevel="0" collapsed="false">
      <c r="A1575" s="22" t="n">
        <v>46309</v>
      </c>
      <c r="B1575" s="0" t="n">
        <v>6</v>
      </c>
      <c r="C1575" s="0" t="n">
        <v>4188</v>
      </c>
      <c r="D1575" s="0" t="n">
        <v>61</v>
      </c>
      <c r="E1575" s="0" t="n">
        <v>3</v>
      </c>
      <c r="F1575" s="23" t="s">
        <v>383</v>
      </c>
      <c r="G1575" s="0" t="n">
        <v>27.5</v>
      </c>
      <c r="H1575" s="0" t="n">
        <v>28</v>
      </c>
      <c r="I1575" s="23" t="s">
        <v>94</v>
      </c>
      <c r="J1575" s="0" t="n">
        <v>61</v>
      </c>
      <c r="M1575" s="0" t="n">
        <v>1071.11</v>
      </c>
      <c r="N1575" s="0" t="n">
        <v>72.88</v>
      </c>
      <c r="O1575" s="0" t="n">
        <v>44.77</v>
      </c>
      <c r="P1575" s="0" t="n">
        <v>0</v>
      </c>
      <c r="Q1575" s="0" t="n">
        <v>0</v>
      </c>
      <c r="R1575" s="0" t="n">
        <v>2468</v>
      </c>
      <c r="S1575" s="0" t="n">
        <v>4962</v>
      </c>
      <c r="U1575" s="0" t="n">
        <v>1508</v>
      </c>
      <c r="V1575" s="0" t="n">
        <v>0</v>
      </c>
      <c r="W1575" s="0" t="str">
        <f aca="false">IF(OR(AND(B1575&gt;=1,B1575&lt;=6),B1575=10),"Vaca em lactação",IF(I1575="Male","Macho",IF(E1575&gt;=1,"Vaca seca",IF(I1575="Youngstock","Bezerra/recria","Novilha"))))</f>
        <v>Vaca em lactação</v>
      </c>
      <c r="X1575" s="0" t="str">
        <f aca="false">IF(AND(B1575&gt;=1,B1575&lt;=6),"Tanque",IF(B1575=10,"Descarte",""))</f>
        <v>Tanque</v>
      </c>
    </row>
    <row r="1576" customFormat="false" ht="15" hidden="false" customHeight="false" outlineLevel="0" collapsed="false">
      <c r="A1576" s="22" t="n">
        <v>46309</v>
      </c>
      <c r="B1576" s="0" t="n">
        <v>6</v>
      </c>
      <c r="C1576" s="0" t="n">
        <v>4183</v>
      </c>
      <c r="D1576" s="0" t="n">
        <v>409</v>
      </c>
      <c r="E1576" s="0" t="n">
        <v>2</v>
      </c>
      <c r="F1576" s="23" t="s">
        <v>965</v>
      </c>
      <c r="G1576" s="0" t="n">
        <v>27.8</v>
      </c>
      <c r="H1576" s="0" t="n">
        <v>24</v>
      </c>
      <c r="I1576" s="23" t="s">
        <v>92</v>
      </c>
      <c r="J1576" s="0" t="n">
        <v>238</v>
      </c>
      <c r="K1576" s="0" t="n">
        <v>66</v>
      </c>
      <c r="L1576" s="0" t="n">
        <v>171</v>
      </c>
      <c r="M1576" s="0" t="n">
        <v>1020.66</v>
      </c>
      <c r="N1576" s="0" t="n">
        <v>79.64</v>
      </c>
      <c r="O1576" s="0" t="n">
        <v>39.01</v>
      </c>
      <c r="P1576" s="0" t="n">
        <v>5.62</v>
      </c>
      <c r="Q1576" s="0" t="n">
        <v>4.71</v>
      </c>
      <c r="R1576" s="0" t="n">
        <v>6308</v>
      </c>
      <c r="S1576" s="0" t="n">
        <v>12878</v>
      </c>
      <c r="T1576" s="0" t="n">
        <v>67.9</v>
      </c>
      <c r="U1576" s="0" t="n">
        <v>1511</v>
      </c>
      <c r="V1576" s="0" t="n">
        <v>7</v>
      </c>
      <c r="W1576" s="0" t="str">
        <f aca="false">IF(OR(AND(B1576&gt;=1,B1576&lt;=6),B1576=10),"Vaca em lactação",IF(I1576="Male","Macho",IF(E1576&gt;=1,"Vaca seca",IF(I1576="Youngstock","Bezerra/recria","Novilha"))))</f>
        <v>Vaca em lactação</v>
      </c>
      <c r="X1576" s="0" t="str">
        <f aca="false">IF(AND(B1576&gt;=1,B1576&lt;=6),"Tanque",IF(B1576=10,"Descarte",""))</f>
        <v>Tanque</v>
      </c>
    </row>
    <row r="1577" customFormat="false" ht="15" hidden="false" customHeight="false" outlineLevel="0" collapsed="false">
      <c r="A1577" s="22" t="n">
        <v>46309</v>
      </c>
      <c r="B1577" s="0" t="n">
        <v>6</v>
      </c>
      <c r="C1577" s="0" t="n">
        <v>4542</v>
      </c>
      <c r="D1577" s="0" t="n">
        <v>268</v>
      </c>
      <c r="E1577" s="0" t="n">
        <v>2</v>
      </c>
      <c r="F1577" s="23" t="s">
        <v>864</v>
      </c>
      <c r="G1577" s="0" t="n">
        <v>21.9</v>
      </c>
      <c r="H1577" s="0" t="n">
        <v>22</v>
      </c>
      <c r="I1577" s="23" t="s">
        <v>92</v>
      </c>
      <c r="J1577" s="0" t="n">
        <v>233</v>
      </c>
      <c r="K1577" s="0" t="n">
        <v>86</v>
      </c>
      <c r="L1577" s="0" t="n">
        <v>35</v>
      </c>
      <c r="M1577" s="0" t="n">
        <v>513.34</v>
      </c>
      <c r="N1577" s="0" t="n">
        <v>28.14</v>
      </c>
      <c r="O1577" s="0" t="n">
        <v>21.26</v>
      </c>
      <c r="P1577" s="0" t="n">
        <v>4.54</v>
      </c>
      <c r="Q1577" s="0" t="n">
        <v>3.73</v>
      </c>
      <c r="R1577" s="0" t="n">
        <v>3391</v>
      </c>
      <c r="S1577" s="0" t="n">
        <v>6663</v>
      </c>
      <c r="T1577" s="0" t="n">
        <v>39.75</v>
      </c>
      <c r="U1577" s="0" t="n">
        <v>1333</v>
      </c>
      <c r="V1577" s="0" t="n">
        <v>4</v>
      </c>
      <c r="W1577" s="0" t="str">
        <f aca="false">IF(OR(AND(B1577&gt;=1,B1577&lt;=6),B1577=10),"Vaca em lactação",IF(I1577="Male","Macho",IF(E1577&gt;=1,"Vaca seca",IF(I1577="Youngstock","Bezerra/recria","Novilha"))))</f>
        <v>Vaca em lactação</v>
      </c>
      <c r="X1577" s="0" t="str">
        <f aca="false">IF(AND(B1577&gt;=1,B1577&lt;=6),"Tanque",IF(B1577=10,"Descarte",""))</f>
        <v>Tanque</v>
      </c>
    </row>
    <row r="1578" customFormat="false" ht="15" hidden="false" customHeight="false" outlineLevel="0" collapsed="false">
      <c r="A1578" s="22" t="n">
        <v>46309</v>
      </c>
      <c r="B1578" s="0" t="n">
        <v>6</v>
      </c>
      <c r="C1578" s="0" t="n">
        <v>4555</v>
      </c>
      <c r="D1578" s="0" t="n">
        <v>666</v>
      </c>
      <c r="E1578" s="0" t="n">
        <v>1</v>
      </c>
      <c r="F1578" s="23" t="s">
        <v>521</v>
      </c>
      <c r="G1578" s="0" t="n">
        <v>19.5</v>
      </c>
      <c r="H1578" s="0" t="n">
        <v>18</v>
      </c>
      <c r="I1578" s="23" t="s">
        <v>506</v>
      </c>
      <c r="J1578" s="0" t="n">
        <v>666</v>
      </c>
      <c r="K1578" s="0" t="n">
        <v>72</v>
      </c>
      <c r="M1578" s="0" t="n">
        <v>730.32</v>
      </c>
      <c r="N1578" s="0" t="n">
        <v>87.13</v>
      </c>
      <c r="O1578" s="0" t="n">
        <v>46.33</v>
      </c>
      <c r="P1578" s="0" t="n">
        <v>6.03</v>
      </c>
      <c r="Q1578" s="0" t="n">
        <v>4.79</v>
      </c>
      <c r="R1578" s="0" t="n">
        <v>3778</v>
      </c>
      <c r="S1578" s="0" t="n">
        <v>8245</v>
      </c>
      <c r="T1578" s="0" t="n">
        <v>39.3</v>
      </c>
      <c r="U1578" s="0" t="n">
        <v>1329</v>
      </c>
      <c r="V1578" s="0" t="n">
        <v>11</v>
      </c>
      <c r="W1578" s="0" t="str">
        <f aca="false">IF(OR(AND(B1578&gt;=1,B1578&lt;=6),B1578=10),"Vaca em lactação",IF(I1578="Male","Macho",IF(E1578&gt;=1,"Vaca seca",IF(I1578="Youngstock","Bezerra/recria","Novilha"))))</f>
        <v>Vaca em lactação</v>
      </c>
      <c r="X1578" s="0" t="str">
        <f aca="false">IF(AND(B1578&gt;=1,B1578&lt;=6),"Tanque",IF(B1578=10,"Descarte",""))</f>
        <v>Tanque</v>
      </c>
    </row>
    <row r="1579" customFormat="false" ht="15" hidden="false" customHeight="false" outlineLevel="0" collapsed="false">
      <c r="A1579" s="22" t="n">
        <v>46309</v>
      </c>
      <c r="B1579" s="0" t="n">
        <v>6</v>
      </c>
      <c r="C1579" s="0" t="n">
        <v>4492</v>
      </c>
      <c r="D1579" s="0" t="n">
        <v>264</v>
      </c>
      <c r="E1579" s="0" t="n">
        <v>2</v>
      </c>
      <c r="F1579" s="23" t="s">
        <v>966</v>
      </c>
      <c r="G1579" s="0" t="n">
        <v>29</v>
      </c>
      <c r="H1579" s="0" t="n">
        <v>25</v>
      </c>
      <c r="I1579" s="23" t="s">
        <v>92</v>
      </c>
      <c r="J1579" s="0" t="n">
        <v>68</v>
      </c>
      <c r="K1579" s="0" t="n">
        <v>68</v>
      </c>
      <c r="L1579" s="0" t="n">
        <v>196</v>
      </c>
      <c r="M1579" s="0" t="n">
        <v>755.7</v>
      </c>
      <c r="N1579" s="0" t="n">
        <v>17.83</v>
      </c>
      <c r="O1579" s="0" t="n">
        <v>24.51</v>
      </c>
      <c r="P1579" s="0" t="n">
        <v>3.05</v>
      </c>
      <c r="Q1579" s="0" t="n">
        <v>3.22</v>
      </c>
      <c r="R1579" s="0" t="n">
        <v>4882</v>
      </c>
      <c r="S1579" s="0" t="n">
        <v>9746</v>
      </c>
      <c r="T1579" s="0" t="n">
        <v>57.9</v>
      </c>
      <c r="U1579" s="0" t="n">
        <v>1358</v>
      </c>
      <c r="V1579" s="0" t="n">
        <v>1</v>
      </c>
      <c r="W1579" s="0" t="str">
        <f aca="false">IF(OR(AND(B1579&gt;=1,B1579&lt;=6),B1579=10),"Vaca em lactação",IF(I1579="Male","Macho",IF(E1579&gt;=1,"Vaca seca",IF(I1579="Youngstock","Bezerra/recria","Novilha"))))</f>
        <v>Vaca em lactação</v>
      </c>
      <c r="X1579" s="0" t="str">
        <f aca="false">IF(AND(B1579&gt;=1,B1579&lt;=6),"Tanque",IF(B1579=10,"Descarte",""))</f>
        <v>Tanque</v>
      </c>
    </row>
    <row r="1580" customFormat="false" ht="15" hidden="false" customHeight="false" outlineLevel="0" collapsed="false">
      <c r="A1580" s="22" t="n">
        <v>46309</v>
      </c>
      <c r="B1580" s="0" t="n">
        <v>6</v>
      </c>
      <c r="C1580" s="0" t="n">
        <v>4508</v>
      </c>
      <c r="D1580" s="0" t="n">
        <v>240</v>
      </c>
      <c r="E1580" s="0" t="n">
        <v>2</v>
      </c>
      <c r="F1580" s="23" t="s">
        <v>522</v>
      </c>
      <c r="G1580" s="0" t="n">
        <v>34.3</v>
      </c>
      <c r="H1580" s="0" t="n">
        <v>28</v>
      </c>
      <c r="I1580" s="23" t="s">
        <v>92</v>
      </c>
      <c r="J1580" s="0" t="n">
        <v>65</v>
      </c>
      <c r="K1580" s="0" t="n">
        <v>65</v>
      </c>
      <c r="L1580" s="0" t="n">
        <v>175</v>
      </c>
      <c r="M1580" s="0" t="n">
        <v>678.1</v>
      </c>
      <c r="N1580" s="0" t="n">
        <v>8.8</v>
      </c>
      <c r="O1580" s="0" t="n">
        <v>26.47</v>
      </c>
      <c r="P1580" s="0" t="n">
        <v>3.05</v>
      </c>
      <c r="Q1580" s="0" t="n">
        <v>3.61</v>
      </c>
      <c r="R1580" s="0" t="n">
        <v>4775</v>
      </c>
      <c r="S1580" s="0" t="n">
        <v>9512</v>
      </c>
      <c r="T1580" s="0" t="n">
        <v>56.3</v>
      </c>
      <c r="U1580" s="0" t="n">
        <v>1346</v>
      </c>
      <c r="V1580" s="0" t="n">
        <v>1</v>
      </c>
      <c r="W1580" s="0" t="str">
        <f aca="false">IF(OR(AND(B1580&gt;=1,B1580&lt;=6),B1580=10),"Vaca em lactação",IF(I1580="Male","Macho",IF(E1580&gt;=1,"Vaca seca",IF(I1580="Youngstock","Bezerra/recria","Novilha"))))</f>
        <v>Vaca em lactação</v>
      </c>
      <c r="X1580" s="0" t="str">
        <f aca="false">IF(AND(B1580&gt;=1,B1580&lt;=6),"Tanque",IF(B1580=10,"Descarte",""))</f>
        <v>Tanque</v>
      </c>
    </row>
    <row r="1581" customFormat="false" ht="15" hidden="false" customHeight="false" outlineLevel="0" collapsed="false">
      <c r="A1581" s="22" t="n">
        <v>46309</v>
      </c>
      <c r="B1581" s="0" t="n">
        <v>6</v>
      </c>
      <c r="C1581" s="0" t="n">
        <v>4580</v>
      </c>
      <c r="D1581" s="0" t="n">
        <v>558</v>
      </c>
      <c r="E1581" s="0" t="n">
        <v>1</v>
      </c>
      <c r="F1581" s="23" t="s">
        <v>393</v>
      </c>
      <c r="G1581" s="0" t="n">
        <v>16</v>
      </c>
      <c r="H1581" s="0" t="n">
        <v>14</v>
      </c>
      <c r="I1581" s="23" t="s">
        <v>506</v>
      </c>
      <c r="J1581" s="0" t="n">
        <v>558</v>
      </c>
      <c r="K1581" s="0" t="n">
        <v>62</v>
      </c>
      <c r="M1581" s="0" t="n">
        <v>390.01</v>
      </c>
      <c r="N1581" s="0" t="n">
        <v>55.91</v>
      </c>
      <c r="O1581" s="0" t="n">
        <v>36.89</v>
      </c>
      <c r="P1581" s="0" t="n">
        <v>5.49</v>
      </c>
      <c r="Q1581" s="0" t="n">
        <v>4.01</v>
      </c>
      <c r="R1581" s="0" t="n">
        <v>2709</v>
      </c>
      <c r="S1581" s="0" t="n">
        <v>5956</v>
      </c>
      <c r="T1581" s="0" t="n">
        <v>28.35</v>
      </c>
      <c r="U1581" s="0" t="n">
        <v>1319</v>
      </c>
      <c r="V1581" s="0" t="n">
        <v>5</v>
      </c>
      <c r="W1581" s="0" t="str">
        <f aca="false">IF(OR(AND(B1581&gt;=1,B1581&lt;=6),B1581=10),"Vaca em lactação",IF(I1581="Male","Macho",IF(E1581&gt;=1,"Vaca seca",IF(I1581="Youngstock","Bezerra/recria","Novilha"))))</f>
        <v>Vaca em lactação</v>
      </c>
      <c r="X1581" s="0" t="str">
        <f aca="false">IF(AND(B1581&gt;=1,B1581&lt;=6),"Tanque",IF(B1581=10,"Descarte",""))</f>
        <v>Tanque</v>
      </c>
    </row>
    <row r="1582" customFormat="false" ht="15" hidden="false" customHeight="false" outlineLevel="0" collapsed="false">
      <c r="A1582" s="22" t="n">
        <v>46309</v>
      </c>
      <c r="B1582" s="0" t="n">
        <v>6</v>
      </c>
      <c r="C1582" s="0" t="n">
        <v>4585</v>
      </c>
      <c r="D1582" s="0" t="n">
        <v>617</v>
      </c>
      <c r="E1582" s="0" t="n">
        <v>1</v>
      </c>
      <c r="F1582" s="23" t="s">
        <v>530</v>
      </c>
      <c r="H1582" s="0" t="n">
        <v>20</v>
      </c>
      <c r="I1582" s="23" t="s">
        <v>506</v>
      </c>
      <c r="J1582" s="0" t="n">
        <v>617</v>
      </c>
      <c r="K1582" s="0" t="n">
        <v>65</v>
      </c>
      <c r="M1582" s="0" t="n">
        <v>152.42</v>
      </c>
      <c r="N1582" s="0" t="n">
        <v>42.01</v>
      </c>
      <c r="O1582" s="0" t="n">
        <v>18.97</v>
      </c>
      <c r="P1582" s="0" t="n">
        <v>5.57</v>
      </c>
      <c r="Q1582" s="0" t="n">
        <v>4.2</v>
      </c>
      <c r="R1582" s="0" t="n">
        <v>4349</v>
      </c>
      <c r="S1582" s="0" t="n">
        <v>9240</v>
      </c>
      <c r="T1582" s="0" t="n">
        <v>39.2</v>
      </c>
      <c r="U1582" s="0" t="n">
        <v>1318</v>
      </c>
      <c r="V1582" s="0" t="n">
        <v>7</v>
      </c>
      <c r="W1582" s="0" t="str">
        <f aca="false">IF(OR(AND(B1582&gt;=1,B1582&lt;=6),B1582=10),"Vaca em lactação",IF(I1582="Male","Macho",IF(E1582&gt;=1,"Vaca seca",IF(I1582="Youngstock","Bezerra/recria","Novilha"))))</f>
        <v>Vaca em lactação</v>
      </c>
      <c r="X1582" s="0" t="str">
        <f aca="false">IF(AND(B1582&gt;=1,B1582&lt;=6),"Tanque",IF(B1582=10,"Descarte",""))</f>
        <v>Tanque</v>
      </c>
    </row>
    <row r="1583" customFormat="false" ht="15" hidden="false" customHeight="false" outlineLevel="0" collapsed="false">
      <c r="A1583" s="22" t="n">
        <v>46309</v>
      </c>
      <c r="B1583" s="0" t="n">
        <v>6</v>
      </c>
      <c r="C1583" s="0" t="n">
        <v>4399</v>
      </c>
      <c r="D1583" s="0" t="n">
        <v>129</v>
      </c>
      <c r="E1583" s="0" t="n">
        <v>2</v>
      </c>
      <c r="F1583" s="23" t="s">
        <v>533</v>
      </c>
      <c r="G1583" s="0" t="n">
        <v>30.8</v>
      </c>
      <c r="H1583" s="0" t="n">
        <v>28</v>
      </c>
      <c r="I1583" s="23" t="s">
        <v>506</v>
      </c>
      <c r="J1583" s="0" t="n">
        <v>129</v>
      </c>
      <c r="K1583" s="0" t="n">
        <v>87</v>
      </c>
      <c r="M1583" s="0" t="n">
        <v>872.83</v>
      </c>
      <c r="N1583" s="0" t="n">
        <v>33.37</v>
      </c>
      <c r="O1583" s="0" t="n">
        <v>27.56</v>
      </c>
      <c r="P1583" s="0" t="n">
        <v>3.14</v>
      </c>
      <c r="Q1583" s="0" t="n">
        <v>3.04</v>
      </c>
      <c r="R1583" s="0" t="n">
        <v>3229</v>
      </c>
      <c r="S1583" s="0" t="n">
        <v>6815</v>
      </c>
      <c r="T1583" s="0" t="n">
        <v>25.25</v>
      </c>
      <c r="U1583" s="0" t="n">
        <v>1394</v>
      </c>
      <c r="V1583" s="0" t="n">
        <v>2</v>
      </c>
      <c r="W1583" s="0" t="str">
        <f aca="false">IF(OR(AND(B1583&gt;=1,B1583&lt;=6),B1583=10),"Vaca em lactação",IF(I1583="Male","Macho",IF(E1583&gt;=1,"Vaca seca",IF(I1583="Youngstock","Bezerra/recria","Novilha"))))</f>
        <v>Vaca em lactação</v>
      </c>
      <c r="X1583" s="0" t="str">
        <f aca="false">IF(AND(B1583&gt;=1,B1583&lt;=6),"Tanque",IF(B1583=10,"Descarte",""))</f>
        <v>Tanque</v>
      </c>
    </row>
    <row r="1584" customFormat="false" ht="15" hidden="false" customHeight="false" outlineLevel="0" collapsed="false">
      <c r="A1584" s="22" t="n">
        <v>46309</v>
      </c>
      <c r="B1584" s="0" t="n">
        <v>6</v>
      </c>
      <c r="C1584" s="0" t="n">
        <v>4424</v>
      </c>
      <c r="D1584" s="0" t="n">
        <v>686</v>
      </c>
      <c r="E1584" s="0" t="n">
        <v>1</v>
      </c>
      <c r="F1584" s="23" t="s">
        <v>542</v>
      </c>
      <c r="G1584" s="0" t="n">
        <v>20.6</v>
      </c>
      <c r="H1584" s="0" t="n">
        <v>19</v>
      </c>
      <c r="I1584" s="23" t="s">
        <v>92</v>
      </c>
      <c r="J1584" s="0" t="n">
        <v>631</v>
      </c>
      <c r="K1584" s="0" t="n">
        <v>71</v>
      </c>
      <c r="L1584" s="0" t="n">
        <v>55</v>
      </c>
      <c r="M1584" s="0" t="n">
        <v>668.06</v>
      </c>
      <c r="N1584" s="0" t="n">
        <v>61.04</v>
      </c>
      <c r="O1584" s="0" t="n">
        <v>20.53</v>
      </c>
      <c r="P1584" s="0" t="n">
        <v>6.01</v>
      </c>
      <c r="Q1584" s="0" t="n">
        <v>4.68</v>
      </c>
      <c r="R1584" s="0" t="n">
        <v>4022</v>
      </c>
      <c r="S1584" s="0" t="n">
        <v>8891</v>
      </c>
      <c r="T1584" s="0" t="n">
        <v>53.9</v>
      </c>
      <c r="U1584" s="0" t="n">
        <v>1380</v>
      </c>
      <c r="V1584" s="0" t="n">
        <v>13</v>
      </c>
      <c r="W1584" s="0" t="str">
        <f aca="false">IF(OR(AND(B1584&gt;=1,B1584&lt;=6),B1584=10),"Vaca em lactação",IF(I1584="Male","Macho",IF(E1584&gt;=1,"Vaca seca",IF(I1584="Youngstock","Bezerra/recria","Novilha"))))</f>
        <v>Vaca em lactação</v>
      </c>
      <c r="X1584" s="0" t="str">
        <f aca="false">IF(AND(B1584&gt;=1,B1584&lt;=6),"Tanque",IF(B1584=10,"Descarte",""))</f>
        <v>Tanque</v>
      </c>
    </row>
    <row r="1585" customFormat="false" ht="15" hidden="false" customHeight="false" outlineLevel="0" collapsed="false">
      <c r="A1585" s="22" t="n">
        <v>46309</v>
      </c>
      <c r="B1585" s="0" t="n">
        <v>6</v>
      </c>
      <c r="C1585" s="0" t="n">
        <v>4376</v>
      </c>
      <c r="D1585" s="0" t="n">
        <v>217</v>
      </c>
      <c r="E1585" s="0" t="n">
        <v>2</v>
      </c>
      <c r="F1585" s="23" t="s">
        <v>880</v>
      </c>
      <c r="H1585" s="0" t="n">
        <v>22</v>
      </c>
      <c r="I1585" s="23" t="s">
        <v>92</v>
      </c>
      <c r="J1585" s="0" t="n">
        <v>67</v>
      </c>
      <c r="K1585" s="0" t="n">
        <v>67</v>
      </c>
      <c r="L1585" s="0" t="n">
        <v>150</v>
      </c>
      <c r="M1585" s="0" t="n">
        <v>375.23</v>
      </c>
      <c r="N1585" s="0" t="n">
        <v>36.05</v>
      </c>
      <c r="O1585" s="0" t="n">
        <v>20.8</v>
      </c>
      <c r="P1585" s="0" t="n">
        <v>5.17</v>
      </c>
      <c r="Q1585" s="0" t="n">
        <v>3.92</v>
      </c>
      <c r="R1585" s="0" t="n">
        <v>2474</v>
      </c>
      <c r="S1585" s="0" t="n">
        <v>5360</v>
      </c>
      <c r="T1585" s="0" t="n">
        <v>26.8</v>
      </c>
      <c r="U1585" s="0" t="n">
        <v>1409</v>
      </c>
      <c r="V1585" s="0" t="n">
        <v>1</v>
      </c>
      <c r="W1585" s="0" t="str">
        <f aca="false">IF(OR(AND(B1585&gt;=1,B1585&lt;=6),B1585=10),"Vaca em lactação",IF(I1585="Male","Macho",IF(E1585&gt;=1,"Vaca seca",IF(I1585="Youngstock","Bezerra/recria","Novilha"))))</f>
        <v>Vaca em lactação</v>
      </c>
      <c r="X1585" s="0" t="str">
        <f aca="false">IF(AND(B1585&gt;=1,B1585&lt;=6),"Tanque",IF(B1585=10,"Descarte",""))</f>
        <v>Tanque</v>
      </c>
    </row>
    <row r="1586" customFormat="false" ht="15" hidden="false" customHeight="false" outlineLevel="0" collapsed="false">
      <c r="A1586" s="22" t="n">
        <v>46309</v>
      </c>
      <c r="B1586" s="0" t="n">
        <v>6</v>
      </c>
      <c r="C1586" s="0" t="n">
        <v>4386</v>
      </c>
      <c r="D1586" s="0" t="n">
        <v>271</v>
      </c>
      <c r="E1586" s="0" t="n">
        <v>2</v>
      </c>
      <c r="F1586" s="23" t="s">
        <v>399</v>
      </c>
      <c r="G1586" s="0" t="n">
        <v>29.2</v>
      </c>
      <c r="H1586" s="0" t="n">
        <v>30</v>
      </c>
      <c r="I1586" s="23" t="s">
        <v>92</v>
      </c>
      <c r="J1586" s="0" t="n">
        <v>68</v>
      </c>
      <c r="K1586" s="0" t="n">
        <v>68</v>
      </c>
      <c r="L1586" s="0" t="n">
        <v>203</v>
      </c>
      <c r="M1586" s="0" t="n">
        <v>527.39</v>
      </c>
      <c r="N1586" s="0" t="n">
        <v>52.17</v>
      </c>
      <c r="O1586" s="0" t="n">
        <v>24.05</v>
      </c>
      <c r="P1586" s="0" t="n">
        <v>4.92</v>
      </c>
      <c r="Q1586" s="0" t="n">
        <v>3.78</v>
      </c>
      <c r="R1586" s="0" t="n">
        <v>5750</v>
      </c>
      <c r="S1586" s="0" t="n">
        <v>9085</v>
      </c>
      <c r="T1586" s="0" t="n">
        <v>60.6</v>
      </c>
      <c r="U1586" s="0" t="n">
        <v>1401</v>
      </c>
      <c r="V1586" s="0" t="n">
        <v>1</v>
      </c>
      <c r="W1586" s="0" t="str">
        <f aca="false">IF(OR(AND(B1586&gt;=1,B1586&lt;=6),B1586=10),"Vaca em lactação",IF(I1586="Male","Macho",IF(E1586&gt;=1,"Vaca seca",IF(I1586="Youngstock","Bezerra/recria","Novilha"))))</f>
        <v>Vaca em lactação</v>
      </c>
      <c r="X1586" s="0" t="str">
        <f aca="false">IF(AND(B1586&gt;=1,B1586&lt;=6),"Tanque",IF(B1586=10,"Descarte",""))</f>
        <v>Tanque</v>
      </c>
    </row>
    <row r="1587" customFormat="false" ht="15" hidden="false" customHeight="false" outlineLevel="0" collapsed="false">
      <c r="A1587" s="22" t="n">
        <v>46309</v>
      </c>
      <c r="B1587" s="0" t="n">
        <v>6</v>
      </c>
      <c r="C1587" s="0" t="n">
        <v>4459</v>
      </c>
      <c r="D1587" s="0" t="n">
        <v>225</v>
      </c>
      <c r="E1587" s="0" t="n">
        <v>2</v>
      </c>
      <c r="F1587" s="23" t="s">
        <v>400</v>
      </c>
      <c r="G1587" s="0" t="n">
        <v>26</v>
      </c>
      <c r="H1587" s="0" t="n">
        <v>24</v>
      </c>
      <c r="I1587" s="23" t="s">
        <v>92</v>
      </c>
      <c r="J1587" s="0" t="n">
        <v>78</v>
      </c>
      <c r="K1587" s="0" t="n">
        <v>78</v>
      </c>
      <c r="L1587" s="0" t="n">
        <v>147</v>
      </c>
      <c r="M1587" s="0" t="n">
        <v>310.23</v>
      </c>
      <c r="N1587" s="0" t="n">
        <v>40.65</v>
      </c>
      <c r="O1587" s="0" t="n">
        <v>21.98</v>
      </c>
      <c r="P1587" s="0" t="n">
        <v>4.1</v>
      </c>
      <c r="Q1587" s="0" t="n">
        <v>3.7</v>
      </c>
      <c r="R1587" s="0" t="n">
        <v>5236</v>
      </c>
      <c r="S1587" s="0" t="n">
        <v>10409</v>
      </c>
      <c r="T1587" s="0" t="n">
        <v>55.3</v>
      </c>
      <c r="U1587" s="0" t="n">
        <v>1369</v>
      </c>
      <c r="V1587" s="0" t="n">
        <v>1</v>
      </c>
      <c r="W1587" s="0" t="str">
        <f aca="false">IF(OR(AND(B1587&gt;=1,B1587&lt;=6),B1587=10),"Vaca em lactação",IF(I1587="Male","Macho",IF(E1587&gt;=1,"Vaca seca",IF(I1587="Youngstock","Bezerra/recria","Novilha"))))</f>
        <v>Vaca em lactação</v>
      </c>
      <c r="X1587" s="0" t="str">
        <f aca="false">IF(AND(B1587&gt;=1,B1587&lt;=6),"Tanque",IF(B1587=10,"Descarte",""))</f>
        <v>Tanque</v>
      </c>
    </row>
    <row r="1588" customFormat="false" ht="15" hidden="false" customHeight="false" outlineLevel="0" collapsed="false">
      <c r="A1588" s="22" t="n">
        <v>46309</v>
      </c>
      <c r="B1588" s="0" t="n">
        <v>6</v>
      </c>
      <c r="C1588" s="0" t="n">
        <v>4478</v>
      </c>
      <c r="D1588" s="0" t="n">
        <v>180</v>
      </c>
      <c r="E1588" s="0" t="n">
        <v>2</v>
      </c>
      <c r="F1588" s="23" t="s">
        <v>885</v>
      </c>
      <c r="G1588" s="0" t="n">
        <v>28.6</v>
      </c>
      <c r="H1588" s="0" t="n">
        <v>25</v>
      </c>
      <c r="I1588" s="23" t="s">
        <v>97</v>
      </c>
      <c r="J1588" s="0" t="n">
        <v>180</v>
      </c>
      <c r="K1588" s="0" t="n">
        <v>75</v>
      </c>
      <c r="M1588" s="0" t="n">
        <v>816.81</v>
      </c>
      <c r="N1588" s="0" t="n">
        <v>-0.75</v>
      </c>
      <c r="O1588" s="0" t="n">
        <v>17.17</v>
      </c>
      <c r="P1588" s="0" t="n">
        <v>4.67</v>
      </c>
      <c r="Q1588" s="0" t="n">
        <v>3.42</v>
      </c>
      <c r="R1588" s="0" t="n">
        <v>3428</v>
      </c>
      <c r="S1588" s="0" t="n">
        <v>7108</v>
      </c>
      <c r="T1588" s="0" t="n">
        <v>45.1</v>
      </c>
      <c r="U1588" s="0" t="n">
        <v>1363</v>
      </c>
      <c r="V1588" s="0" t="n">
        <v>3</v>
      </c>
      <c r="W1588" s="0" t="str">
        <f aca="false">IF(OR(AND(B1588&gt;=1,B1588&lt;=6),B1588=10),"Vaca em lactação",IF(I1588="Male","Macho",IF(E1588&gt;=1,"Vaca seca",IF(I1588="Youngstock","Bezerra/recria","Novilha"))))</f>
        <v>Vaca em lactação</v>
      </c>
      <c r="X1588" s="0" t="str">
        <f aca="false">IF(AND(B1588&gt;=1,B1588&lt;=6),"Tanque",IF(B1588=10,"Descarte",""))</f>
        <v>Tanque</v>
      </c>
    </row>
    <row r="1589" customFormat="false" ht="15" hidden="false" customHeight="false" outlineLevel="0" collapsed="false">
      <c r="A1589" s="22" t="n">
        <v>46309</v>
      </c>
      <c r="B1589" s="0" t="n">
        <v>6</v>
      </c>
      <c r="C1589" s="0" t="n">
        <v>4448</v>
      </c>
      <c r="D1589" s="0" t="n">
        <v>565</v>
      </c>
      <c r="E1589" s="0" t="n">
        <v>1</v>
      </c>
      <c r="F1589" s="23" t="s">
        <v>405</v>
      </c>
      <c r="G1589" s="0" t="n">
        <v>29.3</v>
      </c>
      <c r="H1589" s="0" t="n">
        <v>28</v>
      </c>
      <c r="I1589" s="23" t="s">
        <v>109</v>
      </c>
      <c r="J1589" s="0" t="n">
        <v>565</v>
      </c>
      <c r="K1589" s="0" t="n">
        <v>62</v>
      </c>
      <c r="M1589" s="0" t="n">
        <v>510.82</v>
      </c>
      <c r="N1589" s="0" t="n">
        <v>11.16</v>
      </c>
      <c r="O1589" s="0" t="n">
        <v>16.13</v>
      </c>
      <c r="P1589" s="0" t="n">
        <v>5.01</v>
      </c>
      <c r="Q1589" s="0" t="n">
        <v>4.17</v>
      </c>
      <c r="R1589" s="0" t="n">
        <v>4561</v>
      </c>
      <c r="S1589" s="0" t="n">
        <v>9736</v>
      </c>
      <c r="T1589" s="0" t="n">
        <v>47.9</v>
      </c>
      <c r="U1589" s="0" t="n">
        <v>1371</v>
      </c>
      <c r="V1589" s="0" t="n">
        <v>12</v>
      </c>
      <c r="W1589" s="0" t="str">
        <f aca="false">IF(OR(AND(B1589&gt;=1,B1589&lt;=6),B1589=10),"Vaca em lactação",IF(I1589="Male","Macho",IF(E1589&gt;=1,"Vaca seca",IF(I1589="Youngstock","Bezerra/recria","Novilha"))))</f>
        <v>Vaca em lactação</v>
      </c>
      <c r="X1589" s="0" t="str">
        <f aca="false">IF(AND(B1589&gt;=1,B1589&lt;=6),"Tanque",IF(B1589=10,"Descarte",""))</f>
        <v>Tanque</v>
      </c>
    </row>
    <row r="1590" customFormat="false" ht="15" hidden="false" customHeight="false" outlineLevel="0" collapsed="false">
      <c r="A1590" s="22" t="n">
        <v>46309</v>
      </c>
      <c r="B1590" s="0" t="n">
        <v>6</v>
      </c>
      <c r="C1590" s="0" t="n">
        <v>5559</v>
      </c>
      <c r="D1590" s="0" t="n">
        <v>225</v>
      </c>
      <c r="E1590" s="0" t="n">
        <v>1</v>
      </c>
      <c r="F1590" s="23" t="s">
        <v>967</v>
      </c>
      <c r="G1590" s="0" t="n">
        <v>17.9</v>
      </c>
      <c r="H1590" s="0" t="n">
        <v>22</v>
      </c>
      <c r="I1590" s="23" t="s">
        <v>97</v>
      </c>
      <c r="J1590" s="0" t="n">
        <v>225</v>
      </c>
      <c r="K1590" s="0" t="n">
        <v>92</v>
      </c>
      <c r="P1590" s="0" t="n">
        <v>4.92</v>
      </c>
      <c r="Q1590" s="0" t="n">
        <v>3.68</v>
      </c>
      <c r="R1590" s="0" t="n">
        <v>3471</v>
      </c>
      <c r="S1590" s="0" t="n">
        <v>6240</v>
      </c>
      <c r="T1590" s="0" t="n">
        <v>34.35</v>
      </c>
      <c r="U1590" s="0" t="n">
        <v>881</v>
      </c>
      <c r="V1590" s="0" t="n">
        <v>3</v>
      </c>
      <c r="W1590" s="0" t="str">
        <f aca="false">IF(OR(AND(B1590&gt;=1,B1590&lt;=6),B1590=10),"Vaca em lactação",IF(I1590="Male","Macho",IF(E1590&gt;=1,"Vaca seca",IF(I1590="Youngstock","Bezerra/recria","Novilha"))))</f>
        <v>Vaca em lactação</v>
      </c>
      <c r="X1590" s="0" t="str">
        <f aca="false">IF(AND(B1590&gt;=1,B1590&lt;=6),"Tanque",IF(B1590=10,"Descarte",""))</f>
        <v>Tanque</v>
      </c>
    </row>
    <row r="1591" customFormat="false" ht="15" hidden="false" customHeight="false" outlineLevel="0" collapsed="false">
      <c r="A1591" s="22" t="n">
        <v>46309</v>
      </c>
      <c r="B1591" s="0" t="n">
        <v>6</v>
      </c>
      <c r="C1591" s="0" t="n">
        <v>5568</v>
      </c>
      <c r="D1591" s="0" t="n">
        <v>140</v>
      </c>
      <c r="E1591" s="0" t="n">
        <v>1</v>
      </c>
      <c r="F1591" s="23" t="s">
        <v>632</v>
      </c>
      <c r="G1591" s="0" t="n">
        <v>34.7</v>
      </c>
      <c r="H1591" s="0" t="n">
        <v>31</v>
      </c>
      <c r="I1591" s="23" t="s">
        <v>97</v>
      </c>
      <c r="J1591" s="0" t="n">
        <v>140</v>
      </c>
      <c r="K1591" s="0" t="n">
        <v>77</v>
      </c>
      <c r="P1591" s="0" t="n">
        <v>3.93</v>
      </c>
      <c r="Q1591" s="0" t="n">
        <v>3.28</v>
      </c>
      <c r="R1591" s="0" t="n">
        <v>3574</v>
      </c>
      <c r="S1591" s="0" t="n">
        <v>7818</v>
      </c>
      <c r="T1591" s="0" t="n">
        <v>37.65</v>
      </c>
      <c r="U1591" s="0" t="n">
        <v>879</v>
      </c>
      <c r="V1591" s="0" t="n">
        <v>2</v>
      </c>
      <c r="W1591" s="0" t="str">
        <f aca="false">IF(OR(AND(B1591&gt;=1,B1591&lt;=6),B1591=10),"Vaca em lactação",IF(I1591="Male","Macho",IF(E1591&gt;=1,"Vaca seca",IF(I1591="Youngstock","Bezerra/recria","Novilha"))))</f>
        <v>Vaca em lactação</v>
      </c>
      <c r="X1591" s="0" t="str">
        <f aca="false">IF(AND(B1591&gt;=1,B1591&lt;=6),"Tanque",IF(B1591=10,"Descarte",""))</f>
        <v>Tanque</v>
      </c>
    </row>
    <row r="1592" customFormat="false" ht="15" hidden="false" customHeight="false" outlineLevel="0" collapsed="false">
      <c r="A1592" s="22" t="n">
        <v>46309</v>
      </c>
      <c r="B1592" s="0" t="n">
        <v>6</v>
      </c>
      <c r="C1592" s="0" t="n">
        <v>5649</v>
      </c>
      <c r="D1592" s="0" t="n">
        <v>287</v>
      </c>
      <c r="E1592" s="0" t="n">
        <v>1</v>
      </c>
      <c r="F1592" s="23" t="s">
        <v>115</v>
      </c>
      <c r="H1592" s="0" t="n">
        <v>27</v>
      </c>
      <c r="I1592" s="23" t="s">
        <v>97</v>
      </c>
      <c r="J1592" s="0" t="n">
        <v>287</v>
      </c>
      <c r="K1592" s="0" t="n">
        <v>63</v>
      </c>
      <c r="P1592" s="0" t="n">
        <v>4.57</v>
      </c>
      <c r="Q1592" s="0" t="n">
        <v>3.9</v>
      </c>
      <c r="R1592" s="0" t="n">
        <v>1569</v>
      </c>
      <c r="S1592" s="0" t="n">
        <v>4332</v>
      </c>
      <c r="T1592" s="0" t="n">
        <v>16.4</v>
      </c>
      <c r="U1592" s="0" t="n">
        <v>851</v>
      </c>
      <c r="V1592" s="0" t="n">
        <v>5</v>
      </c>
      <c r="W1592" s="0" t="str">
        <f aca="false">IF(OR(AND(B1592&gt;=1,B1592&lt;=6),B1592=10),"Vaca em lactação",IF(I1592="Male","Macho",IF(E1592&gt;=1,"Vaca seca",IF(I1592="Youngstock","Bezerra/recria","Novilha"))))</f>
        <v>Vaca em lactação</v>
      </c>
      <c r="X1592" s="0" t="str">
        <f aca="false">IF(AND(B1592&gt;=1,B1592&lt;=6),"Tanque",IF(B1592=10,"Descarte",""))</f>
        <v>Tanque</v>
      </c>
    </row>
    <row r="1593" customFormat="false" ht="15" hidden="false" customHeight="false" outlineLevel="0" collapsed="false">
      <c r="A1593" s="22" t="n">
        <v>46309</v>
      </c>
      <c r="B1593" s="0" t="n">
        <v>6</v>
      </c>
      <c r="C1593" s="0" t="n">
        <v>5680</v>
      </c>
      <c r="D1593" s="0" t="n">
        <v>196</v>
      </c>
      <c r="E1593" s="0" t="n">
        <v>1</v>
      </c>
      <c r="F1593" s="23" t="s">
        <v>968</v>
      </c>
      <c r="G1593" s="0" t="n">
        <v>27.3</v>
      </c>
      <c r="H1593" s="0" t="n">
        <v>39</v>
      </c>
      <c r="I1593" s="23" t="s">
        <v>92</v>
      </c>
      <c r="J1593" s="0" t="n">
        <v>126</v>
      </c>
      <c r="K1593" s="0" t="n">
        <v>63</v>
      </c>
      <c r="L1593" s="0" t="n">
        <v>70</v>
      </c>
      <c r="P1593" s="0" t="n">
        <v>3.18</v>
      </c>
      <c r="Q1593" s="0" t="n">
        <v>3.34</v>
      </c>
      <c r="R1593" s="0" t="n">
        <v>4316</v>
      </c>
      <c r="S1593" s="0" t="n">
        <v>9628</v>
      </c>
      <c r="T1593" s="0" t="n">
        <v>47.15</v>
      </c>
      <c r="U1593" s="0" t="n">
        <v>844</v>
      </c>
      <c r="V1593" s="0" t="n">
        <v>3</v>
      </c>
      <c r="W1593" s="0" t="str">
        <f aca="false">IF(OR(AND(B1593&gt;=1,B1593&lt;=6),B1593=10),"Vaca em lactação",IF(I1593="Male","Macho",IF(E1593&gt;=1,"Vaca seca",IF(I1593="Youngstock","Bezerra/recria","Novilha"))))</f>
        <v>Vaca em lactação</v>
      </c>
      <c r="X1593" s="0" t="str">
        <f aca="false">IF(AND(B1593&gt;=1,B1593&lt;=6),"Tanque",IF(B1593=10,"Descarte",""))</f>
        <v>Tanque</v>
      </c>
    </row>
    <row r="1594" customFormat="false" ht="15" hidden="false" customHeight="false" outlineLevel="0" collapsed="false">
      <c r="A1594" s="22" t="n">
        <v>46309</v>
      </c>
      <c r="B1594" s="0" t="n">
        <v>6</v>
      </c>
      <c r="C1594" s="0" t="n">
        <v>5879</v>
      </c>
      <c r="D1594" s="0" t="n">
        <v>126</v>
      </c>
      <c r="E1594" s="0" t="n">
        <v>1</v>
      </c>
      <c r="F1594" s="23" t="s">
        <v>969</v>
      </c>
      <c r="G1594" s="0" t="n">
        <v>27.8</v>
      </c>
      <c r="H1594" s="0" t="n">
        <v>25</v>
      </c>
      <c r="I1594" s="23" t="s">
        <v>97</v>
      </c>
      <c r="J1594" s="0" t="n">
        <v>126</v>
      </c>
      <c r="K1594" s="0" t="n">
        <v>119</v>
      </c>
      <c r="P1594" s="0" t="n">
        <v>4.61</v>
      </c>
      <c r="Q1594" s="0" t="n">
        <v>3.3</v>
      </c>
      <c r="R1594" s="0" t="n">
        <v>3270</v>
      </c>
      <c r="S1594" s="0" t="n">
        <v>6395</v>
      </c>
      <c r="T1594" s="0" t="n">
        <v>35.9</v>
      </c>
      <c r="U1594" s="0" t="n">
        <v>761</v>
      </c>
      <c r="V1594" s="0" t="n">
        <v>1</v>
      </c>
      <c r="W1594" s="0" t="str">
        <f aca="false">IF(OR(AND(B1594&gt;=1,B1594&lt;=6),B1594=10),"Vaca em lactação",IF(I1594="Male","Macho",IF(E1594&gt;=1,"Vaca seca",IF(I1594="Youngstock","Bezerra/recria","Novilha"))))</f>
        <v>Vaca em lactação</v>
      </c>
      <c r="X1594" s="0" t="str">
        <f aca="false">IF(AND(B1594&gt;=1,B1594&lt;=6),"Tanque",IF(B1594=10,"Descarte",""))</f>
        <v>Tanque</v>
      </c>
    </row>
    <row r="1595" customFormat="false" ht="15" hidden="false" customHeight="false" outlineLevel="0" collapsed="false">
      <c r="A1595" s="22" t="n">
        <v>46309</v>
      </c>
      <c r="B1595" s="0" t="n">
        <v>6</v>
      </c>
      <c r="C1595" s="0" t="n">
        <v>5835</v>
      </c>
      <c r="D1595" s="0" t="n">
        <v>142</v>
      </c>
      <c r="E1595" s="0" t="n">
        <v>1</v>
      </c>
      <c r="F1595" s="23" t="s">
        <v>686</v>
      </c>
      <c r="G1595" s="0" t="n">
        <v>31.1</v>
      </c>
      <c r="H1595" s="0" t="n">
        <v>41</v>
      </c>
      <c r="I1595" s="23" t="s">
        <v>92</v>
      </c>
      <c r="J1595" s="0" t="n">
        <v>100</v>
      </c>
      <c r="K1595" s="0" t="n">
        <v>65</v>
      </c>
      <c r="L1595" s="0" t="n">
        <v>42</v>
      </c>
      <c r="P1595" s="0" t="n">
        <v>3.35</v>
      </c>
      <c r="Q1595" s="0" t="n">
        <v>3.22</v>
      </c>
      <c r="R1595" s="0" t="n">
        <v>3978</v>
      </c>
      <c r="S1595" s="0" t="n">
        <v>8724</v>
      </c>
      <c r="T1595" s="0" t="n">
        <v>47.1</v>
      </c>
      <c r="U1595" s="0" t="n">
        <v>780</v>
      </c>
      <c r="V1595" s="0" t="n">
        <v>2</v>
      </c>
      <c r="W1595" s="0" t="str">
        <f aca="false">IF(OR(AND(B1595&gt;=1,B1595&lt;=6),B1595=10),"Vaca em lactação",IF(I1595="Male","Macho",IF(E1595&gt;=1,"Vaca seca",IF(I1595="Youngstock","Bezerra/recria","Novilha"))))</f>
        <v>Vaca em lactação</v>
      </c>
      <c r="X1595" s="0" t="str">
        <f aca="false">IF(AND(B1595&gt;=1,B1595&lt;=6),"Tanque",IF(B1595=10,"Descarte",""))</f>
        <v>Tanque</v>
      </c>
    </row>
    <row r="1596" customFormat="false" ht="15" hidden="false" customHeight="false" outlineLevel="0" collapsed="false">
      <c r="A1596" s="22" t="n">
        <v>46309</v>
      </c>
      <c r="B1596" s="0" t="n">
        <v>6</v>
      </c>
      <c r="C1596" s="0" t="n">
        <v>6058</v>
      </c>
      <c r="D1596" s="0" t="n">
        <v>56</v>
      </c>
      <c r="E1596" s="0" t="n">
        <v>1</v>
      </c>
      <c r="F1596" s="23" t="s">
        <v>199</v>
      </c>
      <c r="G1596" s="0" t="n">
        <v>28.9</v>
      </c>
      <c r="H1596" s="0" t="n">
        <v>27</v>
      </c>
      <c r="I1596" s="23" t="s">
        <v>94</v>
      </c>
      <c r="J1596" s="0" t="n">
        <v>56</v>
      </c>
      <c r="P1596" s="0" t="n">
        <v>4.42</v>
      </c>
      <c r="Q1596" s="0" t="n">
        <v>3.39</v>
      </c>
      <c r="R1596" s="0" t="n">
        <v>2123</v>
      </c>
      <c r="S1596" s="0" t="n">
        <v>4269</v>
      </c>
      <c r="U1596" s="0" t="n">
        <v>701</v>
      </c>
      <c r="V1596" s="0" t="n">
        <v>0</v>
      </c>
      <c r="W1596" s="0" t="str">
        <f aca="false">IF(OR(AND(B1596&gt;=1,B1596&lt;=6),B1596=10),"Vaca em lactação",IF(I1596="Male","Macho",IF(E1596&gt;=1,"Vaca seca",IF(I1596="Youngstock","Bezerra/recria","Novilha"))))</f>
        <v>Vaca em lactação</v>
      </c>
      <c r="X1596" s="0" t="str">
        <f aca="false">IF(AND(B1596&gt;=1,B1596&lt;=6),"Tanque",IF(B1596=10,"Descarte",""))</f>
        <v>Tanque</v>
      </c>
    </row>
    <row r="1597" customFormat="false" ht="15" hidden="false" customHeight="false" outlineLevel="0" collapsed="false">
      <c r="A1597" s="22" t="n">
        <v>46309</v>
      </c>
      <c r="B1597" s="0" t="n">
        <v>7</v>
      </c>
      <c r="C1597" s="0" t="n">
        <v>3742</v>
      </c>
      <c r="D1597" s="0" t="n">
        <v>504</v>
      </c>
      <c r="E1597" s="0" t="n">
        <v>2</v>
      </c>
      <c r="F1597" s="23" t="s">
        <v>407</v>
      </c>
      <c r="I1597" s="23" t="s">
        <v>357</v>
      </c>
      <c r="J1597" s="0" t="n">
        <v>337</v>
      </c>
      <c r="K1597" s="0" t="n">
        <v>65</v>
      </c>
      <c r="L1597" s="0" t="n">
        <v>238</v>
      </c>
      <c r="M1597" s="0" t="n">
        <v>1533.47</v>
      </c>
      <c r="N1597" s="0" t="n">
        <v>58.52</v>
      </c>
      <c r="O1597" s="0" t="n">
        <v>33.88</v>
      </c>
      <c r="P1597" s="0" t="n">
        <v>4.25</v>
      </c>
      <c r="Q1597" s="0" t="n">
        <v>3.7</v>
      </c>
      <c r="R1597" s="0" t="n">
        <v>4243</v>
      </c>
      <c r="S1597" s="0" t="n">
        <v>8414</v>
      </c>
      <c r="T1597" s="0" t="n">
        <v>41.8</v>
      </c>
      <c r="U1597" s="0" t="n">
        <v>1779</v>
      </c>
      <c r="V1597" s="0" t="n">
        <v>4</v>
      </c>
      <c r="W1597" s="0" t="str">
        <f aca="false">IF(OR(AND(B1597&gt;=1,B1597&lt;=6),B1597=10),"Vaca em lactação",IF(I1597="Male","Macho",IF(E1597&gt;=1,"Vaca seca",IF(I1597="Youngstock","Bezerra/recria","Novilha"))))</f>
        <v>Vaca seca</v>
      </c>
      <c r="X1597" s="0" t="str">
        <f aca="false">IF(AND(B1597&gt;=1,B1597&lt;=6),"Tanque",IF(B1597=10,"Descarte",""))</f>
        <v/>
      </c>
    </row>
    <row r="1598" customFormat="false" ht="15" hidden="false" customHeight="false" outlineLevel="0" collapsed="false">
      <c r="A1598" s="22" t="n">
        <v>46309</v>
      </c>
      <c r="B1598" s="0" t="n">
        <v>7</v>
      </c>
      <c r="C1598" s="0" t="n">
        <v>3746</v>
      </c>
      <c r="D1598" s="0" t="n">
        <v>191</v>
      </c>
      <c r="E1598" s="0" t="n">
        <v>3</v>
      </c>
      <c r="F1598" s="23" t="s">
        <v>408</v>
      </c>
      <c r="I1598" s="23" t="s">
        <v>357</v>
      </c>
      <c r="J1598" s="0" t="n">
        <v>115</v>
      </c>
      <c r="K1598" s="0" t="n">
        <v>115</v>
      </c>
      <c r="L1598" s="0" t="n">
        <v>224</v>
      </c>
      <c r="M1598" s="0" t="n">
        <v>1012.24</v>
      </c>
      <c r="N1598" s="0" t="n">
        <v>70.35</v>
      </c>
      <c r="O1598" s="0" t="n">
        <v>42.61</v>
      </c>
      <c r="P1598" s="0" t="n">
        <v>4.15</v>
      </c>
      <c r="Q1598" s="0" t="n">
        <v>3.63</v>
      </c>
      <c r="R1598" s="0" t="n">
        <v>2912</v>
      </c>
      <c r="S1598" s="0" t="n">
        <v>4610</v>
      </c>
      <c r="T1598" s="0" t="n">
        <v>40.4</v>
      </c>
      <c r="U1598" s="0" t="n">
        <v>1777</v>
      </c>
      <c r="V1598" s="0" t="n">
        <v>1</v>
      </c>
      <c r="W1598" s="0" t="str">
        <f aca="false">IF(OR(AND(B1598&gt;=1,B1598&lt;=6),B1598=10),"Vaca em lactação",IF(I1598="Male","Macho",IF(E1598&gt;=1,"Vaca seca",IF(I1598="Youngstock","Bezerra/recria","Novilha"))))</f>
        <v>Vaca seca</v>
      </c>
      <c r="X1598" s="0" t="str">
        <f aca="false">IF(AND(B1598&gt;=1,B1598&lt;=6),"Tanque",IF(B1598=10,"Descarte",""))</f>
        <v/>
      </c>
    </row>
    <row r="1599" customFormat="false" ht="15" hidden="false" customHeight="false" outlineLevel="0" collapsed="false">
      <c r="A1599" s="22" t="n">
        <v>46309</v>
      </c>
      <c r="B1599" s="0" t="n">
        <v>7</v>
      </c>
      <c r="C1599" s="0" t="n">
        <v>3700</v>
      </c>
      <c r="D1599" s="0" t="n">
        <v>210</v>
      </c>
      <c r="E1599" s="0" t="n">
        <v>3</v>
      </c>
      <c r="F1599" s="23" t="s">
        <v>225</v>
      </c>
      <c r="G1599" s="0" t="n">
        <v>5.3</v>
      </c>
      <c r="H1599" s="0" t="n">
        <v>15</v>
      </c>
      <c r="I1599" s="23" t="s">
        <v>357</v>
      </c>
      <c r="J1599" s="0" t="n">
        <v>64</v>
      </c>
      <c r="K1599" s="0" t="n">
        <v>64</v>
      </c>
      <c r="L1599" s="0" t="n">
        <v>147</v>
      </c>
      <c r="M1599" s="0" t="n">
        <v>269.01</v>
      </c>
      <c r="N1599" s="0" t="n">
        <v>58.24</v>
      </c>
      <c r="O1599" s="0" t="n">
        <v>28.33</v>
      </c>
      <c r="P1599" s="0" t="n">
        <v>5.19</v>
      </c>
      <c r="Q1599" s="0" t="n">
        <v>3.26</v>
      </c>
      <c r="R1599" s="0" t="n">
        <v>2998</v>
      </c>
      <c r="S1599" s="0" t="n">
        <v>6679</v>
      </c>
      <c r="T1599" s="0" t="n">
        <v>36.6</v>
      </c>
      <c r="U1599" s="0" t="n">
        <v>1809</v>
      </c>
      <c r="V1599" s="0" t="n">
        <v>1</v>
      </c>
      <c r="W1599" s="0" t="str">
        <f aca="false">IF(OR(AND(B1599&gt;=1,B1599&lt;=6),B1599=10),"Vaca em lactação",IF(I1599="Male","Macho",IF(E1599&gt;=1,"Vaca seca",IF(I1599="Youngstock","Bezerra/recria","Novilha"))))</f>
        <v>Vaca seca</v>
      </c>
      <c r="X1599" s="0" t="str">
        <f aca="false">IF(AND(B1599&gt;=1,B1599&lt;=6),"Tanque",IF(B1599=10,"Descarte",""))</f>
        <v/>
      </c>
    </row>
    <row r="1600" customFormat="false" ht="15" hidden="false" customHeight="false" outlineLevel="0" collapsed="false">
      <c r="A1600" s="22" t="n">
        <v>46309</v>
      </c>
      <c r="B1600" s="0" t="n">
        <v>7</v>
      </c>
      <c r="C1600" s="0" t="n">
        <v>3712</v>
      </c>
      <c r="D1600" s="0" t="n">
        <v>641</v>
      </c>
      <c r="E1600" s="0" t="n">
        <v>2</v>
      </c>
      <c r="F1600" s="23" t="s">
        <v>970</v>
      </c>
      <c r="I1600" s="23" t="s">
        <v>971</v>
      </c>
      <c r="J1600" s="0" t="n">
        <v>641</v>
      </c>
      <c r="K1600" s="0" t="n">
        <v>69</v>
      </c>
      <c r="M1600" s="0" t="n">
        <v>789.2</v>
      </c>
      <c r="N1600" s="0" t="n">
        <v>31.01</v>
      </c>
      <c r="O1600" s="0" t="n">
        <v>22.74</v>
      </c>
      <c r="P1600" s="0" t="n">
        <v>6.06</v>
      </c>
      <c r="Q1600" s="0" t="n">
        <v>4.6</v>
      </c>
      <c r="R1600" s="0" t="n">
        <v>7058</v>
      </c>
      <c r="S1600" s="0" t="n">
        <v>13489</v>
      </c>
      <c r="T1600" s="0" t="n">
        <v>72.65</v>
      </c>
      <c r="U1600" s="0" t="n">
        <v>1804</v>
      </c>
      <c r="V1600" s="0" t="n">
        <v>12</v>
      </c>
      <c r="W1600" s="0" t="str">
        <f aca="false">IF(OR(AND(B1600&gt;=1,B1600&lt;=6),B1600=10),"Vaca em lactação",IF(I1600="Male","Macho",IF(E1600&gt;=1,"Vaca seca",IF(I1600="Youngstock","Bezerra/recria","Novilha"))))</f>
        <v>Vaca seca</v>
      </c>
      <c r="X1600" s="0" t="str">
        <f aca="false">IF(AND(B1600&gt;=1,B1600&lt;=6),"Tanque",IF(B1600=10,"Descarte",""))</f>
        <v/>
      </c>
    </row>
    <row r="1601" customFormat="false" ht="15" hidden="false" customHeight="false" outlineLevel="0" collapsed="false">
      <c r="A1601" s="22" t="n">
        <v>46309</v>
      </c>
      <c r="B1601" s="0" t="n">
        <v>7</v>
      </c>
      <c r="C1601" s="0" t="n">
        <v>3763</v>
      </c>
      <c r="D1601" s="0" t="n">
        <v>339</v>
      </c>
      <c r="E1601" s="0" t="n">
        <v>3</v>
      </c>
      <c r="F1601" s="23" t="s">
        <v>699</v>
      </c>
      <c r="I1601" s="23" t="s">
        <v>357</v>
      </c>
      <c r="J1601" s="0" t="n">
        <v>117</v>
      </c>
      <c r="K1601" s="0" t="n">
        <v>68</v>
      </c>
      <c r="L1601" s="0" t="n">
        <v>237</v>
      </c>
      <c r="M1601" s="0" t="n">
        <v>827.06</v>
      </c>
      <c r="N1601" s="0" t="n">
        <v>48.67</v>
      </c>
      <c r="O1601" s="0" t="n">
        <v>21.96</v>
      </c>
      <c r="P1601" s="0" t="n">
        <v>4.37</v>
      </c>
      <c r="Q1601" s="0" t="n">
        <v>3.62</v>
      </c>
      <c r="R1601" s="0" t="n">
        <v>4439</v>
      </c>
      <c r="S1601" s="0" t="n">
        <v>8751</v>
      </c>
      <c r="T1601" s="0" t="n">
        <v>45.85</v>
      </c>
      <c r="U1601" s="0" t="n">
        <v>1769</v>
      </c>
      <c r="V1601" s="0" t="n">
        <v>3</v>
      </c>
      <c r="W1601" s="0" t="str">
        <f aca="false">IF(OR(AND(B1601&gt;=1,B1601&lt;=6),B1601=10),"Vaca em lactação",IF(I1601="Male","Macho",IF(E1601&gt;=1,"Vaca seca",IF(I1601="Youngstock","Bezerra/recria","Novilha"))))</f>
        <v>Vaca seca</v>
      </c>
      <c r="X1601" s="0" t="str">
        <f aca="false">IF(AND(B1601&gt;=1,B1601&lt;=6),"Tanque",IF(B1601=10,"Descarte",""))</f>
        <v/>
      </c>
    </row>
    <row r="1602" customFormat="false" ht="15" hidden="false" customHeight="false" outlineLevel="0" collapsed="false">
      <c r="A1602" s="22" t="n">
        <v>46309</v>
      </c>
      <c r="B1602" s="0" t="n">
        <v>7</v>
      </c>
      <c r="C1602" s="0" t="n">
        <v>3784</v>
      </c>
      <c r="D1602" s="0" t="n">
        <v>346</v>
      </c>
      <c r="E1602" s="0" t="n">
        <v>3</v>
      </c>
      <c r="F1602" s="23" t="s">
        <v>972</v>
      </c>
      <c r="G1602" s="0" t="n">
        <v>5.2</v>
      </c>
      <c r="H1602" s="0" t="n">
        <v>16</v>
      </c>
      <c r="I1602" s="23" t="s">
        <v>357</v>
      </c>
      <c r="J1602" s="0" t="n">
        <v>123</v>
      </c>
      <c r="K1602" s="0" t="n">
        <v>68</v>
      </c>
      <c r="L1602" s="0" t="n">
        <v>224</v>
      </c>
      <c r="M1602" s="0" t="n">
        <v>361.74</v>
      </c>
      <c r="N1602" s="0" t="n">
        <v>23.24</v>
      </c>
      <c r="O1602" s="0" t="n">
        <v>25.12</v>
      </c>
      <c r="P1602" s="0" t="n">
        <v>3.68</v>
      </c>
      <c r="Q1602" s="0" t="n">
        <v>3.29</v>
      </c>
      <c r="R1602" s="0" t="n">
        <v>4667</v>
      </c>
      <c r="S1602" s="0" t="n">
        <v>9821</v>
      </c>
      <c r="T1602" s="0" t="n">
        <v>51.1</v>
      </c>
      <c r="U1602" s="0" t="n">
        <v>1745</v>
      </c>
      <c r="V1602" s="0" t="n">
        <v>3</v>
      </c>
      <c r="W1602" s="0" t="str">
        <f aca="false">IF(OR(AND(B1602&gt;=1,B1602&lt;=6),B1602=10),"Vaca em lactação",IF(I1602="Male","Macho",IF(E1602&gt;=1,"Vaca seca",IF(I1602="Youngstock","Bezerra/recria","Novilha"))))</f>
        <v>Vaca seca</v>
      </c>
      <c r="X1602" s="0" t="str">
        <f aca="false">IF(AND(B1602&gt;=1,B1602&lt;=6),"Tanque",IF(B1602=10,"Descarte",""))</f>
        <v/>
      </c>
    </row>
    <row r="1603" customFormat="false" ht="15" hidden="false" customHeight="false" outlineLevel="0" collapsed="false">
      <c r="A1603" s="22" t="n">
        <v>46309</v>
      </c>
      <c r="B1603" s="0" t="n">
        <v>7</v>
      </c>
      <c r="C1603" s="0" t="n">
        <v>3780</v>
      </c>
      <c r="D1603" s="0" t="n">
        <v>300</v>
      </c>
      <c r="E1603" s="0" t="n">
        <v>3</v>
      </c>
      <c r="F1603" s="23" t="s">
        <v>973</v>
      </c>
      <c r="G1603" s="0" t="n">
        <v>9.3</v>
      </c>
      <c r="H1603" s="0" t="n">
        <v>8</v>
      </c>
      <c r="I1603" s="23" t="s">
        <v>92</v>
      </c>
      <c r="J1603" s="0" t="n">
        <v>223</v>
      </c>
      <c r="K1603" s="0" t="n">
        <v>76</v>
      </c>
      <c r="L1603" s="0" t="n">
        <v>77</v>
      </c>
      <c r="M1603" s="0" t="n">
        <v>709.3</v>
      </c>
      <c r="N1603" s="0" t="n">
        <v>33.47</v>
      </c>
      <c r="O1603" s="0" t="n">
        <v>24.23</v>
      </c>
      <c r="P1603" s="0" t="n">
        <v>5.48</v>
      </c>
      <c r="Q1603" s="0" t="n">
        <v>4.29</v>
      </c>
      <c r="R1603" s="0" t="n">
        <v>4971</v>
      </c>
      <c r="S1603" s="0" t="n">
        <v>10112</v>
      </c>
      <c r="T1603" s="0" t="n">
        <v>52.85</v>
      </c>
      <c r="U1603" s="0" t="n">
        <v>1750</v>
      </c>
      <c r="V1603" s="0" t="n">
        <v>5</v>
      </c>
      <c r="W1603" s="0" t="str">
        <f aca="false">IF(OR(AND(B1603&gt;=1,B1603&lt;=6),B1603=10),"Vaca em lactação",IF(I1603="Male","Macho",IF(E1603&gt;=1,"Vaca seca",IF(I1603="Youngstock","Bezerra/recria","Novilha"))))</f>
        <v>Vaca seca</v>
      </c>
      <c r="X1603" s="0" t="str">
        <f aca="false">IF(AND(B1603&gt;=1,B1603&lt;=6),"Tanque",IF(B1603=10,"Descarte",""))</f>
        <v/>
      </c>
    </row>
    <row r="1604" customFormat="false" ht="15" hidden="false" customHeight="false" outlineLevel="0" collapsed="false">
      <c r="A1604" s="22" t="n">
        <v>46309</v>
      </c>
      <c r="B1604" s="0" t="n">
        <v>7</v>
      </c>
      <c r="C1604" s="0" t="n">
        <v>3626</v>
      </c>
      <c r="D1604" s="0" t="n">
        <v>354</v>
      </c>
      <c r="E1604" s="0" t="n">
        <v>3</v>
      </c>
      <c r="F1604" s="23" t="s">
        <v>415</v>
      </c>
      <c r="I1604" s="23" t="s">
        <v>357</v>
      </c>
      <c r="J1604" s="0" t="n">
        <v>180</v>
      </c>
      <c r="K1604" s="0" t="n">
        <v>68</v>
      </c>
      <c r="L1604" s="0" t="n">
        <v>231</v>
      </c>
      <c r="M1604" s="0" t="n">
        <v>887.53</v>
      </c>
      <c r="N1604" s="0" t="n">
        <v>47.57</v>
      </c>
      <c r="O1604" s="0" t="n">
        <v>29.72</v>
      </c>
      <c r="P1604" s="0" t="n">
        <v>3.42</v>
      </c>
      <c r="Q1604" s="0" t="n">
        <v>3.93</v>
      </c>
      <c r="R1604" s="0" t="n">
        <v>5744</v>
      </c>
      <c r="S1604" s="0" t="n">
        <v>11336</v>
      </c>
      <c r="T1604" s="0" t="n">
        <v>63.85</v>
      </c>
      <c r="U1604" s="0" t="n">
        <v>1859</v>
      </c>
      <c r="V1604" s="0" t="n">
        <v>3</v>
      </c>
      <c r="W1604" s="0" t="str">
        <f aca="false">IF(OR(AND(B1604&gt;=1,B1604&lt;=6),B1604=10),"Vaca em lactação",IF(I1604="Male","Macho",IF(E1604&gt;=1,"Vaca seca",IF(I1604="Youngstock","Bezerra/recria","Novilha"))))</f>
        <v>Vaca seca</v>
      </c>
      <c r="X1604" s="0" t="str">
        <f aca="false">IF(AND(B1604&gt;=1,B1604&lt;=6),"Tanque",IF(B1604=10,"Descarte",""))</f>
        <v/>
      </c>
    </row>
    <row r="1605" customFormat="false" ht="15" hidden="false" customHeight="false" outlineLevel="0" collapsed="false">
      <c r="A1605" s="22" t="n">
        <v>46309</v>
      </c>
      <c r="B1605" s="0" t="n">
        <v>7</v>
      </c>
      <c r="C1605" s="0" t="n">
        <v>3574</v>
      </c>
      <c r="D1605" s="0" t="n">
        <v>471</v>
      </c>
      <c r="E1605" s="0" t="n">
        <v>3</v>
      </c>
      <c r="F1605" s="23" t="s">
        <v>974</v>
      </c>
      <c r="I1605" s="23" t="s">
        <v>357</v>
      </c>
      <c r="J1605" s="0" t="n">
        <v>255</v>
      </c>
      <c r="K1605" s="0" t="n">
        <v>59</v>
      </c>
      <c r="L1605" s="0" t="n">
        <v>245</v>
      </c>
      <c r="M1605" s="0" t="n">
        <v>475.83</v>
      </c>
      <c r="N1605" s="0" t="n">
        <v>50.24</v>
      </c>
      <c r="O1605" s="0" t="n">
        <v>29.46</v>
      </c>
      <c r="P1605" s="0" t="n">
        <v>6.09</v>
      </c>
      <c r="Q1605" s="0" t="n">
        <v>4.34</v>
      </c>
      <c r="R1605" s="0" t="n">
        <v>2825</v>
      </c>
      <c r="S1605" s="0" t="n">
        <v>5577</v>
      </c>
      <c r="T1605" s="0" t="n">
        <v>28.65</v>
      </c>
      <c r="U1605" s="0" t="n">
        <v>1885</v>
      </c>
      <c r="V1605" s="0" t="n">
        <v>6</v>
      </c>
      <c r="W1605" s="0" t="str">
        <f aca="false">IF(OR(AND(B1605&gt;=1,B1605&lt;=6),B1605=10),"Vaca em lactação",IF(I1605="Male","Macho",IF(E1605&gt;=1,"Vaca seca",IF(I1605="Youngstock","Bezerra/recria","Novilha"))))</f>
        <v>Vaca seca</v>
      </c>
      <c r="X1605" s="0" t="str">
        <f aca="false">IF(AND(B1605&gt;=1,B1605&lt;=6),"Tanque",IF(B1605=10,"Descarte",""))</f>
        <v/>
      </c>
    </row>
    <row r="1606" customFormat="false" ht="15" hidden="false" customHeight="false" outlineLevel="0" collapsed="false">
      <c r="A1606" s="22" t="n">
        <v>46309</v>
      </c>
      <c r="B1606" s="0" t="n">
        <v>7</v>
      </c>
      <c r="C1606" s="0" t="n">
        <v>3590</v>
      </c>
      <c r="D1606" s="0" t="n">
        <v>444</v>
      </c>
      <c r="E1606" s="0" t="n">
        <v>3</v>
      </c>
      <c r="F1606" s="23" t="s">
        <v>975</v>
      </c>
      <c r="I1606" s="23" t="s">
        <v>357</v>
      </c>
      <c r="J1606" s="0" t="n">
        <v>263</v>
      </c>
      <c r="K1606" s="0" t="n">
        <v>60</v>
      </c>
      <c r="L1606" s="0" t="n">
        <v>189</v>
      </c>
      <c r="M1606" s="0" t="n">
        <v>336.16</v>
      </c>
      <c r="N1606" s="0" t="n">
        <v>42.45</v>
      </c>
      <c r="O1606" s="0" t="n">
        <v>31.53</v>
      </c>
      <c r="P1606" s="0" t="n">
        <v>5.18</v>
      </c>
      <c r="Q1606" s="0" t="n">
        <v>4.25</v>
      </c>
      <c r="R1606" s="0" t="n">
        <v>6544</v>
      </c>
      <c r="S1606" s="0" t="n">
        <v>12715</v>
      </c>
      <c r="T1606" s="0" t="n">
        <v>68.5</v>
      </c>
      <c r="U1606" s="0" t="n">
        <v>1877</v>
      </c>
      <c r="V1606" s="0" t="n">
        <v>6</v>
      </c>
      <c r="W1606" s="0" t="str">
        <f aca="false">IF(OR(AND(B1606&gt;=1,B1606&lt;=6),B1606=10),"Vaca em lactação",IF(I1606="Male","Macho",IF(E1606&gt;=1,"Vaca seca",IF(I1606="Youngstock","Bezerra/recria","Novilha"))))</f>
        <v>Vaca seca</v>
      </c>
      <c r="X1606" s="0" t="str">
        <f aca="false">IF(AND(B1606&gt;=1,B1606&lt;=6),"Tanque",IF(B1606=10,"Descarte",""))</f>
        <v/>
      </c>
    </row>
    <row r="1607" customFormat="false" ht="15" hidden="false" customHeight="false" outlineLevel="0" collapsed="false">
      <c r="A1607" s="22" t="n">
        <v>46309</v>
      </c>
      <c r="B1607" s="0" t="n">
        <v>7</v>
      </c>
      <c r="C1607" s="0" t="n">
        <v>3579</v>
      </c>
      <c r="D1607" s="0" t="n">
        <v>238</v>
      </c>
      <c r="E1607" s="0" t="n">
        <v>3</v>
      </c>
      <c r="F1607" s="23" t="s">
        <v>976</v>
      </c>
      <c r="I1607" s="23" t="s">
        <v>357</v>
      </c>
      <c r="J1607" s="0" t="n">
        <v>64</v>
      </c>
      <c r="K1607" s="0" t="n">
        <v>64</v>
      </c>
      <c r="L1607" s="0" t="n">
        <v>196</v>
      </c>
      <c r="M1607" s="0" t="n">
        <v>1053.4</v>
      </c>
      <c r="N1607" s="0" t="n">
        <v>34.65</v>
      </c>
      <c r="O1607" s="0" t="n">
        <v>33.36</v>
      </c>
      <c r="P1607" s="0" t="n">
        <v>5.11</v>
      </c>
      <c r="Q1607" s="0" t="n">
        <v>3.68</v>
      </c>
      <c r="R1607" s="0" t="n">
        <v>5489</v>
      </c>
      <c r="S1607" s="0" t="n">
        <v>10332</v>
      </c>
      <c r="T1607" s="0" t="n">
        <v>61.8</v>
      </c>
      <c r="U1607" s="0" t="n">
        <v>1881</v>
      </c>
      <c r="V1607" s="0" t="n">
        <v>1</v>
      </c>
      <c r="W1607" s="0" t="str">
        <f aca="false">IF(OR(AND(B1607&gt;=1,B1607&lt;=6),B1607=10),"Vaca em lactação",IF(I1607="Male","Macho",IF(E1607&gt;=1,"Vaca seca",IF(I1607="Youngstock","Bezerra/recria","Novilha"))))</f>
        <v>Vaca seca</v>
      </c>
      <c r="X1607" s="0" t="str">
        <f aca="false">IF(AND(B1607&gt;=1,B1607&lt;=6),"Tanque",IF(B1607=10,"Descarte",""))</f>
        <v/>
      </c>
    </row>
    <row r="1608" customFormat="false" ht="15" hidden="false" customHeight="false" outlineLevel="0" collapsed="false">
      <c r="A1608" s="22" t="n">
        <v>46309</v>
      </c>
      <c r="B1608" s="0" t="n">
        <v>7</v>
      </c>
      <c r="C1608" s="0" t="n">
        <v>3577</v>
      </c>
      <c r="D1608" s="0" t="n">
        <v>322</v>
      </c>
      <c r="E1608" s="0" t="n">
        <v>3</v>
      </c>
      <c r="F1608" s="23" t="s">
        <v>977</v>
      </c>
      <c r="I1608" s="23" t="s">
        <v>357</v>
      </c>
      <c r="J1608" s="0" t="n">
        <v>134</v>
      </c>
      <c r="K1608" s="0" t="n">
        <v>64</v>
      </c>
      <c r="L1608" s="0" t="n">
        <v>245</v>
      </c>
      <c r="M1608" s="0" t="n">
        <v>367.35</v>
      </c>
      <c r="N1608" s="0" t="n">
        <v>46.97</v>
      </c>
      <c r="O1608" s="0" t="n">
        <v>24.4</v>
      </c>
      <c r="P1608" s="0" t="n">
        <v>6.31</v>
      </c>
      <c r="Q1608" s="0" t="n">
        <v>4.48</v>
      </c>
      <c r="R1608" s="0" t="n">
        <v>5907</v>
      </c>
      <c r="S1608" s="0" t="n">
        <v>10839</v>
      </c>
      <c r="T1608" s="0" t="n">
        <v>60.95</v>
      </c>
      <c r="U1608" s="0" t="n">
        <v>1883</v>
      </c>
      <c r="V1608" s="0" t="n">
        <v>3</v>
      </c>
      <c r="W1608" s="0" t="str">
        <f aca="false">IF(OR(AND(B1608&gt;=1,B1608&lt;=6),B1608=10),"Vaca em lactação",IF(I1608="Male","Macho",IF(E1608&gt;=1,"Vaca seca",IF(I1608="Youngstock","Bezerra/recria","Novilha"))))</f>
        <v>Vaca seca</v>
      </c>
      <c r="X1608" s="0" t="str">
        <f aca="false">IF(AND(B1608&gt;=1,B1608&lt;=6),"Tanque",IF(B1608=10,"Descarte",""))</f>
        <v/>
      </c>
    </row>
    <row r="1609" customFormat="false" ht="15" hidden="false" customHeight="false" outlineLevel="0" collapsed="false">
      <c r="A1609" s="22" t="n">
        <v>46309</v>
      </c>
      <c r="B1609" s="0" t="n">
        <v>7</v>
      </c>
      <c r="C1609" s="0" t="n">
        <v>4006</v>
      </c>
      <c r="D1609" s="0" t="n">
        <v>358</v>
      </c>
      <c r="E1609" s="0" t="n">
        <v>2</v>
      </c>
      <c r="F1609" s="23" t="s">
        <v>978</v>
      </c>
      <c r="I1609" s="23" t="s">
        <v>357</v>
      </c>
      <c r="J1609" s="0" t="n">
        <v>213</v>
      </c>
      <c r="K1609" s="0" t="n">
        <v>66</v>
      </c>
      <c r="L1609" s="0" t="n">
        <v>161</v>
      </c>
      <c r="M1609" s="0" t="n">
        <v>950.26</v>
      </c>
      <c r="N1609" s="0" t="n">
        <v>57.08</v>
      </c>
      <c r="O1609" s="0" t="n">
        <v>36.97</v>
      </c>
      <c r="P1609" s="0" t="n">
        <v>4.94</v>
      </c>
      <c r="Q1609" s="0" t="n">
        <v>4.13</v>
      </c>
      <c r="R1609" s="0" t="n">
        <v>6486</v>
      </c>
      <c r="S1609" s="0" t="n">
        <v>12941</v>
      </c>
      <c r="T1609" s="0" t="n">
        <v>69.4</v>
      </c>
      <c r="U1609" s="0" t="n">
        <v>1611</v>
      </c>
      <c r="V1609" s="0" t="n">
        <v>4</v>
      </c>
      <c r="W1609" s="0" t="str">
        <f aca="false">IF(OR(AND(B1609&gt;=1,B1609&lt;=6),B1609=10),"Vaca em lactação",IF(I1609="Male","Macho",IF(E1609&gt;=1,"Vaca seca",IF(I1609="Youngstock","Bezerra/recria","Novilha"))))</f>
        <v>Vaca seca</v>
      </c>
      <c r="X1609" s="0" t="str">
        <f aca="false">IF(AND(B1609&gt;=1,B1609&lt;=6),"Tanque",IF(B1609=10,"Descarte",""))</f>
        <v/>
      </c>
    </row>
    <row r="1610" customFormat="false" ht="15" hidden="false" customHeight="false" outlineLevel="0" collapsed="false">
      <c r="A1610" s="22" t="n">
        <v>46309</v>
      </c>
      <c r="B1610" s="0" t="n">
        <v>7</v>
      </c>
      <c r="C1610" s="0" t="n">
        <v>3960</v>
      </c>
      <c r="D1610" s="0" t="n">
        <v>59</v>
      </c>
      <c r="E1610" s="0" t="n">
        <v>3</v>
      </c>
      <c r="F1610" s="23" t="s">
        <v>979</v>
      </c>
      <c r="I1610" s="23" t="s">
        <v>357</v>
      </c>
      <c r="J1610" s="0" t="n">
        <v>95</v>
      </c>
      <c r="K1610" s="0" t="n">
        <v>74</v>
      </c>
      <c r="L1610" s="0" t="n">
        <v>98</v>
      </c>
      <c r="M1610" s="0" t="n">
        <v>312.08</v>
      </c>
      <c r="N1610" s="0" t="n">
        <v>67.62</v>
      </c>
      <c r="O1610" s="0" t="n">
        <v>21.53</v>
      </c>
      <c r="P1610" s="0" t="n">
        <v>4.4</v>
      </c>
      <c r="Q1610" s="0" t="n">
        <v>3.56</v>
      </c>
      <c r="R1610" s="0" t="n">
        <v>851</v>
      </c>
      <c r="S1610" s="0" t="n">
        <v>1710</v>
      </c>
      <c r="U1610" s="0" t="n">
        <v>1646</v>
      </c>
      <c r="V1610" s="0" t="n">
        <v>2</v>
      </c>
      <c r="W1610" s="0" t="str">
        <f aca="false">IF(OR(AND(B1610&gt;=1,B1610&lt;=6),B1610=10),"Vaca em lactação",IF(I1610="Male","Macho",IF(E1610&gt;=1,"Vaca seca",IF(I1610="Youngstock","Bezerra/recria","Novilha"))))</f>
        <v>Vaca seca</v>
      </c>
      <c r="X1610" s="0" t="str">
        <f aca="false">IF(AND(B1610&gt;=1,B1610&lt;=6),"Tanque",IF(B1610=10,"Descarte",""))</f>
        <v/>
      </c>
    </row>
    <row r="1611" customFormat="false" ht="15" hidden="false" customHeight="false" outlineLevel="0" collapsed="false">
      <c r="A1611" s="22" t="n">
        <v>46309</v>
      </c>
      <c r="B1611" s="0" t="n">
        <v>7</v>
      </c>
      <c r="C1611" s="0" t="n">
        <v>3985</v>
      </c>
      <c r="D1611" s="0" t="n">
        <v>395</v>
      </c>
      <c r="E1611" s="0" t="n">
        <v>2</v>
      </c>
      <c r="F1611" s="23" t="s">
        <v>421</v>
      </c>
      <c r="I1611" s="23" t="s">
        <v>357</v>
      </c>
      <c r="J1611" s="0" t="n">
        <v>179</v>
      </c>
      <c r="K1611" s="0" t="n">
        <v>81</v>
      </c>
      <c r="L1611" s="0" t="n">
        <v>245</v>
      </c>
      <c r="M1611" s="0" t="n">
        <v>663.11</v>
      </c>
      <c r="N1611" s="0" t="n">
        <v>58.98</v>
      </c>
      <c r="O1611" s="0" t="n">
        <v>21.91</v>
      </c>
      <c r="P1611" s="0" t="n">
        <v>5.89</v>
      </c>
      <c r="Q1611" s="0" t="n">
        <v>4.2</v>
      </c>
      <c r="R1611" s="0" t="n">
        <v>4061</v>
      </c>
      <c r="S1611" s="0" t="n">
        <v>8234</v>
      </c>
      <c r="T1611" s="0" t="n">
        <v>46.6</v>
      </c>
      <c r="U1611" s="0" t="n">
        <v>1630</v>
      </c>
      <c r="V1611" s="0" t="n">
        <v>4</v>
      </c>
      <c r="W1611" s="0" t="str">
        <f aca="false">IF(OR(AND(B1611&gt;=1,B1611&lt;=6),B1611=10),"Vaca em lactação",IF(I1611="Male","Macho",IF(E1611&gt;=1,"Vaca seca",IF(I1611="Youngstock","Bezerra/recria","Novilha"))))</f>
        <v>Vaca seca</v>
      </c>
      <c r="X1611" s="0" t="str">
        <f aca="false">IF(AND(B1611&gt;=1,B1611&lt;=6),"Tanque",IF(B1611=10,"Descarte",""))</f>
        <v/>
      </c>
    </row>
    <row r="1612" customFormat="false" ht="15" hidden="false" customHeight="false" outlineLevel="0" collapsed="false">
      <c r="A1612" s="22" t="n">
        <v>46309</v>
      </c>
      <c r="B1612" s="0" t="n">
        <v>7</v>
      </c>
      <c r="C1612" s="0" t="n">
        <v>4041</v>
      </c>
      <c r="D1612" s="0" t="n">
        <v>292</v>
      </c>
      <c r="E1612" s="0" t="n">
        <v>2</v>
      </c>
      <c r="F1612" s="23" t="s">
        <v>980</v>
      </c>
      <c r="I1612" s="23" t="s">
        <v>357</v>
      </c>
      <c r="J1612" s="0" t="n">
        <v>69</v>
      </c>
      <c r="K1612" s="0" t="n">
        <v>69</v>
      </c>
      <c r="L1612" s="0" t="n">
        <v>231</v>
      </c>
      <c r="M1612" s="0" t="n">
        <v>841.24</v>
      </c>
      <c r="N1612" s="0" t="n">
        <v>91.11</v>
      </c>
      <c r="O1612" s="0" t="n">
        <v>39.19</v>
      </c>
      <c r="P1612" s="0" t="n">
        <v>3.72</v>
      </c>
      <c r="Q1612" s="0" t="n">
        <v>3.69</v>
      </c>
      <c r="R1612" s="0" t="n">
        <v>5797</v>
      </c>
      <c r="S1612" s="0" t="n">
        <v>11235</v>
      </c>
      <c r="T1612" s="0" t="n">
        <v>64.9</v>
      </c>
      <c r="U1612" s="0" t="n">
        <v>1583</v>
      </c>
      <c r="V1612" s="0" t="n">
        <v>1</v>
      </c>
      <c r="W1612" s="0" t="str">
        <f aca="false">IF(OR(AND(B1612&gt;=1,B1612&lt;=6),B1612=10),"Vaca em lactação",IF(I1612="Male","Macho",IF(E1612&gt;=1,"Vaca seca",IF(I1612="Youngstock","Bezerra/recria","Novilha"))))</f>
        <v>Vaca seca</v>
      </c>
      <c r="X1612" s="0" t="str">
        <f aca="false">IF(AND(B1612&gt;=1,B1612&lt;=6),"Tanque",IF(B1612=10,"Descarte",""))</f>
        <v/>
      </c>
    </row>
    <row r="1613" customFormat="false" ht="15" hidden="false" customHeight="false" outlineLevel="0" collapsed="false">
      <c r="A1613" s="22" t="n">
        <v>46309</v>
      </c>
      <c r="B1613" s="0" t="n">
        <v>7</v>
      </c>
      <c r="C1613" s="0" t="n">
        <v>4038</v>
      </c>
      <c r="D1613" s="0" t="n">
        <v>461</v>
      </c>
      <c r="E1613" s="0" t="n">
        <v>2</v>
      </c>
      <c r="F1613" s="23" t="s">
        <v>981</v>
      </c>
      <c r="I1613" s="23" t="s">
        <v>357</v>
      </c>
      <c r="J1613" s="0" t="n">
        <v>258</v>
      </c>
      <c r="K1613" s="0" t="n">
        <v>220</v>
      </c>
      <c r="L1613" s="0" t="n">
        <v>217</v>
      </c>
      <c r="M1613" s="0" t="n">
        <v>807.18</v>
      </c>
      <c r="N1613" s="0" t="n">
        <v>67.15</v>
      </c>
      <c r="O1613" s="0" t="n">
        <v>39.35</v>
      </c>
      <c r="P1613" s="0" t="n">
        <v>6.85</v>
      </c>
      <c r="Q1613" s="0" t="n">
        <v>4.44</v>
      </c>
      <c r="R1613" s="0" t="n">
        <v>4116</v>
      </c>
      <c r="S1613" s="0" t="n">
        <v>7839</v>
      </c>
      <c r="T1613" s="0" t="n">
        <v>48.35</v>
      </c>
      <c r="U1613" s="0" t="n">
        <v>1589</v>
      </c>
      <c r="V1613" s="0" t="n">
        <v>2</v>
      </c>
      <c r="W1613" s="0" t="str">
        <f aca="false">IF(OR(AND(B1613&gt;=1,B1613&lt;=6),B1613=10),"Vaca em lactação",IF(I1613="Male","Macho",IF(E1613&gt;=1,"Vaca seca",IF(I1613="Youngstock","Bezerra/recria","Novilha"))))</f>
        <v>Vaca seca</v>
      </c>
      <c r="X1613" s="0" t="str">
        <f aca="false">IF(AND(B1613&gt;=1,B1613&lt;=6),"Tanque",IF(B1613=10,"Descarte",""))</f>
        <v/>
      </c>
    </row>
    <row r="1614" customFormat="false" ht="15" hidden="false" customHeight="false" outlineLevel="0" collapsed="false">
      <c r="A1614" s="22" t="n">
        <v>46309</v>
      </c>
      <c r="B1614" s="0" t="n">
        <v>7</v>
      </c>
      <c r="C1614" s="0" t="n">
        <v>4051</v>
      </c>
      <c r="D1614" s="0" t="n">
        <v>426</v>
      </c>
      <c r="E1614" s="0" t="n">
        <v>2</v>
      </c>
      <c r="F1614" s="23" t="s">
        <v>249</v>
      </c>
      <c r="I1614" s="23" t="s">
        <v>971</v>
      </c>
      <c r="J1614" s="0" t="n">
        <v>426</v>
      </c>
      <c r="K1614" s="0" t="n">
        <v>63</v>
      </c>
      <c r="M1614" s="0" t="n">
        <v>940.65</v>
      </c>
      <c r="N1614" s="0" t="n">
        <v>62.89</v>
      </c>
      <c r="O1614" s="0" t="n">
        <v>30.8</v>
      </c>
      <c r="P1614" s="0" t="n">
        <v>5.41</v>
      </c>
      <c r="Q1614" s="0" t="n">
        <v>4</v>
      </c>
      <c r="R1614" s="0" t="n">
        <v>5961</v>
      </c>
      <c r="S1614" s="0" t="n">
        <v>11866</v>
      </c>
      <c r="T1614" s="0" t="n">
        <v>64.25</v>
      </c>
      <c r="U1614" s="0" t="n">
        <v>1578</v>
      </c>
      <c r="V1614" s="0" t="n">
        <v>8</v>
      </c>
      <c r="W1614" s="0" t="str">
        <f aca="false">IF(OR(AND(B1614&gt;=1,B1614&lt;=6),B1614=10),"Vaca em lactação",IF(I1614="Male","Macho",IF(E1614&gt;=1,"Vaca seca",IF(I1614="Youngstock","Bezerra/recria","Novilha"))))</f>
        <v>Vaca seca</v>
      </c>
      <c r="X1614" s="0" t="str">
        <f aca="false">IF(AND(B1614&gt;=1,B1614&lt;=6),"Tanque",IF(B1614=10,"Descarte",""))</f>
        <v/>
      </c>
    </row>
    <row r="1615" customFormat="false" ht="15" hidden="false" customHeight="false" outlineLevel="0" collapsed="false">
      <c r="A1615" s="22" t="n">
        <v>46309</v>
      </c>
      <c r="B1615" s="0" t="n">
        <v>7</v>
      </c>
      <c r="C1615" s="0" t="n">
        <v>650</v>
      </c>
      <c r="D1615" s="0" t="n">
        <v>339</v>
      </c>
      <c r="E1615" s="0" t="n">
        <v>2</v>
      </c>
      <c r="F1615" s="23" t="s">
        <v>734</v>
      </c>
      <c r="I1615" s="23" t="s">
        <v>357</v>
      </c>
      <c r="J1615" s="0" t="n">
        <v>235</v>
      </c>
      <c r="K1615" s="0" t="n">
        <v>60</v>
      </c>
      <c r="L1615" s="0" t="n">
        <v>245</v>
      </c>
      <c r="M1615" s="0" t="n">
        <v>540.98</v>
      </c>
      <c r="N1615" s="0" t="n">
        <v>29.3</v>
      </c>
      <c r="O1615" s="0" t="n">
        <v>26.44</v>
      </c>
      <c r="P1615" s="0" t="n">
        <v>4.44</v>
      </c>
      <c r="Q1615" s="0" t="n">
        <v>3.4</v>
      </c>
      <c r="R1615" s="0" t="n">
        <v>6197</v>
      </c>
      <c r="S1615" s="0" t="n">
        <v>10568</v>
      </c>
      <c r="T1615" s="0" t="n">
        <v>68</v>
      </c>
      <c r="U1615" s="0" t="n">
        <v>1703</v>
      </c>
      <c r="V1615" s="0" t="n">
        <v>5</v>
      </c>
      <c r="W1615" s="0" t="str">
        <f aca="false">IF(OR(AND(B1615&gt;=1,B1615&lt;=6),B1615=10),"Vaca em lactação",IF(I1615="Male","Macho",IF(E1615&gt;=1,"Vaca seca",IF(I1615="Youngstock","Bezerra/recria","Novilha"))))</f>
        <v>Vaca seca</v>
      </c>
      <c r="X1615" s="0" t="str">
        <f aca="false">IF(AND(B1615&gt;=1,B1615&lt;=6),"Tanque",IF(B1615=10,"Descarte",""))</f>
        <v/>
      </c>
    </row>
    <row r="1616" customFormat="false" ht="15" hidden="false" customHeight="false" outlineLevel="0" collapsed="false">
      <c r="A1616" s="22" t="n">
        <v>46309</v>
      </c>
      <c r="B1616" s="0" t="n">
        <v>7</v>
      </c>
      <c r="C1616" s="0" t="n">
        <v>3952</v>
      </c>
      <c r="D1616" s="0" t="n">
        <v>278</v>
      </c>
      <c r="E1616" s="0" t="n">
        <v>3</v>
      </c>
      <c r="F1616" s="23" t="s">
        <v>253</v>
      </c>
      <c r="G1616" s="0" t="n">
        <v>5.2</v>
      </c>
      <c r="H1616" s="0" t="n">
        <v>12</v>
      </c>
      <c r="I1616" s="23" t="s">
        <v>357</v>
      </c>
      <c r="J1616" s="0" t="n">
        <v>69</v>
      </c>
      <c r="K1616" s="0" t="n">
        <v>69</v>
      </c>
      <c r="L1616" s="0" t="n">
        <v>210</v>
      </c>
      <c r="M1616" s="0" t="n">
        <v>949.79</v>
      </c>
      <c r="N1616" s="0" t="n">
        <v>52.24</v>
      </c>
      <c r="O1616" s="0" t="n">
        <v>33.94</v>
      </c>
      <c r="P1616" s="0" t="n">
        <v>4.76</v>
      </c>
      <c r="Q1616" s="0" t="n">
        <v>3.52</v>
      </c>
      <c r="R1616" s="0" t="n">
        <v>2300</v>
      </c>
      <c r="S1616" s="0" t="n">
        <v>5651</v>
      </c>
      <c r="T1616" s="0" t="n">
        <v>23.75</v>
      </c>
      <c r="U1616" s="0" t="n">
        <v>1648</v>
      </c>
      <c r="V1616" s="0" t="n">
        <v>1</v>
      </c>
      <c r="W1616" s="0" t="str">
        <f aca="false">IF(OR(AND(B1616&gt;=1,B1616&lt;=6),B1616=10),"Vaca em lactação",IF(I1616="Male","Macho",IF(E1616&gt;=1,"Vaca seca",IF(I1616="Youngstock","Bezerra/recria","Novilha"))))</f>
        <v>Vaca seca</v>
      </c>
      <c r="X1616" s="0" t="str">
        <f aca="false">IF(AND(B1616&gt;=1,B1616&lt;=6),"Tanque",IF(B1616=10,"Descarte",""))</f>
        <v/>
      </c>
    </row>
    <row r="1617" customFormat="false" ht="15" hidden="false" customHeight="false" outlineLevel="0" collapsed="false">
      <c r="A1617" s="22" t="n">
        <v>46309</v>
      </c>
      <c r="B1617" s="0" t="n">
        <v>7</v>
      </c>
      <c r="C1617" s="0" t="n">
        <v>3908</v>
      </c>
      <c r="D1617" s="0" t="n">
        <v>527</v>
      </c>
      <c r="E1617" s="0" t="n">
        <v>2</v>
      </c>
      <c r="F1617" s="23" t="s">
        <v>740</v>
      </c>
      <c r="I1617" s="23" t="s">
        <v>92</v>
      </c>
      <c r="J1617" s="0" t="n">
        <v>373</v>
      </c>
      <c r="K1617" s="0" t="n">
        <v>58</v>
      </c>
      <c r="L1617" s="0" t="n">
        <v>154</v>
      </c>
      <c r="M1617" s="0" t="n">
        <v>760.2</v>
      </c>
      <c r="N1617" s="0" t="n">
        <v>53.47</v>
      </c>
      <c r="O1617" s="0" t="n">
        <v>31.31</v>
      </c>
      <c r="P1617" s="0" t="n">
        <v>5.24</v>
      </c>
      <c r="Q1617" s="0" t="n">
        <v>3.96</v>
      </c>
      <c r="R1617" s="0" t="n">
        <v>6161</v>
      </c>
      <c r="S1617" s="0" t="n">
        <v>12654</v>
      </c>
      <c r="T1617" s="0" t="n">
        <v>65.2</v>
      </c>
      <c r="U1617" s="0" t="n">
        <v>1666</v>
      </c>
      <c r="V1617" s="0" t="n">
        <v>4</v>
      </c>
      <c r="W1617" s="0" t="str">
        <f aca="false">IF(OR(AND(B1617&gt;=1,B1617&lt;=6),B1617=10),"Vaca em lactação",IF(I1617="Male","Macho",IF(E1617&gt;=1,"Vaca seca",IF(I1617="Youngstock","Bezerra/recria","Novilha"))))</f>
        <v>Vaca seca</v>
      </c>
      <c r="X1617" s="0" t="str">
        <f aca="false">IF(AND(B1617&gt;=1,B1617&lt;=6),"Tanque",IF(B1617=10,"Descarte",""))</f>
        <v/>
      </c>
    </row>
    <row r="1618" customFormat="false" ht="15" hidden="false" customHeight="false" outlineLevel="0" collapsed="false">
      <c r="A1618" s="22" t="n">
        <v>46309</v>
      </c>
      <c r="B1618" s="0" t="n">
        <v>7</v>
      </c>
      <c r="C1618" s="0" t="n">
        <v>3923</v>
      </c>
      <c r="D1618" s="0" t="n">
        <v>289</v>
      </c>
      <c r="E1618" s="0" t="n">
        <v>3</v>
      </c>
      <c r="F1618" s="23" t="s">
        <v>909</v>
      </c>
      <c r="I1618" s="23" t="s">
        <v>357</v>
      </c>
      <c r="J1618" s="0" t="n">
        <v>165</v>
      </c>
      <c r="K1618" s="0" t="n">
        <v>66</v>
      </c>
      <c r="L1618" s="0" t="n">
        <v>216</v>
      </c>
      <c r="M1618" s="0" t="n">
        <v>409.99</v>
      </c>
      <c r="N1618" s="0" t="n">
        <v>78.58</v>
      </c>
      <c r="O1618" s="0" t="n">
        <v>36.8</v>
      </c>
      <c r="P1618" s="0" t="n">
        <v>0</v>
      </c>
      <c r="Q1618" s="0" t="n">
        <v>0</v>
      </c>
      <c r="R1618" s="0" t="n">
        <v>4131</v>
      </c>
      <c r="S1618" s="0" t="n">
        <v>6899</v>
      </c>
      <c r="T1618" s="0" t="n">
        <v>46.75</v>
      </c>
      <c r="U1618" s="0" t="n">
        <v>1660</v>
      </c>
      <c r="V1618" s="0" t="n">
        <v>4</v>
      </c>
      <c r="W1618" s="0" t="str">
        <f aca="false">IF(OR(AND(B1618&gt;=1,B1618&lt;=6),B1618=10),"Vaca em lactação",IF(I1618="Male","Macho",IF(E1618&gt;=1,"Vaca seca",IF(I1618="Youngstock","Bezerra/recria","Novilha"))))</f>
        <v>Vaca seca</v>
      </c>
      <c r="X1618" s="0" t="str">
        <f aca="false">IF(AND(B1618&gt;=1,B1618&lt;=6),"Tanque",IF(B1618=10,"Descarte",""))</f>
        <v/>
      </c>
    </row>
    <row r="1619" customFormat="false" ht="15" hidden="false" customHeight="false" outlineLevel="0" collapsed="false">
      <c r="A1619" s="22" t="n">
        <v>46309</v>
      </c>
      <c r="B1619" s="0" t="n">
        <v>7</v>
      </c>
      <c r="C1619" s="0" t="n">
        <v>3123</v>
      </c>
      <c r="D1619" s="0" t="n">
        <v>329</v>
      </c>
      <c r="E1619" s="0" t="n">
        <v>4</v>
      </c>
      <c r="F1619" s="23" t="s">
        <v>982</v>
      </c>
      <c r="I1619" s="23" t="s">
        <v>357</v>
      </c>
      <c r="J1619" s="0" t="n">
        <v>107</v>
      </c>
      <c r="K1619" s="0" t="n">
        <v>71</v>
      </c>
      <c r="L1619" s="0" t="n">
        <v>272</v>
      </c>
      <c r="M1619" s="0" t="n">
        <v>612.78</v>
      </c>
      <c r="N1619" s="0" t="n">
        <v>11.3</v>
      </c>
      <c r="O1619" s="0" t="n">
        <v>27.72</v>
      </c>
      <c r="P1619" s="0" t="n">
        <v>3.88</v>
      </c>
      <c r="Q1619" s="0" t="n">
        <v>3.27</v>
      </c>
      <c r="R1619" s="0" t="n">
        <v>4574</v>
      </c>
      <c r="S1619" s="0" t="n">
        <v>8073</v>
      </c>
      <c r="T1619" s="0" t="n">
        <v>62.7</v>
      </c>
      <c r="U1619" s="0" t="n">
        <v>2182</v>
      </c>
      <c r="V1619" s="0" t="n">
        <v>3</v>
      </c>
      <c r="W1619" s="0" t="str">
        <f aca="false">IF(OR(AND(B1619&gt;=1,B1619&lt;=6),B1619=10),"Vaca em lactação",IF(I1619="Male","Macho",IF(E1619&gt;=1,"Vaca seca",IF(I1619="Youngstock","Bezerra/recria","Novilha"))))</f>
        <v>Vaca seca</v>
      </c>
      <c r="X1619" s="0" t="str">
        <f aca="false">IF(AND(B1619&gt;=1,B1619&lt;=6),"Tanque",IF(B1619=10,"Descarte",""))</f>
        <v/>
      </c>
    </row>
    <row r="1620" customFormat="false" ht="15" hidden="false" customHeight="false" outlineLevel="0" collapsed="false">
      <c r="A1620" s="22" t="n">
        <v>46309</v>
      </c>
      <c r="B1620" s="0" t="n">
        <v>7</v>
      </c>
      <c r="C1620" s="0" t="n">
        <v>3150</v>
      </c>
      <c r="D1620" s="0" t="n">
        <v>614</v>
      </c>
      <c r="E1620" s="0" t="n">
        <v>3</v>
      </c>
      <c r="F1620" s="23" t="s">
        <v>911</v>
      </c>
      <c r="I1620" s="23" t="s">
        <v>357</v>
      </c>
      <c r="J1620" s="0" t="n">
        <v>468</v>
      </c>
      <c r="K1620" s="0" t="n">
        <v>70</v>
      </c>
      <c r="L1620" s="0" t="n">
        <v>231</v>
      </c>
      <c r="M1620" s="0" t="n">
        <v>861.58</v>
      </c>
      <c r="N1620" s="0" t="n">
        <v>44.57</v>
      </c>
      <c r="O1620" s="0" t="n">
        <v>27.26</v>
      </c>
      <c r="P1620" s="0" t="n">
        <v>5.94</v>
      </c>
      <c r="Q1620" s="0" t="n">
        <v>4.63</v>
      </c>
      <c r="R1620" s="0" t="n">
        <v>7395</v>
      </c>
      <c r="S1620" s="0" t="n">
        <v>14670</v>
      </c>
      <c r="T1620" s="0" t="n">
        <v>76.7</v>
      </c>
      <c r="U1620" s="0" t="n">
        <v>2162</v>
      </c>
      <c r="V1620" s="0" t="n">
        <v>12</v>
      </c>
      <c r="W1620" s="0" t="str">
        <f aca="false">IF(OR(AND(B1620&gt;=1,B1620&lt;=6),B1620=10),"Vaca em lactação",IF(I1620="Male","Macho",IF(E1620&gt;=1,"Vaca seca",IF(I1620="Youngstock","Bezerra/recria","Novilha"))))</f>
        <v>Vaca seca</v>
      </c>
      <c r="X1620" s="0" t="str">
        <f aca="false">IF(AND(B1620&gt;=1,B1620&lt;=6),"Tanque",IF(B1620=10,"Descarte",""))</f>
        <v/>
      </c>
    </row>
    <row r="1621" customFormat="false" ht="15" hidden="false" customHeight="false" outlineLevel="0" collapsed="false">
      <c r="A1621" s="22" t="n">
        <v>46309</v>
      </c>
      <c r="B1621" s="0" t="n">
        <v>7</v>
      </c>
      <c r="C1621" s="0" t="n">
        <v>3223</v>
      </c>
      <c r="D1621" s="0" t="n">
        <v>140</v>
      </c>
      <c r="E1621" s="0" t="n">
        <v>4</v>
      </c>
      <c r="F1621" s="23" t="s">
        <v>439</v>
      </c>
      <c r="I1621" s="23" t="s">
        <v>357</v>
      </c>
      <c r="J1621" s="0" t="n">
        <v>64</v>
      </c>
      <c r="K1621" s="0" t="n">
        <v>64</v>
      </c>
      <c r="L1621" s="0" t="n">
        <v>224</v>
      </c>
      <c r="M1621" s="0" t="n">
        <v>1163.19</v>
      </c>
      <c r="N1621" s="0" t="n">
        <v>22.78</v>
      </c>
      <c r="O1621" s="0" t="n">
        <v>32.52</v>
      </c>
      <c r="P1621" s="0" t="n">
        <v>2.32</v>
      </c>
      <c r="Q1621" s="0" t="n">
        <v>3.39</v>
      </c>
      <c r="R1621" s="0" t="n">
        <v>5447</v>
      </c>
      <c r="S1621" s="0" t="n">
        <v>10342</v>
      </c>
      <c r="T1621" s="0" t="n">
        <v>62.3</v>
      </c>
      <c r="U1621" s="0" t="n">
        <v>2128</v>
      </c>
      <c r="V1621" s="0" t="n">
        <v>1</v>
      </c>
      <c r="W1621" s="0" t="str">
        <f aca="false">IF(OR(AND(B1621&gt;=1,B1621&lt;=6),B1621=10),"Vaca em lactação",IF(I1621="Male","Macho",IF(E1621&gt;=1,"Vaca seca",IF(I1621="Youngstock","Bezerra/recria","Novilha"))))</f>
        <v>Vaca seca</v>
      </c>
      <c r="X1621" s="0" t="str">
        <f aca="false">IF(AND(B1621&gt;=1,B1621&lt;=6),"Tanque",IF(B1621=10,"Descarte",""))</f>
        <v/>
      </c>
    </row>
    <row r="1622" customFormat="false" ht="15" hidden="false" customHeight="false" outlineLevel="0" collapsed="false">
      <c r="A1622" s="22" t="n">
        <v>46309</v>
      </c>
      <c r="B1622" s="0" t="n">
        <v>7</v>
      </c>
      <c r="C1622" s="0" t="n">
        <v>3174</v>
      </c>
      <c r="D1622" s="0" t="n">
        <v>258</v>
      </c>
      <c r="E1622" s="0" t="n">
        <v>4</v>
      </c>
      <c r="F1622" s="23" t="s">
        <v>983</v>
      </c>
      <c r="I1622" s="23" t="s">
        <v>92</v>
      </c>
      <c r="J1622" s="0" t="n">
        <v>160</v>
      </c>
      <c r="K1622" s="0" t="n">
        <v>76</v>
      </c>
      <c r="L1622" s="0" t="n">
        <v>98</v>
      </c>
      <c r="M1622" s="0" t="n">
        <v>7.47</v>
      </c>
      <c r="N1622" s="0" t="n">
        <v>9.1</v>
      </c>
      <c r="O1622" s="0" t="n">
        <v>19.74</v>
      </c>
      <c r="P1622" s="0" t="n">
        <v>3.74</v>
      </c>
      <c r="Q1622" s="0" t="n">
        <v>3.73</v>
      </c>
      <c r="R1622" s="0" t="n">
        <v>4912</v>
      </c>
      <c r="S1622" s="0" t="n">
        <v>9878</v>
      </c>
      <c r="T1622" s="0" t="n">
        <v>54.95</v>
      </c>
      <c r="U1622" s="0" t="n">
        <v>2154</v>
      </c>
      <c r="V1622" s="0" t="n">
        <v>3</v>
      </c>
      <c r="W1622" s="0" t="str">
        <f aca="false">IF(OR(AND(B1622&gt;=1,B1622&lt;=6),B1622=10),"Vaca em lactação",IF(I1622="Male","Macho",IF(E1622&gt;=1,"Vaca seca",IF(I1622="Youngstock","Bezerra/recria","Novilha"))))</f>
        <v>Vaca seca</v>
      </c>
      <c r="X1622" s="0" t="str">
        <f aca="false">IF(AND(B1622&gt;=1,B1622&lt;=6),"Tanque",IF(B1622=10,"Descarte",""))</f>
        <v/>
      </c>
    </row>
    <row r="1623" customFormat="false" ht="15" hidden="false" customHeight="false" outlineLevel="0" collapsed="false">
      <c r="A1623" s="22" t="n">
        <v>46309</v>
      </c>
      <c r="B1623" s="0" t="n">
        <v>7</v>
      </c>
      <c r="C1623" s="0" t="n">
        <v>2973</v>
      </c>
      <c r="D1623" s="0" t="n">
        <v>391</v>
      </c>
      <c r="E1623" s="0" t="n">
        <v>4</v>
      </c>
      <c r="F1623" s="23" t="s">
        <v>984</v>
      </c>
      <c r="I1623" s="23" t="s">
        <v>357</v>
      </c>
      <c r="J1623" s="0" t="n">
        <v>224</v>
      </c>
      <c r="K1623" s="0" t="n">
        <v>63</v>
      </c>
      <c r="L1623" s="0" t="n">
        <v>224</v>
      </c>
      <c r="M1623" s="0" t="n">
        <v>-231.73</v>
      </c>
      <c r="N1623" s="0" t="n">
        <v>30.52</v>
      </c>
      <c r="O1623" s="0" t="n">
        <v>2.04</v>
      </c>
      <c r="P1623" s="0" t="n">
        <v>5.7</v>
      </c>
      <c r="Q1623" s="0" t="n">
        <v>5.01</v>
      </c>
      <c r="R1623" s="0" t="n">
        <v>5453</v>
      </c>
      <c r="S1623" s="0" t="n">
        <v>10874</v>
      </c>
      <c r="T1623" s="0" t="n">
        <v>58.4</v>
      </c>
      <c r="U1623" s="0" t="n">
        <v>2292</v>
      </c>
      <c r="V1623" s="0" t="n">
        <v>5</v>
      </c>
      <c r="W1623" s="0" t="str">
        <f aca="false">IF(OR(AND(B1623&gt;=1,B1623&lt;=6),B1623=10),"Vaca em lactação",IF(I1623="Male","Macho",IF(E1623&gt;=1,"Vaca seca",IF(I1623="Youngstock","Bezerra/recria","Novilha"))))</f>
        <v>Vaca seca</v>
      </c>
      <c r="X1623" s="0" t="str">
        <f aca="false">IF(AND(B1623&gt;=1,B1623&lt;=6),"Tanque",IF(B1623=10,"Descarte",""))</f>
        <v/>
      </c>
    </row>
    <row r="1624" customFormat="false" ht="15" hidden="false" customHeight="false" outlineLevel="0" collapsed="false">
      <c r="A1624" s="22" t="n">
        <v>46309</v>
      </c>
      <c r="B1624" s="0" t="n">
        <v>7</v>
      </c>
      <c r="C1624" s="0" t="n">
        <v>3070</v>
      </c>
      <c r="D1624" s="0" t="n">
        <v>324</v>
      </c>
      <c r="E1624" s="0" t="n">
        <v>4</v>
      </c>
      <c r="F1624" s="23" t="s">
        <v>754</v>
      </c>
      <c r="I1624" s="23" t="s">
        <v>357</v>
      </c>
      <c r="J1624" s="0" t="n">
        <v>179</v>
      </c>
      <c r="K1624" s="0" t="n">
        <v>73</v>
      </c>
      <c r="L1624" s="0" t="n">
        <v>223</v>
      </c>
      <c r="M1624" s="0" t="n">
        <v>918.18</v>
      </c>
      <c r="N1624" s="0" t="n">
        <v>-7.12</v>
      </c>
      <c r="O1624" s="0" t="n">
        <v>18.82</v>
      </c>
      <c r="P1624" s="0" t="n">
        <v>3.64</v>
      </c>
      <c r="Q1624" s="0" t="n">
        <v>3.71</v>
      </c>
      <c r="R1624" s="0" t="n">
        <v>4556</v>
      </c>
      <c r="S1624" s="0" t="n">
        <v>8666</v>
      </c>
      <c r="T1624" s="0" t="n">
        <v>49.9</v>
      </c>
      <c r="U1624" s="0" t="n">
        <v>2211</v>
      </c>
      <c r="V1624" s="0" t="n">
        <v>4</v>
      </c>
      <c r="W1624" s="0" t="str">
        <f aca="false">IF(OR(AND(B1624&gt;=1,B1624&lt;=6),B1624=10),"Vaca em lactação",IF(I1624="Male","Macho",IF(E1624&gt;=1,"Vaca seca",IF(I1624="Youngstock","Bezerra/recria","Novilha"))))</f>
        <v>Vaca seca</v>
      </c>
      <c r="X1624" s="0" t="str">
        <f aca="false">IF(AND(B1624&gt;=1,B1624&lt;=6),"Tanque",IF(B1624=10,"Descarte",""))</f>
        <v/>
      </c>
    </row>
    <row r="1625" customFormat="false" ht="15" hidden="false" customHeight="false" outlineLevel="0" collapsed="false">
      <c r="A1625" s="22" t="n">
        <v>46309</v>
      </c>
      <c r="B1625" s="0" t="n">
        <v>7</v>
      </c>
      <c r="C1625" s="0" t="n">
        <v>3095</v>
      </c>
      <c r="D1625" s="0" t="n">
        <v>373</v>
      </c>
      <c r="E1625" s="0" t="n">
        <v>4</v>
      </c>
      <c r="F1625" s="23" t="s">
        <v>985</v>
      </c>
      <c r="G1625" s="0" t="n">
        <v>2.3</v>
      </c>
      <c r="H1625" s="0" t="n">
        <v>6</v>
      </c>
      <c r="I1625" s="23" t="s">
        <v>357</v>
      </c>
      <c r="J1625" s="0" t="n">
        <v>241</v>
      </c>
      <c r="K1625" s="0" t="n">
        <v>66</v>
      </c>
      <c r="L1625" s="0" t="n">
        <v>133</v>
      </c>
      <c r="M1625" s="0" t="n">
        <v>974.84</v>
      </c>
      <c r="N1625" s="0" t="n">
        <v>25.32</v>
      </c>
      <c r="O1625" s="0" t="n">
        <v>35.86</v>
      </c>
      <c r="P1625" s="0" t="n">
        <v>4.2</v>
      </c>
      <c r="Q1625" s="0" t="n">
        <v>4.04</v>
      </c>
      <c r="R1625" s="0" t="n">
        <v>5573</v>
      </c>
      <c r="S1625" s="0" t="n">
        <v>10190</v>
      </c>
      <c r="T1625" s="0" t="n">
        <v>59</v>
      </c>
      <c r="U1625" s="0" t="n">
        <v>2201</v>
      </c>
      <c r="V1625" s="0" t="n">
        <v>6</v>
      </c>
      <c r="W1625" s="0" t="str">
        <f aca="false">IF(OR(AND(B1625&gt;=1,B1625&lt;=6),B1625=10),"Vaca em lactação",IF(I1625="Male","Macho",IF(E1625&gt;=1,"Vaca seca",IF(I1625="Youngstock","Bezerra/recria","Novilha"))))</f>
        <v>Vaca seca</v>
      </c>
      <c r="X1625" s="0" t="str">
        <f aca="false">IF(AND(B1625&gt;=1,B1625&lt;=6),"Tanque",IF(B1625=10,"Descarte",""))</f>
        <v/>
      </c>
    </row>
    <row r="1626" customFormat="false" ht="15" hidden="false" customHeight="false" outlineLevel="0" collapsed="false">
      <c r="A1626" s="22" t="n">
        <v>46309</v>
      </c>
      <c r="B1626" s="0" t="n">
        <v>7</v>
      </c>
      <c r="C1626" s="0" t="n">
        <v>218</v>
      </c>
      <c r="D1626" s="0" t="n">
        <v>529</v>
      </c>
      <c r="E1626" s="0" t="n">
        <v>3</v>
      </c>
      <c r="F1626" s="23" t="s">
        <v>986</v>
      </c>
      <c r="I1626" s="23" t="s">
        <v>357</v>
      </c>
      <c r="J1626" s="0" t="n">
        <v>425</v>
      </c>
      <c r="K1626" s="0" t="n">
        <v>83</v>
      </c>
      <c r="L1626" s="0" t="n">
        <v>182</v>
      </c>
      <c r="P1626" s="0" t="n">
        <v>5.18</v>
      </c>
      <c r="Q1626" s="0" t="n">
        <v>4.18</v>
      </c>
      <c r="R1626" s="0" t="n">
        <v>5465</v>
      </c>
      <c r="S1626" s="0" t="n">
        <v>9509</v>
      </c>
      <c r="T1626" s="0" t="n">
        <v>65.9</v>
      </c>
      <c r="U1626" s="0" t="n">
        <v>2233</v>
      </c>
      <c r="V1626" s="0" t="n">
        <v>10</v>
      </c>
      <c r="W1626" s="0" t="str">
        <f aca="false">IF(OR(AND(B1626&gt;=1,B1626&lt;=6),B1626=10),"Vaca em lactação",IF(I1626="Male","Macho",IF(E1626&gt;=1,"Vaca seca",IF(I1626="Youngstock","Bezerra/recria","Novilha"))))</f>
        <v>Vaca seca</v>
      </c>
      <c r="X1626" s="0" t="str">
        <f aca="false">IF(AND(B1626&gt;=1,B1626&lt;=6),"Tanque",IF(B1626=10,"Descarte",""))</f>
        <v/>
      </c>
    </row>
    <row r="1627" customFormat="false" ht="15" hidden="false" customHeight="false" outlineLevel="0" collapsed="false">
      <c r="A1627" s="22" t="n">
        <v>46309</v>
      </c>
      <c r="B1627" s="0" t="n">
        <v>7</v>
      </c>
      <c r="C1627" s="0" t="n">
        <v>3053</v>
      </c>
      <c r="D1627" s="0" t="n">
        <v>290</v>
      </c>
      <c r="E1627" s="0" t="n">
        <v>4</v>
      </c>
      <c r="F1627" s="23" t="s">
        <v>987</v>
      </c>
      <c r="I1627" s="23" t="s">
        <v>357</v>
      </c>
      <c r="J1627" s="0" t="n">
        <v>67</v>
      </c>
      <c r="K1627" s="0" t="n">
        <v>67</v>
      </c>
      <c r="L1627" s="0" t="n">
        <v>231</v>
      </c>
      <c r="M1627" s="0" t="n">
        <v>848.21</v>
      </c>
      <c r="N1627" s="0" t="n">
        <v>-3.85</v>
      </c>
      <c r="O1627" s="0" t="n">
        <v>15.72</v>
      </c>
      <c r="P1627" s="0" t="n">
        <v>3.56</v>
      </c>
      <c r="Q1627" s="0" t="n">
        <v>3.12</v>
      </c>
      <c r="R1627" s="0" t="n">
        <v>5254</v>
      </c>
      <c r="S1627" s="0" t="n">
        <v>10507</v>
      </c>
      <c r="T1627" s="0" t="n">
        <v>54.95</v>
      </c>
      <c r="U1627" s="0" t="n">
        <v>2219</v>
      </c>
      <c r="V1627" s="0" t="n">
        <v>1</v>
      </c>
      <c r="W1627" s="0" t="str">
        <f aca="false">IF(OR(AND(B1627&gt;=1,B1627&lt;=6),B1627=10),"Vaca em lactação",IF(I1627="Male","Macho",IF(E1627&gt;=1,"Vaca seca",IF(I1627="Youngstock","Bezerra/recria","Novilha"))))</f>
        <v>Vaca seca</v>
      </c>
      <c r="X1627" s="0" t="str">
        <f aca="false">IF(AND(B1627&gt;=1,B1627&lt;=6),"Tanque",IF(B1627=10,"Descarte",""))</f>
        <v/>
      </c>
    </row>
    <row r="1628" customFormat="false" ht="15" hidden="false" customHeight="false" outlineLevel="0" collapsed="false">
      <c r="A1628" s="22" t="n">
        <v>46309</v>
      </c>
      <c r="B1628" s="0" t="n">
        <v>7</v>
      </c>
      <c r="C1628" s="0" t="n">
        <v>3066</v>
      </c>
      <c r="D1628" s="0" t="n">
        <v>347</v>
      </c>
      <c r="E1628" s="0" t="n">
        <v>4</v>
      </c>
      <c r="F1628" s="23" t="s">
        <v>988</v>
      </c>
      <c r="I1628" s="23" t="s">
        <v>357</v>
      </c>
      <c r="J1628" s="0" t="n">
        <v>124</v>
      </c>
      <c r="K1628" s="0" t="n">
        <v>69</v>
      </c>
      <c r="L1628" s="0" t="n">
        <v>245</v>
      </c>
      <c r="M1628" s="0" t="n">
        <v>280.83</v>
      </c>
      <c r="N1628" s="0" t="n">
        <v>19.84</v>
      </c>
      <c r="O1628" s="0" t="n">
        <v>17.52</v>
      </c>
      <c r="P1628" s="0" t="n">
        <v>4.54</v>
      </c>
      <c r="Q1628" s="0" t="n">
        <v>3.47</v>
      </c>
      <c r="R1628" s="0" t="n">
        <v>5683</v>
      </c>
      <c r="S1628" s="0" t="n">
        <v>11535</v>
      </c>
      <c r="T1628" s="0" t="n">
        <v>61</v>
      </c>
      <c r="U1628" s="0" t="n">
        <v>2213</v>
      </c>
      <c r="V1628" s="0" t="n">
        <v>3</v>
      </c>
      <c r="W1628" s="0" t="str">
        <f aca="false">IF(OR(AND(B1628&gt;=1,B1628&lt;=6),B1628=10),"Vaca em lactação",IF(I1628="Male","Macho",IF(E1628&gt;=1,"Vaca seca",IF(I1628="Youngstock","Bezerra/recria","Novilha"))))</f>
        <v>Vaca seca</v>
      </c>
      <c r="X1628" s="0" t="str">
        <f aca="false">IF(AND(B1628&gt;=1,B1628&lt;=6),"Tanque",IF(B1628=10,"Descarte",""))</f>
        <v/>
      </c>
    </row>
    <row r="1629" customFormat="false" ht="15" hidden="false" customHeight="false" outlineLevel="0" collapsed="false">
      <c r="A1629" s="22" t="n">
        <v>46309</v>
      </c>
      <c r="B1629" s="0" t="n">
        <v>7</v>
      </c>
      <c r="C1629" s="0" t="n">
        <v>3401</v>
      </c>
      <c r="D1629" s="0" t="n">
        <v>440</v>
      </c>
      <c r="E1629" s="0" t="n">
        <v>3</v>
      </c>
      <c r="F1629" s="23" t="s">
        <v>989</v>
      </c>
      <c r="I1629" s="23" t="s">
        <v>357</v>
      </c>
      <c r="J1629" s="0" t="n">
        <v>217</v>
      </c>
      <c r="K1629" s="0" t="n">
        <v>63</v>
      </c>
      <c r="L1629" s="0" t="n">
        <v>245</v>
      </c>
      <c r="M1629" s="0" t="n">
        <v>805.39</v>
      </c>
      <c r="N1629" s="0" t="n">
        <v>30.62</v>
      </c>
      <c r="O1629" s="0" t="n">
        <v>29.61</v>
      </c>
      <c r="P1629" s="0" t="n">
        <v>3.42</v>
      </c>
      <c r="Q1629" s="0" t="n">
        <v>3.9</v>
      </c>
      <c r="R1629" s="0" t="n">
        <v>5775</v>
      </c>
      <c r="S1629" s="0" t="n">
        <v>11664</v>
      </c>
      <c r="T1629" s="0" t="n">
        <v>58.55</v>
      </c>
      <c r="U1629" s="0" t="n">
        <v>2009</v>
      </c>
      <c r="V1629" s="0" t="n">
        <v>5</v>
      </c>
      <c r="W1629" s="0" t="str">
        <f aca="false">IF(OR(AND(B1629&gt;=1,B1629&lt;=6),B1629=10),"Vaca em lactação",IF(I1629="Male","Macho",IF(E1629&gt;=1,"Vaca seca",IF(I1629="Youngstock","Bezerra/recria","Novilha"))))</f>
        <v>Vaca seca</v>
      </c>
      <c r="X1629" s="0" t="str">
        <f aca="false">IF(AND(B1629&gt;=1,B1629&lt;=6),"Tanque",IF(B1629=10,"Descarte",""))</f>
        <v/>
      </c>
    </row>
    <row r="1630" customFormat="false" ht="15" hidden="false" customHeight="false" outlineLevel="0" collapsed="false">
      <c r="A1630" s="22" t="n">
        <v>46309</v>
      </c>
      <c r="B1630" s="0" t="n">
        <v>7</v>
      </c>
      <c r="C1630" s="0" t="n">
        <v>3428</v>
      </c>
      <c r="D1630" s="0" t="n">
        <v>341</v>
      </c>
      <c r="E1630" s="0" t="n">
        <v>3</v>
      </c>
      <c r="F1630" s="23" t="s">
        <v>990</v>
      </c>
      <c r="I1630" s="23" t="s">
        <v>357</v>
      </c>
      <c r="J1630" s="0" t="n">
        <v>125</v>
      </c>
      <c r="K1630" s="0" t="n">
        <v>70</v>
      </c>
      <c r="L1630" s="0" t="n">
        <v>231</v>
      </c>
      <c r="M1630" s="0" t="n">
        <v>94.04</v>
      </c>
      <c r="N1630" s="0" t="n">
        <v>27.03</v>
      </c>
      <c r="O1630" s="0" t="n">
        <v>21.76</v>
      </c>
      <c r="P1630" s="0" t="n">
        <v>4.05</v>
      </c>
      <c r="Q1630" s="0" t="n">
        <v>3.87</v>
      </c>
      <c r="R1630" s="0" t="n">
        <v>5183</v>
      </c>
      <c r="S1630" s="0" t="n">
        <v>9141</v>
      </c>
      <c r="T1630" s="0" t="n">
        <v>55.65</v>
      </c>
      <c r="U1630" s="0" t="n">
        <v>1992</v>
      </c>
      <c r="V1630" s="0" t="n">
        <v>3</v>
      </c>
      <c r="W1630" s="0" t="str">
        <f aca="false">IF(OR(AND(B1630&gt;=1,B1630&lt;=6),B1630=10),"Vaca em lactação",IF(I1630="Male","Macho",IF(E1630&gt;=1,"Vaca seca",IF(I1630="Youngstock","Bezerra/recria","Novilha"))))</f>
        <v>Vaca seca</v>
      </c>
      <c r="X1630" s="0" t="str">
        <f aca="false">IF(AND(B1630&gt;=1,B1630&lt;=6),"Tanque",IF(B1630=10,"Descarte",""))</f>
        <v/>
      </c>
    </row>
    <row r="1631" customFormat="false" ht="15" hidden="false" customHeight="false" outlineLevel="0" collapsed="false">
      <c r="A1631" s="22" t="n">
        <v>46309</v>
      </c>
      <c r="B1631" s="0" t="n">
        <v>7</v>
      </c>
      <c r="C1631" s="0" t="n">
        <v>3526</v>
      </c>
      <c r="D1631" s="0" t="n">
        <v>389</v>
      </c>
      <c r="E1631" s="0" t="n">
        <v>3</v>
      </c>
      <c r="F1631" s="23" t="s">
        <v>991</v>
      </c>
      <c r="I1631" s="23" t="s">
        <v>357</v>
      </c>
      <c r="J1631" s="0" t="n">
        <v>278</v>
      </c>
      <c r="K1631" s="0" t="n">
        <v>61</v>
      </c>
      <c r="L1631" s="0" t="n">
        <v>210</v>
      </c>
      <c r="M1631" s="0" t="n">
        <v>643.4</v>
      </c>
      <c r="N1631" s="0" t="n">
        <v>53.45</v>
      </c>
      <c r="O1631" s="0" t="n">
        <v>33.4</v>
      </c>
      <c r="P1631" s="0" t="n">
        <v>6.36</v>
      </c>
      <c r="Q1631" s="0" t="n">
        <v>4.73</v>
      </c>
      <c r="R1631" s="0" t="n">
        <v>6215</v>
      </c>
      <c r="S1631" s="0" t="n">
        <v>12110</v>
      </c>
      <c r="T1631" s="0" t="n">
        <v>66.9</v>
      </c>
      <c r="U1631" s="0" t="n">
        <v>1915</v>
      </c>
      <c r="V1631" s="0" t="n">
        <v>8</v>
      </c>
      <c r="W1631" s="0" t="str">
        <f aca="false">IF(OR(AND(B1631&gt;=1,B1631&lt;=6),B1631=10),"Vaca em lactação",IF(I1631="Male","Macho",IF(E1631&gt;=1,"Vaca seca",IF(I1631="Youngstock","Bezerra/recria","Novilha"))))</f>
        <v>Vaca seca</v>
      </c>
      <c r="X1631" s="0" t="str">
        <f aca="false">IF(AND(B1631&gt;=1,B1631&lt;=6),"Tanque",IF(B1631=10,"Descarte",""))</f>
        <v/>
      </c>
    </row>
    <row r="1632" customFormat="false" ht="15" hidden="false" customHeight="false" outlineLevel="0" collapsed="false">
      <c r="A1632" s="22" t="n">
        <v>46309</v>
      </c>
      <c r="B1632" s="0" t="n">
        <v>7</v>
      </c>
      <c r="C1632" s="0" t="n">
        <v>3543</v>
      </c>
      <c r="D1632" s="0" t="n">
        <v>475</v>
      </c>
      <c r="E1632" s="0" t="n">
        <v>3</v>
      </c>
      <c r="F1632" s="23" t="s">
        <v>992</v>
      </c>
      <c r="G1632" s="0" t="n">
        <v>7</v>
      </c>
      <c r="H1632" s="0" t="n">
        <v>10</v>
      </c>
      <c r="I1632" s="23" t="s">
        <v>357</v>
      </c>
      <c r="J1632" s="0" t="n">
        <v>301</v>
      </c>
      <c r="K1632" s="0" t="n">
        <v>63</v>
      </c>
      <c r="L1632" s="0" t="n">
        <v>175</v>
      </c>
      <c r="M1632" s="0" t="n">
        <v>160.8</v>
      </c>
      <c r="N1632" s="0" t="n">
        <v>46.01</v>
      </c>
      <c r="O1632" s="0" t="n">
        <v>20.49</v>
      </c>
      <c r="P1632" s="0" t="n">
        <v>6.94</v>
      </c>
      <c r="Q1632" s="0" t="n">
        <v>5.07</v>
      </c>
      <c r="R1632" s="0" t="n">
        <v>5919</v>
      </c>
      <c r="S1632" s="0" t="n">
        <v>11693</v>
      </c>
      <c r="T1632" s="0" t="n">
        <v>63.55</v>
      </c>
      <c r="U1632" s="0" t="n">
        <v>1904</v>
      </c>
      <c r="V1632" s="0" t="n">
        <v>7</v>
      </c>
      <c r="W1632" s="0" t="str">
        <f aca="false">IF(OR(AND(B1632&gt;=1,B1632&lt;=6),B1632=10),"Vaca em lactação",IF(I1632="Male","Macho",IF(E1632&gt;=1,"Vaca seca",IF(I1632="Youngstock","Bezerra/recria","Novilha"))))</f>
        <v>Vaca seca</v>
      </c>
      <c r="X1632" s="0" t="str">
        <f aca="false">IF(AND(B1632&gt;=1,B1632&lt;=6),"Tanque",IF(B1632=10,"Descarte",""))</f>
        <v/>
      </c>
    </row>
    <row r="1633" customFormat="false" ht="15" hidden="false" customHeight="false" outlineLevel="0" collapsed="false">
      <c r="A1633" s="22" t="n">
        <v>46309</v>
      </c>
      <c r="B1633" s="0" t="n">
        <v>7</v>
      </c>
      <c r="C1633" s="0" t="n">
        <v>3483</v>
      </c>
      <c r="D1633" s="0" t="n">
        <v>329</v>
      </c>
      <c r="E1633" s="0" t="n">
        <v>3</v>
      </c>
      <c r="F1633" s="23" t="s">
        <v>993</v>
      </c>
      <c r="I1633" s="23" t="s">
        <v>357</v>
      </c>
      <c r="J1633" s="0" t="n">
        <v>373</v>
      </c>
      <c r="K1633" s="0" t="n">
        <v>57</v>
      </c>
      <c r="L1633" s="0" t="n">
        <v>146</v>
      </c>
      <c r="M1633" s="0" t="n">
        <v>243.42</v>
      </c>
      <c r="N1633" s="0" t="n">
        <v>16.25</v>
      </c>
      <c r="O1633" s="0" t="n">
        <v>18.85</v>
      </c>
      <c r="P1633" s="0" t="n">
        <v>5.52</v>
      </c>
      <c r="Q1633" s="0" t="n">
        <v>4.02</v>
      </c>
      <c r="R1633" s="0" t="n">
        <v>4534</v>
      </c>
      <c r="S1633" s="0" t="n">
        <v>9710</v>
      </c>
      <c r="T1633" s="0" t="n">
        <v>51.9</v>
      </c>
      <c r="U1633" s="0" t="n">
        <v>1944</v>
      </c>
      <c r="V1633" s="0" t="n">
        <v>7</v>
      </c>
      <c r="W1633" s="0" t="str">
        <f aca="false">IF(OR(AND(B1633&gt;=1,B1633&lt;=6),B1633=10),"Vaca em lactação",IF(I1633="Male","Macho",IF(E1633&gt;=1,"Vaca seca",IF(I1633="Youngstock","Bezerra/recria","Novilha"))))</f>
        <v>Vaca seca</v>
      </c>
      <c r="X1633" s="0" t="str">
        <f aca="false">IF(AND(B1633&gt;=1,B1633&lt;=6),"Tanque",IF(B1633=10,"Descarte",""))</f>
        <v/>
      </c>
    </row>
    <row r="1634" customFormat="false" ht="15" hidden="false" customHeight="false" outlineLevel="0" collapsed="false">
      <c r="A1634" s="22" t="n">
        <v>46309</v>
      </c>
      <c r="B1634" s="0" t="n">
        <v>7</v>
      </c>
      <c r="C1634" s="0" t="n">
        <v>3297</v>
      </c>
      <c r="D1634" s="0" t="n">
        <v>395</v>
      </c>
      <c r="E1634" s="0" t="n">
        <v>3</v>
      </c>
      <c r="F1634" s="23" t="s">
        <v>994</v>
      </c>
      <c r="I1634" s="23" t="s">
        <v>357</v>
      </c>
      <c r="J1634" s="0" t="n">
        <v>347</v>
      </c>
      <c r="K1634" s="0" t="n">
        <v>60</v>
      </c>
      <c r="L1634" s="0" t="n">
        <v>84</v>
      </c>
      <c r="M1634" s="0" t="n">
        <v>1016.64</v>
      </c>
      <c r="N1634" s="0" t="n">
        <v>27.14</v>
      </c>
      <c r="O1634" s="0" t="n">
        <v>33.43</v>
      </c>
      <c r="P1634" s="0" t="n">
        <v>3.81</v>
      </c>
      <c r="Q1634" s="0" t="n">
        <v>3.62</v>
      </c>
      <c r="R1634" s="0" t="n">
        <v>6154</v>
      </c>
      <c r="S1634" s="0" t="n">
        <v>12533</v>
      </c>
      <c r="T1634" s="0" t="n">
        <v>60.2</v>
      </c>
      <c r="U1634" s="0" t="n">
        <v>2079</v>
      </c>
      <c r="V1634" s="0" t="n">
        <v>8</v>
      </c>
      <c r="W1634" s="0" t="str">
        <f aca="false">IF(OR(AND(B1634&gt;=1,B1634&lt;=6),B1634=10),"Vaca em lactação",IF(I1634="Male","Macho",IF(E1634&gt;=1,"Vaca seca",IF(I1634="Youngstock","Bezerra/recria","Novilha"))))</f>
        <v>Vaca seca</v>
      </c>
      <c r="X1634" s="0" t="str">
        <f aca="false">IF(AND(B1634&gt;=1,B1634&lt;=6),"Tanque",IF(B1634=10,"Descarte",""))</f>
        <v/>
      </c>
    </row>
    <row r="1635" customFormat="false" ht="15" hidden="false" customHeight="false" outlineLevel="0" collapsed="false">
      <c r="A1635" s="22" t="n">
        <v>46309</v>
      </c>
      <c r="B1635" s="0" t="n">
        <v>7</v>
      </c>
      <c r="C1635" s="0" t="n">
        <v>3250</v>
      </c>
      <c r="D1635" s="0" t="n">
        <v>312</v>
      </c>
      <c r="E1635" s="0" t="n">
        <v>4</v>
      </c>
      <c r="F1635" s="23" t="s">
        <v>767</v>
      </c>
      <c r="I1635" s="23" t="s">
        <v>357</v>
      </c>
      <c r="J1635" s="0" t="n">
        <v>146</v>
      </c>
      <c r="K1635" s="0" t="n">
        <v>68</v>
      </c>
      <c r="L1635" s="0" t="n">
        <v>188</v>
      </c>
      <c r="M1635" s="0" t="n">
        <v>838.76</v>
      </c>
      <c r="N1635" s="0" t="n">
        <v>13.84</v>
      </c>
      <c r="O1635" s="0" t="n">
        <v>37.51</v>
      </c>
      <c r="P1635" s="0" t="n">
        <v>4.81</v>
      </c>
      <c r="Q1635" s="0" t="n">
        <v>3.93</v>
      </c>
      <c r="R1635" s="0" t="n">
        <v>5500</v>
      </c>
      <c r="S1635" s="0" t="n">
        <v>11085</v>
      </c>
      <c r="T1635" s="0" t="n">
        <v>59.2</v>
      </c>
      <c r="U1635" s="0" t="n">
        <v>2110</v>
      </c>
      <c r="V1635" s="0" t="n">
        <v>3</v>
      </c>
      <c r="W1635" s="0" t="str">
        <f aca="false">IF(OR(AND(B1635&gt;=1,B1635&lt;=6),B1635=10),"Vaca em lactação",IF(I1635="Male","Macho",IF(E1635&gt;=1,"Vaca seca",IF(I1635="Youngstock","Bezerra/recria","Novilha"))))</f>
        <v>Vaca seca</v>
      </c>
      <c r="X1635" s="0" t="str">
        <f aca="false">IF(AND(B1635&gt;=1,B1635&lt;=6),"Tanque",IF(B1635=10,"Descarte",""))</f>
        <v/>
      </c>
    </row>
    <row r="1636" customFormat="false" ht="15" hidden="false" customHeight="false" outlineLevel="0" collapsed="false">
      <c r="A1636" s="22" t="n">
        <v>46309</v>
      </c>
      <c r="B1636" s="0" t="n">
        <v>7</v>
      </c>
      <c r="C1636" s="0" t="n">
        <v>3334</v>
      </c>
      <c r="D1636" s="0" t="n">
        <v>132</v>
      </c>
      <c r="E1636" s="0" t="n">
        <v>5</v>
      </c>
      <c r="F1636" s="23" t="s">
        <v>995</v>
      </c>
      <c r="I1636" s="23" t="s">
        <v>357</v>
      </c>
      <c r="J1636" s="0" t="n">
        <v>72</v>
      </c>
      <c r="K1636" s="0" t="n">
        <v>72</v>
      </c>
      <c r="L1636" s="0" t="n">
        <v>77</v>
      </c>
      <c r="M1636" s="0" t="n">
        <v>38.75</v>
      </c>
      <c r="N1636" s="0" t="n">
        <v>20.1</v>
      </c>
      <c r="O1636" s="0" t="n">
        <v>7.3</v>
      </c>
      <c r="P1636" s="0" t="n">
        <v>5.66</v>
      </c>
      <c r="Q1636" s="0" t="n">
        <v>4.23</v>
      </c>
      <c r="R1636" s="0" t="n">
        <v>2108</v>
      </c>
      <c r="S1636" s="0" t="n">
        <v>4092</v>
      </c>
      <c r="T1636" s="0" t="n">
        <v>18.95</v>
      </c>
      <c r="U1636" s="0" t="n">
        <v>2051</v>
      </c>
      <c r="V1636" s="0" t="n">
        <v>1</v>
      </c>
      <c r="W1636" s="0" t="str">
        <f aca="false">IF(OR(AND(B1636&gt;=1,B1636&lt;=6),B1636=10),"Vaca em lactação",IF(I1636="Male","Macho",IF(E1636&gt;=1,"Vaca seca",IF(I1636="Youngstock","Bezerra/recria","Novilha"))))</f>
        <v>Vaca seca</v>
      </c>
      <c r="X1636" s="0" t="str">
        <f aca="false">IF(AND(B1636&gt;=1,B1636&lt;=6),"Tanque",IF(B1636=10,"Descarte",""))</f>
        <v/>
      </c>
    </row>
    <row r="1637" customFormat="false" ht="15" hidden="false" customHeight="false" outlineLevel="0" collapsed="false">
      <c r="A1637" s="22" t="n">
        <v>46309</v>
      </c>
      <c r="B1637" s="0" t="n">
        <v>7</v>
      </c>
      <c r="C1637" s="0" t="n">
        <v>3350</v>
      </c>
      <c r="D1637" s="0" t="n">
        <v>396</v>
      </c>
      <c r="E1637" s="0" t="n">
        <v>3</v>
      </c>
      <c r="F1637" s="23" t="s">
        <v>269</v>
      </c>
      <c r="I1637" s="23" t="s">
        <v>357</v>
      </c>
      <c r="J1637" s="0" t="n">
        <v>278</v>
      </c>
      <c r="K1637" s="0" t="n">
        <v>61</v>
      </c>
      <c r="L1637" s="0" t="n">
        <v>161</v>
      </c>
      <c r="M1637" s="0" t="n">
        <v>205.59</v>
      </c>
      <c r="N1637" s="0" t="n">
        <v>32.71</v>
      </c>
      <c r="O1637" s="0" t="n">
        <v>10.97</v>
      </c>
      <c r="P1637" s="0" t="n">
        <v>4.61</v>
      </c>
      <c r="Q1637" s="0" t="n">
        <v>3.5</v>
      </c>
      <c r="R1637" s="0" t="n">
        <v>5632</v>
      </c>
      <c r="S1637" s="0" t="n">
        <v>9531</v>
      </c>
      <c r="T1637" s="0" t="n">
        <v>55.65</v>
      </c>
      <c r="U1637" s="0" t="n">
        <v>2039</v>
      </c>
      <c r="V1637" s="0" t="n">
        <v>5</v>
      </c>
      <c r="W1637" s="0" t="str">
        <f aca="false">IF(OR(AND(B1637&gt;=1,B1637&lt;=6),B1637=10),"Vaca em lactação",IF(I1637="Male","Macho",IF(E1637&gt;=1,"Vaca seca",IF(I1637="Youngstock","Bezerra/recria","Novilha"))))</f>
        <v>Vaca seca</v>
      </c>
      <c r="X1637" s="0" t="str">
        <f aca="false">IF(AND(B1637&gt;=1,B1637&lt;=6),"Tanque",IF(B1637=10,"Descarte",""))</f>
        <v/>
      </c>
    </row>
    <row r="1638" customFormat="false" ht="15" hidden="false" customHeight="false" outlineLevel="0" collapsed="false">
      <c r="A1638" s="22" t="n">
        <v>46309</v>
      </c>
      <c r="B1638" s="0" t="n">
        <v>7</v>
      </c>
      <c r="C1638" s="0" t="n">
        <v>2521</v>
      </c>
      <c r="D1638" s="0" t="n">
        <v>313</v>
      </c>
      <c r="E1638" s="0" t="n">
        <v>4</v>
      </c>
      <c r="F1638" s="23" t="s">
        <v>996</v>
      </c>
      <c r="I1638" s="23" t="s">
        <v>357</v>
      </c>
      <c r="J1638" s="0" t="n">
        <v>188</v>
      </c>
      <c r="K1638" s="0" t="n">
        <v>69</v>
      </c>
      <c r="L1638" s="0" t="n">
        <v>224</v>
      </c>
      <c r="M1638" s="0" t="n">
        <v>-186.08</v>
      </c>
      <c r="N1638" s="0" t="n">
        <v>6.94</v>
      </c>
      <c r="O1638" s="0" t="n">
        <v>-5.41</v>
      </c>
      <c r="P1638" s="0" t="n">
        <v>5.34</v>
      </c>
      <c r="Q1638" s="0" t="n">
        <v>3.84</v>
      </c>
      <c r="R1638" s="0" t="n">
        <v>3768</v>
      </c>
      <c r="S1638" s="0" t="n">
        <v>7508</v>
      </c>
      <c r="T1638" s="0" t="n">
        <v>40.95</v>
      </c>
      <c r="U1638" s="0" t="n">
        <v>2695</v>
      </c>
      <c r="V1638" s="0" t="n">
        <v>4</v>
      </c>
      <c r="W1638" s="0" t="str">
        <f aca="false">IF(OR(AND(B1638&gt;=1,B1638&lt;=6),B1638=10),"Vaca em lactação",IF(I1638="Male","Macho",IF(E1638&gt;=1,"Vaca seca",IF(I1638="Youngstock","Bezerra/recria","Novilha"))))</f>
        <v>Vaca seca</v>
      </c>
      <c r="X1638" s="0" t="str">
        <f aca="false">IF(AND(B1638&gt;=1,B1638&lt;=6),"Tanque",IF(B1638=10,"Descarte",""))</f>
        <v/>
      </c>
    </row>
    <row r="1639" customFormat="false" ht="15" hidden="false" customHeight="false" outlineLevel="0" collapsed="false">
      <c r="A1639" s="22" t="n">
        <v>46309</v>
      </c>
      <c r="B1639" s="0" t="n">
        <v>7</v>
      </c>
      <c r="C1639" s="0" t="n">
        <v>2643</v>
      </c>
      <c r="D1639" s="0" t="n">
        <v>385</v>
      </c>
      <c r="E1639" s="0" t="n">
        <v>4</v>
      </c>
      <c r="F1639" s="23" t="s">
        <v>997</v>
      </c>
      <c r="I1639" s="23" t="s">
        <v>357</v>
      </c>
      <c r="J1639" s="0" t="n">
        <v>360</v>
      </c>
      <c r="K1639" s="0" t="n">
        <v>66</v>
      </c>
      <c r="L1639" s="0" t="n">
        <v>42</v>
      </c>
      <c r="M1639" s="0" t="n">
        <v>1685.65</v>
      </c>
      <c r="N1639" s="0" t="n">
        <v>6.07</v>
      </c>
      <c r="O1639" s="0" t="n">
        <v>22.69</v>
      </c>
      <c r="P1639" s="0" t="n">
        <v>2.61</v>
      </c>
      <c r="Q1639" s="0" t="n">
        <v>3.48</v>
      </c>
      <c r="R1639" s="0" t="n">
        <v>5978</v>
      </c>
      <c r="S1639" s="0" t="n">
        <v>12284</v>
      </c>
      <c r="T1639" s="0" t="n">
        <v>68.35</v>
      </c>
      <c r="U1639" s="0" t="n">
        <v>2571</v>
      </c>
      <c r="V1639" s="0" t="n">
        <v>8</v>
      </c>
      <c r="W1639" s="0" t="str">
        <f aca="false">IF(OR(AND(B1639&gt;=1,B1639&lt;=6),B1639=10),"Vaca em lactação",IF(I1639="Male","Macho",IF(E1639&gt;=1,"Vaca seca",IF(I1639="Youngstock","Bezerra/recria","Novilha"))))</f>
        <v>Vaca seca</v>
      </c>
      <c r="X1639" s="0" t="str">
        <f aca="false">IF(AND(B1639&gt;=1,B1639&lt;=6),"Tanque",IF(B1639=10,"Descarte",""))</f>
        <v/>
      </c>
    </row>
    <row r="1640" customFormat="false" ht="15" hidden="false" customHeight="false" outlineLevel="0" collapsed="false">
      <c r="A1640" s="22" t="n">
        <v>46309</v>
      </c>
      <c r="B1640" s="0" t="n">
        <v>7</v>
      </c>
      <c r="C1640" s="0" t="n">
        <v>2792</v>
      </c>
      <c r="D1640" s="0" t="n">
        <v>313</v>
      </c>
      <c r="E1640" s="0" t="n">
        <v>4</v>
      </c>
      <c r="F1640" s="23" t="s">
        <v>998</v>
      </c>
      <c r="I1640" s="23" t="s">
        <v>357</v>
      </c>
      <c r="J1640" s="0" t="n">
        <v>251</v>
      </c>
      <c r="K1640" s="0" t="n">
        <v>69</v>
      </c>
      <c r="L1640" s="0" t="n">
        <v>154</v>
      </c>
      <c r="M1640" s="0" t="n">
        <v>444.69</v>
      </c>
      <c r="N1640" s="0" t="n">
        <v>5.43</v>
      </c>
      <c r="O1640" s="0" t="n">
        <v>18.43</v>
      </c>
      <c r="P1640" s="0" t="n">
        <v>4.59</v>
      </c>
      <c r="Q1640" s="0" t="n">
        <v>3.71</v>
      </c>
      <c r="R1640" s="0" t="n">
        <v>5538</v>
      </c>
      <c r="S1640" s="0" t="n">
        <v>10359</v>
      </c>
      <c r="T1640" s="0" t="n">
        <v>65</v>
      </c>
      <c r="U1640" s="0" t="n">
        <v>2439</v>
      </c>
      <c r="V1640" s="0" t="n">
        <v>5</v>
      </c>
      <c r="W1640" s="0" t="str">
        <f aca="false">IF(OR(AND(B1640&gt;=1,B1640&lt;=6),B1640=10),"Vaca em lactação",IF(I1640="Male","Macho",IF(E1640&gt;=1,"Vaca seca",IF(I1640="Youngstock","Bezerra/recria","Novilha"))))</f>
        <v>Vaca seca</v>
      </c>
      <c r="X1640" s="0" t="str">
        <f aca="false">IF(AND(B1640&gt;=1,B1640&lt;=6),"Tanque",IF(B1640=10,"Descarte",""))</f>
        <v/>
      </c>
    </row>
    <row r="1641" customFormat="false" ht="15" hidden="false" customHeight="false" outlineLevel="0" collapsed="false">
      <c r="A1641" s="22" t="n">
        <v>46309</v>
      </c>
      <c r="B1641" s="0" t="n">
        <v>7</v>
      </c>
      <c r="C1641" s="0" t="n">
        <v>2225</v>
      </c>
      <c r="D1641" s="0" t="n">
        <v>233</v>
      </c>
      <c r="E1641" s="0" t="n">
        <v>7</v>
      </c>
      <c r="F1641" s="23" t="s">
        <v>999</v>
      </c>
      <c r="I1641" s="23" t="s">
        <v>357</v>
      </c>
      <c r="J1641" s="0" t="n">
        <v>128</v>
      </c>
      <c r="K1641" s="0" t="n">
        <v>47</v>
      </c>
      <c r="L1641" s="0" t="n">
        <v>119</v>
      </c>
      <c r="M1641" s="0" t="n">
        <v>208.66</v>
      </c>
      <c r="N1641" s="0" t="n">
        <v>-4.7</v>
      </c>
      <c r="O1641" s="0" t="n">
        <v>20.26</v>
      </c>
      <c r="P1641" s="0" t="n">
        <v>4.31</v>
      </c>
      <c r="Q1641" s="0" t="n">
        <v>4.65</v>
      </c>
      <c r="R1641" s="0" t="n">
        <v>2306</v>
      </c>
      <c r="S1641" s="0" t="n">
        <v>4883</v>
      </c>
      <c r="T1641" s="0" t="n">
        <v>26.75</v>
      </c>
      <c r="U1641" s="0" t="n">
        <v>2959</v>
      </c>
      <c r="V1641" s="0" t="n">
        <v>2</v>
      </c>
      <c r="W1641" s="0" t="str">
        <f aca="false">IF(OR(AND(B1641&gt;=1,B1641&lt;=6),B1641=10),"Vaca em lactação",IF(I1641="Male","Macho",IF(E1641&gt;=1,"Vaca seca",IF(I1641="Youngstock","Bezerra/recria","Novilha"))))</f>
        <v>Vaca seca</v>
      </c>
      <c r="X1641" s="0" t="str">
        <f aca="false">IF(AND(B1641&gt;=1,B1641&lt;=6),"Tanque",IF(B1641=10,"Descarte",""))</f>
        <v/>
      </c>
    </row>
    <row r="1642" customFormat="false" ht="15" hidden="false" customHeight="false" outlineLevel="0" collapsed="false">
      <c r="A1642" s="22" t="n">
        <v>46309</v>
      </c>
      <c r="B1642" s="0" t="n">
        <v>7</v>
      </c>
      <c r="C1642" s="0" t="n">
        <v>5385</v>
      </c>
      <c r="D1642" s="0" t="n">
        <v>310</v>
      </c>
      <c r="E1642" s="0" t="n">
        <v>1</v>
      </c>
      <c r="F1642" s="23" t="s">
        <v>550</v>
      </c>
      <c r="G1642" s="0" t="n">
        <v>14</v>
      </c>
      <c r="H1642" s="0" t="n">
        <v>42</v>
      </c>
      <c r="I1642" s="23" t="s">
        <v>357</v>
      </c>
      <c r="J1642" s="0" t="n">
        <v>88</v>
      </c>
      <c r="K1642" s="0" t="n">
        <v>66</v>
      </c>
      <c r="L1642" s="0" t="n">
        <v>223</v>
      </c>
      <c r="M1642" s="0" t="n">
        <v>209.99</v>
      </c>
      <c r="N1642" s="0" t="n">
        <v>61</v>
      </c>
      <c r="O1642" s="0" t="n">
        <v>28.39</v>
      </c>
      <c r="P1642" s="0" t="n">
        <v>3.8</v>
      </c>
      <c r="Q1642" s="0" t="n">
        <v>3.84</v>
      </c>
      <c r="R1642" s="0" t="n">
        <v>4080</v>
      </c>
      <c r="S1642" s="0" t="n">
        <v>9125</v>
      </c>
      <c r="T1642" s="0" t="n">
        <v>42.5</v>
      </c>
      <c r="U1642" s="0" t="n">
        <v>948</v>
      </c>
      <c r="V1642" s="0" t="n">
        <v>2</v>
      </c>
      <c r="W1642" s="0" t="str">
        <f aca="false">IF(OR(AND(B1642&gt;=1,B1642&lt;=6),B1642=10),"Vaca em lactação",IF(I1642="Male","Macho",IF(E1642&gt;=1,"Vaca seca",IF(I1642="Youngstock","Bezerra/recria","Novilha"))))</f>
        <v>Vaca seca</v>
      </c>
      <c r="X1642" s="0" t="str">
        <f aca="false">IF(AND(B1642&gt;=1,B1642&lt;=6),"Tanque",IF(B1642=10,"Descarte",""))</f>
        <v/>
      </c>
    </row>
    <row r="1643" customFormat="false" ht="15" hidden="false" customHeight="false" outlineLevel="0" collapsed="false">
      <c r="A1643" s="22" t="n">
        <v>46309</v>
      </c>
      <c r="B1643" s="0" t="n">
        <v>7</v>
      </c>
      <c r="C1643" s="0" t="n">
        <v>5395</v>
      </c>
      <c r="D1643" s="0" t="n">
        <v>290</v>
      </c>
      <c r="E1643" s="0" t="n">
        <v>1</v>
      </c>
      <c r="F1643" s="23" t="s">
        <v>551</v>
      </c>
      <c r="I1643" s="23" t="s">
        <v>357</v>
      </c>
      <c r="J1643" s="0" t="n">
        <v>67</v>
      </c>
      <c r="K1643" s="0" t="n">
        <v>67</v>
      </c>
      <c r="L1643" s="0" t="n">
        <v>238</v>
      </c>
      <c r="M1643" s="0" t="n">
        <v>314.14</v>
      </c>
      <c r="N1643" s="0" t="n">
        <v>59.22</v>
      </c>
      <c r="O1643" s="0" t="n">
        <v>26.02</v>
      </c>
      <c r="P1643" s="0" t="n">
        <v>5.85</v>
      </c>
      <c r="Q1643" s="0" t="n">
        <v>3.78</v>
      </c>
      <c r="R1643" s="0" t="n">
        <v>3480</v>
      </c>
      <c r="S1643" s="0" t="n">
        <v>7212</v>
      </c>
      <c r="T1643" s="0" t="n">
        <v>37.1</v>
      </c>
      <c r="U1643" s="0" t="n">
        <v>945</v>
      </c>
      <c r="V1643" s="0" t="n">
        <v>1</v>
      </c>
      <c r="W1643" s="0" t="str">
        <f aca="false">IF(OR(AND(B1643&gt;=1,B1643&lt;=6),B1643=10),"Vaca em lactação",IF(I1643="Male","Macho",IF(E1643&gt;=1,"Vaca seca",IF(I1643="Youngstock","Bezerra/recria","Novilha"))))</f>
        <v>Vaca seca</v>
      </c>
      <c r="X1643" s="0" t="str">
        <f aca="false">IF(AND(B1643&gt;=1,B1643&lt;=6),"Tanque",IF(B1643=10,"Descarte",""))</f>
        <v/>
      </c>
    </row>
    <row r="1644" customFormat="false" ht="15" hidden="false" customHeight="false" outlineLevel="0" collapsed="false">
      <c r="A1644" s="22" t="n">
        <v>46309</v>
      </c>
      <c r="B1644" s="0" t="n">
        <v>7</v>
      </c>
      <c r="C1644" s="0" t="n">
        <v>5399</v>
      </c>
      <c r="D1644" s="0" t="n">
        <v>287</v>
      </c>
      <c r="E1644" s="0" t="n">
        <v>1</v>
      </c>
      <c r="F1644" s="23" t="s">
        <v>552</v>
      </c>
      <c r="G1644" s="0" t="n">
        <v>11.9</v>
      </c>
      <c r="H1644" s="0" t="n">
        <v>34</v>
      </c>
      <c r="I1644" s="23" t="s">
        <v>357</v>
      </c>
      <c r="J1644" s="0" t="n">
        <v>64</v>
      </c>
      <c r="K1644" s="0" t="n">
        <v>64</v>
      </c>
      <c r="L1644" s="0" t="n">
        <v>224</v>
      </c>
      <c r="M1644" s="0" t="n">
        <v>838.89</v>
      </c>
      <c r="N1644" s="0" t="n">
        <v>69.74</v>
      </c>
      <c r="O1644" s="0" t="n">
        <v>41.79</v>
      </c>
      <c r="P1644" s="0" t="n">
        <v>3.84</v>
      </c>
      <c r="Q1644" s="0" t="n">
        <v>3.79</v>
      </c>
      <c r="R1644" s="0" t="n">
        <v>4114</v>
      </c>
      <c r="S1644" s="0" t="n">
        <v>9179</v>
      </c>
      <c r="T1644" s="0" t="n">
        <v>41.3</v>
      </c>
      <c r="U1644" s="0" t="n">
        <v>944</v>
      </c>
      <c r="V1644" s="0" t="n">
        <v>1</v>
      </c>
      <c r="W1644" s="0" t="str">
        <f aca="false">IF(OR(AND(B1644&gt;=1,B1644&lt;=6),B1644=10),"Vaca em lactação",IF(I1644="Male","Macho",IF(E1644&gt;=1,"Vaca seca",IF(I1644="Youngstock","Bezerra/recria","Novilha"))))</f>
        <v>Vaca seca</v>
      </c>
      <c r="X1644" s="0" t="str">
        <f aca="false">IF(AND(B1644&gt;=1,B1644&lt;=6),"Tanque",IF(B1644=10,"Descarte",""))</f>
        <v/>
      </c>
    </row>
    <row r="1645" customFormat="false" ht="15" hidden="false" customHeight="false" outlineLevel="0" collapsed="false">
      <c r="A1645" s="22" t="n">
        <v>46309</v>
      </c>
      <c r="B1645" s="0" t="n">
        <v>7</v>
      </c>
      <c r="C1645" s="0" t="n">
        <v>5427</v>
      </c>
      <c r="D1645" s="0" t="n">
        <v>288</v>
      </c>
      <c r="E1645" s="0" t="n">
        <v>1</v>
      </c>
      <c r="F1645" s="23" t="s">
        <v>560</v>
      </c>
      <c r="I1645" s="23" t="s">
        <v>357</v>
      </c>
      <c r="J1645" s="0" t="n">
        <v>86</v>
      </c>
      <c r="K1645" s="0" t="n">
        <v>86</v>
      </c>
      <c r="L1645" s="0" t="n">
        <v>231</v>
      </c>
      <c r="M1645" s="0" t="n">
        <v>1678.72</v>
      </c>
      <c r="N1645" s="0" t="n">
        <v>63.56</v>
      </c>
      <c r="O1645" s="0" t="n">
        <v>38.39</v>
      </c>
      <c r="P1645" s="0" t="n">
        <v>4.73</v>
      </c>
      <c r="Q1645" s="0" t="n">
        <v>3.36</v>
      </c>
      <c r="R1645" s="0" t="n">
        <v>1066</v>
      </c>
      <c r="S1645" s="0" t="n">
        <v>3002</v>
      </c>
      <c r="T1645" s="0" t="n">
        <v>10.45</v>
      </c>
      <c r="U1645" s="0" t="n">
        <v>931</v>
      </c>
      <c r="V1645" s="0" t="n">
        <v>1</v>
      </c>
      <c r="W1645" s="0" t="str">
        <f aca="false">IF(OR(AND(B1645&gt;=1,B1645&lt;=6),B1645=10),"Vaca em lactação",IF(I1645="Male","Macho",IF(E1645&gt;=1,"Vaca seca",IF(I1645="Youngstock","Bezerra/recria","Novilha"))))</f>
        <v>Vaca seca</v>
      </c>
      <c r="X1645" s="0" t="str">
        <f aca="false">IF(AND(B1645&gt;=1,B1645&lt;=6),"Tanque",IF(B1645=10,"Descarte",""))</f>
        <v/>
      </c>
    </row>
    <row r="1646" customFormat="false" ht="15" hidden="false" customHeight="false" outlineLevel="0" collapsed="false">
      <c r="A1646" s="22" t="n">
        <v>46309</v>
      </c>
      <c r="B1646" s="0" t="n">
        <v>7</v>
      </c>
      <c r="C1646" s="0" t="n">
        <v>5434</v>
      </c>
      <c r="D1646" s="0" t="n">
        <v>274</v>
      </c>
      <c r="E1646" s="0" t="n">
        <v>1</v>
      </c>
      <c r="F1646" s="23" t="s">
        <v>631</v>
      </c>
      <c r="I1646" s="23" t="s">
        <v>357</v>
      </c>
      <c r="J1646" s="0" t="n">
        <v>51</v>
      </c>
      <c r="K1646" s="0" t="n">
        <v>51</v>
      </c>
      <c r="L1646" s="0" t="n">
        <v>238</v>
      </c>
      <c r="M1646" s="0" t="n">
        <v>1248.37</v>
      </c>
      <c r="N1646" s="0" t="n">
        <v>72.12</v>
      </c>
      <c r="O1646" s="0" t="n">
        <v>52.61</v>
      </c>
      <c r="P1646" s="0" t="n">
        <v>4.7</v>
      </c>
      <c r="Q1646" s="0" t="n">
        <v>3.7</v>
      </c>
      <c r="R1646" s="0" t="n">
        <v>4410</v>
      </c>
      <c r="S1646" s="0" t="n">
        <v>8960</v>
      </c>
      <c r="T1646" s="0" t="n">
        <v>46.3</v>
      </c>
      <c r="U1646" s="0" t="n">
        <v>929</v>
      </c>
      <c r="V1646" s="0" t="n">
        <v>1</v>
      </c>
      <c r="W1646" s="0" t="str">
        <f aca="false">IF(OR(AND(B1646&gt;=1,B1646&lt;=6),B1646=10),"Vaca em lactação",IF(I1646="Male","Macho",IF(E1646&gt;=1,"Vaca seca",IF(I1646="Youngstock","Bezerra/recria","Novilha"))))</f>
        <v>Vaca seca</v>
      </c>
      <c r="X1646" s="0" t="str">
        <f aca="false">IF(AND(B1646&gt;=1,B1646&lt;=6),"Tanque",IF(B1646=10,"Descarte",""))</f>
        <v/>
      </c>
    </row>
    <row r="1647" customFormat="false" ht="15" hidden="false" customHeight="false" outlineLevel="0" collapsed="false">
      <c r="A1647" s="22" t="n">
        <v>46309</v>
      </c>
      <c r="B1647" s="0" t="n">
        <v>7</v>
      </c>
      <c r="C1647" s="0" t="n">
        <v>5432</v>
      </c>
      <c r="D1647" s="0" t="n">
        <v>295</v>
      </c>
      <c r="E1647" s="0" t="n">
        <v>1</v>
      </c>
      <c r="F1647" s="23" t="s">
        <v>562</v>
      </c>
      <c r="G1647" s="0" t="n">
        <v>12.6</v>
      </c>
      <c r="H1647" s="0" t="n">
        <v>37</v>
      </c>
      <c r="I1647" s="23" t="s">
        <v>357</v>
      </c>
      <c r="J1647" s="0" t="n">
        <v>72</v>
      </c>
      <c r="K1647" s="0" t="n">
        <v>72</v>
      </c>
      <c r="L1647" s="0" t="n">
        <v>224</v>
      </c>
      <c r="M1647" s="0" t="n">
        <v>820.94</v>
      </c>
      <c r="N1647" s="0" t="n">
        <v>84.09</v>
      </c>
      <c r="O1647" s="0" t="n">
        <v>37.29</v>
      </c>
      <c r="P1647" s="0" t="n">
        <v>3.55</v>
      </c>
      <c r="Q1647" s="0" t="n">
        <v>3.4</v>
      </c>
      <c r="R1647" s="0" t="n">
        <v>4171</v>
      </c>
      <c r="S1647" s="0" t="n">
        <v>9525</v>
      </c>
      <c r="T1647" s="0" t="n">
        <v>43.35</v>
      </c>
      <c r="U1647" s="0" t="n">
        <v>930</v>
      </c>
      <c r="V1647" s="0" t="n">
        <v>1</v>
      </c>
      <c r="W1647" s="0" t="str">
        <f aca="false">IF(OR(AND(B1647&gt;=1,B1647&lt;=6),B1647=10),"Vaca em lactação",IF(I1647="Male","Macho",IF(E1647&gt;=1,"Vaca seca",IF(I1647="Youngstock","Bezerra/recria","Novilha"))))</f>
        <v>Vaca seca</v>
      </c>
      <c r="X1647" s="0" t="str">
        <f aca="false">IF(AND(B1647&gt;=1,B1647&lt;=6),"Tanque",IF(B1647=10,"Descarte",""))</f>
        <v/>
      </c>
    </row>
    <row r="1648" customFormat="false" ht="15" hidden="false" customHeight="false" outlineLevel="0" collapsed="false">
      <c r="A1648" s="22" t="n">
        <v>46309</v>
      </c>
      <c r="B1648" s="0" t="n">
        <v>7</v>
      </c>
      <c r="C1648" s="0" t="n">
        <v>5409</v>
      </c>
      <c r="D1648" s="0" t="n">
        <v>288</v>
      </c>
      <c r="E1648" s="0" t="n">
        <v>1</v>
      </c>
      <c r="F1648" s="23" t="s">
        <v>565</v>
      </c>
      <c r="I1648" s="23" t="s">
        <v>357</v>
      </c>
      <c r="J1648" s="0" t="n">
        <v>65</v>
      </c>
      <c r="K1648" s="0" t="n">
        <v>65</v>
      </c>
      <c r="L1648" s="0" t="n">
        <v>252</v>
      </c>
      <c r="M1648" s="0" t="n">
        <v>969.72</v>
      </c>
      <c r="N1648" s="0" t="n">
        <v>29.72</v>
      </c>
      <c r="O1648" s="0" t="n">
        <v>29.7</v>
      </c>
      <c r="P1648" s="0" t="n">
        <v>4.45</v>
      </c>
      <c r="Q1648" s="0" t="n">
        <v>3.35</v>
      </c>
      <c r="R1648" s="0" t="n">
        <v>4014</v>
      </c>
      <c r="S1648" s="0" t="n">
        <v>9137</v>
      </c>
      <c r="T1648" s="0" t="n">
        <v>42.45</v>
      </c>
      <c r="U1648" s="0" t="n">
        <v>939</v>
      </c>
      <c r="V1648" s="0" t="n">
        <v>1</v>
      </c>
      <c r="W1648" s="0" t="str">
        <f aca="false">IF(OR(AND(B1648&gt;=1,B1648&lt;=6),B1648=10),"Vaca em lactação",IF(I1648="Male","Macho",IF(E1648&gt;=1,"Vaca seca",IF(I1648="Youngstock","Bezerra/recria","Novilha"))))</f>
        <v>Vaca seca</v>
      </c>
      <c r="X1648" s="0" t="str">
        <f aca="false">IF(AND(B1648&gt;=1,B1648&lt;=6),"Tanque",IF(B1648=10,"Descarte",""))</f>
        <v/>
      </c>
    </row>
    <row r="1649" customFormat="false" ht="15" hidden="false" customHeight="false" outlineLevel="0" collapsed="false">
      <c r="A1649" s="22" t="n">
        <v>46309</v>
      </c>
      <c r="B1649" s="0" t="n">
        <v>7</v>
      </c>
      <c r="C1649" s="0" t="n">
        <v>5423</v>
      </c>
      <c r="D1649" s="0" t="n">
        <v>287</v>
      </c>
      <c r="E1649" s="0" t="n">
        <v>1</v>
      </c>
      <c r="F1649" s="23" t="s">
        <v>561</v>
      </c>
      <c r="I1649" s="23" t="s">
        <v>357</v>
      </c>
      <c r="J1649" s="0" t="n">
        <v>64</v>
      </c>
      <c r="K1649" s="0" t="n">
        <v>64</v>
      </c>
      <c r="L1649" s="0" t="n">
        <v>245</v>
      </c>
      <c r="M1649" s="0" t="n">
        <v>1020.9</v>
      </c>
      <c r="N1649" s="0" t="n">
        <v>49.04</v>
      </c>
      <c r="O1649" s="0" t="n">
        <v>34.96</v>
      </c>
      <c r="P1649" s="0" t="n">
        <v>5.01</v>
      </c>
      <c r="Q1649" s="0" t="n">
        <v>3.39</v>
      </c>
      <c r="R1649" s="0" t="n">
        <v>3994</v>
      </c>
      <c r="S1649" s="0" t="n">
        <v>9852</v>
      </c>
      <c r="T1649" s="0" t="n">
        <v>46</v>
      </c>
      <c r="U1649" s="0" t="n">
        <v>932</v>
      </c>
      <c r="V1649" s="0" t="n">
        <v>1</v>
      </c>
      <c r="W1649" s="0" t="str">
        <f aca="false">IF(OR(AND(B1649&gt;=1,B1649&lt;=6),B1649=10),"Vaca em lactação",IF(I1649="Male","Macho",IF(E1649&gt;=1,"Vaca seca",IF(I1649="Youngstock","Bezerra/recria","Novilha"))))</f>
        <v>Vaca seca</v>
      </c>
      <c r="X1649" s="0" t="str">
        <f aca="false">IF(AND(B1649&gt;=1,B1649&lt;=6),"Tanque",IF(B1649=10,"Descarte",""))</f>
        <v/>
      </c>
    </row>
    <row r="1650" customFormat="false" ht="15" hidden="false" customHeight="false" outlineLevel="0" collapsed="false">
      <c r="A1650" s="22" t="n">
        <v>46309</v>
      </c>
      <c r="B1650" s="0" t="n">
        <v>7</v>
      </c>
      <c r="C1650" s="0" t="n">
        <v>5422</v>
      </c>
      <c r="D1650" s="0" t="n">
        <v>289</v>
      </c>
      <c r="E1650" s="0" t="n">
        <v>1</v>
      </c>
      <c r="F1650" s="23" t="s">
        <v>571</v>
      </c>
      <c r="I1650" s="23" t="s">
        <v>357</v>
      </c>
      <c r="J1650" s="0" t="n">
        <v>66</v>
      </c>
      <c r="K1650" s="0" t="n">
        <v>66</v>
      </c>
      <c r="L1650" s="0" t="n">
        <v>245</v>
      </c>
      <c r="M1650" s="0" t="n">
        <v>149.34</v>
      </c>
      <c r="N1650" s="0" t="n">
        <v>82.7</v>
      </c>
      <c r="O1650" s="0" t="n">
        <v>30.99</v>
      </c>
      <c r="P1650" s="0" t="n">
        <v>4.22</v>
      </c>
      <c r="Q1650" s="0" t="n">
        <v>4.76</v>
      </c>
      <c r="R1650" s="0" t="n">
        <v>4160</v>
      </c>
      <c r="S1650" s="0" t="n">
        <v>8399</v>
      </c>
      <c r="T1650" s="0" t="n">
        <v>44.4</v>
      </c>
      <c r="U1650" s="0" t="n">
        <v>933</v>
      </c>
      <c r="V1650" s="0" t="n">
        <v>1</v>
      </c>
      <c r="W1650" s="0" t="str">
        <f aca="false">IF(OR(AND(B1650&gt;=1,B1650&lt;=6),B1650=10),"Vaca em lactação",IF(I1650="Male","Macho",IF(E1650&gt;=1,"Vaca seca",IF(I1650="Youngstock","Bezerra/recria","Novilha"))))</f>
        <v>Vaca seca</v>
      </c>
      <c r="X1650" s="0" t="str">
        <f aca="false">IF(AND(B1650&gt;=1,B1650&lt;=6),"Tanque",IF(B1650=10,"Descarte",""))</f>
        <v/>
      </c>
    </row>
    <row r="1651" customFormat="false" ht="15" hidden="false" customHeight="false" outlineLevel="0" collapsed="false">
      <c r="A1651" s="22" t="n">
        <v>46309</v>
      </c>
      <c r="B1651" s="0" t="n">
        <v>7</v>
      </c>
      <c r="C1651" s="0" t="n">
        <v>5308</v>
      </c>
      <c r="D1651" s="0" t="n">
        <v>296</v>
      </c>
      <c r="E1651" s="0" t="n">
        <v>1</v>
      </c>
      <c r="F1651" s="23" t="s">
        <v>275</v>
      </c>
      <c r="I1651" s="23" t="s">
        <v>357</v>
      </c>
      <c r="J1651" s="0" t="n">
        <v>73</v>
      </c>
      <c r="K1651" s="0" t="n">
        <v>73</v>
      </c>
      <c r="L1651" s="0" t="n">
        <v>273</v>
      </c>
      <c r="M1651" s="0" t="n">
        <v>513.64</v>
      </c>
      <c r="N1651" s="0" t="n">
        <v>39.23</v>
      </c>
      <c r="O1651" s="0" t="n">
        <v>19.5</v>
      </c>
      <c r="P1651" s="0" t="n">
        <v>3.69</v>
      </c>
      <c r="Q1651" s="0" t="n">
        <v>3.68</v>
      </c>
      <c r="R1651" s="0" t="n">
        <v>3844</v>
      </c>
      <c r="S1651" s="0" t="n">
        <v>8220</v>
      </c>
      <c r="T1651" s="0" t="n">
        <v>41.05</v>
      </c>
      <c r="U1651" s="0" t="n">
        <v>977</v>
      </c>
      <c r="V1651" s="0" t="n">
        <v>1</v>
      </c>
      <c r="W1651" s="0" t="str">
        <f aca="false">IF(OR(AND(B1651&gt;=1,B1651&lt;=6),B1651=10),"Vaca em lactação",IF(I1651="Male","Macho",IF(E1651&gt;=1,"Vaca seca",IF(I1651="Youngstock","Bezerra/recria","Novilha"))))</f>
        <v>Vaca seca</v>
      </c>
      <c r="X1651" s="0" t="str">
        <f aca="false">IF(AND(B1651&gt;=1,B1651&lt;=6),"Tanque",IF(B1651=10,"Descarte",""))</f>
        <v/>
      </c>
    </row>
    <row r="1652" customFormat="false" ht="15" hidden="false" customHeight="false" outlineLevel="0" collapsed="false">
      <c r="A1652" s="22" t="n">
        <v>46309</v>
      </c>
      <c r="B1652" s="0" t="n">
        <v>7</v>
      </c>
      <c r="C1652" s="0" t="n">
        <v>5317</v>
      </c>
      <c r="D1652" s="0" t="n">
        <v>323</v>
      </c>
      <c r="E1652" s="0" t="n">
        <v>1</v>
      </c>
      <c r="F1652" s="23" t="s">
        <v>573</v>
      </c>
      <c r="G1652" s="0" t="n">
        <v>10.6</v>
      </c>
      <c r="H1652" s="0" t="n">
        <v>34</v>
      </c>
      <c r="I1652" s="23" t="s">
        <v>357</v>
      </c>
      <c r="J1652" s="0" t="n">
        <v>100</v>
      </c>
      <c r="K1652" s="0" t="n">
        <v>65</v>
      </c>
      <c r="L1652" s="0" t="n">
        <v>224</v>
      </c>
      <c r="M1652" s="0" t="n">
        <v>464.55</v>
      </c>
      <c r="N1652" s="0" t="n">
        <v>56.34</v>
      </c>
      <c r="O1652" s="0" t="n">
        <v>32.57</v>
      </c>
      <c r="P1652" s="0" t="n">
        <v>3.35</v>
      </c>
      <c r="Q1652" s="0" t="n">
        <v>3.83</v>
      </c>
      <c r="R1652" s="0" t="n">
        <v>3880</v>
      </c>
      <c r="S1652" s="0" t="n">
        <v>8497</v>
      </c>
      <c r="T1652" s="0" t="n">
        <v>43.85</v>
      </c>
      <c r="U1652" s="0" t="n">
        <v>974</v>
      </c>
      <c r="V1652" s="0" t="n">
        <v>2</v>
      </c>
      <c r="W1652" s="0" t="str">
        <f aca="false">IF(OR(AND(B1652&gt;=1,B1652&lt;=6),B1652=10),"Vaca em lactação",IF(I1652="Male","Macho",IF(E1652&gt;=1,"Vaca seca",IF(I1652="Youngstock","Bezerra/recria","Novilha"))))</f>
        <v>Vaca seca</v>
      </c>
      <c r="X1652" s="0" t="str">
        <f aca="false">IF(AND(B1652&gt;=1,B1652&lt;=6),"Tanque",IF(B1652=10,"Descarte",""))</f>
        <v/>
      </c>
    </row>
    <row r="1653" customFormat="false" ht="15" hidden="false" customHeight="false" outlineLevel="0" collapsed="false">
      <c r="A1653" s="22" t="n">
        <v>46309</v>
      </c>
      <c r="B1653" s="0" t="n">
        <v>7</v>
      </c>
      <c r="C1653" s="0" t="n">
        <v>5313</v>
      </c>
      <c r="D1653" s="0" t="n">
        <v>347</v>
      </c>
      <c r="E1653" s="0" t="n">
        <v>1</v>
      </c>
      <c r="F1653" s="23" t="s">
        <v>573</v>
      </c>
      <c r="I1653" s="23" t="s">
        <v>357</v>
      </c>
      <c r="J1653" s="0" t="n">
        <v>124</v>
      </c>
      <c r="K1653" s="0" t="n">
        <v>69</v>
      </c>
      <c r="L1653" s="0" t="n">
        <v>238</v>
      </c>
      <c r="M1653" s="0" t="n">
        <v>151.6</v>
      </c>
      <c r="N1653" s="0" t="n">
        <v>57.28</v>
      </c>
      <c r="O1653" s="0" t="n">
        <v>19.64</v>
      </c>
      <c r="P1653" s="0" t="n">
        <v>3.4</v>
      </c>
      <c r="Q1653" s="0" t="n">
        <v>3.65</v>
      </c>
      <c r="R1653" s="0" t="n">
        <v>3804</v>
      </c>
      <c r="S1653" s="0" t="n">
        <v>8592</v>
      </c>
      <c r="T1653" s="0" t="n">
        <v>41.8</v>
      </c>
      <c r="U1653" s="0" t="n">
        <v>974</v>
      </c>
      <c r="V1653" s="0" t="n">
        <v>3</v>
      </c>
      <c r="W1653" s="0" t="str">
        <f aca="false">IF(OR(AND(B1653&gt;=1,B1653&lt;=6),B1653=10),"Vaca em lactação",IF(I1653="Male","Macho",IF(E1653&gt;=1,"Vaca seca",IF(I1653="Youngstock","Bezerra/recria","Novilha"))))</f>
        <v>Vaca seca</v>
      </c>
      <c r="X1653" s="0" t="str">
        <f aca="false">IF(AND(B1653&gt;=1,B1653&lt;=6),"Tanque",IF(B1653=10,"Descarte",""))</f>
        <v/>
      </c>
    </row>
    <row r="1654" customFormat="false" ht="15" hidden="false" customHeight="false" outlineLevel="0" collapsed="false">
      <c r="A1654" s="22" t="n">
        <v>46309</v>
      </c>
      <c r="B1654" s="0" t="n">
        <v>7</v>
      </c>
      <c r="C1654" s="0" t="n">
        <v>5306</v>
      </c>
      <c r="D1654" s="0" t="n">
        <v>324</v>
      </c>
      <c r="E1654" s="0" t="n">
        <v>1</v>
      </c>
      <c r="F1654" s="23" t="s">
        <v>1000</v>
      </c>
      <c r="G1654" s="0" t="n">
        <v>15.6</v>
      </c>
      <c r="H1654" s="0" t="n">
        <v>35</v>
      </c>
      <c r="I1654" s="23" t="s">
        <v>357</v>
      </c>
      <c r="J1654" s="0" t="n">
        <v>101</v>
      </c>
      <c r="K1654" s="0" t="n">
        <v>66</v>
      </c>
      <c r="L1654" s="0" t="n">
        <v>224</v>
      </c>
      <c r="M1654" s="0" t="n">
        <v>1148.6</v>
      </c>
      <c r="N1654" s="0" t="n">
        <v>51.33</v>
      </c>
      <c r="O1654" s="0" t="n">
        <v>26.38</v>
      </c>
      <c r="P1654" s="0" t="n">
        <v>3.54</v>
      </c>
      <c r="Q1654" s="0" t="n">
        <v>3.26</v>
      </c>
      <c r="R1654" s="0" t="n">
        <v>4807</v>
      </c>
      <c r="S1654" s="0" t="n">
        <v>10133</v>
      </c>
      <c r="T1654" s="0" t="n">
        <v>51.1</v>
      </c>
      <c r="U1654" s="0" t="n">
        <v>975</v>
      </c>
      <c r="V1654" s="0" t="n">
        <v>2</v>
      </c>
      <c r="W1654" s="0" t="str">
        <f aca="false">IF(OR(AND(B1654&gt;=1,B1654&lt;=6),B1654=10),"Vaca em lactação",IF(I1654="Male","Macho",IF(E1654&gt;=1,"Vaca seca",IF(I1654="Youngstock","Bezerra/recria","Novilha"))))</f>
        <v>Vaca seca</v>
      </c>
      <c r="X1654" s="0" t="str">
        <f aca="false">IF(AND(B1654&gt;=1,B1654&lt;=6),"Tanque",IF(B1654=10,"Descarte",""))</f>
        <v/>
      </c>
    </row>
    <row r="1655" customFormat="false" ht="15" hidden="false" customHeight="false" outlineLevel="0" collapsed="false">
      <c r="A1655" s="22" t="n">
        <v>46309</v>
      </c>
      <c r="B1655" s="0" t="n">
        <v>7</v>
      </c>
      <c r="C1655" s="0" t="n">
        <v>5320</v>
      </c>
      <c r="D1655" s="0" t="n">
        <v>332</v>
      </c>
      <c r="E1655" s="0" t="n">
        <v>1</v>
      </c>
      <c r="F1655" s="23" t="s">
        <v>574</v>
      </c>
      <c r="I1655" s="23" t="s">
        <v>357</v>
      </c>
      <c r="J1655" s="0" t="n">
        <v>110</v>
      </c>
      <c r="K1655" s="0" t="n">
        <v>75</v>
      </c>
      <c r="L1655" s="0" t="n">
        <v>238</v>
      </c>
      <c r="M1655" s="0" t="n">
        <v>574.48</v>
      </c>
      <c r="N1655" s="0" t="n">
        <v>16.61</v>
      </c>
      <c r="O1655" s="0" t="n">
        <v>33</v>
      </c>
      <c r="P1655" s="0" t="n">
        <v>3.47</v>
      </c>
      <c r="Q1655" s="0" t="n">
        <v>3.79</v>
      </c>
      <c r="R1655" s="0" t="n">
        <v>4216</v>
      </c>
      <c r="S1655" s="0" t="n">
        <v>9650</v>
      </c>
      <c r="T1655" s="0" t="n">
        <v>46.5</v>
      </c>
      <c r="U1655" s="0" t="n">
        <v>973</v>
      </c>
      <c r="V1655" s="0" t="n">
        <v>2</v>
      </c>
      <c r="W1655" s="0" t="str">
        <f aca="false">IF(OR(AND(B1655&gt;=1,B1655&lt;=6),B1655=10),"Vaca em lactação",IF(I1655="Male","Macho",IF(E1655&gt;=1,"Vaca seca",IF(I1655="Youngstock","Bezerra/recria","Novilha"))))</f>
        <v>Vaca seca</v>
      </c>
      <c r="X1655" s="0" t="str">
        <f aca="false">IF(AND(B1655&gt;=1,B1655&lt;=6),"Tanque",IF(B1655=10,"Descarte",""))</f>
        <v/>
      </c>
    </row>
    <row r="1656" customFormat="false" ht="15" hidden="false" customHeight="false" outlineLevel="0" collapsed="false">
      <c r="A1656" s="22" t="n">
        <v>46309</v>
      </c>
      <c r="B1656" s="0" t="n">
        <v>7</v>
      </c>
      <c r="C1656" s="0" t="n">
        <v>5292</v>
      </c>
      <c r="D1656" s="0" t="n">
        <v>330</v>
      </c>
      <c r="E1656" s="0" t="n">
        <v>1</v>
      </c>
      <c r="F1656" s="23" t="s">
        <v>276</v>
      </c>
      <c r="I1656" s="23" t="s">
        <v>357</v>
      </c>
      <c r="J1656" s="0" t="n">
        <v>107</v>
      </c>
      <c r="K1656" s="0" t="n">
        <v>72</v>
      </c>
      <c r="L1656" s="0" t="n">
        <v>238</v>
      </c>
      <c r="M1656" s="0" t="n">
        <v>580.01</v>
      </c>
      <c r="N1656" s="0" t="n">
        <v>69.54</v>
      </c>
      <c r="O1656" s="0" t="n">
        <v>32.47</v>
      </c>
      <c r="P1656" s="0" t="n">
        <v>3.27</v>
      </c>
      <c r="Q1656" s="0" t="n">
        <v>3.89</v>
      </c>
      <c r="R1656" s="0" t="n">
        <v>4289</v>
      </c>
      <c r="S1656" s="0" t="n">
        <v>9656</v>
      </c>
      <c r="T1656" s="0" t="n">
        <v>46.55</v>
      </c>
      <c r="U1656" s="0" t="n">
        <v>981</v>
      </c>
      <c r="V1656" s="0" t="n">
        <v>2</v>
      </c>
      <c r="W1656" s="0" t="str">
        <f aca="false">IF(OR(AND(B1656&gt;=1,B1656&lt;=6),B1656=10),"Vaca em lactação",IF(I1656="Male","Macho",IF(E1656&gt;=1,"Vaca seca",IF(I1656="Youngstock","Bezerra/recria","Novilha"))))</f>
        <v>Vaca seca</v>
      </c>
      <c r="X1656" s="0" t="str">
        <f aca="false">IF(AND(B1656&gt;=1,B1656&lt;=6),"Tanque",IF(B1656=10,"Descarte",""))</f>
        <v/>
      </c>
    </row>
    <row r="1657" customFormat="false" ht="15" hidden="false" customHeight="false" outlineLevel="0" collapsed="false">
      <c r="A1657" s="22" t="n">
        <v>46309</v>
      </c>
      <c r="B1657" s="0" t="n">
        <v>7</v>
      </c>
      <c r="C1657" s="0" t="n">
        <v>5299</v>
      </c>
      <c r="D1657" s="0" t="n">
        <v>287</v>
      </c>
      <c r="E1657" s="0" t="n">
        <v>1</v>
      </c>
      <c r="F1657" s="23" t="s">
        <v>578</v>
      </c>
      <c r="I1657" s="23" t="s">
        <v>357</v>
      </c>
      <c r="J1657" s="0" t="n">
        <v>64</v>
      </c>
      <c r="K1657" s="0" t="n">
        <v>64</v>
      </c>
      <c r="L1657" s="0" t="n">
        <v>231</v>
      </c>
      <c r="M1657" s="0" t="n">
        <v>807.85</v>
      </c>
      <c r="N1657" s="0" t="n">
        <v>63.98</v>
      </c>
      <c r="O1657" s="0" t="n">
        <v>30.12</v>
      </c>
      <c r="P1657" s="0" t="n">
        <v>3.61</v>
      </c>
      <c r="Q1657" s="0" t="n">
        <v>3.47</v>
      </c>
      <c r="R1657" s="0" t="n">
        <v>4468</v>
      </c>
      <c r="S1657" s="0" t="n">
        <v>9664</v>
      </c>
      <c r="T1657" s="0" t="n">
        <v>46.4</v>
      </c>
      <c r="U1657" s="0" t="n">
        <v>980</v>
      </c>
      <c r="V1657" s="0" t="n">
        <v>1</v>
      </c>
      <c r="W1657" s="0" t="str">
        <f aca="false">IF(OR(AND(B1657&gt;=1,B1657&lt;=6),B1657=10),"Vaca em lactação",IF(I1657="Male","Macho",IF(E1657&gt;=1,"Vaca seca",IF(I1657="Youngstock","Bezerra/recria","Novilha"))))</f>
        <v>Vaca seca</v>
      </c>
      <c r="X1657" s="0" t="str">
        <f aca="false">IF(AND(B1657&gt;=1,B1657&lt;=6),"Tanque",IF(B1657=10,"Descarte",""))</f>
        <v/>
      </c>
    </row>
    <row r="1658" customFormat="false" ht="15" hidden="false" customHeight="false" outlineLevel="0" collapsed="false">
      <c r="A1658" s="22" t="n">
        <v>46309</v>
      </c>
      <c r="B1658" s="0" t="n">
        <v>7</v>
      </c>
      <c r="C1658" s="0" t="n">
        <v>5298</v>
      </c>
      <c r="D1658" s="0" t="n">
        <v>320</v>
      </c>
      <c r="E1658" s="0" t="n">
        <v>1</v>
      </c>
      <c r="F1658" s="23" t="s">
        <v>578</v>
      </c>
      <c r="I1658" s="23" t="s">
        <v>357</v>
      </c>
      <c r="J1658" s="0" t="n">
        <v>92</v>
      </c>
      <c r="K1658" s="0" t="n">
        <v>76</v>
      </c>
      <c r="L1658" s="0" t="n">
        <v>243</v>
      </c>
      <c r="M1658" s="0" t="n">
        <v>377.91</v>
      </c>
      <c r="N1658" s="0" t="n">
        <v>61.57</v>
      </c>
      <c r="O1658" s="0" t="n">
        <v>23.27</v>
      </c>
      <c r="P1658" s="0" t="n">
        <v>3.64</v>
      </c>
      <c r="Q1658" s="0" t="n">
        <v>3.32</v>
      </c>
      <c r="R1658" s="0" t="n">
        <v>4735</v>
      </c>
      <c r="S1658" s="0" t="n">
        <v>10007</v>
      </c>
      <c r="T1658" s="0" t="n">
        <v>53.85</v>
      </c>
      <c r="U1658" s="0" t="n">
        <v>980</v>
      </c>
      <c r="V1658" s="0" t="n">
        <v>2</v>
      </c>
      <c r="W1658" s="0" t="str">
        <f aca="false">IF(OR(AND(B1658&gt;=1,B1658&lt;=6),B1658=10),"Vaca em lactação",IF(I1658="Male","Macho",IF(E1658&gt;=1,"Vaca seca",IF(I1658="Youngstock","Bezerra/recria","Novilha"))))</f>
        <v>Vaca seca</v>
      </c>
      <c r="X1658" s="0" t="str">
        <f aca="false">IF(AND(B1658&gt;=1,B1658&lt;=6),"Tanque",IF(B1658=10,"Descarte",""))</f>
        <v/>
      </c>
    </row>
    <row r="1659" customFormat="false" ht="15" hidden="false" customHeight="false" outlineLevel="0" collapsed="false">
      <c r="A1659" s="22" t="n">
        <v>46309</v>
      </c>
      <c r="B1659" s="0" t="n">
        <v>7</v>
      </c>
      <c r="C1659" s="0" t="n">
        <v>5301</v>
      </c>
      <c r="D1659" s="0" t="n">
        <v>333</v>
      </c>
      <c r="E1659" s="0" t="n">
        <v>1</v>
      </c>
      <c r="F1659" s="23" t="s">
        <v>457</v>
      </c>
      <c r="I1659" s="23" t="s">
        <v>357</v>
      </c>
      <c r="J1659" s="0" t="n">
        <v>105</v>
      </c>
      <c r="K1659" s="0" t="n">
        <v>82</v>
      </c>
      <c r="L1659" s="0" t="n">
        <v>243</v>
      </c>
      <c r="M1659" s="0" t="n">
        <v>437.05</v>
      </c>
      <c r="N1659" s="0" t="n">
        <v>91.99</v>
      </c>
      <c r="O1659" s="0" t="n">
        <v>28.75</v>
      </c>
      <c r="P1659" s="0" t="n">
        <v>5.65</v>
      </c>
      <c r="Q1659" s="0" t="n">
        <v>3.75</v>
      </c>
      <c r="R1659" s="0" t="n">
        <v>4138</v>
      </c>
      <c r="S1659" s="0" t="n">
        <v>8910</v>
      </c>
      <c r="T1659" s="0" t="n">
        <v>49</v>
      </c>
      <c r="U1659" s="0" t="n">
        <v>978</v>
      </c>
      <c r="V1659" s="0" t="n">
        <v>2</v>
      </c>
      <c r="W1659" s="0" t="str">
        <f aca="false">IF(OR(AND(B1659&gt;=1,B1659&lt;=6),B1659=10),"Vaca em lactação",IF(I1659="Male","Macho",IF(E1659&gt;=1,"Vaca seca",IF(I1659="Youngstock","Bezerra/recria","Novilha"))))</f>
        <v>Vaca seca</v>
      </c>
      <c r="X1659" s="0" t="str">
        <f aca="false">IF(AND(B1659&gt;=1,B1659&lt;=6),"Tanque",IF(B1659=10,"Descarte",""))</f>
        <v/>
      </c>
    </row>
    <row r="1660" customFormat="false" ht="15" hidden="false" customHeight="false" outlineLevel="0" collapsed="false">
      <c r="A1660" s="22" t="n">
        <v>46309</v>
      </c>
      <c r="B1660" s="0" t="n">
        <v>7</v>
      </c>
      <c r="C1660" s="0" t="n">
        <v>5350</v>
      </c>
      <c r="D1660" s="0" t="n">
        <v>292</v>
      </c>
      <c r="E1660" s="0" t="n">
        <v>1</v>
      </c>
      <c r="F1660" s="23" t="s">
        <v>579</v>
      </c>
      <c r="I1660" s="23" t="s">
        <v>357</v>
      </c>
      <c r="J1660" s="0" t="n">
        <v>69</v>
      </c>
      <c r="K1660" s="0" t="n">
        <v>69</v>
      </c>
      <c r="L1660" s="0" t="n">
        <v>245</v>
      </c>
      <c r="M1660" s="0" t="n">
        <v>208.56</v>
      </c>
      <c r="N1660" s="0" t="n">
        <v>58.52</v>
      </c>
      <c r="O1660" s="0" t="n">
        <v>21.93</v>
      </c>
      <c r="P1660" s="0" t="n">
        <v>3.9</v>
      </c>
      <c r="Q1660" s="0" t="n">
        <v>3.66</v>
      </c>
      <c r="R1660" s="0" t="n">
        <v>4077</v>
      </c>
      <c r="S1660" s="0" t="n">
        <v>8148</v>
      </c>
      <c r="T1660" s="0" t="n">
        <v>42.95</v>
      </c>
      <c r="U1660" s="0" t="n">
        <v>963</v>
      </c>
      <c r="V1660" s="0" t="n">
        <v>1</v>
      </c>
      <c r="W1660" s="0" t="str">
        <f aca="false">IF(OR(AND(B1660&gt;=1,B1660&lt;=6),B1660=10),"Vaca em lactação",IF(I1660="Male","Macho",IF(E1660&gt;=1,"Vaca seca",IF(I1660="Youngstock","Bezerra/recria","Novilha"))))</f>
        <v>Vaca seca</v>
      </c>
      <c r="X1660" s="0" t="str">
        <f aca="false">IF(AND(B1660&gt;=1,B1660&lt;=6),"Tanque",IF(B1660=10,"Descarte",""))</f>
        <v/>
      </c>
    </row>
    <row r="1661" customFormat="false" ht="15" hidden="false" customHeight="false" outlineLevel="0" collapsed="false">
      <c r="A1661" s="22" t="n">
        <v>46309</v>
      </c>
      <c r="B1661" s="0" t="n">
        <v>7</v>
      </c>
      <c r="C1661" s="0" t="n">
        <v>5347</v>
      </c>
      <c r="D1661" s="0" t="n">
        <v>325</v>
      </c>
      <c r="E1661" s="0" t="n">
        <v>1</v>
      </c>
      <c r="F1661" s="23" t="s">
        <v>580</v>
      </c>
      <c r="I1661" s="23" t="s">
        <v>357</v>
      </c>
      <c r="J1661" s="0" t="n">
        <v>123</v>
      </c>
      <c r="K1661" s="0" t="n">
        <v>67</v>
      </c>
      <c r="L1661" s="0" t="n">
        <v>217</v>
      </c>
      <c r="M1661" s="0" t="n">
        <v>759.52</v>
      </c>
      <c r="N1661" s="0" t="n">
        <v>71.67</v>
      </c>
      <c r="O1661" s="0" t="n">
        <v>37.99</v>
      </c>
      <c r="P1661" s="0" t="n">
        <v>5.11</v>
      </c>
      <c r="Q1661" s="0" t="n">
        <v>4.32</v>
      </c>
      <c r="R1661" s="0" t="n">
        <v>4120</v>
      </c>
      <c r="S1661" s="0" t="n">
        <v>8379</v>
      </c>
      <c r="T1661" s="0" t="n">
        <v>41.6</v>
      </c>
      <c r="U1661" s="0" t="n">
        <v>964</v>
      </c>
      <c r="V1661" s="0" t="n">
        <v>2</v>
      </c>
      <c r="W1661" s="0" t="str">
        <f aca="false">IF(OR(AND(B1661&gt;=1,B1661&lt;=6),B1661=10),"Vaca em lactação",IF(I1661="Male","Macho",IF(E1661&gt;=1,"Vaca seca",IF(I1661="Youngstock","Bezerra/recria","Novilha"))))</f>
        <v>Vaca seca</v>
      </c>
      <c r="X1661" s="0" t="str">
        <f aca="false">IF(AND(B1661&gt;=1,B1661&lt;=6),"Tanque",IF(B1661=10,"Descarte",""))</f>
        <v/>
      </c>
    </row>
    <row r="1662" customFormat="false" ht="15" hidden="false" customHeight="false" outlineLevel="0" collapsed="false">
      <c r="A1662" s="22" t="n">
        <v>46309</v>
      </c>
      <c r="B1662" s="0" t="n">
        <v>7</v>
      </c>
      <c r="C1662" s="0" t="n">
        <v>5329</v>
      </c>
      <c r="D1662" s="0" t="n">
        <v>288</v>
      </c>
      <c r="E1662" s="0" t="n">
        <v>1</v>
      </c>
      <c r="F1662" s="23" t="s">
        <v>585</v>
      </c>
      <c r="I1662" s="23" t="s">
        <v>357</v>
      </c>
      <c r="J1662" s="0" t="n">
        <v>65</v>
      </c>
      <c r="K1662" s="0" t="n">
        <v>65</v>
      </c>
      <c r="L1662" s="0" t="n">
        <v>238</v>
      </c>
      <c r="M1662" s="0" t="n">
        <v>532.12</v>
      </c>
      <c r="N1662" s="0" t="n">
        <v>48.6</v>
      </c>
      <c r="O1662" s="0" t="n">
        <v>21.53</v>
      </c>
      <c r="P1662" s="0" t="n">
        <v>4.15</v>
      </c>
      <c r="Q1662" s="0" t="n">
        <v>3.52</v>
      </c>
      <c r="R1662" s="0" t="n">
        <v>3765</v>
      </c>
      <c r="S1662" s="0" t="n">
        <v>8686</v>
      </c>
      <c r="T1662" s="0" t="n">
        <v>42.2</v>
      </c>
      <c r="U1662" s="0" t="n">
        <v>972</v>
      </c>
      <c r="V1662" s="0" t="n">
        <v>1</v>
      </c>
      <c r="W1662" s="0" t="str">
        <f aca="false">IF(OR(AND(B1662&gt;=1,B1662&lt;=6),B1662=10),"Vaca em lactação",IF(I1662="Male","Macho",IF(E1662&gt;=1,"Vaca seca",IF(I1662="Youngstock","Bezerra/recria","Novilha"))))</f>
        <v>Vaca seca</v>
      </c>
      <c r="X1662" s="0" t="str">
        <f aca="false">IF(AND(B1662&gt;=1,B1662&lt;=6),"Tanque",IF(B1662=10,"Descarte",""))</f>
        <v/>
      </c>
    </row>
    <row r="1663" customFormat="false" ht="15" hidden="false" customHeight="false" outlineLevel="0" collapsed="false">
      <c r="A1663" s="22" t="n">
        <v>46309</v>
      </c>
      <c r="B1663" s="0" t="n">
        <v>7</v>
      </c>
      <c r="C1663" s="0" t="n">
        <v>5342</v>
      </c>
      <c r="D1663" s="0" t="n">
        <v>284</v>
      </c>
      <c r="E1663" s="0" t="n">
        <v>1</v>
      </c>
      <c r="F1663" s="23" t="s">
        <v>586</v>
      </c>
      <c r="I1663" s="23" t="s">
        <v>357</v>
      </c>
      <c r="J1663" s="0" t="n">
        <v>61</v>
      </c>
      <c r="K1663" s="0" t="n">
        <v>61</v>
      </c>
      <c r="L1663" s="0" t="n">
        <v>245</v>
      </c>
      <c r="M1663" s="0" t="n">
        <v>1093.43</v>
      </c>
      <c r="N1663" s="0" t="n">
        <v>60.18</v>
      </c>
      <c r="O1663" s="0" t="n">
        <v>24.39</v>
      </c>
      <c r="P1663" s="0" t="n">
        <v>3.13</v>
      </c>
      <c r="Q1663" s="0" t="n">
        <v>3.37</v>
      </c>
      <c r="R1663" s="0" t="n">
        <v>4263</v>
      </c>
      <c r="S1663" s="0" t="n">
        <v>9433</v>
      </c>
      <c r="T1663" s="0" t="n">
        <v>47.7</v>
      </c>
      <c r="U1663" s="0" t="n">
        <v>965</v>
      </c>
      <c r="V1663" s="0" t="n">
        <v>1</v>
      </c>
      <c r="W1663" s="0" t="str">
        <f aca="false">IF(OR(AND(B1663&gt;=1,B1663&lt;=6),B1663=10),"Vaca em lactação",IF(I1663="Male","Macho",IF(E1663&gt;=1,"Vaca seca",IF(I1663="Youngstock","Bezerra/recria","Novilha"))))</f>
        <v>Vaca seca</v>
      </c>
      <c r="X1663" s="0" t="str">
        <f aca="false">IF(AND(B1663&gt;=1,B1663&lt;=6),"Tanque",IF(B1663=10,"Descarte",""))</f>
        <v/>
      </c>
    </row>
    <row r="1664" customFormat="false" ht="15" hidden="false" customHeight="false" outlineLevel="0" collapsed="false">
      <c r="A1664" s="22" t="n">
        <v>46309</v>
      </c>
      <c r="B1664" s="0" t="n">
        <v>7</v>
      </c>
      <c r="C1664" s="0" t="n">
        <v>5447</v>
      </c>
      <c r="D1664" s="0" t="n">
        <v>237</v>
      </c>
      <c r="E1664" s="0" t="n">
        <v>1</v>
      </c>
      <c r="F1664" s="23" t="s">
        <v>589</v>
      </c>
      <c r="I1664" s="23" t="s">
        <v>357</v>
      </c>
      <c r="J1664" s="0" t="n">
        <v>119</v>
      </c>
      <c r="K1664" s="0" t="n">
        <v>70</v>
      </c>
      <c r="L1664" s="0" t="n">
        <v>168</v>
      </c>
      <c r="M1664" s="0" t="n">
        <v>890.4</v>
      </c>
      <c r="N1664" s="0" t="n">
        <v>6.33</v>
      </c>
      <c r="O1664" s="0" t="n">
        <v>24.17</v>
      </c>
      <c r="P1664" s="0" t="n">
        <v>3.63</v>
      </c>
      <c r="Q1664" s="0" t="n">
        <v>3</v>
      </c>
      <c r="R1664" s="0" t="n">
        <v>4643</v>
      </c>
      <c r="S1664" s="0" t="n">
        <v>9337</v>
      </c>
      <c r="T1664" s="0" t="n">
        <v>47.7</v>
      </c>
      <c r="U1664" s="0" t="n">
        <v>925</v>
      </c>
      <c r="V1664" s="0" t="n">
        <v>2</v>
      </c>
      <c r="W1664" s="0" t="str">
        <f aca="false">IF(OR(AND(B1664&gt;=1,B1664&lt;=6),B1664=10),"Vaca em lactação",IF(I1664="Male","Macho",IF(E1664&gt;=1,"Vaca seca",IF(I1664="Youngstock","Bezerra/recria","Novilha"))))</f>
        <v>Vaca seca</v>
      </c>
      <c r="X1664" s="0" t="str">
        <f aca="false">IF(AND(B1664&gt;=1,B1664&lt;=6),"Tanque",IF(B1664=10,"Descarte",""))</f>
        <v/>
      </c>
    </row>
    <row r="1665" customFormat="false" ht="15" hidden="false" customHeight="false" outlineLevel="0" collapsed="false">
      <c r="A1665" s="22" t="n">
        <v>46309</v>
      </c>
      <c r="B1665" s="0" t="n">
        <v>7</v>
      </c>
      <c r="C1665" s="0" t="n">
        <v>5069</v>
      </c>
      <c r="D1665" s="0" t="n">
        <v>23</v>
      </c>
      <c r="E1665" s="0" t="n">
        <v>2</v>
      </c>
      <c r="F1665" s="23" t="s">
        <v>279</v>
      </c>
      <c r="I1665" s="23" t="s">
        <v>1001</v>
      </c>
      <c r="J1665" s="0" t="n">
        <v>23</v>
      </c>
      <c r="K1665" s="0" t="n">
        <v>113</v>
      </c>
      <c r="M1665" s="0" t="n">
        <v>1272.65</v>
      </c>
      <c r="N1665" s="0" t="n">
        <v>21.63</v>
      </c>
      <c r="O1665" s="0" t="n">
        <v>39.03</v>
      </c>
      <c r="P1665" s="0" t="n">
        <v>0</v>
      </c>
      <c r="Q1665" s="0" t="n">
        <v>0</v>
      </c>
      <c r="R1665" s="0" t="n">
        <v>1305</v>
      </c>
      <c r="S1665" s="0" t="n">
        <v>2624</v>
      </c>
      <c r="U1665" s="0" t="n">
        <v>1075</v>
      </c>
      <c r="V1665" s="0" t="n">
        <v>1</v>
      </c>
      <c r="W1665" s="0" t="str">
        <f aca="false">IF(OR(AND(B1665&gt;=1,B1665&lt;=6),B1665=10),"Vaca em lactação",IF(I1665="Male","Macho",IF(E1665&gt;=1,"Vaca seca",IF(I1665="Youngstock","Bezerra/recria","Novilha"))))</f>
        <v>Vaca seca</v>
      </c>
      <c r="X1665" s="0" t="str">
        <f aca="false">IF(AND(B1665&gt;=1,B1665&lt;=6),"Tanque",IF(B1665=10,"Descarte",""))</f>
        <v/>
      </c>
    </row>
    <row r="1666" customFormat="false" ht="15" hidden="false" customHeight="false" outlineLevel="0" collapsed="false">
      <c r="A1666" s="22" t="n">
        <v>46309</v>
      </c>
      <c r="B1666" s="0" t="n">
        <v>7</v>
      </c>
      <c r="C1666" s="0" t="n">
        <v>5072</v>
      </c>
      <c r="D1666" s="0" t="n">
        <v>369</v>
      </c>
      <c r="E1666" s="0" t="n">
        <v>1</v>
      </c>
      <c r="F1666" s="23" t="s">
        <v>279</v>
      </c>
      <c r="I1666" s="23" t="s">
        <v>357</v>
      </c>
      <c r="J1666" s="0" t="n">
        <v>148</v>
      </c>
      <c r="K1666" s="0" t="n">
        <v>69</v>
      </c>
      <c r="L1666" s="0" t="n">
        <v>243</v>
      </c>
      <c r="M1666" s="0" t="n">
        <v>256.5</v>
      </c>
      <c r="N1666" s="0" t="n">
        <v>54.64</v>
      </c>
      <c r="O1666" s="0" t="n">
        <v>39.26</v>
      </c>
      <c r="P1666" s="0" t="n">
        <v>5.15</v>
      </c>
      <c r="Q1666" s="0" t="n">
        <v>4.69</v>
      </c>
      <c r="R1666" s="0" t="n">
        <v>4079</v>
      </c>
      <c r="S1666" s="0" t="n">
        <v>8710</v>
      </c>
      <c r="T1666" s="0" t="n">
        <v>46.45</v>
      </c>
      <c r="U1666" s="0" t="n">
        <v>1075</v>
      </c>
      <c r="V1666" s="0" t="n">
        <v>4</v>
      </c>
      <c r="W1666" s="0" t="str">
        <f aca="false">IF(OR(AND(B1666&gt;=1,B1666&lt;=6),B1666=10),"Vaca em lactação",IF(I1666="Male","Macho",IF(E1666&gt;=1,"Vaca seca",IF(I1666="Youngstock","Bezerra/recria","Novilha"))))</f>
        <v>Vaca seca</v>
      </c>
      <c r="X1666" s="0" t="str">
        <f aca="false">IF(AND(B1666&gt;=1,B1666&lt;=6),"Tanque",IF(B1666=10,"Descarte",""))</f>
        <v/>
      </c>
    </row>
    <row r="1667" customFormat="false" ht="15" hidden="false" customHeight="false" outlineLevel="0" collapsed="false">
      <c r="A1667" s="22" t="n">
        <v>46309</v>
      </c>
      <c r="B1667" s="0" t="n">
        <v>7</v>
      </c>
      <c r="C1667" s="0" t="n">
        <v>5050</v>
      </c>
      <c r="D1667" s="0" t="n">
        <v>323</v>
      </c>
      <c r="E1667" s="0" t="n">
        <v>1</v>
      </c>
      <c r="F1667" s="23" t="s">
        <v>1002</v>
      </c>
      <c r="I1667" s="23" t="s">
        <v>357</v>
      </c>
      <c r="J1667" s="0" t="n">
        <v>100</v>
      </c>
      <c r="K1667" s="0" t="n">
        <v>65</v>
      </c>
      <c r="L1667" s="0" t="n">
        <v>231</v>
      </c>
      <c r="M1667" s="0" t="n">
        <v>649.62</v>
      </c>
      <c r="N1667" s="0" t="n">
        <v>68.81</v>
      </c>
      <c r="O1667" s="0" t="n">
        <v>35.82</v>
      </c>
      <c r="P1667" s="0" t="n">
        <v>3.83</v>
      </c>
      <c r="Q1667" s="0" t="n">
        <v>3.79</v>
      </c>
      <c r="R1667" s="0" t="n">
        <v>4358</v>
      </c>
      <c r="S1667" s="0" t="n">
        <v>8769</v>
      </c>
      <c r="T1667" s="0" t="n">
        <v>46.9</v>
      </c>
      <c r="U1667" s="0" t="n">
        <v>1088</v>
      </c>
      <c r="V1667" s="0" t="n">
        <v>2</v>
      </c>
      <c r="W1667" s="0" t="str">
        <f aca="false">IF(OR(AND(B1667&gt;=1,B1667&lt;=6),B1667=10),"Vaca em lactação",IF(I1667="Male","Macho",IF(E1667&gt;=1,"Vaca seca",IF(I1667="Youngstock","Bezerra/recria","Novilha"))))</f>
        <v>Vaca seca</v>
      </c>
      <c r="X1667" s="0" t="str">
        <f aca="false">IF(AND(B1667&gt;=1,B1667&lt;=6),"Tanque",IF(B1667=10,"Descarte",""))</f>
        <v/>
      </c>
    </row>
    <row r="1668" customFormat="false" ht="15" hidden="false" customHeight="false" outlineLevel="0" collapsed="false">
      <c r="A1668" s="22" t="n">
        <v>46309</v>
      </c>
      <c r="B1668" s="0" t="n">
        <v>7</v>
      </c>
      <c r="C1668" s="0" t="n">
        <v>5112</v>
      </c>
      <c r="D1668" s="0" t="n">
        <v>398</v>
      </c>
      <c r="E1668" s="0" t="n">
        <v>1</v>
      </c>
      <c r="F1668" s="23" t="s">
        <v>1003</v>
      </c>
      <c r="G1668" s="0" t="n">
        <v>7.1</v>
      </c>
      <c r="H1668" s="0" t="n">
        <v>12</v>
      </c>
      <c r="I1668" s="23" t="s">
        <v>357</v>
      </c>
      <c r="J1668" s="0" t="n">
        <v>203</v>
      </c>
      <c r="K1668" s="0" t="n">
        <v>63</v>
      </c>
      <c r="L1668" s="0" t="n">
        <v>196</v>
      </c>
      <c r="M1668" s="0" t="n">
        <v>-532.85</v>
      </c>
      <c r="N1668" s="0" t="n">
        <v>48.26</v>
      </c>
      <c r="O1668" s="0" t="n">
        <v>6.52</v>
      </c>
      <c r="P1668" s="0" t="n">
        <v>6.39</v>
      </c>
      <c r="Q1668" s="0" t="n">
        <v>5.08</v>
      </c>
      <c r="R1668" s="0" t="n">
        <v>3604</v>
      </c>
      <c r="S1668" s="0" t="n">
        <v>7157</v>
      </c>
      <c r="T1668" s="0" t="n">
        <v>35.6</v>
      </c>
      <c r="U1668" s="0" t="n">
        <v>1060</v>
      </c>
      <c r="V1668" s="0" t="n">
        <v>4</v>
      </c>
      <c r="W1668" s="0" t="str">
        <f aca="false">IF(OR(AND(B1668&gt;=1,B1668&lt;=6),B1668=10),"Vaca em lactação",IF(I1668="Male","Macho",IF(E1668&gt;=1,"Vaca seca",IF(I1668="Youngstock","Bezerra/recria","Novilha"))))</f>
        <v>Vaca seca</v>
      </c>
      <c r="X1668" s="0" t="str">
        <f aca="false">IF(AND(B1668&gt;=1,B1668&lt;=6),"Tanque",IF(B1668=10,"Descarte",""))</f>
        <v/>
      </c>
    </row>
    <row r="1669" customFormat="false" ht="15" hidden="false" customHeight="false" outlineLevel="0" collapsed="false">
      <c r="A1669" s="22" t="n">
        <v>46309</v>
      </c>
      <c r="B1669" s="0" t="n">
        <v>7</v>
      </c>
      <c r="C1669" s="0" t="n">
        <v>5119</v>
      </c>
      <c r="D1669" s="0" t="n">
        <v>333</v>
      </c>
      <c r="E1669" s="0" t="n">
        <v>1</v>
      </c>
      <c r="F1669" s="23" t="s">
        <v>461</v>
      </c>
      <c r="I1669" s="23" t="s">
        <v>357</v>
      </c>
      <c r="J1669" s="0" t="n">
        <v>110</v>
      </c>
      <c r="K1669" s="0" t="n">
        <v>69</v>
      </c>
      <c r="L1669" s="0" t="n">
        <v>252</v>
      </c>
      <c r="M1669" s="0" t="n">
        <v>928.48</v>
      </c>
      <c r="N1669" s="0" t="n">
        <v>53.86</v>
      </c>
      <c r="O1669" s="0" t="n">
        <v>39.29</v>
      </c>
      <c r="P1669" s="0" t="n">
        <v>3.65</v>
      </c>
      <c r="Q1669" s="0" t="n">
        <v>3.58</v>
      </c>
      <c r="R1669" s="0" t="n">
        <v>4093</v>
      </c>
      <c r="S1669" s="0" t="n">
        <v>8409</v>
      </c>
      <c r="T1669" s="0" t="n">
        <v>38.1</v>
      </c>
      <c r="U1669" s="0" t="n">
        <v>1058</v>
      </c>
      <c r="V1669" s="0" t="n">
        <v>2</v>
      </c>
      <c r="W1669" s="0" t="str">
        <f aca="false">IF(OR(AND(B1669&gt;=1,B1669&lt;=6),B1669=10),"Vaca em lactação",IF(I1669="Male","Macho",IF(E1669&gt;=1,"Vaca seca",IF(I1669="Youngstock","Bezerra/recria","Novilha"))))</f>
        <v>Vaca seca</v>
      </c>
      <c r="X1669" s="0" t="str">
        <f aca="false">IF(AND(B1669&gt;=1,B1669&lt;=6),"Tanque",IF(B1669=10,"Descarte",""))</f>
        <v/>
      </c>
    </row>
    <row r="1670" customFormat="false" ht="15" hidden="false" customHeight="false" outlineLevel="0" collapsed="false">
      <c r="A1670" s="22" t="n">
        <v>46309</v>
      </c>
      <c r="B1670" s="0" t="n">
        <v>7</v>
      </c>
      <c r="C1670" s="0" t="n">
        <v>5118</v>
      </c>
      <c r="D1670" s="0" t="n">
        <v>292</v>
      </c>
      <c r="E1670" s="0" t="n">
        <v>1</v>
      </c>
      <c r="F1670" s="23" t="s">
        <v>461</v>
      </c>
      <c r="I1670" s="23" t="s">
        <v>357</v>
      </c>
      <c r="J1670" s="0" t="n">
        <v>69</v>
      </c>
      <c r="K1670" s="0" t="n">
        <v>69</v>
      </c>
      <c r="L1670" s="0" t="n">
        <v>231</v>
      </c>
      <c r="M1670" s="0" t="n">
        <v>637.43</v>
      </c>
      <c r="N1670" s="0" t="n">
        <v>40.05</v>
      </c>
      <c r="O1670" s="0" t="n">
        <v>27.96</v>
      </c>
      <c r="P1670" s="0" t="n">
        <v>4.31</v>
      </c>
      <c r="Q1670" s="0" t="n">
        <v>3.78</v>
      </c>
      <c r="R1670" s="0" t="n">
        <v>4332</v>
      </c>
      <c r="S1670" s="0" t="n">
        <v>8925</v>
      </c>
      <c r="T1670" s="0" t="n">
        <v>45.25</v>
      </c>
      <c r="U1670" s="0" t="n">
        <v>1058</v>
      </c>
      <c r="V1670" s="0" t="n">
        <v>1</v>
      </c>
      <c r="W1670" s="0" t="str">
        <f aca="false">IF(OR(AND(B1670&gt;=1,B1670&lt;=6),B1670=10),"Vaca em lactação",IF(I1670="Male","Macho",IF(E1670&gt;=1,"Vaca seca",IF(I1670="Youngstock","Bezerra/recria","Novilha"))))</f>
        <v>Vaca seca</v>
      </c>
      <c r="X1670" s="0" t="str">
        <f aca="false">IF(AND(B1670&gt;=1,B1670&lt;=6),"Tanque",IF(B1670=10,"Descarte",""))</f>
        <v/>
      </c>
    </row>
    <row r="1671" customFormat="false" ht="15" hidden="false" customHeight="false" outlineLevel="0" collapsed="false">
      <c r="A1671" s="22" t="n">
        <v>46309</v>
      </c>
      <c r="B1671" s="0" t="n">
        <v>7</v>
      </c>
      <c r="C1671" s="0" t="n">
        <v>4998</v>
      </c>
      <c r="D1671" s="0" t="n">
        <v>458</v>
      </c>
      <c r="E1671" s="0" t="n">
        <v>1</v>
      </c>
      <c r="F1671" s="23" t="s">
        <v>463</v>
      </c>
      <c r="I1671" s="23" t="s">
        <v>357</v>
      </c>
      <c r="J1671" s="0" t="n">
        <v>368</v>
      </c>
      <c r="K1671" s="0" t="n">
        <v>60</v>
      </c>
      <c r="L1671" s="0" t="n">
        <v>126</v>
      </c>
      <c r="M1671" s="0" t="n">
        <v>925.09</v>
      </c>
      <c r="N1671" s="0" t="n">
        <v>51.8</v>
      </c>
      <c r="O1671" s="0" t="n">
        <v>31.75</v>
      </c>
      <c r="P1671" s="0" t="n">
        <v>4.72</v>
      </c>
      <c r="Q1671" s="0" t="n">
        <v>3.33</v>
      </c>
      <c r="R1671" s="0" t="n">
        <v>4717</v>
      </c>
      <c r="S1671" s="0" t="n">
        <v>10049</v>
      </c>
      <c r="T1671" s="0" t="n">
        <v>53.65</v>
      </c>
      <c r="U1671" s="0" t="n">
        <v>1119</v>
      </c>
      <c r="V1671" s="0" t="n">
        <v>10</v>
      </c>
      <c r="W1671" s="0" t="str">
        <f aca="false">IF(OR(AND(B1671&gt;=1,B1671&lt;=6),B1671=10),"Vaca em lactação",IF(I1671="Male","Macho",IF(E1671&gt;=1,"Vaca seca",IF(I1671="Youngstock","Bezerra/recria","Novilha"))))</f>
        <v>Vaca seca</v>
      </c>
      <c r="X1671" s="0" t="str">
        <f aca="false">IF(AND(B1671&gt;=1,B1671&lt;=6),"Tanque",IF(B1671=10,"Descarte",""))</f>
        <v/>
      </c>
    </row>
    <row r="1672" customFormat="false" ht="15" hidden="false" customHeight="false" outlineLevel="0" collapsed="false">
      <c r="A1672" s="22" t="n">
        <v>46309</v>
      </c>
      <c r="B1672" s="0" t="n">
        <v>7</v>
      </c>
      <c r="C1672" s="0" t="n">
        <v>5006</v>
      </c>
      <c r="D1672" s="0" t="n">
        <v>324</v>
      </c>
      <c r="E1672" s="0" t="n">
        <v>1</v>
      </c>
      <c r="F1672" s="23" t="s">
        <v>1004</v>
      </c>
      <c r="I1672" s="23" t="s">
        <v>357</v>
      </c>
      <c r="J1672" s="0" t="n">
        <v>101</v>
      </c>
      <c r="K1672" s="0" t="n">
        <v>66</v>
      </c>
      <c r="L1672" s="0" t="n">
        <v>238</v>
      </c>
      <c r="M1672" s="0" t="n">
        <v>702.76</v>
      </c>
      <c r="N1672" s="0" t="n">
        <v>50.8</v>
      </c>
      <c r="O1672" s="0" t="n">
        <v>39.15</v>
      </c>
      <c r="P1672" s="0" t="n">
        <v>4.08</v>
      </c>
      <c r="Q1672" s="0" t="n">
        <v>3.6</v>
      </c>
      <c r="R1672" s="0" t="n">
        <v>4303</v>
      </c>
      <c r="S1672" s="0" t="n">
        <v>9663</v>
      </c>
      <c r="T1672" s="0" t="n">
        <v>50.1</v>
      </c>
      <c r="U1672" s="0" t="n">
        <v>1116</v>
      </c>
      <c r="V1672" s="0" t="n">
        <v>2</v>
      </c>
      <c r="W1672" s="0" t="str">
        <f aca="false">IF(OR(AND(B1672&gt;=1,B1672&lt;=6),B1672=10),"Vaca em lactação",IF(I1672="Male","Macho",IF(E1672&gt;=1,"Vaca seca",IF(I1672="Youngstock","Bezerra/recria","Novilha"))))</f>
        <v>Vaca seca</v>
      </c>
      <c r="X1672" s="0" t="str">
        <f aca="false">IF(AND(B1672&gt;=1,B1672&lt;=6),"Tanque",IF(B1672=10,"Descarte",""))</f>
        <v/>
      </c>
    </row>
    <row r="1673" customFormat="false" ht="15" hidden="false" customHeight="false" outlineLevel="0" collapsed="false">
      <c r="A1673" s="22" t="n">
        <v>46309</v>
      </c>
      <c r="B1673" s="0" t="n">
        <v>7</v>
      </c>
      <c r="C1673" s="0" t="n">
        <v>4978</v>
      </c>
      <c r="D1673" s="0" t="n">
        <v>352</v>
      </c>
      <c r="E1673" s="0" t="n">
        <v>1</v>
      </c>
      <c r="F1673" s="23" t="s">
        <v>798</v>
      </c>
      <c r="I1673" s="23" t="s">
        <v>357</v>
      </c>
      <c r="J1673" s="0" t="n">
        <v>192</v>
      </c>
      <c r="K1673" s="0" t="n">
        <v>66</v>
      </c>
      <c r="L1673" s="0" t="n">
        <v>224</v>
      </c>
      <c r="M1673" s="0" t="n">
        <v>151.48</v>
      </c>
      <c r="N1673" s="0" t="n">
        <v>35.39</v>
      </c>
      <c r="O1673" s="0" t="n">
        <v>19.42</v>
      </c>
      <c r="P1673" s="0" t="n">
        <v>3.55</v>
      </c>
      <c r="Q1673" s="0" t="n">
        <v>3.71</v>
      </c>
      <c r="R1673" s="0" t="n">
        <v>4145</v>
      </c>
      <c r="S1673" s="0" t="n">
        <v>7893</v>
      </c>
      <c r="T1673" s="0" t="n">
        <v>43.1</v>
      </c>
      <c r="U1673" s="0" t="n">
        <v>1131</v>
      </c>
      <c r="V1673" s="0" t="n">
        <v>4</v>
      </c>
      <c r="W1673" s="0" t="str">
        <f aca="false">IF(OR(AND(B1673&gt;=1,B1673&lt;=6),B1673=10),"Vaca em lactação",IF(I1673="Male","Macho",IF(E1673&gt;=1,"Vaca seca",IF(I1673="Youngstock","Bezerra/recria","Novilha"))))</f>
        <v>Vaca seca</v>
      </c>
      <c r="X1673" s="0" t="str">
        <f aca="false">IF(AND(B1673&gt;=1,B1673&lt;=6),"Tanque",IF(B1673=10,"Descarte",""))</f>
        <v/>
      </c>
    </row>
    <row r="1674" customFormat="false" ht="15" hidden="false" customHeight="false" outlineLevel="0" collapsed="false">
      <c r="A1674" s="22" t="n">
        <v>46309</v>
      </c>
      <c r="B1674" s="0" t="n">
        <v>7</v>
      </c>
      <c r="C1674" s="0" t="n">
        <v>5020</v>
      </c>
      <c r="D1674" s="0" t="n">
        <v>361</v>
      </c>
      <c r="E1674" s="0" t="n">
        <v>1</v>
      </c>
      <c r="F1674" s="23" t="s">
        <v>288</v>
      </c>
      <c r="I1674" s="23" t="s">
        <v>357</v>
      </c>
      <c r="J1674" s="0" t="n">
        <v>201</v>
      </c>
      <c r="K1674" s="0" t="n">
        <v>61</v>
      </c>
      <c r="L1674" s="0" t="n">
        <v>245</v>
      </c>
      <c r="M1674" s="0" t="n">
        <v>-357.93</v>
      </c>
      <c r="N1674" s="0" t="n">
        <v>70.81</v>
      </c>
      <c r="O1674" s="0" t="n">
        <v>14.63</v>
      </c>
      <c r="P1674" s="0" t="n">
        <v>5.36</v>
      </c>
      <c r="Q1674" s="0" t="n">
        <v>4.29</v>
      </c>
      <c r="R1674" s="0" t="n">
        <v>1797</v>
      </c>
      <c r="S1674" s="0" t="n">
        <v>4377</v>
      </c>
      <c r="T1674" s="0" t="n">
        <v>20.65</v>
      </c>
      <c r="U1674" s="0" t="n">
        <v>1110</v>
      </c>
      <c r="V1674" s="0" t="n">
        <v>4</v>
      </c>
      <c r="W1674" s="0" t="str">
        <f aca="false">IF(OR(AND(B1674&gt;=1,B1674&lt;=6),B1674=10),"Vaca em lactação",IF(I1674="Male","Macho",IF(E1674&gt;=1,"Vaca seca",IF(I1674="Youngstock","Bezerra/recria","Novilha"))))</f>
        <v>Vaca seca</v>
      </c>
      <c r="X1674" s="0" t="str">
        <f aca="false">IF(AND(B1674&gt;=1,B1674&lt;=6),"Tanque",IF(B1674=10,"Descarte",""))</f>
        <v/>
      </c>
    </row>
    <row r="1675" customFormat="false" ht="15" hidden="false" customHeight="false" outlineLevel="0" collapsed="false">
      <c r="A1675" s="22" t="n">
        <v>46309</v>
      </c>
      <c r="B1675" s="0" t="n">
        <v>7</v>
      </c>
      <c r="C1675" s="0" t="n">
        <v>5223</v>
      </c>
      <c r="D1675" s="0" t="n">
        <v>379</v>
      </c>
      <c r="E1675" s="0" t="n">
        <v>1</v>
      </c>
      <c r="F1675" s="23" t="s">
        <v>289</v>
      </c>
      <c r="I1675" s="23" t="s">
        <v>357</v>
      </c>
      <c r="J1675" s="0" t="n">
        <v>159</v>
      </c>
      <c r="K1675" s="0" t="n">
        <v>65</v>
      </c>
      <c r="L1675" s="0" t="n">
        <v>235</v>
      </c>
      <c r="M1675" s="0" t="n">
        <v>1089.95</v>
      </c>
      <c r="N1675" s="0" t="n">
        <v>33.95</v>
      </c>
      <c r="O1675" s="0" t="n">
        <v>37.61</v>
      </c>
      <c r="P1675" s="0" t="n">
        <v>3.87</v>
      </c>
      <c r="Q1675" s="0" t="n">
        <v>3.98</v>
      </c>
      <c r="R1675" s="0" t="n">
        <v>3820</v>
      </c>
      <c r="S1675" s="0" t="n">
        <v>9202</v>
      </c>
      <c r="T1675" s="0" t="n">
        <v>43.4</v>
      </c>
      <c r="U1675" s="0" t="n">
        <v>1009</v>
      </c>
      <c r="V1675" s="0" t="n">
        <v>4</v>
      </c>
      <c r="W1675" s="0" t="str">
        <f aca="false">IF(OR(AND(B1675&gt;=1,B1675&lt;=6),B1675=10),"Vaca em lactação",IF(I1675="Male","Macho",IF(E1675&gt;=1,"Vaca seca",IF(I1675="Youngstock","Bezerra/recria","Novilha"))))</f>
        <v>Vaca seca</v>
      </c>
      <c r="X1675" s="0" t="str">
        <f aca="false">IF(AND(B1675&gt;=1,B1675&lt;=6),"Tanque",IF(B1675=10,"Descarte",""))</f>
        <v/>
      </c>
    </row>
    <row r="1676" customFormat="false" ht="15" hidden="false" customHeight="false" outlineLevel="0" collapsed="false">
      <c r="A1676" s="22" t="n">
        <v>46309</v>
      </c>
      <c r="B1676" s="0" t="n">
        <v>7</v>
      </c>
      <c r="C1676" s="0" t="n">
        <v>5231</v>
      </c>
      <c r="D1676" s="0" t="n">
        <v>373</v>
      </c>
      <c r="E1676" s="0" t="n">
        <v>1</v>
      </c>
      <c r="F1676" s="23" t="s">
        <v>600</v>
      </c>
      <c r="I1676" s="23" t="s">
        <v>357</v>
      </c>
      <c r="J1676" s="0" t="n">
        <v>150</v>
      </c>
      <c r="K1676" s="0" t="n">
        <v>66</v>
      </c>
      <c r="L1676" s="0" t="n">
        <v>238</v>
      </c>
      <c r="M1676" s="0" t="n">
        <v>740.63</v>
      </c>
      <c r="N1676" s="0" t="n">
        <v>17.4</v>
      </c>
      <c r="O1676" s="0" t="n">
        <v>25.58</v>
      </c>
      <c r="P1676" s="0" t="n">
        <v>5.37</v>
      </c>
      <c r="Q1676" s="0" t="n">
        <v>3.71</v>
      </c>
      <c r="R1676" s="0" t="n">
        <v>3769</v>
      </c>
      <c r="S1676" s="0" t="n">
        <v>8287</v>
      </c>
      <c r="T1676" s="0" t="n">
        <v>46.7</v>
      </c>
      <c r="U1676" s="0" t="n">
        <v>1007</v>
      </c>
      <c r="V1676" s="0" t="n">
        <v>4</v>
      </c>
      <c r="W1676" s="0" t="str">
        <f aca="false">IF(OR(AND(B1676&gt;=1,B1676&lt;=6),B1676=10),"Vaca em lactação",IF(I1676="Male","Macho",IF(E1676&gt;=1,"Vaca seca",IF(I1676="Youngstock","Bezerra/recria","Novilha"))))</f>
        <v>Vaca seca</v>
      </c>
      <c r="X1676" s="0" t="str">
        <f aca="false">IF(AND(B1676&gt;=1,B1676&lt;=6),"Tanque",IF(B1676=10,"Descarte",""))</f>
        <v/>
      </c>
    </row>
    <row r="1677" customFormat="false" ht="15" hidden="false" customHeight="false" outlineLevel="0" collapsed="false">
      <c r="A1677" s="22" t="n">
        <v>46309</v>
      </c>
      <c r="B1677" s="0" t="n">
        <v>7</v>
      </c>
      <c r="C1677" s="0" t="n">
        <v>5207</v>
      </c>
      <c r="D1677" s="0" t="n">
        <v>312</v>
      </c>
      <c r="E1677" s="0" t="n">
        <v>1</v>
      </c>
      <c r="F1677" s="23" t="s">
        <v>292</v>
      </c>
      <c r="I1677" s="23" t="s">
        <v>357</v>
      </c>
      <c r="J1677" s="0" t="n">
        <v>89</v>
      </c>
      <c r="K1677" s="0" t="n">
        <v>68</v>
      </c>
      <c r="L1677" s="0" t="n">
        <v>252</v>
      </c>
      <c r="M1677" s="0" t="n">
        <v>825.53</v>
      </c>
      <c r="N1677" s="0" t="n">
        <v>47.92</v>
      </c>
      <c r="O1677" s="0" t="n">
        <v>33.67</v>
      </c>
      <c r="P1677" s="0" t="n">
        <v>2.93</v>
      </c>
      <c r="Q1677" s="0" t="n">
        <v>3.5</v>
      </c>
      <c r="R1677" s="0" t="n">
        <v>3965</v>
      </c>
      <c r="S1677" s="0" t="n">
        <v>8659</v>
      </c>
      <c r="T1677" s="0" t="n">
        <v>42.05</v>
      </c>
      <c r="U1677" s="0" t="n">
        <v>1018</v>
      </c>
      <c r="V1677" s="0" t="n">
        <v>2</v>
      </c>
      <c r="W1677" s="0" t="str">
        <f aca="false">IF(OR(AND(B1677&gt;=1,B1677&lt;=6),B1677=10),"Vaca em lactação",IF(I1677="Male","Macho",IF(E1677&gt;=1,"Vaca seca",IF(I1677="Youngstock","Bezerra/recria","Novilha"))))</f>
        <v>Vaca seca</v>
      </c>
      <c r="X1677" s="0" t="str">
        <f aca="false">IF(AND(B1677&gt;=1,B1677&lt;=6),"Tanque",IF(B1677=10,"Descarte",""))</f>
        <v/>
      </c>
    </row>
    <row r="1678" customFormat="false" ht="15" hidden="false" customHeight="false" outlineLevel="0" collapsed="false">
      <c r="A1678" s="22" t="n">
        <v>46309</v>
      </c>
      <c r="B1678" s="0" t="n">
        <v>7</v>
      </c>
      <c r="C1678" s="0" t="n">
        <v>5212</v>
      </c>
      <c r="D1678" s="0" t="n">
        <v>328</v>
      </c>
      <c r="E1678" s="0" t="n">
        <v>1</v>
      </c>
      <c r="F1678" s="23" t="s">
        <v>471</v>
      </c>
      <c r="I1678" s="23" t="s">
        <v>357</v>
      </c>
      <c r="J1678" s="0" t="n">
        <v>105</v>
      </c>
      <c r="K1678" s="0" t="n">
        <v>70</v>
      </c>
      <c r="L1678" s="0" t="n">
        <v>231</v>
      </c>
      <c r="M1678" s="0" t="n">
        <v>575.16</v>
      </c>
      <c r="N1678" s="0" t="n">
        <v>44.23</v>
      </c>
      <c r="O1678" s="0" t="n">
        <v>26.67</v>
      </c>
      <c r="P1678" s="0" t="n">
        <v>3.69</v>
      </c>
      <c r="Q1678" s="0" t="n">
        <v>3.71</v>
      </c>
      <c r="R1678" s="0" t="n">
        <v>4649</v>
      </c>
      <c r="S1678" s="0" t="n">
        <v>9863</v>
      </c>
      <c r="T1678" s="0" t="n">
        <v>46.05</v>
      </c>
      <c r="U1678" s="0" t="n">
        <v>1015</v>
      </c>
      <c r="V1678" s="0" t="n">
        <v>2</v>
      </c>
      <c r="W1678" s="0" t="str">
        <f aca="false">IF(OR(AND(B1678&gt;=1,B1678&lt;=6),B1678=10),"Vaca em lactação",IF(I1678="Male","Macho",IF(E1678&gt;=1,"Vaca seca",IF(I1678="Youngstock","Bezerra/recria","Novilha"))))</f>
        <v>Vaca seca</v>
      </c>
      <c r="X1678" s="0" t="str">
        <f aca="false">IF(AND(B1678&gt;=1,B1678&lt;=6),"Tanque",IF(B1678=10,"Descarte",""))</f>
        <v/>
      </c>
    </row>
    <row r="1679" customFormat="false" ht="15" hidden="false" customHeight="false" outlineLevel="0" collapsed="false">
      <c r="A1679" s="22" t="n">
        <v>46309</v>
      </c>
      <c r="B1679" s="0" t="n">
        <v>7</v>
      </c>
      <c r="C1679" s="0" t="n">
        <v>5218</v>
      </c>
      <c r="D1679" s="0" t="n">
        <v>311</v>
      </c>
      <c r="E1679" s="0" t="n">
        <v>1</v>
      </c>
      <c r="F1679" s="23" t="s">
        <v>1005</v>
      </c>
      <c r="I1679" s="23" t="s">
        <v>357</v>
      </c>
      <c r="J1679" s="0" t="n">
        <v>86</v>
      </c>
      <c r="K1679" s="0" t="n">
        <v>67</v>
      </c>
      <c r="L1679" s="0" t="n">
        <v>240</v>
      </c>
      <c r="M1679" s="0" t="n">
        <v>528.84</v>
      </c>
      <c r="N1679" s="0" t="n">
        <v>54.35</v>
      </c>
      <c r="O1679" s="0" t="n">
        <v>31.42</v>
      </c>
      <c r="P1679" s="0" t="n">
        <v>5.07</v>
      </c>
      <c r="Q1679" s="0" t="n">
        <v>3.88</v>
      </c>
      <c r="R1679" s="0" t="n">
        <v>4218</v>
      </c>
      <c r="S1679" s="0" t="n">
        <v>8427</v>
      </c>
      <c r="T1679" s="0" t="n">
        <v>44</v>
      </c>
      <c r="U1679" s="0" t="n">
        <v>1013</v>
      </c>
      <c r="V1679" s="0" t="n">
        <v>2</v>
      </c>
      <c r="W1679" s="0" t="str">
        <f aca="false">IF(OR(AND(B1679&gt;=1,B1679&lt;=6),B1679=10),"Vaca em lactação",IF(I1679="Male","Macho",IF(E1679&gt;=1,"Vaca seca",IF(I1679="Youngstock","Bezerra/recria","Novilha"))))</f>
        <v>Vaca seca</v>
      </c>
      <c r="X1679" s="0" t="str">
        <f aca="false">IF(AND(B1679&gt;=1,B1679&lt;=6),"Tanque",IF(B1679=10,"Descarte",""))</f>
        <v/>
      </c>
    </row>
    <row r="1680" customFormat="false" ht="15" hidden="false" customHeight="false" outlineLevel="0" collapsed="false">
      <c r="A1680" s="22" t="n">
        <v>46309</v>
      </c>
      <c r="B1680" s="0" t="n">
        <v>7</v>
      </c>
      <c r="C1680" s="0" t="n">
        <v>5216</v>
      </c>
      <c r="D1680" s="0" t="n">
        <v>351</v>
      </c>
      <c r="E1680" s="0" t="n">
        <v>1</v>
      </c>
      <c r="F1680" s="23" t="s">
        <v>294</v>
      </c>
      <c r="G1680" s="0" t="n">
        <v>34</v>
      </c>
      <c r="H1680" s="0" t="n">
        <v>36</v>
      </c>
      <c r="I1680" s="23" t="s">
        <v>357</v>
      </c>
      <c r="J1680" s="0" t="n">
        <v>126</v>
      </c>
      <c r="K1680" s="0" t="n">
        <v>66</v>
      </c>
      <c r="L1680" s="0" t="n">
        <v>226</v>
      </c>
      <c r="M1680" s="0" t="n">
        <v>52.11</v>
      </c>
      <c r="N1680" s="0" t="n">
        <v>39.62</v>
      </c>
      <c r="O1680" s="0" t="n">
        <v>18.14</v>
      </c>
      <c r="P1680" s="0" t="n">
        <v>3.69</v>
      </c>
      <c r="Q1680" s="0" t="n">
        <v>3.58</v>
      </c>
      <c r="R1680" s="0" t="n">
        <v>4176</v>
      </c>
      <c r="S1680" s="0" t="n">
        <v>9217</v>
      </c>
      <c r="T1680" s="0" t="n">
        <v>43.9</v>
      </c>
      <c r="U1680" s="0" t="n">
        <v>1014</v>
      </c>
      <c r="V1680" s="0" t="n">
        <v>3</v>
      </c>
      <c r="W1680" s="0" t="str">
        <f aca="false">IF(OR(AND(B1680&gt;=1,B1680&lt;=6),B1680=10),"Vaca em lactação",IF(I1680="Male","Macho",IF(E1680&gt;=1,"Vaca seca",IF(I1680="Youngstock","Bezerra/recria","Novilha"))))</f>
        <v>Vaca seca</v>
      </c>
      <c r="X1680" s="0" t="str">
        <f aca="false">IF(AND(B1680&gt;=1,B1680&lt;=6),"Tanque",IF(B1680=10,"Descarte",""))</f>
        <v/>
      </c>
    </row>
    <row r="1681" customFormat="false" ht="15" hidden="false" customHeight="false" outlineLevel="0" collapsed="false">
      <c r="A1681" s="22" t="n">
        <v>46309</v>
      </c>
      <c r="B1681" s="0" t="n">
        <v>7</v>
      </c>
      <c r="C1681" s="0" t="n">
        <v>5215</v>
      </c>
      <c r="D1681" s="0" t="n">
        <v>288</v>
      </c>
      <c r="E1681" s="0" t="n">
        <v>1</v>
      </c>
      <c r="F1681" s="23" t="s">
        <v>294</v>
      </c>
      <c r="G1681" s="0" t="n">
        <v>9.3</v>
      </c>
      <c r="H1681" s="0" t="n">
        <v>31</v>
      </c>
      <c r="I1681" s="23" t="s">
        <v>357</v>
      </c>
      <c r="J1681" s="0" t="n">
        <v>65</v>
      </c>
      <c r="K1681" s="0" t="n">
        <v>65</v>
      </c>
      <c r="L1681" s="0" t="n">
        <v>224</v>
      </c>
      <c r="M1681" s="0" t="n">
        <v>378.71</v>
      </c>
      <c r="N1681" s="0" t="n">
        <v>81.66</v>
      </c>
      <c r="O1681" s="0" t="n">
        <v>35.42</v>
      </c>
      <c r="P1681" s="0" t="n">
        <v>4.46</v>
      </c>
      <c r="Q1681" s="0" t="n">
        <v>3.94</v>
      </c>
      <c r="R1681" s="0" t="n">
        <v>4155</v>
      </c>
      <c r="S1681" s="0" t="n">
        <v>9225</v>
      </c>
      <c r="T1681" s="0" t="n">
        <v>42.7</v>
      </c>
      <c r="U1681" s="0" t="n">
        <v>1014</v>
      </c>
      <c r="V1681" s="0" t="n">
        <v>1</v>
      </c>
      <c r="W1681" s="0" t="str">
        <f aca="false">IF(OR(AND(B1681&gt;=1,B1681&lt;=6),B1681=10),"Vaca em lactação",IF(I1681="Male","Macho",IF(E1681&gt;=1,"Vaca seca",IF(I1681="Youngstock","Bezerra/recria","Novilha"))))</f>
        <v>Vaca seca</v>
      </c>
      <c r="X1681" s="0" t="str">
        <f aca="false">IF(AND(B1681&gt;=1,B1681&lt;=6),"Tanque",IF(B1681=10,"Descarte",""))</f>
        <v/>
      </c>
    </row>
    <row r="1682" customFormat="false" ht="15" hidden="false" customHeight="false" outlineLevel="0" collapsed="false">
      <c r="A1682" s="22" t="n">
        <v>46309</v>
      </c>
      <c r="B1682" s="0" t="n">
        <v>7</v>
      </c>
      <c r="C1682" s="0" t="n">
        <v>5267</v>
      </c>
      <c r="D1682" s="0" t="n">
        <v>288</v>
      </c>
      <c r="E1682" s="0" t="n">
        <v>1</v>
      </c>
      <c r="F1682" s="23" t="s">
        <v>1006</v>
      </c>
      <c r="I1682" s="23" t="s">
        <v>357</v>
      </c>
      <c r="J1682" s="0" t="n">
        <v>65</v>
      </c>
      <c r="K1682" s="0" t="n">
        <v>65</v>
      </c>
      <c r="L1682" s="0" t="n">
        <v>231</v>
      </c>
      <c r="M1682" s="0" t="n">
        <v>309.98</v>
      </c>
      <c r="N1682" s="0" t="n">
        <v>70.92</v>
      </c>
      <c r="O1682" s="0" t="n">
        <v>25.65</v>
      </c>
      <c r="P1682" s="0" t="n">
        <v>4.86</v>
      </c>
      <c r="Q1682" s="0" t="n">
        <v>3.76</v>
      </c>
      <c r="R1682" s="0" t="n">
        <v>4405</v>
      </c>
      <c r="S1682" s="0" t="n">
        <v>9520</v>
      </c>
      <c r="T1682" s="0" t="n">
        <v>46.7</v>
      </c>
      <c r="U1682" s="0" t="n">
        <v>991</v>
      </c>
      <c r="V1682" s="0" t="n">
        <v>1</v>
      </c>
      <c r="W1682" s="0" t="str">
        <f aca="false">IF(OR(AND(B1682&gt;=1,B1682&lt;=6),B1682=10),"Vaca em lactação",IF(I1682="Male","Macho",IF(E1682&gt;=1,"Vaca seca",IF(I1682="Youngstock","Bezerra/recria","Novilha"))))</f>
        <v>Vaca seca</v>
      </c>
      <c r="X1682" s="0" t="str">
        <f aca="false">IF(AND(B1682&gt;=1,B1682&lt;=6),"Tanque",IF(B1682=10,"Descarte",""))</f>
        <v/>
      </c>
    </row>
    <row r="1683" customFormat="false" ht="15" hidden="false" customHeight="false" outlineLevel="0" collapsed="false">
      <c r="A1683" s="22" t="n">
        <v>46309</v>
      </c>
      <c r="B1683" s="0" t="n">
        <v>7</v>
      </c>
      <c r="C1683" s="0" t="n">
        <v>5276</v>
      </c>
      <c r="D1683" s="0" t="n">
        <v>330</v>
      </c>
      <c r="E1683" s="0" t="n">
        <v>1</v>
      </c>
      <c r="F1683" s="23" t="s">
        <v>602</v>
      </c>
      <c r="I1683" s="23" t="s">
        <v>357</v>
      </c>
      <c r="J1683" s="0" t="n">
        <v>100</v>
      </c>
      <c r="K1683" s="0" t="n">
        <v>66</v>
      </c>
      <c r="L1683" s="0" t="n">
        <v>245</v>
      </c>
      <c r="M1683" s="0" t="n">
        <v>390.79</v>
      </c>
      <c r="N1683" s="0" t="n">
        <v>64.27</v>
      </c>
      <c r="O1683" s="0" t="n">
        <v>22</v>
      </c>
      <c r="P1683" s="0" t="n">
        <v>4.35</v>
      </c>
      <c r="Q1683" s="0" t="n">
        <v>3.33</v>
      </c>
      <c r="R1683" s="0" t="n">
        <v>4152</v>
      </c>
      <c r="S1683" s="0" t="n">
        <v>9816</v>
      </c>
      <c r="T1683" s="0" t="n">
        <v>45.95</v>
      </c>
      <c r="U1683" s="0" t="n">
        <v>987</v>
      </c>
      <c r="V1683" s="0" t="n">
        <v>2</v>
      </c>
      <c r="W1683" s="0" t="str">
        <f aca="false">IF(OR(AND(B1683&gt;=1,B1683&lt;=6),B1683=10),"Vaca em lactação",IF(I1683="Male","Macho",IF(E1683&gt;=1,"Vaca seca",IF(I1683="Youngstock","Bezerra/recria","Novilha"))))</f>
        <v>Vaca seca</v>
      </c>
      <c r="X1683" s="0" t="str">
        <f aca="false">IF(AND(B1683&gt;=1,B1683&lt;=6),"Tanque",IF(B1683=10,"Descarte",""))</f>
        <v/>
      </c>
    </row>
    <row r="1684" customFormat="false" ht="15" hidden="false" customHeight="false" outlineLevel="0" collapsed="false">
      <c r="A1684" s="22" t="n">
        <v>46309</v>
      </c>
      <c r="B1684" s="0" t="n">
        <v>7</v>
      </c>
      <c r="C1684" s="0" t="n">
        <v>5272</v>
      </c>
      <c r="D1684" s="0" t="n">
        <v>323</v>
      </c>
      <c r="E1684" s="0" t="n">
        <v>1</v>
      </c>
      <c r="F1684" s="23" t="s">
        <v>602</v>
      </c>
      <c r="G1684" s="0" t="n">
        <v>11.8</v>
      </c>
      <c r="H1684" s="0" t="n">
        <v>33</v>
      </c>
      <c r="I1684" s="23" t="s">
        <v>357</v>
      </c>
      <c r="J1684" s="0" t="n">
        <v>100</v>
      </c>
      <c r="K1684" s="0" t="n">
        <v>65</v>
      </c>
      <c r="L1684" s="0" t="n">
        <v>224</v>
      </c>
      <c r="M1684" s="0" t="n">
        <v>1028.17</v>
      </c>
      <c r="N1684" s="0" t="n">
        <v>44.7</v>
      </c>
      <c r="O1684" s="0" t="n">
        <v>34.02</v>
      </c>
      <c r="P1684" s="0" t="n">
        <v>3.77</v>
      </c>
      <c r="Q1684" s="0" t="n">
        <v>3.61</v>
      </c>
      <c r="R1684" s="0" t="n">
        <v>4485</v>
      </c>
      <c r="S1684" s="0" t="n">
        <v>9561</v>
      </c>
      <c r="T1684" s="0" t="n">
        <v>45.95</v>
      </c>
      <c r="U1684" s="0" t="n">
        <v>987</v>
      </c>
      <c r="V1684" s="0" t="n">
        <v>2</v>
      </c>
      <c r="W1684" s="0" t="str">
        <f aca="false">IF(OR(AND(B1684&gt;=1,B1684&lt;=6),B1684=10),"Vaca em lactação",IF(I1684="Male","Macho",IF(E1684&gt;=1,"Vaca seca",IF(I1684="Youngstock","Bezerra/recria","Novilha"))))</f>
        <v>Vaca seca</v>
      </c>
      <c r="X1684" s="0" t="str">
        <f aca="false">IF(AND(B1684&gt;=1,B1684&lt;=6),"Tanque",IF(B1684=10,"Descarte",""))</f>
        <v/>
      </c>
    </row>
    <row r="1685" customFormat="false" ht="15" hidden="false" customHeight="false" outlineLevel="0" collapsed="false">
      <c r="A1685" s="22" t="n">
        <v>46309</v>
      </c>
      <c r="B1685" s="0" t="n">
        <v>7</v>
      </c>
      <c r="C1685" s="0" t="n">
        <v>5279</v>
      </c>
      <c r="D1685" s="0" t="n">
        <v>316</v>
      </c>
      <c r="E1685" s="0" t="n">
        <v>1</v>
      </c>
      <c r="F1685" s="23" t="s">
        <v>1007</v>
      </c>
      <c r="I1685" s="23" t="s">
        <v>357</v>
      </c>
      <c r="J1685" s="0" t="n">
        <v>93</v>
      </c>
      <c r="K1685" s="0" t="n">
        <v>72</v>
      </c>
      <c r="L1685" s="0" t="n">
        <v>252</v>
      </c>
      <c r="M1685" s="0" t="n">
        <v>569.22</v>
      </c>
      <c r="N1685" s="0" t="n">
        <v>73.86</v>
      </c>
      <c r="O1685" s="0" t="n">
        <v>37.57</v>
      </c>
      <c r="P1685" s="0" t="n">
        <v>4.97</v>
      </c>
      <c r="Q1685" s="0" t="n">
        <v>3.87</v>
      </c>
      <c r="R1685" s="0" t="n">
        <v>3402</v>
      </c>
      <c r="S1685" s="0" t="n">
        <v>8013</v>
      </c>
      <c r="T1685" s="0" t="n">
        <v>37.5</v>
      </c>
      <c r="U1685" s="0" t="n">
        <v>985</v>
      </c>
      <c r="V1685" s="0" t="n">
        <v>2</v>
      </c>
      <c r="W1685" s="0" t="str">
        <f aca="false">IF(OR(AND(B1685&gt;=1,B1685&lt;=6),B1685=10),"Vaca em lactação",IF(I1685="Male","Macho",IF(E1685&gt;=1,"Vaca seca",IF(I1685="Youngstock","Bezerra/recria","Novilha"))))</f>
        <v>Vaca seca</v>
      </c>
      <c r="X1685" s="0" t="str">
        <f aca="false">IF(AND(B1685&gt;=1,B1685&lt;=6),"Tanque",IF(B1685=10,"Descarte",""))</f>
        <v/>
      </c>
    </row>
    <row r="1686" customFormat="false" ht="15" hidden="false" customHeight="false" outlineLevel="0" collapsed="false">
      <c r="A1686" s="22" t="n">
        <v>46309</v>
      </c>
      <c r="B1686" s="0" t="n">
        <v>7</v>
      </c>
      <c r="C1686" s="0" t="n">
        <v>5261</v>
      </c>
      <c r="D1686" s="0" t="n">
        <v>357</v>
      </c>
      <c r="E1686" s="0" t="n">
        <v>1</v>
      </c>
      <c r="F1686" s="23" t="s">
        <v>601</v>
      </c>
      <c r="G1686" s="0" t="n">
        <v>12.2</v>
      </c>
      <c r="H1686" s="0" t="n">
        <v>34</v>
      </c>
      <c r="I1686" s="23" t="s">
        <v>357</v>
      </c>
      <c r="J1686" s="0" t="n">
        <v>134</v>
      </c>
      <c r="K1686" s="0" t="n">
        <v>65</v>
      </c>
      <c r="L1686" s="0" t="n">
        <v>224</v>
      </c>
      <c r="M1686" s="0" t="n">
        <v>463.51</v>
      </c>
      <c r="N1686" s="0" t="n">
        <v>56.41</v>
      </c>
      <c r="O1686" s="0" t="n">
        <v>26.82</v>
      </c>
      <c r="P1686" s="0" t="n">
        <v>3.27</v>
      </c>
      <c r="Q1686" s="0" t="n">
        <v>3.8</v>
      </c>
      <c r="R1686" s="0" t="n">
        <v>3841</v>
      </c>
      <c r="S1686" s="0" t="n">
        <v>8402</v>
      </c>
      <c r="T1686" s="0" t="n">
        <v>42.85</v>
      </c>
      <c r="U1686" s="0" t="n">
        <v>993</v>
      </c>
      <c r="V1686" s="0" t="n">
        <v>2</v>
      </c>
      <c r="W1686" s="0" t="str">
        <f aca="false">IF(OR(AND(B1686&gt;=1,B1686&lt;=6),B1686=10),"Vaca em lactação",IF(I1686="Male","Macho",IF(E1686&gt;=1,"Vaca seca",IF(I1686="Youngstock","Bezerra/recria","Novilha"))))</f>
        <v>Vaca seca</v>
      </c>
      <c r="X1686" s="0" t="str">
        <f aca="false">IF(AND(B1686&gt;=1,B1686&lt;=6),"Tanque",IF(B1686=10,"Descarte",""))</f>
        <v/>
      </c>
    </row>
    <row r="1687" customFormat="false" ht="15" hidden="false" customHeight="false" outlineLevel="0" collapsed="false">
      <c r="A1687" s="22" t="n">
        <v>46309</v>
      </c>
      <c r="B1687" s="0" t="n">
        <v>7</v>
      </c>
      <c r="C1687" s="0" t="n">
        <v>5152</v>
      </c>
      <c r="D1687" s="0" t="n">
        <v>384</v>
      </c>
      <c r="E1687" s="0" t="n">
        <v>1</v>
      </c>
      <c r="F1687" s="23" t="s">
        <v>472</v>
      </c>
      <c r="I1687" s="23" t="s">
        <v>357</v>
      </c>
      <c r="J1687" s="0" t="n">
        <v>160</v>
      </c>
      <c r="K1687" s="0" t="n">
        <v>62</v>
      </c>
      <c r="L1687" s="0" t="n">
        <v>252</v>
      </c>
      <c r="M1687" s="0" t="n">
        <v>670.12</v>
      </c>
      <c r="N1687" s="0" t="n">
        <v>48.35</v>
      </c>
      <c r="O1687" s="0" t="n">
        <v>21.25</v>
      </c>
      <c r="P1687" s="0" t="n">
        <v>4.83</v>
      </c>
      <c r="Q1687" s="0" t="n">
        <v>3.49</v>
      </c>
      <c r="R1687" s="0" t="n">
        <v>5043</v>
      </c>
      <c r="S1687" s="0" t="n">
        <v>10064</v>
      </c>
      <c r="T1687" s="0" t="n">
        <v>56.3</v>
      </c>
      <c r="U1687" s="0" t="n">
        <v>1045</v>
      </c>
      <c r="V1687" s="0" t="n">
        <v>4</v>
      </c>
      <c r="W1687" s="0" t="str">
        <f aca="false">IF(OR(AND(B1687&gt;=1,B1687&lt;=6),B1687=10),"Vaca em lactação",IF(I1687="Male","Macho",IF(E1687&gt;=1,"Vaca seca",IF(I1687="Youngstock","Bezerra/recria","Novilha"))))</f>
        <v>Vaca seca</v>
      </c>
      <c r="X1687" s="0" t="str">
        <f aca="false">IF(AND(B1687&gt;=1,B1687&lt;=6),"Tanque",IF(B1687=10,"Descarte",""))</f>
        <v/>
      </c>
    </row>
    <row r="1688" customFormat="false" ht="15" hidden="false" customHeight="false" outlineLevel="0" collapsed="false">
      <c r="A1688" s="22" t="n">
        <v>46309</v>
      </c>
      <c r="B1688" s="0" t="n">
        <v>7</v>
      </c>
      <c r="C1688" s="0" t="n">
        <v>5150</v>
      </c>
      <c r="D1688" s="0" t="n">
        <v>291</v>
      </c>
      <c r="E1688" s="0" t="n">
        <v>1</v>
      </c>
      <c r="F1688" s="23" t="s">
        <v>472</v>
      </c>
      <c r="I1688" s="23" t="s">
        <v>357</v>
      </c>
      <c r="J1688" s="0" t="n">
        <v>68</v>
      </c>
      <c r="K1688" s="0" t="n">
        <v>68</v>
      </c>
      <c r="L1688" s="0" t="n">
        <v>238</v>
      </c>
      <c r="M1688" s="0" t="n">
        <v>260.29</v>
      </c>
      <c r="N1688" s="0" t="n">
        <v>52.57</v>
      </c>
      <c r="O1688" s="0" t="n">
        <v>11.85</v>
      </c>
      <c r="P1688" s="0" t="n">
        <v>3.76</v>
      </c>
      <c r="Q1688" s="0" t="n">
        <v>3.29</v>
      </c>
      <c r="R1688" s="0" t="n">
        <v>3868</v>
      </c>
      <c r="S1688" s="0" t="n">
        <v>8904</v>
      </c>
      <c r="T1688" s="0" t="n">
        <v>40.55</v>
      </c>
      <c r="U1688" s="0" t="n">
        <v>1045</v>
      </c>
      <c r="V1688" s="0" t="n">
        <v>1</v>
      </c>
      <c r="W1688" s="0" t="str">
        <f aca="false">IF(OR(AND(B1688&gt;=1,B1688&lt;=6),B1688=10),"Vaca em lactação",IF(I1688="Male","Macho",IF(E1688&gt;=1,"Vaca seca",IF(I1688="Youngstock","Bezerra/recria","Novilha"))))</f>
        <v>Vaca seca</v>
      </c>
      <c r="X1688" s="0" t="str">
        <f aca="false">IF(AND(B1688&gt;=1,B1688&lt;=6),"Tanque",IF(B1688=10,"Descarte",""))</f>
        <v/>
      </c>
    </row>
    <row r="1689" customFormat="false" ht="15" hidden="false" customHeight="false" outlineLevel="0" collapsed="false">
      <c r="A1689" s="22" t="n">
        <v>46309</v>
      </c>
      <c r="B1689" s="0" t="n">
        <v>7</v>
      </c>
      <c r="C1689" s="0" t="n">
        <v>5163</v>
      </c>
      <c r="D1689" s="0" t="n">
        <v>405</v>
      </c>
      <c r="E1689" s="0" t="n">
        <v>1</v>
      </c>
      <c r="F1689" s="23" t="s">
        <v>608</v>
      </c>
      <c r="I1689" s="23" t="s">
        <v>357</v>
      </c>
      <c r="J1689" s="0" t="n">
        <v>182</v>
      </c>
      <c r="K1689" s="0" t="n">
        <v>63</v>
      </c>
      <c r="L1689" s="0" t="n">
        <v>231</v>
      </c>
      <c r="M1689" s="0" t="n">
        <v>27.45</v>
      </c>
      <c r="N1689" s="0" t="n">
        <v>78.14</v>
      </c>
      <c r="O1689" s="0" t="n">
        <v>25.41</v>
      </c>
      <c r="P1689" s="0" t="n">
        <v>5.64</v>
      </c>
      <c r="Q1689" s="0" t="n">
        <v>4.23</v>
      </c>
      <c r="R1689" s="0" t="n">
        <v>3246</v>
      </c>
      <c r="S1689" s="0" t="n">
        <v>6379</v>
      </c>
      <c r="T1689" s="0" t="n">
        <v>36.85</v>
      </c>
      <c r="U1689" s="0" t="n">
        <v>1041</v>
      </c>
      <c r="V1689" s="0" t="n">
        <v>4</v>
      </c>
      <c r="W1689" s="0" t="str">
        <f aca="false">IF(OR(AND(B1689&gt;=1,B1689&lt;=6),B1689=10),"Vaca em lactação",IF(I1689="Male","Macho",IF(E1689&gt;=1,"Vaca seca",IF(I1689="Youngstock","Bezerra/recria","Novilha"))))</f>
        <v>Vaca seca</v>
      </c>
      <c r="X1689" s="0" t="str">
        <f aca="false">IF(AND(B1689&gt;=1,B1689&lt;=6),"Tanque",IF(B1689=10,"Descarte",""))</f>
        <v/>
      </c>
    </row>
    <row r="1690" customFormat="false" ht="15" hidden="false" customHeight="false" outlineLevel="0" collapsed="false">
      <c r="A1690" s="22" t="n">
        <v>46309</v>
      </c>
      <c r="B1690" s="0" t="n">
        <v>7</v>
      </c>
      <c r="C1690" s="0" t="n">
        <v>5158</v>
      </c>
      <c r="D1690" s="0" t="n">
        <v>321</v>
      </c>
      <c r="E1690" s="0" t="n">
        <v>1</v>
      </c>
      <c r="F1690" s="23" t="s">
        <v>806</v>
      </c>
      <c r="I1690" s="23" t="s">
        <v>357</v>
      </c>
      <c r="J1690" s="0" t="n">
        <v>96</v>
      </c>
      <c r="K1690" s="0" t="n">
        <v>77</v>
      </c>
      <c r="L1690" s="0" t="n">
        <v>240</v>
      </c>
      <c r="M1690" s="0" t="n">
        <v>1446.4</v>
      </c>
      <c r="N1690" s="0" t="n">
        <v>71.69</v>
      </c>
      <c r="O1690" s="0" t="n">
        <v>56.7</v>
      </c>
      <c r="P1690" s="0" t="n">
        <v>3.97</v>
      </c>
      <c r="Q1690" s="0" t="n">
        <v>4.25</v>
      </c>
      <c r="R1690" s="0" t="n">
        <v>4791</v>
      </c>
      <c r="S1690" s="0" t="n">
        <v>10391</v>
      </c>
      <c r="T1690" s="0" t="n">
        <v>51.35</v>
      </c>
      <c r="U1690" s="0" t="n">
        <v>1043</v>
      </c>
      <c r="V1690" s="0" t="n">
        <v>2</v>
      </c>
      <c r="W1690" s="0" t="str">
        <f aca="false">IF(OR(AND(B1690&gt;=1,B1690&lt;=6),B1690=10),"Vaca em lactação",IF(I1690="Male","Macho",IF(E1690&gt;=1,"Vaca seca",IF(I1690="Youngstock","Bezerra/recria","Novilha"))))</f>
        <v>Vaca seca</v>
      </c>
      <c r="X1690" s="0" t="str">
        <f aca="false">IF(AND(B1690&gt;=1,B1690&lt;=6),"Tanque",IF(B1690=10,"Descarte",""))</f>
        <v/>
      </c>
    </row>
    <row r="1691" customFormat="false" ht="15" hidden="false" customHeight="false" outlineLevel="0" collapsed="false">
      <c r="A1691" s="22" t="n">
        <v>46309</v>
      </c>
      <c r="B1691" s="0" t="n">
        <v>7</v>
      </c>
      <c r="C1691" s="0" t="n">
        <v>5127</v>
      </c>
      <c r="D1691" s="0" t="n">
        <v>345</v>
      </c>
      <c r="E1691" s="0" t="n">
        <v>1</v>
      </c>
      <c r="F1691" s="23" t="s">
        <v>593</v>
      </c>
      <c r="I1691" s="23" t="s">
        <v>357</v>
      </c>
      <c r="J1691" s="0" t="n">
        <v>122</v>
      </c>
      <c r="K1691" s="0" t="n">
        <v>67</v>
      </c>
      <c r="L1691" s="0" t="n">
        <v>231</v>
      </c>
      <c r="M1691" s="0" t="n">
        <v>1397.44</v>
      </c>
      <c r="N1691" s="0" t="n">
        <v>44.11</v>
      </c>
      <c r="O1691" s="0" t="n">
        <v>43.81</v>
      </c>
      <c r="P1691" s="0" t="n">
        <v>3.31</v>
      </c>
      <c r="Q1691" s="0" t="n">
        <v>3.47</v>
      </c>
      <c r="R1691" s="0" t="n">
        <v>4925</v>
      </c>
      <c r="S1691" s="0" t="n">
        <v>10680</v>
      </c>
      <c r="T1691" s="0" t="n">
        <v>53.1</v>
      </c>
      <c r="U1691" s="0" t="n">
        <v>1055</v>
      </c>
      <c r="V1691" s="0" t="n">
        <v>2</v>
      </c>
      <c r="W1691" s="0" t="str">
        <f aca="false">IF(OR(AND(B1691&gt;=1,B1691&lt;=6),B1691=10),"Vaca em lactação",IF(I1691="Male","Macho",IF(E1691&gt;=1,"Vaca seca",IF(I1691="Youngstock","Bezerra/recria","Novilha"))))</f>
        <v>Vaca seca</v>
      </c>
      <c r="X1691" s="0" t="str">
        <f aca="false">IF(AND(B1691&gt;=1,B1691&lt;=6),"Tanque",IF(B1691=10,"Descarte",""))</f>
        <v/>
      </c>
    </row>
    <row r="1692" customFormat="false" ht="15" hidden="false" customHeight="false" outlineLevel="0" collapsed="false">
      <c r="A1692" s="22" t="n">
        <v>46309</v>
      </c>
      <c r="B1692" s="0" t="n">
        <v>7</v>
      </c>
      <c r="C1692" s="0" t="n">
        <v>5147</v>
      </c>
      <c r="D1692" s="0" t="n">
        <v>219</v>
      </c>
      <c r="E1692" s="0" t="n">
        <v>1</v>
      </c>
      <c r="F1692" s="23" t="s">
        <v>949</v>
      </c>
      <c r="I1692" s="23" t="s">
        <v>357</v>
      </c>
      <c r="J1692" s="0" t="n">
        <v>100</v>
      </c>
      <c r="K1692" s="0" t="n">
        <v>65</v>
      </c>
      <c r="L1692" s="0" t="n">
        <v>238</v>
      </c>
      <c r="M1692" s="0" t="n">
        <v>505.23</v>
      </c>
      <c r="N1692" s="0" t="n">
        <v>62.26</v>
      </c>
      <c r="O1692" s="0" t="n">
        <v>32.69</v>
      </c>
      <c r="P1692" s="0" t="n">
        <v>4.53</v>
      </c>
      <c r="Q1692" s="0" t="n">
        <v>3.67</v>
      </c>
      <c r="R1692" s="0" t="n">
        <v>4025</v>
      </c>
      <c r="S1692" s="0" t="n">
        <v>8247</v>
      </c>
      <c r="T1692" s="0" t="n">
        <v>41.4</v>
      </c>
      <c r="U1692" s="0" t="n">
        <v>1047</v>
      </c>
      <c r="V1692" s="0" t="n">
        <v>2</v>
      </c>
      <c r="W1692" s="0" t="str">
        <f aca="false">IF(OR(AND(B1692&gt;=1,B1692&lt;=6),B1692=10),"Vaca em lactação",IF(I1692="Male","Macho",IF(E1692&gt;=1,"Vaca seca",IF(I1692="Youngstock","Bezerra/recria","Novilha"))))</f>
        <v>Vaca seca</v>
      </c>
      <c r="X1692" s="0" t="str">
        <f aca="false">IF(AND(B1692&gt;=1,B1692&lt;=6),"Tanque",IF(B1692=10,"Descarte",""))</f>
        <v/>
      </c>
    </row>
    <row r="1693" customFormat="false" ht="15" hidden="false" customHeight="false" outlineLevel="0" collapsed="false">
      <c r="A1693" s="22" t="n">
        <v>46309</v>
      </c>
      <c r="B1693" s="0" t="n">
        <v>7</v>
      </c>
      <c r="C1693" s="0" t="n">
        <v>5194</v>
      </c>
      <c r="D1693" s="0" t="n">
        <v>335</v>
      </c>
      <c r="E1693" s="0" t="n">
        <v>1</v>
      </c>
      <c r="F1693" s="23" t="s">
        <v>610</v>
      </c>
      <c r="I1693" s="23" t="s">
        <v>357</v>
      </c>
      <c r="J1693" s="0" t="n">
        <v>113</v>
      </c>
      <c r="K1693" s="0" t="n">
        <v>64</v>
      </c>
      <c r="L1693" s="0" t="n">
        <v>251</v>
      </c>
      <c r="M1693" s="0" t="n">
        <v>15.03</v>
      </c>
      <c r="N1693" s="0" t="n">
        <v>72.86</v>
      </c>
      <c r="O1693" s="0" t="n">
        <v>31.54</v>
      </c>
      <c r="P1693" s="0" t="n">
        <v>7.55</v>
      </c>
      <c r="Q1693" s="0" t="n">
        <v>4.31</v>
      </c>
      <c r="R1693" s="0" t="n">
        <v>3528</v>
      </c>
      <c r="S1693" s="0" t="n">
        <v>6554</v>
      </c>
      <c r="T1693" s="0" t="n">
        <v>35.7</v>
      </c>
      <c r="U1693" s="0" t="n">
        <v>1028</v>
      </c>
      <c r="V1693" s="0" t="n">
        <v>3</v>
      </c>
      <c r="W1693" s="0" t="str">
        <f aca="false">IF(OR(AND(B1693&gt;=1,B1693&lt;=6),B1693=10),"Vaca em lactação",IF(I1693="Male","Macho",IF(E1693&gt;=1,"Vaca seca",IF(I1693="Youngstock","Bezerra/recria","Novilha"))))</f>
        <v>Vaca seca</v>
      </c>
      <c r="X1693" s="0" t="str">
        <f aca="false">IF(AND(B1693&gt;=1,B1693&lt;=6),"Tanque",IF(B1693=10,"Descarte",""))</f>
        <v/>
      </c>
    </row>
    <row r="1694" customFormat="false" ht="15" hidden="false" customHeight="false" outlineLevel="0" collapsed="false">
      <c r="A1694" s="22" t="n">
        <v>46309</v>
      </c>
      <c r="B1694" s="0" t="n">
        <v>7</v>
      </c>
      <c r="C1694" s="0" t="n">
        <v>5200</v>
      </c>
      <c r="D1694" s="0" t="n">
        <v>296</v>
      </c>
      <c r="E1694" s="0" t="n">
        <v>1</v>
      </c>
      <c r="F1694" s="23" t="s">
        <v>611</v>
      </c>
      <c r="G1694" s="0" t="n">
        <v>0.6</v>
      </c>
      <c r="H1694" s="0" t="n">
        <v>0</v>
      </c>
      <c r="I1694" s="23" t="s">
        <v>357</v>
      </c>
      <c r="J1694" s="0" t="n">
        <v>68</v>
      </c>
      <c r="K1694" s="0" t="n">
        <v>68</v>
      </c>
      <c r="L1694" s="0" t="n">
        <v>278</v>
      </c>
      <c r="M1694" s="0" t="n">
        <v>906.46</v>
      </c>
      <c r="N1694" s="0" t="n">
        <v>-4.66</v>
      </c>
      <c r="O1694" s="0" t="n">
        <v>27.35</v>
      </c>
      <c r="P1694" s="0" t="n">
        <v>2.97</v>
      </c>
      <c r="Q1694" s="0" t="n">
        <v>3.37</v>
      </c>
      <c r="R1694" s="0" t="n">
        <v>4380</v>
      </c>
      <c r="S1694" s="0" t="n">
        <v>9828</v>
      </c>
      <c r="T1694" s="0" t="n">
        <v>47.95</v>
      </c>
      <c r="U1694" s="0" t="n">
        <v>1026</v>
      </c>
      <c r="V1694" s="0" t="n">
        <v>1</v>
      </c>
      <c r="W1694" s="0" t="str">
        <f aca="false">IF(OR(AND(B1694&gt;=1,B1694&lt;=6),B1694=10),"Vaca em lactação",IF(I1694="Male","Macho",IF(E1694&gt;=1,"Vaca seca",IF(I1694="Youngstock","Bezerra/recria","Novilha"))))</f>
        <v>Vaca seca</v>
      </c>
      <c r="X1694" s="0" t="str">
        <f aca="false">IF(AND(B1694&gt;=1,B1694&lt;=6),"Tanque",IF(B1694=10,"Descarte",""))</f>
        <v/>
      </c>
    </row>
    <row r="1695" customFormat="false" ht="15" hidden="false" customHeight="false" outlineLevel="0" collapsed="false">
      <c r="A1695" s="22" t="n">
        <v>46309</v>
      </c>
      <c r="B1695" s="0" t="n">
        <v>7</v>
      </c>
      <c r="C1695" s="0" t="n">
        <v>5171</v>
      </c>
      <c r="D1695" s="0" t="n">
        <v>324</v>
      </c>
      <c r="E1695" s="0" t="n">
        <v>1</v>
      </c>
      <c r="F1695" s="23" t="s">
        <v>297</v>
      </c>
      <c r="I1695" s="23" t="s">
        <v>357</v>
      </c>
      <c r="J1695" s="0" t="n">
        <v>100</v>
      </c>
      <c r="K1695" s="0" t="n">
        <v>66</v>
      </c>
      <c r="L1695" s="0" t="n">
        <v>252</v>
      </c>
      <c r="M1695" s="0" t="n">
        <v>56.29</v>
      </c>
      <c r="N1695" s="0" t="n">
        <v>44.61</v>
      </c>
      <c r="O1695" s="0" t="n">
        <v>19.43</v>
      </c>
      <c r="P1695" s="0" t="n">
        <v>4.95</v>
      </c>
      <c r="Q1695" s="0" t="n">
        <v>3.97</v>
      </c>
      <c r="R1695" s="0" t="n">
        <v>3809</v>
      </c>
      <c r="S1695" s="0" t="n">
        <v>8339</v>
      </c>
      <c r="T1695" s="0" t="n">
        <v>42.65</v>
      </c>
      <c r="U1695" s="0" t="n">
        <v>1039</v>
      </c>
      <c r="V1695" s="0" t="n">
        <v>2</v>
      </c>
      <c r="W1695" s="0" t="str">
        <f aca="false">IF(OR(AND(B1695&gt;=1,B1695&lt;=6),B1695=10),"Vaca em lactação",IF(I1695="Male","Macho",IF(E1695&gt;=1,"Vaca seca",IF(I1695="Youngstock","Bezerra/recria","Novilha"))))</f>
        <v>Vaca seca</v>
      </c>
      <c r="X1695" s="0" t="str">
        <f aca="false">IF(AND(B1695&gt;=1,B1695&lt;=6),"Tanque",IF(B1695=10,"Descarte",""))</f>
        <v/>
      </c>
    </row>
    <row r="1696" customFormat="false" ht="15" hidden="false" customHeight="false" outlineLevel="0" collapsed="false">
      <c r="A1696" s="22" t="n">
        <v>46309</v>
      </c>
      <c r="B1696" s="0" t="n">
        <v>7</v>
      </c>
      <c r="C1696" s="0" t="n">
        <v>4790</v>
      </c>
      <c r="D1696" s="0" t="n">
        <v>580</v>
      </c>
      <c r="E1696" s="0" t="n">
        <v>1</v>
      </c>
      <c r="F1696" s="23" t="s">
        <v>304</v>
      </c>
      <c r="G1696" s="0" t="n">
        <v>11</v>
      </c>
      <c r="H1696" s="0" t="n">
        <v>25</v>
      </c>
      <c r="I1696" s="23" t="s">
        <v>357</v>
      </c>
      <c r="J1696" s="0" t="n">
        <v>357</v>
      </c>
      <c r="K1696" s="0" t="n">
        <v>64</v>
      </c>
      <c r="L1696" s="0" t="n">
        <v>224</v>
      </c>
      <c r="M1696" s="0" t="n">
        <v>324.92</v>
      </c>
      <c r="N1696" s="0" t="n">
        <v>44.84</v>
      </c>
      <c r="O1696" s="0" t="n">
        <v>29.11</v>
      </c>
      <c r="P1696" s="0" t="n">
        <v>6.28</v>
      </c>
      <c r="Q1696" s="0" t="n">
        <v>4.56</v>
      </c>
      <c r="R1696" s="0" t="n">
        <v>4023</v>
      </c>
      <c r="S1696" s="0" t="n">
        <v>8298</v>
      </c>
      <c r="T1696" s="0" t="n">
        <v>44.15</v>
      </c>
      <c r="U1696" s="0" t="n">
        <v>1211</v>
      </c>
      <c r="V1696" s="0" t="n">
        <v>8</v>
      </c>
      <c r="W1696" s="0" t="str">
        <f aca="false">IF(OR(AND(B1696&gt;=1,B1696&lt;=6),B1696=10),"Vaca em lactação",IF(I1696="Male","Macho",IF(E1696&gt;=1,"Vaca seca",IF(I1696="Youngstock","Bezerra/recria","Novilha"))))</f>
        <v>Vaca seca</v>
      </c>
      <c r="X1696" s="0" t="str">
        <f aca="false">IF(AND(B1696&gt;=1,B1696&lt;=6),"Tanque",IF(B1696=10,"Descarte",""))</f>
        <v/>
      </c>
    </row>
    <row r="1697" customFormat="false" ht="15" hidden="false" customHeight="false" outlineLevel="0" collapsed="false">
      <c r="A1697" s="22" t="n">
        <v>46309</v>
      </c>
      <c r="B1697" s="0" t="n">
        <v>7</v>
      </c>
      <c r="C1697" s="0" t="n">
        <v>4813</v>
      </c>
      <c r="D1697" s="0" t="n">
        <v>540</v>
      </c>
      <c r="E1697" s="0" t="n">
        <v>1</v>
      </c>
      <c r="F1697" s="23" t="s">
        <v>308</v>
      </c>
      <c r="I1697" s="23" t="s">
        <v>92</v>
      </c>
      <c r="J1697" s="0" t="n">
        <v>391</v>
      </c>
      <c r="K1697" s="0" t="n">
        <v>64</v>
      </c>
      <c r="L1697" s="0" t="n">
        <v>149</v>
      </c>
      <c r="M1697" s="0" t="n">
        <v>-158.36</v>
      </c>
      <c r="N1697" s="0" t="n">
        <v>61.46</v>
      </c>
      <c r="O1697" s="0" t="n">
        <v>32.02</v>
      </c>
      <c r="P1697" s="0" t="n">
        <v>6.49</v>
      </c>
      <c r="Q1697" s="0" t="n">
        <v>5.63</v>
      </c>
      <c r="R1697" s="0" t="n">
        <v>3434</v>
      </c>
      <c r="S1697" s="0" t="n">
        <v>7479</v>
      </c>
      <c r="T1697" s="0" t="n">
        <v>37.25</v>
      </c>
      <c r="U1697" s="0" t="n">
        <v>1199</v>
      </c>
      <c r="V1697" s="0" t="n">
        <v>11</v>
      </c>
      <c r="W1697" s="0" t="str">
        <f aca="false">IF(OR(AND(B1697&gt;=1,B1697&lt;=6),B1697=10),"Vaca em lactação",IF(I1697="Male","Macho",IF(E1697&gt;=1,"Vaca seca",IF(I1697="Youngstock","Bezerra/recria","Novilha"))))</f>
        <v>Vaca seca</v>
      </c>
      <c r="X1697" s="0" t="str">
        <f aca="false">IF(AND(B1697&gt;=1,B1697&lt;=6),"Tanque",IF(B1697=10,"Descarte",""))</f>
        <v/>
      </c>
    </row>
    <row r="1698" customFormat="false" ht="15" hidden="false" customHeight="false" outlineLevel="0" collapsed="false">
      <c r="A1698" s="22" t="n">
        <v>46309</v>
      </c>
      <c r="B1698" s="0" t="n">
        <v>7</v>
      </c>
      <c r="C1698" s="0" t="n">
        <v>4817</v>
      </c>
      <c r="D1698" s="0" t="n">
        <v>480</v>
      </c>
      <c r="E1698" s="0" t="n">
        <v>1</v>
      </c>
      <c r="F1698" s="23" t="s">
        <v>308</v>
      </c>
      <c r="I1698" s="23" t="s">
        <v>357</v>
      </c>
      <c r="J1698" s="0" t="n">
        <v>250</v>
      </c>
      <c r="K1698" s="0" t="n">
        <v>61</v>
      </c>
      <c r="L1698" s="0" t="n">
        <v>252</v>
      </c>
      <c r="M1698" s="0" t="n">
        <v>1392.16</v>
      </c>
      <c r="N1698" s="0" t="n">
        <v>51.29</v>
      </c>
      <c r="O1698" s="0" t="n">
        <v>49.91</v>
      </c>
      <c r="P1698" s="0" t="n">
        <v>4.47</v>
      </c>
      <c r="Q1698" s="0" t="n">
        <v>3.8</v>
      </c>
      <c r="R1698" s="0" t="n">
        <v>4609</v>
      </c>
      <c r="S1698" s="0" t="n">
        <v>9699</v>
      </c>
      <c r="T1698" s="0" t="n">
        <v>55.5</v>
      </c>
      <c r="U1698" s="0" t="n">
        <v>1199</v>
      </c>
      <c r="V1698" s="0" t="n">
        <v>3</v>
      </c>
      <c r="W1698" s="0" t="str">
        <f aca="false">IF(OR(AND(B1698&gt;=1,B1698&lt;=6),B1698=10),"Vaca em lactação",IF(I1698="Male","Macho",IF(E1698&gt;=1,"Vaca seca",IF(I1698="Youngstock","Bezerra/recria","Novilha"))))</f>
        <v>Vaca seca</v>
      </c>
      <c r="X1698" s="0" t="str">
        <f aca="false">IF(AND(B1698&gt;=1,B1698&lt;=6),"Tanque",IF(B1698=10,"Descarte",""))</f>
        <v/>
      </c>
    </row>
    <row r="1699" customFormat="false" ht="15" hidden="false" customHeight="false" outlineLevel="0" collapsed="false">
      <c r="A1699" s="22" t="n">
        <v>46309</v>
      </c>
      <c r="B1699" s="0" t="n">
        <v>7</v>
      </c>
      <c r="C1699" s="0" t="n">
        <v>4683</v>
      </c>
      <c r="D1699" s="0" t="n">
        <v>293</v>
      </c>
      <c r="E1699" s="0" t="n">
        <v>2</v>
      </c>
      <c r="F1699" s="23" t="s">
        <v>1008</v>
      </c>
      <c r="G1699" s="0" t="n">
        <v>12.5</v>
      </c>
      <c r="H1699" s="0" t="n">
        <v>22</v>
      </c>
      <c r="I1699" s="23" t="s">
        <v>357</v>
      </c>
      <c r="J1699" s="0" t="n">
        <v>70</v>
      </c>
      <c r="K1699" s="0" t="n">
        <v>70</v>
      </c>
      <c r="L1699" s="0" t="n">
        <v>224</v>
      </c>
      <c r="M1699" s="0" t="n">
        <v>92.87</v>
      </c>
      <c r="N1699" s="0" t="n">
        <v>57.96</v>
      </c>
      <c r="O1699" s="0" t="n">
        <v>28.96</v>
      </c>
      <c r="P1699" s="0" t="n">
        <v>4.89</v>
      </c>
      <c r="Q1699" s="0" t="n">
        <v>4.08</v>
      </c>
      <c r="R1699" s="0" t="n">
        <v>4654</v>
      </c>
      <c r="S1699" s="0" t="n">
        <v>9481</v>
      </c>
      <c r="T1699" s="0" t="n">
        <v>50.5</v>
      </c>
      <c r="U1699" s="0" t="n">
        <v>1263</v>
      </c>
      <c r="V1699" s="0" t="n">
        <v>1</v>
      </c>
      <c r="W1699" s="0" t="str">
        <f aca="false">IF(OR(AND(B1699&gt;=1,B1699&lt;=6),B1699=10),"Vaca em lactação",IF(I1699="Male","Macho",IF(E1699&gt;=1,"Vaca seca",IF(I1699="Youngstock","Bezerra/recria","Novilha"))))</f>
        <v>Vaca seca</v>
      </c>
      <c r="X1699" s="0" t="str">
        <f aca="false">IF(AND(B1699&gt;=1,B1699&lt;=6),"Tanque",IF(B1699=10,"Descarte",""))</f>
        <v/>
      </c>
    </row>
    <row r="1700" customFormat="false" ht="15" hidden="false" customHeight="false" outlineLevel="0" collapsed="false">
      <c r="A1700" s="22" t="n">
        <v>46309</v>
      </c>
      <c r="B1700" s="0" t="n">
        <v>7</v>
      </c>
      <c r="C1700" s="0" t="n">
        <v>4631</v>
      </c>
      <c r="D1700" s="0" t="n">
        <v>260</v>
      </c>
      <c r="E1700" s="0" t="n">
        <v>2</v>
      </c>
      <c r="F1700" s="23" t="s">
        <v>1009</v>
      </c>
      <c r="I1700" s="23" t="s">
        <v>357</v>
      </c>
      <c r="J1700" s="0" t="n">
        <v>153</v>
      </c>
      <c r="K1700" s="0" t="n">
        <v>86</v>
      </c>
      <c r="L1700" s="0" t="n">
        <v>129</v>
      </c>
      <c r="M1700" s="0" t="n">
        <v>1243.44</v>
      </c>
      <c r="N1700" s="0" t="n">
        <v>53.53</v>
      </c>
      <c r="O1700" s="0" t="n">
        <v>57.93</v>
      </c>
      <c r="P1700" s="0" t="n">
        <v>5.29</v>
      </c>
      <c r="Q1700" s="0" t="n">
        <v>4.67</v>
      </c>
      <c r="R1700" s="0" t="n">
        <v>3962</v>
      </c>
      <c r="S1700" s="0" t="n">
        <v>8435</v>
      </c>
      <c r="T1700" s="0" t="n">
        <v>42.35</v>
      </c>
      <c r="U1700" s="0" t="n">
        <v>1294</v>
      </c>
      <c r="V1700" s="0" t="n">
        <v>3</v>
      </c>
      <c r="W1700" s="0" t="str">
        <f aca="false">IF(OR(AND(B1700&gt;=1,B1700&lt;=6),B1700=10),"Vaca em lactação",IF(I1700="Male","Macho",IF(E1700&gt;=1,"Vaca seca",IF(I1700="Youngstock","Bezerra/recria","Novilha"))))</f>
        <v>Vaca seca</v>
      </c>
      <c r="X1700" s="0" t="str">
        <f aca="false">IF(AND(B1700&gt;=1,B1700&lt;=6),"Tanque",IF(B1700=10,"Descarte",""))</f>
        <v/>
      </c>
    </row>
    <row r="1701" customFormat="false" ht="15" hidden="false" customHeight="false" outlineLevel="0" collapsed="false">
      <c r="A1701" s="22" t="n">
        <v>46309</v>
      </c>
      <c r="B1701" s="0" t="n">
        <v>7</v>
      </c>
      <c r="C1701" s="0" t="n">
        <v>4627</v>
      </c>
      <c r="D1701" s="0" t="n">
        <v>291</v>
      </c>
      <c r="E1701" s="0" t="n">
        <v>2</v>
      </c>
      <c r="F1701" s="23" t="s">
        <v>316</v>
      </c>
      <c r="I1701" s="23" t="s">
        <v>357</v>
      </c>
      <c r="J1701" s="0" t="n">
        <v>68</v>
      </c>
      <c r="K1701" s="0" t="n">
        <v>68</v>
      </c>
      <c r="L1701" s="0" t="n">
        <v>238</v>
      </c>
      <c r="M1701" s="0" t="n">
        <v>229.95</v>
      </c>
      <c r="N1701" s="0" t="n">
        <v>35.6</v>
      </c>
      <c r="O1701" s="0" t="n">
        <v>23.4</v>
      </c>
      <c r="P1701" s="0" t="n">
        <v>4.71</v>
      </c>
      <c r="Q1701" s="0" t="n">
        <v>3.82</v>
      </c>
      <c r="R1701" s="0" t="n">
        <v>5091</v>
      </c>
      <c r="S1701" s="0" t="n">
        <v>9740</v>
      </c>
      <c r="T1701" s="0" t="n">
        <v>57.15</v>
      </c>
      <c r="U1701" s="0" t="n">
        <v>1301</v>
      </c>
      <c r="V1701" s="0" t="n">
        <v>1</v>
      </c>
      <c r="W1701" s="0" t="str">
        <f aca="false">IF(OR(AND(B1701&gt;=1,B1701&lt;=6),B1701=10),"Vaca em lactação",IF(I1701="Male","Macho",IF(E1701&gt;=1,"Vaca seca",IF(I1701="Youngstock","Bezerra/recria","Novilha"))))</f>
        <v>Vaca seca</v>
      </c>
      <c r="X1701" s="0" t="str">
        <f aca="false">IF(AND(B1701&gt;=1,B1701&lt;=6),"Tanque",IF(B1701=10,"Descarte",""))</f>
        <v/>
      </c>
    </row>
    <row r="1702" customFormat="false" ht="15" hidden="false" customHeight="false" outlineLevel="0" collapsed="false">
      <c r="A1702" s="22" t="n">
        <v>46309</v>
      </c>
      <c r="B1702" s="0" t="n">
        <v>7</v>
      </c>
      <c r="C1702" s="0" t="n">
        <v>4745</v>
      </c>
      <c r="D1702" s="0" t="n">
        <v>50</v>
      </c>
      <c r="E1702" s="0" t="n">
        <v>2</v>
      </c>
      <c r="F1702" s="23" t="s">
        <v>326</v>
      </c>
      <c r="I1702" s="23" t="s">
        <v>357</v>
      </c>
      <c r="J1702" s="0" t="n">
        <v>70</v>
      </c>
      <c r="K1702" s="0" t="n">
        <v>70</v>
      </c>
      <c r="L1702" s="0" t="n">
        <v>156</v>
      </c>
      <c r="M1702" s="0" t="n">
        <v>705.71</v>
      </c>
      <c r="N1702" s="0" t="n">
        <v>45.69</v>
      </c>
      <c r="O1702" s="0" t="n">
        <v>45.5</v>
      </c>
      <c r="P1702" s="0" t="n">
        <v>3.77</v>
      </c>
      <c r="Q1702" s="0" t="n">
        <v>3.98</v>
      </c>
      <c r="R1702" s="0" t="n">
        <v>1031</v>
      </c>
      <c r="S1702" s="0" t="n">
        <v>2074</v>
      </c>
      <c r="U1702" s="0" t="n">
        <v>1231</v>
      </c>
      <c r="V1702" s="0" t="n">
        <v>1</v>
      </c>
      <c r="W1702" s="0" t="str">
        <f aca="false">IF(OR(AND(B1702&gt;=1,B1702&lt;=6),B1702=10),"Vaca em lactação",IF(I1702="Male","Macho",IF(E1702&gt;=1,"Vaca seca",IF(I1702="Youngstock","Bezerra/recria","Novilha"))))</f>
        <v>Vaca seca</v>
      </c>
      <c r="X1702" s="0" t="str">
        <f aca="false">IF(AND(B1702&gt;=1,B1702&lt;=6),"Tanque",IF(B1702=10,"Descarte",""))</f>
        <v/>
      </c>
    </row>
    <row r="1703" customFormat="false" ht="15" hidden="false" customHeight="false" outlineLevel="0" collapsed="false">
      <c r="A1703" s="22" t="n">
        <v>46309</v>
      </c>
      <c r="B1703" s="0" t="n">
        <v>7</v>
      </c>
      <c r="C1703" s="0" t="n">
        <v>4753</v>
      </c>
      <c r="D1703" s="0" t="n">
        <v>530</v>
      </c>
      <c r="E1703" s="0" t="n">
        <v>1</v>
      </c>
      <c r="F1703" s="23" t="s">
        <v>822</v>
      </c>
      <c r="I1703" s="23" t="s">
        <v>357</v>
      </c>
      <c r="J1703" s="0" t="n">
        <v>307</v>
      </c>
      <c r="K1703" s="0" t="n">
        <v>62</v>
      </c>
      <c r="L1703" s="0" t="n">
        <v>238</v>
      </c>
      <c r="M1703" s="0" t="n">
        <v>892.04</v>
      </c>
      <c r="N1703" s="0" t="n">
        <v>42.76</v>
      </c>
      <c r="O1703" s="0" t="n">
        <v>45.88</v>
      </c>
      <c r="P1703" s="0" t="n">
        <v>3.89</v>
      </c>
      <c r="Q1703" s="0" t="n">
        <v>4.08</v>
      </c>
      <c r="R1703" s="0" t="n">
        <v>4230</v>
      </c>
      <c r="S1703" s="0" t="n">
        <v>9360</v>
      </c>
      <c r="T1703" s="0" t="n">
        <v>46.85</v>
      </c>
      <c r="U1703" s="0" t="n">
        <v>1228</v>
      </c>
      <c r="V1703" s="0" t="n">
        <v>8</v>
      </c>
      <c r="W1703" s="0" t="str">
        <f aca="false">IF(OR(AND(B1703&gt;=1,B1703&lt;=6),B1703=10),"Vaca em lactação",IF(I1703="Male","Macho",IF(E1703&gt;=1,"Vaca seca",IF(I1703="Youngstock","Bezerra/recria","Novilha"))))</f>
        <v>Vaca seca</v>
      </c>
      <c r="X1703" s="0" t="str">
        <f aca="false">IF(AND(B1703&gt;=1,B1703&lt;=6),"Tanque",IF(B1703=10,"Descarte",""))</f>
        <v/>
      </c>
    </row>
    <row r="1704" customFormat="false" ht="15" hidden="false" customHeight="false" outlineLevel="0" collapsed="false">
      <c r="A1704" s="22" t="n">
        <v>46309</v>
      </c>
      <c r="B1704" s="0" t="n">
        <v>7</v>
      </c>
      <c r="C1704" s="0" t="n">
        <v>4690</v>
      </c>
      <c r="D1704" s="0" t="n">
        <v>285</v>
      </c>
      <c r="E1704" s="0" t="n">
        <v>2</v>
      </c>
      <c r="F1704" s="23" t="s">
        <v>825</v>
      </c>
      <c r="G1704" s="0" t="n">
        <v>6.5</v>
      </c>
      <c r="H1704" s="0" t="n">
        <v>11</v>
      </c>
      <c r="I1704" s="23" t="s">
        <v>357</v>
      </c>
      <c r="J1704" s="0" t="n">
        <v>95</v>
      </c>
      <c r="K1704" s="0" t="n">
        <v>69</v>
      </c>
      <c r="L1704" s="0" t="n">
        <v>191</v>
      </c>
      <c r="M1704" s="0" t="n">
        <v>1503.53</v>
      </c>
      <c r="N1704" s="0" t="n">
        <v>21.87</v>
      </c>
      <c r="O1704" s="0" t="n">
        <v>36.03</v>
      </c>
      <c r="P1704" s="0" t="n">
        <v>0</v>
      </c>
      <c r="Q1704" s="0" t="n">
        <v>0</v>
      </c>
      <c r="R1704" s="0" t="n">
        <v>5177</v>
      </c>
      <c r="S1704" s="0" t="n">
        <v>9752</v>
      </c>
      <c r="T1704" s="0" t="n">
        <v>66.65</v>
      </c>
      <c r="U1704" s="0" t="n">
        <v>1258</v>
      </c>
      <c r="V1704" s="0" t="n">
        <v>2</v>
      </c>
      <c r="W1704" s="0" t="str">
        <f aca="false">IF(OR(AND(B1704&gt;=1,B1704&lt;=6),B1704=10),"Vaca em lactação",IF(I1704="Male","Macho",IF(E1704&gt;=1,"Vaca seca",IF(I1704="Youngstock","Bezerra/recria","Novilha"))))</f>
        <v>Vaca seca</v>
      </c>
      <c r="X1704" s="0" t="str">
        <f aca="false">IF(AND(B1704&gt;=1,B1704&lt;=6),"Tanque",IF(B1704=10,"Descarte",""))</f>
        <v/>
      </c>
    </row>
    <row r="1705" customFormat="false" ht="15" hidden="false" customHeight="false" outlineLevel="0" collapsed="false">
      <c r="A1705" s="22" t="n">
        <v>46309</v>
      </c>
      <c r="B1705" s="0" t="n">
        <v>7</v>
      </c>
      <c r="C1705" s="0" t="n">
        <v>4714</v>
      </c>
      <c r="D1705" s="0" t="n">
        <v>45</v>
      </c>
      <c r="E1705" s="0" t="n">
        <v>2</v>
      </c>
      <c r="F1705" s="23" t="s">
        <v>328</v>
      </c>
      <c r="I1705" s="23" t="s">
        <v>1001</v>
      </c>
      <c r="J1705" s="0" t="n">
        <v>45</v>
      </c>
      <c r="K1705" s="0" t="n">
        <v>81</v>
      </c>
      <c r="M1705" s="0" t="n">
        <v>780.59</v>
      </c>
      <c r="N1705" s="0" t="n">
        <v>60.99</v>
      </c>
      <c r="O1705" s="0" t="n">
        <v>33.62</v>
      </c>
      <c r="P1705" s="0" t="n">
        <v>2.67</v>
      </c>
      <c r="Q1705" s="0" t="n">
        <v>3.65</v>
      </c>
      <c r="R1705" s="0" t="n">
        <v>749</v>
      </c>
      <c r="S1705" s="0" t="n">
        <v>1506</v>
      </c>
      <c r="U1705" s="0" t="n">
        <v>1246</v>
      </c>
      <c r="V1705" s="0" t="n">
        <v>3</v>
      </c>
      <c r="W1705" s="0" t="str">
        <f aca="false">IF(OR(AND(B1705&gt;=1,B1705&lt;=6),B1705=10),"Vaca em lactação",IF(I1705="Male","Macho",IF(E1705&gt;=1,"Vaca seca",IF(I1705="Youngstock","Bezerra/recria","Novilha"))))</f>
        <v>Vaca seca</v>
      </c>
      <c r="X1705" s="0" t="str">
        <f aca="false">IF(AND(B1705&gt;=1,B1705&lt;=6),"Tanque",IF(B1705=10,"Descarte",""))</f>
        <v/>
      </c>
    </row>
    <row r="1706" customFormat="false" ht="15" hidden="false" customHeight="false" outlineLevel="0" collapsed="false">
      <c r="A1706" s="22" t="n">
        <v>46309</v>
      </c>
      <c r="B1706" s="0" t="n">
        <v>7</v>
      </c>
      <c r="C1706" s="0" t="n">
        <v>4947</v>
      </c>
      <c r="D1706" s="0" t="n">
        <v>360</v>
      </c>
      <c r="E1706" s="0" t="n">
        <v>1</v>
      </c>
      <c r="F1706" s="23" t="s">
        <v>336</v>
      </c>
      <c r="G1706" s="0" t="n">
        <v>12.9</v>
      </c>
      <c r="H1706" s="0" t="n">
        <v>36</v>
      </c>
      <c r="I1706" s="23" t="s">
        <v>357</v>
      </c>
      <c r="J1706" s="0" t="n">
        <v>137</v>
      </c>
      <c r="K1706" s="0" t="n">
        <v>68</v>
      </c>
      <c r="L1706" s="0" t="n">
        <v>224</v>
      </c>
      <c r="M1706" s="0" t="n">
        <v>743.5</v>
      </c>
      <c r="N1706" s="0" t="n">
        <v>76.09</v>
      </c>
      <c r="O1706" s="0" t="n">
        <v>41.73</v>
      </c>
      <c r="P1706" s="0" t="n">
        <v>4.1</v>
      </c>
      <c r="Q1706" s="0" t="n">
        <v>3.8</v>
      </c>
      <c r="R1706" s="0" t="n">
        <v>4378</v>
      </c>
      <c r="S1706" s="0" t="n">
        <v>9666</v>
      </c>
      <c r="T1706" s="0" t="n">
        <v>51.4</v>
      </c>
      <c r="U1706" s="0" t="n">
        <v>1147</v>
      </c>
      <c r="V1706" s="0" t="n">
        <v>3</v>
      </c>
      <c r="W1706" s="0" t="str">
        <f aca="false">IF(OR(AND(B1706&gt;=1,B1706&lt;=6),B1706=10),"Vaca em lactação",IF(I1706="Male","Macho",IF(E1706&gt;=1,"Vaca seca",IF(I1706="Youngstock","Bezerra/recria","Novilha"))))</f>
        <v>Vaca seca</v>
      </c>
      <c r="X1706" s="0" t="str">
        <f aca="false">IF(AND(B1706&gt;=1,B1706&lt;=6),"Tanque",IF(B1706=10,"Descarte",""))</f>
        <v/>
      </c>
    </row>
    <row r="1707" customFormat="false" ht="15" hidden="false" customHeight="false" outlineLevel="0" collapsed="false">
      <c r="A1707" s="22" t="n">
        <v>46309</v>
      </c>
      <c r="B1707" s="0" t="n">
        <v>7</v>
      </c>
      <c r="C1707" s="0" t="n">
        <v>4842</v>
      </c>
      <c r="D1707" s="0" t="n">
        <v>428</v>
      </c>
      <c r="E1707" s="0" t="n">
        <v>1</v>
      </c>
      <c r="F1707" s="23" t="s">
        <v>342</v>
      </c>
      <c r="I1707" s="23" t="s">
        <v>357</v>
      </c>
      <c r="J1707" s="0" t="n">
        <v>432</v>
      </c>
      <c r="K1707" s="0" t="n">
        <v>58</v>
      </c>
      <c r="L1707" s="0" t="n">
        <v>60</v>
      </c>
      <c r="M1707" s="0" t="n">
        <v>573.68</v>
      </c>
      <c r="N1707" s="0" t="n">
        <v>66.4</v>
      </c>
      <c r="O1707" s="0" t="n">
        <v>35.69</v>
      </c>
      <c r="P1707" s="0" t="n">
        <v>8.4</v>
      </c>
      <c r="Q1707" s="0" t="n">
        <v>5.68</v>
      </c>
      <c r="R1707" s="0" t="n">
        <v>4298</v>
      </c>
      <c r="S1707" s="0" t="n">
        <v>9366</v>
      </c>
      <c r="T1707" s="0" t="n">
        <v>55.1</v>
      </c>
      <c r="U1707" s="0" t="n">
        <v>1194</v>
      </c>
      <c r="V1707" s="0" t="n">
        <v>10</v>
      </c>
      <c r="W1707" s="0" t="str">
        <f aca="false">IF(OR(AND(B1707&gt;=1,B1707&lt;=6),B1707=10),"Vaca em lactação",IF(I1707="Male","Macho",IF(E1707&gt;=1,"Vaca seca",IF(I1707="Youngstock","Bezerra/recria","Novilha"))))</f>
        <v>Vaca seca</v>
      </c>
      <c r="X1707" s="0" t="str">
        <f aca="false">IF(AND(B1707&gt;=1,B1707&lt;=6),"Tanque",IF(B1707=10,"Descarte",""))</f>
        <v/>
      </c>
    </row>
    <row r="1708" customFormat="false" ht="15" hidden="false" customHeight="false" outlineLevel="0" collapsed="false">
      <c r="A1708" s="22" t="n">
        <v>46309</v>
      </c>
      <c r="B1708" s="0" t="n">
        <v>7</v>
      </c>
      <c r="C1708" s="0" t="n">
        <v>4897</v>
      </c>
      <c r="D1708" s="0" t="n">
        <v>290</v>
      </c>
      <c r="E1708" s="0" t="n">
        <v>2</v>
      </c>
      <c r="F1708" s="23" t="s">
        <v>1010</v>
      </c>
      <c r="G1708" s="0" t="n">
        <v>13.9</v>
      </c>
      <c r="H1708" s="0" t="n">
        <v>36</v>
      </c>
      <c r="I1708" s="23" t="s">
        <v>357</v>
      </c>
      <c r="J1708" s="0" t="n">
        <v>67</v>
      </c>
      <c r="K1708" s="0" t="n">
        <v>67</v>
      </c>
      <c r="L1708" s="0" t="n">
        <v>224</v>
      </c>
      <c r="M1708" s="0" t="n">
        <v>631.55</v>
      </c>
      <c r="N1708" s="0" t="n">
        <v>37.65</v>
      </c>
      <c r="O1708" s="0" t="n">
        <v>32.76</v>
      </c>
      <c r="P1708" s="0" t="n">
        <v>4.3</v>
      </c>
      <c r="Q1708" s="0" t="n">
        <v>4.03</v>
      </c>
      <c r="R1708" s="0" t="n">
        <v>5975</v>
      </c>
      <c r="S1708" s="0" t="n">
        <v>12225</v>
      </c>
      <c r="T1708" s="0" t="n">
        <v>65.8</v>
      </c>
      <c r="U1708" s="0" t="n">
        <v>1168</v>
      </c>
      <c r="V1708" s="0" t="n">
        <v>1</v>
      </c>
      <c r="W1708" s="0" t="str">
        <f aca="false">IF(OR(AND(B1708&gt;=1,B1708&lt;=6),B1708=10),"Vaca em lactação",IF(I1708="Male","Macho",IF(E1708&gt;=1,"Vaca seca",IF(I1708="Youngstock","Bezerra/recria","Novilha"))))</f>
        <v>Vaca seca</v>
      </c>
      <c r="X1708" s="0" t="str">
        <f aca="false">IF(AND(B1708&gt;=1,B1708&lt;=6),"Tanque",IF(B1708=10,"Descarte",""))</f>
        <v/>
      </c>
    </row>
    <row r="1709" customFormat="false" ht="15" hidden="false" customHeight="false" outlineLevel="0" collapsed="false">
      <c r="A1709" s="22" t="n">
        <v>46309</v>
      </c>
      <c r="B1709" s="0" t="n">
        <v>7</v>
      </c>
      <c r="C1709" s="0" t="n">
        <v>4879</v>
      </c>
      <c r="D1709" s="0" t="n">
        <v>168</v>
      </c>
      <c r="E1709" s="0" t="n">
        <v>2</v>
      </c>
      <c r="F1709" s="23" t="s">
        <v>959</v>
      </c>
      <c r="I1709" s="23" t="s">
        <v>357</v>
      </c>
      <c r="J1709" s="0" t="n">
        <v>78</v>
      </c>
      <c r="K1709" s="0" t="n">
        <v>78</v>
      </c>
      <c r="L1709" s="0" t="n">
        <v>133</v>
      </c>
      <c r="M1709" s="0" t="n">
        <v>688.43</v>
      </c>
      <c r="N1709" s="0" t="n">
        <v>36.7</v>
      </c>
      <c r="O1709" s="0" t="n">
        <v>34.8</v>
      </c>
      <c r="P1709" s="0" t="n">
        <v>4.21</v>
      </c>
      <c r="Q1709" s="0" t="n">
        <v>3.87</v>
      </c>
      <c r="R1709" s="0" t="n">
        <v>3436</v>
      </c>
      <c r="S1709" s="0" t="n">
        <v>5937</v>
      </c>
      <c r="T1709" s="0" t="n">
        <v>35.5</v>
      </c>
      <c r="U1709" s="0" t="n">
        <v>1177</v>
      </c>
      <c r="V1709" s="0" t="n">
        <v>1</v>
      </c>
      <c r="W1709" s="0" t="str">
        <f aca="false">IF(OR(AND(B1709&gt;=1,B1709&lt;=6),B1709=10),"Vaca em lactação",IF(I1709="Male","Macho",IF(E1709&gt;=1,"Vaca seca",IF(I1709="Youngstock","Bezerra/recria","Novilha"))))</f>
        <v>Vaca seca</v>
      </c>
      <c r="X1709" s="0" t="str">
        <f aca="false">IF(AND(B1709&gt;=1,B1709&lt;=6),"Tanque",IF(B1709=10,"Descarte",""))</f>
        <v/>
      </c>
    </row>
    <row r="1710" customFormat="false" ht="15" hidden="false" customHeight="false" outlineLevel="0" collapsed="false">
      <c r="A1710" s="22" t="n">
        <v>46309</v>
      </c>
      <c r="B1710" s="0" t="n">
        <v>7</v>
      </c>
      <c r="C1710" s="0" t="n">
        <v>4877</v>
      </c>
      <c r="D1710" s="0" t="n">
        <v>429</v>
      </c>
      <c r="E1710" s="0" t="n">
        <v>1</v>
      </c>
      <c r="F1710" s="23" t="s">
        <v>1011</v>
      </c>
      <c r="I1710" s="23" t="s">
        <v>357</v>
      </c>
      <c r="J1710" s="0" t="n">
        <v>299</v>
      </c>
      <c r="K1710" s="0" t="n">
        <v>59</v>
      </c>
      <c r="L1710" s="0" t="n">
        <v>222</v>
      </c>
      <c r="M1710" s="0" t="n">
        <v>807.56</v>
      </c>
      <c r="N1710" s="0" t="n">
        <v>26.16</v>
      </c>
      <c r="O1710" s="0" t="n">
        <v>19.74</v>
      </c>
      <c r="P1710" s="0" t="n">
        <v>4.41</v>
      </c>
      <c r="Q1710" s="0" t="n">
        <v>3.85</v>
      </c>
      <c r="R1710" s="0" t="n">
        <v>2724</v>
      </c>
      <c r="S1710" s="0" t="n">
        <v>5687</v>
      </c>
      <c r="T1710" s="0" t="n">
        <v>30.55</v>
      </c>
      <c r="U1710" s="0" t="n">
        <v>1178</v>
      </c>
      <c r="V1710" s="0" t="n">
        <v>6</v>
      </c>
      <c r="W1710" s="0" t="str">
        <f aca="false">IF(OR(AND(B1710&gt;=1,B1710&lt;=6),B1710=10),"Vaca em lactação",IF(I1710="Male","Macho",IF(E1710&gt;=1,"Vaca seca",IF(I1710="Youngstock","Bezerra/recria","Novilha"))))</f>
        <v>Vaca seca</v>
      </c>
      <c r="X1710" s="0" t="str">
        <f aca="false">IF(AND(B1710&gt;=1,B1710&lt;=6),"Tanque",IF(B1710=10,"Descarte",""))</f>
        <v/>
      </c>
    </row>
    <row r="1711" customFormat="false" ht="15" hidden="false" customHeight="false" outlineLevel="0" collapsed="false">
      <c r="A1711" s="22" t="n">
        <v>46309</v>
      </c>
      <c r="B1711" s="0" t="n">
        <v>7</v>
      </c>
      <c r="C1711" s="0" t="n">
        <v>4267</v>
      </c>
      <c r="D1711" s="0" t="n">
        <v>327</v>
      </c>
      <c r="E1711" s="0" t="n">
        <v>2</v>
      </c>
      <c r="F1711" s="23" t="s">
        <v>502</v>
      </c>
      <c r="I1711" s="23" t="s">
        <v>357</v>
      </c>
      <c r="J1711" s="0" t="n">
        <v>104</v>
      </c>
      <c r="K1711" s="0" t="n">
        <v>69</v>
      </c>
      <c r="L1711" s="0" t="n">
        <v>231</v>
      </c>
      <c r="M1711" s="0" t="n">
        <v>1066.02</v>
      </c>
      <c r="N1711" s="0" t="n">
        <v>41.22</v>
      </c>
      <c r="O1711" s="0" t="n">
        <v>28.54</v>
      </c>
      <c r="P1711" s="0" t="n">
        <v>4.19</v>
      </c>
      <c r="Q1711" s="0" t="n">
        <v>3.77</v>
      </c>
      <c r="R1711" s="0" t="n">
        <v>6623</v>
      </c>
      <c r="S1711" s="0" t="n">
        <v>12333</v>
      </c>
      <c r="T1711" s="0" t="n">
        <v>69.1</v>
      </c>
      <c r="U1711" s="0" t="n">
        <v>1467</v>
      </c>
      <c r="V1711" s="0" t="n">
        <v>2</v>
      </c>
      <c r="W1711" s="0" t="str">
        <f aca="false">IF(OR(AND(B1711&gt;=1,B1711&lt;=6),B1711=10),"Vaca em lactação",IF(I1711="Male","Macho",IF(E1711&gt;=1,"Vaca seca",IF(I1711="Youngstock","Bezerra/recria","Novilha"))))</f>
        <v>Vaca seca</v>
      </c>
      <c r="X1711" s="0" t="str">
        <f aca="false">IF(AND(B1711&gt;=1,B1711&lt;=6),"Tanque",IF(B1711=10,"Descarte",""))</f>
        <v/>
      </c>
    </row>
    <row r="1712" customFormat="false" ht="15" hidden="false" customHeight="false" outlineLevel="0" collapsed="false">
      <c r="A1712" s="22" t="n">
        <v>46309</v>
      </c>
      <c r="B1712" s="0" t="n">
        <v>7</v>
      </c>
      <c r="C1712" s="0" t="n">
        <v>4263</v>
      </c>
      <c r="D1712" s="0" t="n">
        <v>358</v>
      </c>
      <c r="E1712" s="0" t="n">
        <v>2</v>
      </c>
      <c r="F1712" s="23" t="s">
        <v>1012</v>
      </c>
      <c r="I1712" s="23" t="s">
        <v>357</v>
      </c>
      <c r="J1712" s="0" t="n">
        <v>135</v>
      </c>
      <c r="K1712" s="0" t="n">
        <v>66</v>
      </c>
      <c r="L1712" s="0" t="n">
        <v>231</v>
      </c>
      <c r="M1712" s="0" t="n">
        <v>548.48</v>
      </c>
      <c r="N1712" s="0" t="n">
        <v>43.85</v>
      </c>
      <c r="O1712" s="0" t="n">
        <v>29.94</v>
      </c>
      <c r="P1712" s="0" t="n">
        <v>5.24</v>
      </c>
      <c r="Q1712" s="0" t="n">
        <v>4.12</v>
      </c>
      <c r="R1712" s="0" t="n">
        <v>5483</v>
      </c>
      <c r="S1712" s="0" t="n">
        <v>10893</v>
      </c>
      <c r="T1712" s="0" t="n">
        <v>58.9</v>
      </c>
      <c r="U1712" s="0" t="n">
        <v>1471</v>
      </c>
      <c r="V1712" s="0" t="n">
        <v>3</v>
      </c>
      <c r="W1712" s="0" t="str">
        <f aca="false">IF(OR(AND(B1712&gt;=1,B1712&lt;=6),B1712=10),"Vaca em lactação",IF(I1712="Male","Macho",IF(E1712&gt;=1,"Vaca seca",IF(I1712="Youngstock","Bezerra/recria","Novilha"))))</f>
        <v>Vaca seca</v>
      </c>
      <c r="X1712" s="0" t="str">
        <f aca="false">IF(AND(B1712&gt;=1,B1712&lt;=6),"Tanque",IF(B1712=10,"Descarte",""))</f>
        <v/>
      </c>
    </row>
    <row r="1713" customFormat="false" ht="15" hidden="false" customHeight="false" outlineLevel="0" collapsed="false">
      <c r="A1713" s="22" t="n">
        <v>46309</v>
      </c>
      <c r="B1713" s="0" t="n">
        <v>7</v>
      </c>
      <c r="C1713" s="0" t="n">
        <v>4269</v>
      </c>
      <c r="D1713" s="0" t="n">
        <v>335</v>
      </c>
      <c r="E1713" s="0" t="n">
        <v>2</v>
      </c>
      <c r="F1713" s="23" t="s">
        <v>504</v>
      </c>
      <c r="I1713" s="23" t="s">
        <v>357</v>
      </c>
      <c r="J1713" s="0" t="n">
        <v>176</v>
      </c>
      <c r="K1713" s="0" t="n">
        <v>64</v>
      </c>
      <c r="L1713" s="0" t="n">
        <v>217</v>
      </c>
      <c r="M1713" s="0" t="n">
        <v>383.25</v>
      </c>
      <c r="N1713" s="0" t="n">
        <v>53.03</v>
      </c>
      <c r="O1713" s="0" t="n">
        <v>27.49</v>
      </c>
      <c r="P1713" s="0" t="n">
        <v>5.18</v>
      </c>
      <c r="Q1713" s="0" t="n">
        <v>4.13</v>
      </c>
      <c r="R1713" s="0" t="n">
        <v>6402</v>
      </c>
      <c r="S1713" s="0" t="n">
        <v>12578</v>
      </c>
      <c r="T1713" s="0" t="n">
        <v>77</v>
      </c>
      <c r="U1713" s="0" t="n">
        <v>1466</v>
      </c>
      <c r="V1713" s="0" t="n">
        <v>4</v>
      </c>
      <c r="W1713" s="0" t="str">
        <f aca="false">IF(OR(AND(B1713&gt;=1,B1713&lt;=6),B1713=10),"Vaca em lactação",IF(I1713="Male","Macho",IF(E1713&gt;=1,"Vaca seca",IF(I1713="Youngstock","Bezerra/recria","Novilha"))))</f>
        <v>Vaca seca</v>
      </c>
      <c r="X1713" s="0" t="str">
        <f aca="false">IF(AND(B1713&gt;=1,B1713&lt;=6),"Tanque",IF(B1713=10,"Descarte",""))</f>
        <v/>
      </c>
    </row>
    <row r="1714" customFormat="false" ht="15" hidden="false" customHeight="false" outlineLevel="0" collapsed="false">
      <c r="A1714" s="22" t="n">
        <v>46309</v>
      </c>
      <c r="B1714" s="0" t="n">
        <v>7</v>
      </c>
      <c r="C1714" s="0" t="n">
        <v>4287</v>
      </c>
      <c r="D1714" s="0" t="n">
        <v>331</v>
      </c>
      <c r="E1714" s="0" t="n">
        <v>2</v>
      </c>
      <c r="F1714" s="23" t="s">
        <v>1013</v>
      </c>
      <c r="I1714" s="23" t="s">
        <v>357</v>
      </c>
      <c r="J1714" s="0" t="n">
        <v>108</v>
      </c>
      <c r="K1714" s="0" t="n">
        <v>67</v>
      </c>
      <c r="L1714" s="0" t="n">
        <v>252</v>
      </c>
      <c r="M1714" s="0" t="n">
        <v>698.12</v>
      </c>
      <c r="N1714" s="0" t="n">
        <v>56.25</v>
      </c>
      <c r="O1714" s="0" t="n">
        <v>31.39</v>
      </c>
      <c r="P1714" s="0" t="n">
        <v>5.11</v>
      </c>
      <c r="Q1714" s="0" t="n">
        <v>4.19</v>
      </c>
      <c r="R1714" s="0" t="n">
        <v>5583</v>
      </c>
      <c r="S1714" s="0" t="n">
        <v>10849</v>
      </c>
      <c r="T1714" s="0" t="n">
        <v>62.25</v>
      </c>
      <c r="U1714" s="0" t="n">
        <v>1457</v>
      </c>
      <c r="V1714" s="0" t="n">
        <v>2</v>
      </c>
      <c r="W1714" s="0" t="str">
        <f aca="false">IF(OR(AND(B1714&gt;=1,B1714&lt;=6),B1714=10),"Vaca em lactação",IF(I1714="Male","Macho",IF(E1714&gt;=1,"Vaca seca",IF(I1714="Youngstock","Bezerra/recria","Novilha"))))</f>
        <v>Vaca seca</v>
      </c>
      <c r="X1714" s="0" t="str">
        <f aca="false">IF(AND(B1714&gt;=1,B1714&lt;=6),"Tanque",IF(B1714=10,"Descarte",""))</f>
        <v/>
      </c>
    </row>
    <row r="1715" customFormat="false" ht="15" hidden="false" customHeight="false" outlineLevel="0" collapsed="false">
      <c r="A1715" s="22" t="n">
        <v>46309</v>
      </c>
      <c r="B1715" s="0" t="n">
        <v>7</v>
      </c>
      <c r="C1715" s="0" t="n">
        <v>4224</v>
      </c>
      <c r="D1715" s="0" t="n">
        <v>368</v>
      </c>
      <c r="E1715" s="0" t="n">
        <v>2</v>
      </c>
      <c r="F1715" s="23" t="s">
        <v>359</v>
      </c>
      <c r="I1715" s="23" t="s">
        <v>357</v>
      </c>
      <c r="J1715" s="0" t="n">
        <v>146</v>
      </c>
      <c r="K1715" s="0" t="n">
        <v>68</v>
      </c>
      <c r="L1715" s="0" t="n">
        <v>230</v>
      </c>
      <c r="M1715" s="0" t="n">
        <v>202.88</v>
      </c>
      <c r="N1715" s="0" t="n">
        <v>33.31</v>
      </c>
      <c r="O1715" s="0" t="n">
        <v>13.95</v>
      </c>
      <c r="P1715" s="0" t="n">
        <v>3.12</v>
      </c>
      <c r="Q1715" s="0" t="n">
        <v>3.48</v>
      </c>
      <c r="R1715" s="0" t="n">
        <v>4818</v>
      </c>
      <c r="S1715" s="0" t="n">
        <v>10093</v>
      </c>
      <c r="T1715" s="0" t="n">
        <v>49.75</v>
      </c>
      <c r="U1715" s="0" t="n">
        <v>1492</v>
      </c>
      <c r="V1715" s="0" t="n">
        <v>3</v>
      </c>
      <c r="W1715" s="0" t="str">
        <f aca="false">IF(OR(AND(B1715&gt;=1,B1715&lt;=6),B1715=10),"Vaca em lactação",IF(I1715="Male","Macho",IF(E1715&gt;=1,"Vaca seca",IF(I1715="Youngstock","Bezerra/recria","Novilha"))))</f>
        <v>Vaca seca</v>
      </c>
      <c r="X1715" s="0" t="str">
        <f aca="false">IF(AND(B1715&gt;=1,B1715&lt;=6),"Tanque",IF(B1715=10,"Descarte",""))</f>
        <v/>
      </c>
    </row>
    <row r="1716" customFormat="false" ht="15" hidden="false" customHeight="false" outlineLevel="0" collapsed="false">
      <c r="A1716" s="22" t="n">
        <v>46309</v>
      </c>
      <c r="B1716" s="0" t="n">
        <v>7</v>
      </c>
      <c r="C1716" s="0" t="n">
        <v>4223</v>
      </c>
      <c r="D1716" s="0" t="n">
        <v>477</v>
      </c>
      <c r="E1716" s="0" t="n">
        <v>2</v>
      </c>
      <c r="F1716" s="23" t="s">
        <v>359</v>
      </c>
      <c r="I1716" s="23" t="s">
        <v>357</v>
      </c>
      <c r="J1716" s="0" t="n">
        <v>352</v>
      </c>
      <c r="K1716" s="0" t="n">
        <v>65</v>
      </c>
      <c r="L1716" s="0" t="n">
        <v>147</v>
      </c>
      <c r="M1716" s="0" t="n">
        <v>912.69</v>
      </c>
      <c r="N1716" s="0" t="n">
        <v>59.78</v>
      </c>
      <c r="O1716" s="0" t="n">
        <v>31.07</v>
      </c>
      <c r="P1716" s="0" t="n">
        <v>5.08</v>
      </c>
      <c r="Q1716" s="0" t="n">
        <v>4.31</v>
      </c>
      <c r="R1716" s="0" t="n">
        <v>5822</v>
      </c>
      <c r="S1716" s="0" t="n">
        <v>11658</v>
      </c>
      <c r="T1716" s="0" t="n">
        <v>68.5</v>
      </c>
      <c r="U1716" s="0" t="n">
        <v>1492</v>
      </c>
      <c r="V1716" s="0" t="n">
        <v>6</v>
      </c>
      <c r="W1716" s="0" t="str">
        <f aca="false">IF(OR(AND(B1716&gt;=1,B1716&lt;=6),B1716=10),"Vaca em lactação",IF(I1716="Male","Macho",IF(E1716&gt;=1,"Vaca seca",IF(I1716="Youngstock","Bezerra/recria","Novilha"))))</f>
        <v>Vaca seca</v>
      </c>
      <c r="X1716" s="0" t="str">
        <f aca="false">IF(AND(B1716&gt;=1,B1716&lt;=6),"Tanque",IF(B1716=10,"Descarte",""))</f>
        <v/>
      </c>
    </row>
    <row r="1717" customFormat="false" ht="15" hidden="false" customHeight="false" outlineLevel="0" collapsed="false">
      <c r="A1717" s="22" t="n">
        <v>46309</v>
      </c>
      <c r="B1717" s="0" t="n">
        <v>7</v>
      </c>
      <c r="C1717" s="0" t="n">
        <v>4346</v>
      </c>
      <c r="D1717" s="0" t="n">
        <v>291</v>
      </c>
      <c r="E1717" s="0" t="n">
        <v>2</v>
      </c>
      <c r="F1717" s="23" t="s">
        <v>1014</v>
      </c>
      <c r="I1717" s="23" t="s">
        <v>357</v>
      </c>
      <c r="J1717" s="0" t="n">
        <v>68</v>
      </c>
      <c r="K1717" s="0" t="n">
        <v>68</v>
      </c>
      <c r="L1717" s="0" t="n">
        <v>238</v>
      </c>
      <c r="M1717" s="0" t="n">
        <v>765.54</v>
      </c>
      <c r="N1717" s="0" t="n">
        <v>48.16</v>
      </c>
      <c r="O1717" s="0" t="n">
        <v>31.64</v>
      </c>
      <c r="P1717" s="0" t="n">
        <v>4.91</v>
      </c>
      <c r="Q1717" s="0" t="n">
        <v>4.17</v>
      </c>
      <c r="R1717" s="0" t="n">
        <v>6405</v>
      </c>
      <c r="S1717" s="0" t="n">
        <v>13160</v>
      </c>
      <c r="T1717" s="0" t="n">
        <v>67.65</v>
      </c>
      <c r="U1717" s="0" t="n">
        <v>1426</v>
      </c>
      <c r="V1717" s="0" t="n">
        <v>1</v>
      </c>
      <c r="W1717" s="0" t="str">
        <f aca="false">IF(OR(AND(B1717&gt;=1,B1717&lt;=6),B1717=10),"Vaca em lactação",IF(I1717="Male","Macho",IF(E1717&gt;=1,"Vaca seca",IF(I1717="Youngstock","Bezerra/recria","Novilha"))))</f>
        <v>Vaca seca</v>
      </c>
      <c r="X1717" s="0" t="str">
        <f aca="false">IF(AND(B1717&gt;=1,B1717&lt;=6),"Tanque",IF(B1717=10,"Descarte",""))</f>
        <v/>
      </c>
    </row>
    <row r="1718" customFormat="false" ht="15" hidden="false" customHeight="false" outlineLevel="0" collapsed="false">
      <c r="A1718" s="22" t="n">
        <v>46309</v>
      </c>
      <c r="B1718" s="0" t="n">
        <v>7</v>
      </c>
      <c r="C1718" s="0" t="n">
        <v>4305</v>
      </c>
      <c r="D1718" s="0" t="n">
        <v>322</v>
      </c>
      <c r="E1718" s="0" t="n">
        <v>2</v>
      </c>
      <c r="F1718" s="23" t="s">
        <v>845</v>
      </c>
      <c r="G1718" s="0" t="n">
        <v>16.7</v>
      </c>
      <c r="H1718" s="0" t="n">
        <v>44</v>
      </c>
      <c r="I1718" s="23" t="s">
        <v>357</v>
      </c>
      <c r="J1718" s="0" t="n">
        <v>99</v>
      </c>
      <c r="K1718" s="0" t="n">
        <v>64</v>
      </c>
      <c r="L1718" s="0" t="n">
        <v>224</v>
      </c>
      <c r="M1718" s="0" t="n">
        <v>1135.34</v>
      </c>
      <c r="N1718" s="0" t="n">
        <v>51.73</v>
      </c>
      <c r="O1718" s="0" t="n">
        <v>30.97</v>
      </c>
      <c r="P1718" s="0" t="n">
        <v>3.02</v>
      </c>
      <c r="Q1718" s="0" t="n">
        <v>3.45</v>
      </c>
      <c r="R1718" s="0" t="n">
        <v>7236</v>
      </c>
      <c r="S1718" s="0" t="n">
        <v>14060</v>
      </c>
      <c r="T1718" s="0" t="n">
        <v>78.9</v>
      </c>
      <c r="U1718" s="0" t="n">
        <v>1445</v>
      </c>
      <c r="V1718" s="0" t="n">
        <v>2</v>
      </c>
      <c r="W1718" s="0" t="str">
        <f aca="false">IF(OR(AND(B1718&gt;=1,B1718&lt;=6),B1718=10),"Vaca em lactação",IF(I1718="Male","Macho",IF(E1718&gt;=1,"Vaca seca",IF(I1718="Youngstock","Bezerra/recria","Novilha"))))</f>
        <v>Vaca seca</v>
      </c>
      <c r="X1718" s="0" t="str">
        <f aca="false">IF(AND(B1718&gt;=1,B1718&lt;=6),"Tanque",IF(B1718=10,"Descarte",""))</f>
        <v/>
      </c>
    </row>
    <row r="1719" customFormat="false" ht="15" hidden="false" customHeight="false" outlineLevel="0" collapsed="false">
      <c r="A1719" s="22" t="n">
        <v>46309</v>
      </c>
      <c r="B1719" s="0" t="n">
        <v>7</v>
      </c>
      <c r="C1719" s="0" t="n">
        <v>4155</v>
      </c>
      <c r="D1719" s="0" t="n">
        <v>488</v>
      </c>
      <c r="E1719" s="0" t="n">
        <v>2</v>
      </c>
      <c r="F1719" s="23" t="s">
        <v>374</v>
      </c>
      <c r="I1719" s="23" t="s">
        <v>357</v>
      </c>
      <c r="J1719" s="0" t="n">
        <v>433</v>
      </c>
      <c r="K1719" s="0" t="n">
        <v>62</v>
      </c>
      <c r="L1719" s="0" t="n">
        <v>84</v>
      </c>
      <c r="M1719" s="0" t="n">
        <v>151.16</v>
      </c>
      <c r="N1719" s="0" t="n">
        <v>53.06</v>
      </c>
      <c r="O1719" s="0" t="n">
        <v>16.26</v>
      </c>
      <c r="P1719" s="0" t="n">
        <v>6.46</v>
      </c>
      <c r="Q1719" s="0" t="n">
        <v>4.41</v>
      </c>
      <c r="R1719" s="0" t="n">
        <v>6029</v>
      </c>
      <c r="S1719" s="0" t="n">
        <v>10989</v>
      </c>
      <c r="T1719" s="0" t="n">
        <v>63.1</v>
      </c>
      <c r="U1719" s="0" t="n">
        <v>1523</v>
      </c>
      <c r="V1719" s="0" t="n">
        <v>10</v>
      </c>
      <c r="W1719" s="0" t="str">
        <f aca="false">IF(OR(AND(B1719&gt;=1,B1719&lt;=6),B1719=10),"Vaca em lactação",IF(I1719="Male","Macho",IF(E1719&gt;=1,"Vaca seca",IF(I1719="Youngstock","Bezerra/recria","Novilha"))))</f>
        <v>Vaca seca</v>
      </c>
      <c r="X1719" s="0" t="str">
        <f aca="false">IF(AND(B1719&gt;=1,B1719&lt;=6),"Tanque",IF(B1719=10,"Descarte",""))</f>
        <v/>
      </c>
    </row>
    <row r="1720" customFormat="false" ht="15" hidden="false" customHeight="false" outlineLevel="0" collapsed="false">
      <c r="A1720" s="22" t="n">
        <v>46309</v>
      </c>
      <c r="B1720" s="0" t="n">
        <v>7</v>
      </c>
      <c r="C1720" s="0" t="n">
        <v>4102</v>
      </c>
      <c r="D1720" s="0" t="n">
        <v>177</v>
      </c>
      <c r="E1720" s="0" t="n">
        <v>3</v>
      </c>
      <c r="F1720" s="23" t="s">
        <v>849</v>
      </c>
      <c r="I1720" s="23" t="s">
        <v>357</v>
      </c>
      <c r="J1720" s="0" t="n">
        <v>66</v>
      </c>
      <c r="K1720" s="0" t="n">
        <v>66</v>
      </c>
      <c r="L1720" s="0" t="n">
        <v>133</v>
      </c>
      <c r="M1720" s="0" t="n">
        <v>21.37</v>
      </c>
      <c r="N1720" s="0" t="n">
        <v>21.23</v>
      </c>
      <c r="O1720" s="0" t="n">
        <v>9.74</v>
      </c>
      <c r="P1720" s="0" t="n">
        <v>4.3</v>
      </c>
      <c r="Q1720" s="0" t="n">
        <v>2.83</v>
      </c>
      <c r="R1720" s="0" t="n">
        <v>2396</v>
      </c>
      <c r="S1720" s="0" t="n">
        <v>4590</v>
      </c>
      <c r="T1720" s="0" t="n">
        <v>25.85</v>
      </c>
      <c r="U1720" s="0" t="n">
        <v>1548</v>
      </c>
      <c r="V1720" s="0" t="n">
        <v>1</v>
      </c>
      <c r="W1720" s="0" t="str">
        <f aca="false">IF(OR(AND(B1720&gt;=1,B1720&lt;=6),B1720=10),"Vaca em lactação",IF(I1720="Male","Macho",IF(E1720&gt;=1,"Vaca seca",IF(I1720="Youngstock","Bezerra/recria","Novilha"))))</f>
        <v>Vaca seca</v>
      </c>
      <c r="X1720" s="0" t="str">
        <f aca="false">IF(AND(B1720&gt;=1,B1720&lt;=6),"Tanque",IF(B1720=10,"Descarte",""))</f>
        <v/>
      </c>
    </row>
    <row r="1721" customFormat="false" ht="15" hidden="false" customHeight="false" outlineLevel="0" collapsed="false">
      <c r="A1721" s="22" t="n">
        <v>46309</v>
      </c>
      <c r="B1721" s="0" t="n">
        <v>7</v>
      </c>
      <c r="C1721" s="0" t="n">
        <v>4101</v>
      </c>
      <c r="D1721" s="0" t="n">
        <v>223</v>
      </c>
      <c r="E1721" s="0" t="n">
        <v>3</v>
      </c>
      <c r="F1721" s="23" t="s">
        <v>849</v>
      </c>
      <c r="I1721" s="23" t="s">
        <v>357</v>
      </c>
      <c r="J1721" s="0" t="n">
        <v>63</v>
      </c>
      <c r="K1721" s="0" t="n">
        <v>63</v>
      </c>
      <c r="L1721" s="0" t="n">
        <v>175</v>
      </c>
      <c r="M1721" s="0" t="n">
        <v>691.47</v>
      </c>
      <c r="N1721" s="0" t="n">
        <v>52.76</v>
      </c>
      <c r="O1721" s="0" t="n">
        <v>19.97</v>
      </c>
      <c r="P1721" s="0" t="n">
        <v>4.79</v>
      </c>
      <c r="Q1721" s="0" t="n">
        <v>3.64</v>
      </c>
      <c r="R1721" s="0" t="n">
        <v>4052</v>
      </c>
      <c r="S1721" s="0" t="n">
        <v>7329</v>
      </c>
      <c r="T1721" s="0" t="n">
        <v>45.75</v>
      </c>
      <c r="U1721" s="0" t="n">
        <v>1548</v>
      </c>
      <c r="V1721" s="0" t="n">
        <v>1</v>
      </c>
      <c r="W1721" s="0" t="str">
        <f aca="false">IF(OR(AND(B1721&gt;=1,B1721&lt;=6),B1721=10),"Vaca em lactação",IF(I1721="Male","Macho",IF(E1721&gt;=1,"Vaca seca",IF(I1721="Youngstock","Bezerra/recria","Novilha"))))</f>
        <v>Vaca seca</v>
      </c>
      <c r="X1721" s="0" t="str">
        <f aca="false">IF(AND(B1721&gt;=1,B1721&lt;=6),"Tanque",IF(B1721=10,"Descarte",""))</f>
        <v/>
      </c>
    </row>
    <row r="1722" customFormat="false" ht="15" hidden="false" customHeight="false" outlineLevel="0" collapsed="false">
      <c r="A1722" s="22" t="n">
        <v>46309</v>
      </c>
      <c r="B1722" s="0" t="n">
        <v>7</v>
      </c>
      <c r="C1722" s="0" t="n">
        <v>4210</v>
      </c>
      <c r="D1722" s="0" t="n">
        <v>349</v>
      </c>
      <c r="E1722" s="0" t="n">
        <v>2</v>
      </c>
      <c r="F1722" s="23" t="s">
        <v>380</v>
      </c>
      <c r="I1722" s="23" t="s">
        <v>357</v>
      </c>
      <c r="J1722" s="0" t="n">
        <v>125</v>
      </c>
      <c r="K1722" s="0" t="n">
        <v>69</v>
      </c>
      <c r="L1722" s="0" t="n">
        <v>252</v>
      </c>
      <c r="M1722" s="0" t="n">
        <v>703.84</v>
      </c>
      <c r="N1722" s="0" t="n">
        <v>68.41</v>
      </c>
      <c r="O1722" s="0" t="n">
        <v>27.88</v>
      </c>
      <c r="P1722" s="0" t="n">
        <v>3.75</v>
      </c>
      <c r="Q1722" s="0" t="n">
        <v>3.24</v>
      </c>
      <c r="R1722" s="0" t="n">
        <v>6083</v>
      </c>
      <c r="S1722" s="0" t="n">
        <v>10874</v>
      </c>
      <c r="T1722" s="0" t="n">
        <v>67.95</v>
      </c>
      <c r="U1722" s="0" t="n">
        <v>1495</v>
      </c>
      <c r="V1722" s="0" t="n">
        <v>2</v>
      </c>
      <c r="W1722" s="0" t="str">
        <f aca="false">IF(OR(AND(B1722&gt;=1,B1722&lt;=6),B1722=10),"Vaca em lactação",IF(I1722="Male","Macho",IF(E1722&gt;=1,"Vaca seca",IF(I1722="Youngstock","Bezerra/recria","Novilha"))))</f>
        <v>Vaca seca</v>
      </c>
      <c r="X1722" s="0" t="str">
        <f aca="false">IF(AND(B1722&gt;=1,B1722&lt;=6),"Tanque",IF(B1722=10,"Descarte",""))</f>
        <v/>
      </c>
    </row>
    <row r="1723" customFormat="false" ht="15" hidden="false" customHeight="false" outlineLevel="0" collapsed="false">
      <c r="A1723" s="22" t="n">
        <v>46309</v>
      </c>
      <c r="B1723" s="0" t="n">
        <v>7</v>
      </c>
      <c r="C1723" s="0" t="n">
        <v>4163</v>
      </c>
      <c r="D1723" s="0" t="n">
        <v>412</v>
      </c>
      <c r="E1723" s="0" t="n">
        <v>2</v>
      </c>
      <c r="F1723" s="23" t="s">
        <v>381</v>
      </c>
      <c r="I1723" s="23" t="s">
        <v>357</v>
      </c>
      <c r="J1723" s="0" t="n">
        <v>258</v>
      </c>
      <c r="K1723" s="0" t="n">
        <v>63</v>
      </c>
      <c r="L1723" s="0" t="n">
        <v>169</v>
      </c>
      <c r="M1723" s="0" t="n">
        <v>733.72</v>
      </c>
      <c r="N1723" s="0" t="n">
        <v>29.98</v>
      </c>
      <c r="O1723" s="0" t="n">
        <v>24.29</v>
      </c>
      <c r="P1723" s="0" t="n">
        <v>4.81</v>
      </c>
      <c r="Q1723" s="0" t="n">
        <v>4.09</v>
      </c>
      <c r="R1723" s="0" t="n">
        <v>5929</v>
      </c>
      <c r="S1723" s="0" t="n">
        <v>9939</v>
      </c>
      <c r="T1723" s="0" t="n">
        <v>62.35</v>
      </c>
      <c r="U1723" s="0" t="n">
        <v>1520</v>
      </c>
      <c r="V1723" s="0" t="n">
        <v>5</v>
      </c>
      <c r="W1723" s="0" t="str">
        <f aca="false">IF(OR(AND(B1723&gt;=1,B1723&lt;=6),B1723=10),"Vaca em lactação",IF(I1723="Male","Macho",IF(E1723&gt;=1,"Vaca seca",IF(I1723="Youngstock","Bezerra/recria","Novilha"))))</f>
        <v>Vaca seca</v>
      </c>
      <c r="X1723" s="0" t="str">
        <f aca="false">IF(AND(B1723&gt;=1,B1723&lt;=6),"Tanque",IF(B1723=10,"Descarte",""))</f>
        <v/>
      </c>
    </row>
    <row r="1724" customFormat="false" ht="15" hidden="false" customHeight="false" outlineLevel="0" collapsed="false">
      <c r="A1724" s="22" t="n">
        <v>46309</v>
      </c>
      <c r="B1724" s="0" t="n">
        <v>7</v>
      </c>
      <c r="C1724" s="0" t="n">
        <v>4181</v>
      </c>
      <c r="D1724" s="0" t="n">
        <v>22</v>
      </c>
      <c r="E1724" s="0" t="n">
        <v>3</v>
      </c>
      <c r="F1724" s="23" t="s">
        <v>518</v>
      </c>
      <c r="I1724" s="23" t="s">
        <v>1001</v>
      </c>
      <c r="J1724" s="0" t="n">
        <v>22</v>
      </c>
      <c r="K1724" s="0" t="n">
        <v>39</v>
      </c>
      <c r="M1724" s="0" t="n">
        <v>82.3</v>
      </c>
      <c r="N1724" s="0" t="n">
        <v>62.58</v>
      </c>
      <c r="O1724" s="0" t="n">
        <v>21.79</v>
      </c>
      <c r="P1724" s="0" t="n">
        <v>0</v>
      </c>
      <c r="Q1724" s="0" t="n">
        <v>0</v>
      </c>
      <c r="R1724" s="0" t="n">
        <v>1647</v>
      </c>
      <c r="S1724" s="0" t="n">
        <v>3311</v>
      </c>
      <c r="U1724" s="0" t="n">
        <v>1512</v>
      </c>
      <c r="V1724" s="0" t="n">
        <v>1</v>
      </c>
      <c r="W1724" s="0" t="str">
        <f aca="false">IF(OR(AND(B1724&gt;=1,B1724&lt;=6),B1724=10),"Vaca em lactação",IF(I1724="Male","Macho",IF(E1724&gt;=1,"Vaca seca",IF(I1724="Youngstock","Bezerra/recria","Novilha"))))</f>
        <v>Vaca seca</v>
      </c>
      <c r="X1724" s="0" t="str">
        <f aca="false">IF(AND(B1724&gt;=1,B1724&lt;=6),"Tanque",IF(B1724=10,"Descarte",""))</f>
        <v/>
      </c>
    </row>
    <row r="1725" customFormat="false" ht="15" hidden="false" customHeight="false" outlineLevel="0" collapsed="false">
      <c r="A1725" s="22" t="n">
        <v>46309</v>
      </c>
      <c r="B1725" s="0" t="n">
        <v>7</v>
      </c>
      <c r="C1725" s="0" t="n">
        <v>4177</v>
      </c>
      <c r="D1725" s="0" t="n">
        <v>378</v>
      </c>
      <c r="E1725" s="0" t="n">
        <v>2</v>
      </c>
      <c r="F1725" s="23" t="s">
        <v>1015</v>
      </c>
      <c r="I1725" s="23" t="s">
        <v>357</v>
      </c>
      <c r="J1725" s="0" t="n">
        <v>352</v>
      </c>
      <c r="K1725" s="0" t="n">
        <v>64</v>
      </c>
      <c r="L1725" s="0" t="n">
        <v>90</v>
      </c>
      <c r="M1725" s="0" t="n">
        <v>211.52</v>
      </c>
      <c r="N1725" s="0" t="n">
        <v>52.45</v>
      </c>
      <c r="O1725" s="0" t="n">
        <v>29.81</v>
      </c>
      <c r="P1725" s="0" t="n">
        <v>9.8</v>
      </c>
      <c r="Q1725" s="0" t="n">
        <v>5.73</v>
      </c>
      <c r="R1725" s="0" t="n">
        <v>4995</v>
      </c>
      <c r="S1725" s="0" t="n">
        <v>9370</v>
      </c>
      <c r="T1725" s="0" t="n">
        <v>52.55</v>
      </c>
      <c r="U1725" s="0" t="n">
        <v>1517</v>
      </c>
      <c r="V1725" s="0" t="n">
        <v>8</v>
      </c>
      <c r="W1725" s="0" t="str">
        <f aca="false">IF(OR(AND(B1725&gt;=1,B1725&lt;=6),B1725=10),"Vaca em lactação",IF(I1725="Male","Macho",IF(E1725&gt;=1,"Vaca seca",IF(I1725="Youngstock","Bezerra/recria","Novilha"))))</f>
        <v>Vaca seca</v>
      </c>
      <c r="X1725" s="0" t="str">
        <f aca="false">IF(AND(B1725&gt;=1,B1725&lt;=6),"Tanque",IF(B1725=10,"Descarte",""))</f>
        <v/>
      </c>
    </row>
    <row r="1726" customFormat="false" ht="15" hidden="false" customHeight="false" outlineLevel="0" collapsed="false">
      <c r="A1726" s="22" t="n">
        <v>46309</v>
      </c>
      <c r="B1726" s="0" t="n">
        <v>7</v>
      </c>
      <c r="C1726" s="0" t="n">
        <v>4176</v>
      </c>
      <c r="D1726" s="0" t="n">
        <v>422</v>
      </c>
      <c r="E1726" s="0" t="n">
        <v>2</v>
      </c>
      <c r="F1726" s="23" t="s">
        <v>1015</v>
      </c>
      <c r="I1726" s="23" t="s">
        <v>357</v>
      </c>
      <c r="J1726" s="0" t="n">
        <v>199</v>
      </c>
      <c r="K1726" s="0" t="n">
        <v>59</v>
      </c>
      <c r="L1726" s="0" t="n">
        <v>245</v>
      </c>
      <c r="M1726" s="0" t="n">
        <v>831.98</v>
      </c>
      <c r="N1726" s="0" t="n">
        <v>27.39</v>
      </c>
      <c r="O1726" s="0" t="n">
        <v>29.94</v>
      </c>
      <c r="P1726" s="0" t="n">
        <v>4.4</v>
      </c>
      <c r="Q1726" s="0" t="n">
        <v>3.91</v>
      </c>
      <c r="R1726" s="0" t="n">
        <v>6187</v>
      </c>
      <c r="S1726" s="0" t="n">
        <v>12575</v>
      </c>
      <c r="T1726" s="0" t="n">
        <v>71.15</v>
      </c>
      <c r="U1726" s="0" t="n">
        <v>1517</v>
      </c>
      <c r="V1726" s="0" t="n">
        <v>5</v>
      </c>
      <c r="W1726" s="0" t="str">
        <f aca="false">IF(OR(AND(B1726&gt;=1,B1726&lt;=6),B1726=10),"Vaca em lactação",IF(I1726="Male","Macho",IF(E1726&gt;=1,"Vaca seca",IF(I1726="Youngstock","Bezerra/recria","Novilha"))))</f>
        <v>Vaca seca</v>
      </c>
      <c r="X1726" s="0" t="str">
        <f aca="false">IF(AND(B1726&gt;=1,B1726&lt;=6),"Tanque",IF(B1726=10,"Descarte",""))</f>
        <v/>
      </c>
    </row>
    <row r="1727" customFormat="false" ht="15" hidden="false" customHeight="false" outlineLevel="0" collapsed="false">
      <c r="A1727" s="22" t="n">
        <v>46309</v>
      </c>
      <c r="B1727" s="0" t="n">
        <v>7</v>
      </c>
      <c r="C1727" s="0" t="n">
        <v>4190</v>
      </c>
      <c r="D1727" s="0" t="n">
        <v>286</v>
      </c>
      <c r="E1727" s="0" t="n">
        <v>2</v>
      </c>
      <c r="F1727" s="23" t="s">
        <v>383</v>
      </c>
      <c r="I1727" s="23" t="s">
        <v>357</v>
      </c>
      <c r="J1727" s="0" t="n">
        <v>63</v>
      </c>
      <c r="K1727" s="0" t="n">
        <v>63</v>
      </c>
      <c r="L1727" s="0" t="n">
        <v>252</v>
      </c>
      <c r="M1727" s="0" t="n">
        <v>936.09</v>
      </c>
      <c r="N1727" s="0" t="n">
        <v>50.51</v>
      </c>
      <c r="O1727" s="0" t="n">
        <v>29.73</v>
      </c>
      <c r="P1727" s="0" t="n">
        <v>4</v>
      </c>
      <c r="Q1727" s="0" t="n">
        <v>3.25</v>
      </c>
      <c r="R1727" s="0" t="n">
        <v>5735</v>
      </c>
      <c r="S1727" s="0" t="n">
        <v>12325</v>
      </c>
      <c r="T1727" s="0" t="n">
        <v>59.55</v>
      </c>
      <c r="U1727" s="0" t="n">
        <v>1508</v>
      </c>
      <c r="V1727" s="0" t="n">
        <v>1</v>
      </c>
      <c r="W1727" s="0" t="str">
        <f aca="false">IF(OR(AND(B1727&gt;=1,B1727&lt;=6),B1727=10),"Vaca em lactação",IF(I1727="Male","Macho",IF(E1727&gt;=1,"Vaca seca",IF(I1727="Youngstock","Bezerra/recria","Novilha"))))</f>
        <v>Vaca seca</v>
      </c>
      <c r="X1727" s="0" t="str">
        <f aca="false">IF(AND(B1727&gt;=1,B1727&lt;=6),"Tanque",IF(B1727=10,"Descarte",""))</f>
        <v/>
      </c>
    </row>
    <row r="1728" customFormat="false" ht="15" hidden="false" customHeight="false" outlineLevel="0" collapsed="false">
      <c r="A1728" s="22" t="n">
        <v>46309</v>
      </c>
      <c r="B1728" s="0" t="n">
        <v>7</v>
      </c>
      <c r="C1728" s="0" t="n">
        <v>4509</v>
      </c>
      <c r="D1728" s="0" t="n">
        <v>323</v>
      </c>
      <c r="E1728" s="0" t="n">
        <v>2</v>
      </c>
      <c r="F1728" s="23" t="s">
        <v>522</v>
      </c>
      <c r="I1728" s="23" t="s">
        <v>357</v>
      </c>
      <c r="J1728" s="0" t="n">
        <v>100</v>
      </c>
      <c r="K1728" s="0" t="n">
        <v>66</v>
      </c>
      <c r="L1728" s="0" t="n">
        <v>252</v>
      </c>
      <c r="P1728" s="0" t="n">
        <v>5.26</v>
      </c>
      <c r="Q1728" s="0" t="n">
        <v>3.58</v>
      </c>
      <c r="R1728" s="0" t="n">
        <v>3452</v>
      </c>
      <c r="S1728" s="0" t="n">
        <v>7255</v>
      </c>
      <c r="T1728" s="0" t="n">
        <v>43.4</v>
      </c>
      <c r="U1728" s="0" t="n">
        <v>1346</v>
      </c>
      <c r="V1728" s="0" t="n">
        <v>2</v>
      </c>
      <c r="W1728" s="0" t="str">
        <f aca="false">IF(OR(AND(B1728&gt;=1,B1728&lt;=6),B1728=10),"Vaca em lactação",IF(I1728="Male","Macho",IF(E1728&gt;=1,"Vaca seca",IF(I1728="Youngstock","Bezerra/recria","Novilha"))))</f>
        <v>Vaca seca</v>
      </c>
      <c r="X1728" s="0" t="str">
        <f aca="false">IF(AND(B1728&gt;=1,B1728&lt;=6),"Tanque",IF(B1728=10,"Descarte",""))</f>
        <v/>
      </c>
    </row>
    <row r="1729" customFormat="false" ht="15" hidden="false" customHeight="false" outlineLevel="0" collapsed="false">
      <c r="A1729" s="22" t="n">
        <v>46309</v>
      </c>
      <c r="B1729" s="0" t="n">
        <v>7</v>
      </c>
      <c r="C1729" s="0" t="n">
        <v>4507</v>
      </c>
      <c r="D1729" s="0" t="n">
        <v>288</v>
      </c>
      <c r="E1729" s="0" t="n">
        <v>2</v>
      </c>
      <c r="F1729" s="23" t="s">
        <v>1016</v>
      </c>
      <c r="I1729" s="23" t="s">
        <v>357</v>
      </c>
      <c r="J1729" s="0" t="n">
        <v>65</v>
      </c>
      <c r="K1729" s="0" t="n">
        <v>65</v>
      </c>
      <c r="L1729" s="0" t="n">
        <v>238</v>
      </c>
      <c r="M1729" s="0" t="n">
        <v>1388.78</v>
      </c>
      <c r="N1729" s="0" t="n">
        <v>49.01</v>
      </c>
      <c r="O1729" s="0" t="n">
        <v>41.81</v>
      </c>
      <c r="P1729" s="0" t="n">
        <v>4.5</v>
      </c>
      <c r="Q1729" s="0" t="n">
        <v>3.96</v>
      </c>
      <c r="R1729" s="0" t="n">
        <v>4007</v>
      </c>
      <c r="S1729" s="0" t="n">
        <v>9345</v>
      </c>
      <c r="T1729" s="0" t="n">
        <v>48.95</v>
      </c>
      <c r="U1729" s="0" t="n">
        <v>1349</v>
      </c>
      <c r="V1729" s="0" t="n">
        <v>1</v>
      </c>
      <c r="W1729" s="0" t="str">
        <f aca="false">IF(OR(AND(B1729&gt;=1,B1729&lt;=6),B1729=10),"Vaca em lactação",IF(I1729="Male","Macho",IF(E1729&gt;=1,"Vaca seca",IF(I1729="Youngstock","Bezerra/recria","Novilha"))))</f>
        <v>Vaca seca</v>
      </c>
      <c r="X1729" s="0" t="str">
        <f aca="false">IF(AND(B1729&gt;=1,B1729&lt;=6),"Tanque",IF(B1729=10,"Descarte",""))</f>
        <v/>
      </c>
    </row>
    <row r="1730" customFormat="false" ht="15" hidden="false" customHeight="false" outlineLevel="0" collapsed="false">
      <c r="A1730" s="22" t="n">
        <v>46309</v>
      </c>
      <c r="B1730" s="0" t="n">
        <v>7</v>
      </c>
      <c r="C1730" s="0" t="n">
        <v>4518</v>
      </c>
      <c r="D1730" s="0" t="n">
        <v>286</v>
      </c>
      <c r="E1730" s="0" t="n">
        <v>2</v>
      </c>
      <c r="F1730" s="23" t="s">
        <v>523</v>
      </c>
      <c r="G1730" s="0" t="n">
        <v>17.2</v>
      </c>
      <c r="H1730" s="0" t="n">
        <v>41</v>
      </c>
      <c r="I1730" s="23" t="s">
        <v>357</v>
      </c>
      <c r="J1730" s="0" t="n">
        <v>63</v>
      </c>
      <c r="K1730" s="0" t="n">
        <v>63</v>
      </c>
      <c r="L1730" s="0" t="n">
        <v>224</v>
      </c>
      <c r="M1730" s="0" t="n">
        <v>833.83</v>
      </c>
      <c r="N1730" s="0" t="n">
        <v>34.36</v>
      </c>
      <c r="O1730" s="0" t="n">
        <v>33.34</v>
      </c>
      <c r="P1730" s="0" t="n">
        <v>3.78</v>
      </c>
      <c r="Q1730" s="0" t="n">
        <v>3.6</v>
      </c>
      <c r="R1730" s="0" t="n">
        <v>6146</v>
      </c>
      <c r="S1730" s="0" t="n">
        <v>13149</v>
      </c>
      <c r="T1730" s="0" t="n">
        <v>63.35</v>
      </c>
      <c r="U1730" s="0" t="n">
        <v>1343</v>
      </c>
      <c r="V1730" s="0" t="n">
        <v>1</v>
      </c>
      <c r="W1730" s="0" t="str">
        <f aca="false">IF(OR(AND(B1730&gt;=1,B1730&lt;=6),B1730=10),"Vaca em lactação",IF(I1730="Male","Macho",IF(E1730&gt;=1,"Vaca seca",IF(I1730="Youngstock","Bezerra/recria","Novilha"))))</f>
        <v>Vaca seca</v>
      </c>
      <c r="X1730" s="0" t="str">
        <f aca="false">IF(AND(B1730&gt;=1,B1730&lt;=6),"Tanque",IF(B1730=10,"Descarte",""))</f>
        <v/>
      </c>
    </row>
    <row r="1731" customFormat="false" ht="15" hidden="false" customHeight="false" outlineLevel="0" collapsed="false">
      <c r="A1731" s="22" t="n">
        <v>46309</v>
      </c>
      <c r="B1731" s="0" t="n">
        <v>7</v>
      </c>
      <c r="C1731" s="0" t="n">
        <v>4514</v>
      </c>
      <c r="D1731" s="0" t="n">
        <v>298</v>
      </c>
      <c r="E1731" s="0" t="n">
        <v>2</v>
      </c>
      <c r="F1731" s="23" t="s">
        <v>869</v>
      </c>
      <c r="I1731" s="23" t="s">
        <v>357</v>
      </c>
      <c r="J1731" s="0" t="n">
        <v>75</v>
      </c>
      <c r="K1731" s="0" t="n">
        <v>75</v>
      </c>
      <c r="L1731" s="0" t="n">
        <v>245</v>
      </c>
      <c r="M1731" s="0" t="n">
        <v>844.5</v>
      </c>
      <c r="N1731" s="0" t="n">
        <v>19.55</v>
      </c>
      <c r="O1731" s="0" t="n">
        <v>30.56</v>
      </c>
      <c r="P1731" s="0" t="n">
        <v>4.99</v>
      </c>
      <c r="Q1731" s="0" t="n">
        <v>3.87</v>
      </c>
      <c r="R1731" s="0" t="n">
        <v>6262</v>
      </c>
      <c r="S1731" s="0" t="n">
        <v>12557</v>
      </c>
      <c r="T1731" s="0" t="n">
        <v>68.5</v>
      </c>
      <c r="U1731" s="0" t="n">
        <v>1344</v>
      </c>
      <c r="V1731" s="0" t="n">
        <v>1</v>
      </c>
      <c r="W1731" s="0" t="str">
        <f aca="false">IF(OR(AND(B1731&gt;=1,B1731&lt;=6),B1731=10),"Vaca em lactação",IF(I1731="Male","Macho",IF(E1731&gt;=1,"Vaca seca",IF(I1731="Youngstock","Bezerra/recria","Novilha"))))</f>
        <v>Vaca seca</v>
      </c>
      <c r="X1731" s="0" t="str">
        <f aca="false">IF(AND(B1731&gt;=1,B1731&lt;=6),"Tanque",IF(B1731=10,"Descarte",""))</f>
        <v/>
      </c>
    </row>
    <row r="1732" customFormat="false" ht="15" hidden="false" customHeight="false" outlineLevel="0" collapsed="false">
      <c r="A1732" s="22" t="n">
        <v>46309</v>
      </c>
      <c r="B1732" s="0" t="n">
        <v>7</v>
      </c>
      <c r="C1732" s="0" t="n">
        <v>4524</v>
      </c>
      <c r="D1732" s="0" t="n">
        <v>656</v>
      </c>
      <c r="E1732" s="0" t="n">
        <v>1</v>
      </c>
      <c r="F1732" s="23" t="s">
        <v>870</v>
      </c>
      <c r="G1732" s="0" t="n">
        <v>8.8</v>
      </c>
      <c r="H1732" s="0" t="n">
        <v>17</v>
      </c>
      <c r="I1732" s="23" t="s">
        <v>357</v>
      </c>
      <c r="J1732" s="0" t="n">
        <v>433</v>
      </c>
      <c r="K1732" s="0" t="n">
        <v>70</v>
      </c>
      <c r="L1732" s="0" t="n">
        <v>224</v>
      </c>
      <c r="M1732" s="0" t="n">
        <v>559.91</v>
      </c>
      <c r="N1732" s="0" t="n">
        <v>28.99</v>
      </c>
      <c r="O1732" s="0" t="n">
        <v>23.84</v>
      </c>
      <c r="P1732" s="0" t="n">
        <v>4.53</v>
      </c>
      <c r="Q1732" s="0" t="n">
        <v>3.96</v>
      </c>
      <c r="R1732" s="0" t="n">
        <v>4249</v>
      </c>
      <c r="S1732" s="0" t="n">
        <v>8694</v>
      </c>
      <c r="T1732" s="0" t="n">
        <v>29.7</v>
      </c>
      <c r="U1732" s="0" t="n">
        <v>1341</v>
      </c>
      <c r="V1732" s="0" t="n">
        <v>6</v>
      </c>
      <c r="W1732" s="0" t="str">
        <f aca="false">IF(OR(AND(B1732&gt;=1,B1732&lt;=6),B1732=10),"Vaca em lactação",IF(I1732="Male","Macho",IF(E1732&gt;=1,"Vaca seca",IF(I1732="Youngstock","Bezerra/recria","Novilha"))))</f>
        <v>Vaca seca</v>
      </c>
      <c r="X1732" s="0" t="str">
        <f aca="false">IF(AND(B1732&gt;=1,B1732&lt;=6),"Tanque",IF(B1732=10,"Descarte",""))</f>
        <v/>
      </c>
    </row>
    <row r="1733" customFormat="false" ht="15" hidden="false" customHeight="false" outlineLevel="0" collapsed="false">
      <c r="A1733" s="22" t="n">
        <v>46309</v>
      </c>
      <c r="B1733" s="0" t="n">
        <v>7</v>
      </c>
      <c r="C1733" s="0" t="n">
        <v>4520</v>
      </c>
      <c r="D1733" s="0" t="n">
        <v>288</v>
      </c>
      <c r="E1733" s="0" t="n">
        <v>2</v>
      </c>
      <c r="F1733" s="23" t="s">
        <v>1017</v>
      </c>
      <c r="G1733" s="0" t="n">
        <v>13.7</v>
      </c>
      <c r="H1733" s="0" t="n">
        <v>32</v>
      </c>
      <c r="I1733" s="23" t="s">
        <v>357</v>
      </c>
      <c r="J1733" s="0" t="n">
        <v>65</v>
      </c>
      <c r="K1733" s="0" t="n">
        <v>65</v>
      </c>
      <c r="L1733" s="0" t="n">
        <v>224</v>
      </c>
      <c r="M1733" s="0" t="n">
        <v>1016.74</v>
      </c>
      <c r="N1733" s="0" t="n">
        <v>22.11</v>
      </c>
      <c r="O1733" s="0" t="n">
        <v>40.71</v>
      </c>
      <c r="P1733" s="0" t="n">
        <v>3.5</v>
      </c>
      <c r="Q1733" s="0" t="n">
        <v>3.88</v>
      </c>
      <c r="R1733" s="0" t="n">
        <v>6347</v>
      </c>
      <c r="S1733" s="0" t="n">
        <v>12427</v>
      </c>
      <c r="T1733" s="0" t="n">
        <v>67.45</v>
      </c>
      <c r="U1733" s="0" t="n">
        <v>1342</v>
      </c>
      <c r="V1733" s="0" t="n">
        <v>1</v>
      </c>
      <c r="W1733" s="0" t="str">
        <f aca="false">IF(OR(AND(B1733&gt;=1,B1733&lt;=6),B1733=10),"Vaca em lactação",IF(I1733="Male","Macho",IF(E1733&gt;=1,"Vaca seca",IF(I1733="Youngstock","Bezerra/recria","Novilha"))))</f>
        <v>Vaca seca</v>
      </c>
      <c r="X1733" s="0" t="str">
        <f aca="false">IF(AND(B1733&gt;=1,B1733&lt;=6),"Tanque",IF(B1733=10,"Descarte",""))</f>
        <v/>
      </c>
    </row>
    <row r="1734" customFormat="false" ht="15" hidden="false" customHeight="false" outlineLevel="0" collapsed="false">
      <c r="A1734" s="22" t="n">
        <v>46309</v>
      </c>
      <c r="B1734" s="0" t="n">
        <v>7</v>
      </c>
      <c r="C1734" s="0" t="n">
        <v>4594</v>
      </c>
      <c r="D1734" s="0" t="n">
        <v>290</v>
      </c>
      <c r="E1734" s="0" t="n">
        <v>2</v>
      </c>
      <c r="F1734" s="23" t="s">
        <v>389</v>
      </c>
      <c r="G1734" s="0" t="n">
        <v>13.9</v>
      </c>
      <c r="H1734" s="0" t="n">
        <v>32</v>
      </c>
      <c r="I1734" s="23" t="s">
        <v>357</v>
      </c>
      <c r="J1734" s="0" t="n">
        <v>67</v>
      </c>
      <c r="K1734" s="0" t="n">
        <v>67</v>
      </c>
      <c r="L1734" s="0" t="n">
        <v>224</v>
      </c>
      <c r="M1734" s="0" t="n">
        <v>527.17</v>
      </c>
      <c r="N1734" s="0" t="n">
        <v>37.41</v>
      </c>
      <c r="O1734" s="0" t="n">
        <v>30.71</v>
      </c>
      <c r="P1734" s="0" t="n">
        <v>3.64</v>
      </c>
      <c r="Q1734" s="0" t="n">
        <v>3.41</v>
      </c>
      <c r="R1734" s="0" t="n">
        <v>4870</v>
      </c>
      <c r="S1734" s="0" t="n">
        <v>10533</v>
      </c>
      <c r="T1734" s="0" t="n">
        <v>50.3</v>
      </c>
      <c r="U1734" s="0" t="n">
        <v>1314</v>
      </c>
      <c r="V1734" s="0" t="n">
        <v>1</v>
      </c>
      <c r="W1734" s="0" t="str">
        <f aca="false">IF(OR(AND(B1734&gt;=1,B1734&lt;=6),B1734=10),"Vaca em lactação",IF(I1734="Male","Macho",IF(E1734&gt;=1,"Vaca seca",IF(I1734="Youngstock","Bezerra/recria","Novilha"))))</f>
        <v>Vaca seca</v>
      </c>
      <c r="X1734" s="0" t="str">
        <f aca="false">IF(AND(B1734&gt;=1,B1734&lt;=6),"Tanque",IF(B1734=10,"Descarte",""))</f>
        <v/>
      </c>
    </row>
    <row r="1735" customFormat="false" ht="15" hidden="false" customHeight="false" outlineLevel="0" collapsed="false">
      <c r="A1735" s="22" t="n">
        <v>46309</v>
      </c>
      <c r="B1735" s="0" t="n">
        <v>7</v>
      </c>
      <c r="C1735" s="0" t="n">
        <v>4600</v>
      </c>
      <c r="D1735" s="0" t="n">
        <v>322</v>
      </c>
      <c r="E1735" s="0" t="n">
        <v>2</v>
      </c>
      <c r="F1735" s="23" t="s">
        <v>871</v>
      </c>
      <c r="I1735" s="23" t="s">
        <v>357</v>
      </c>
      <c r="J1735" s="0" t="n">
        <v>99</v>
      </c>
      <c r="K1735" s="0" t="n">
        <v>64</v>
      </c>
      <c r="L1735" s="0" t="n">
        <v>231</v>
      </c>
      <c r="M1735" s="0" t="n">
        <v>569.98</v>
      </c>
      <c r="N1735" s="0" t="n">
        <v>40.29</v>
      </c>
      <c r="O1735" s="0" t="n">
        <v>30.6</v>
      </c>
      <c r="P1735" s="0" t="n">
        <v>4.87</v>
      </c>
      <c r="Q1735" s="0" t="n">
        <v>3.99</v>
      </c>
      <c r="R1735" s="0" t="n">
        <v>4725</v>
      </c>
      <c r="S1735" s="0" t="n">
        <v>9851</v>
      </c>
      <c r="T1735" s="0" t="n">
        <v>50.45</v>
      </c>
      <c r="U1735" s="0" t="n">
        <v>1312</v>
      </c>
      <c r="V1735" s="0" t="n">
        <v>2</v>
      </c>
      <c r="W1735" s="0" t="str">
        <f aca="false">IF(OR(AND(B1735&gt;=1,B1735&lt;=6),B1735=10),"Vaca em lactação",IF(I1735="Male","Macho",IF(E1735&gt;=1,"Vaca seca",IF(I1735="Youngstock","Bezerra/recria","Novilha"))))</f>
        <v>Vaca seca</v>
      </c>
      <c r="X1735" s="0" t="str">
        <f aca="false">IF(AND(B1735&gt;=1,B1735&lt;=6),"Tanque",IF(B1735=10,"Descarte",""))</f>
        <v/>
      </c>
    </row>
    <row r="1736" customFormat="false" ht="15" hidden="false" customHeight="false" outlineLevel="0" collapsed="false">
      <c r="A1736" s="22" t="n">
        <v>46309</v>
      </c>
      <c r="B1736" s="0" t="n">
        <v>7</v>
      </c>
      <c r="C1736" s="0" t="n">
        <v>4615</v>
      </c>
      <c r="D1736" s="0" t="n">
        <v>384</v>
      </c>
      <c r="E1736" s="0" t="n">
        <v>1</v>
      </c>
      <c r="F1736" s="23" t="s">
        <v>687</v>
      </c>
      <c r="G1736" s="0" t="n">
        <v>14.2</v>
      </c>
      <c r="H1736" s="0" t="n">
        <v>35</v>
      </c>
      <c r="I1736" s="23" t="s">
        <v>357</v>
      </c>
      <c r="J1736" s="0" t="n">
        <v>162</v>
      </c>
      <c r="K1736" s="0" t="n">
        <v>70</v>
      </c>
      <c r="L1736" s="0" t="n">
        <v>223</v>
      </c>
      <c r="M1736" s="0" t="n">
        <v>348.31</v>
      </c>
      <c r="N1736" s="0" t="n">
        <v>35.06</v>
      </c>
      <c r="O1736" s="0" t="n">
        <v>23.14</v>
      </c>
      <c r="P1736" s="0" t="n">
        <v>4.51</v>
      </c>
      <c r="Q1736" s="0" t="n">
        <v>4.02</v>
      </c>
      <c r="R1736" s="0" t="n">
        <v>4901</v>
      </c>
      <c r="S1736" s="0" t="n">
        <v>10954</v>
      </c>
      <c r="T1736" s="0" t="n">
        <v>53.05</v>
      </c>
      <c r="U1736" s="0" t="n">
        <v>1308</v>
      </c>
      <c r="V1736" s="0" t="n">
        <v>4</v>
      </c>
      <c r="W1736" s="0" t="str">
        <f aca="false">IF(OR(AND(B1736&gt;=1,B1736&lt;=6),B1736=10),"Vaca em lactação",IF(I1736="Male","Macho",IF(E1736&gt;=1,"Vaca seca",IF(I1736="Youngstock","Bezerra/recria","Novilha"))))</f>
        <v>Vaca seca</v>
      </c>
      <c r="X1736" s="0" t="str">
        <f aca="false">IF(AND(B1736&gt;=1,B1736&lt;=6),"Tanque",IF(B1736=10,"Descarte",""))</f>
        <v/>
      </c>
    </row>
    <row r="1737" customFormat="false" ht="15" hidden="false" customHeight="false" outlineLevel="0" collapsed="false">
      <c r="A1737" s="22" t="n">
        <v>46309</v>
      </c>
      <c r="B1737" s="0" t="n">
        <v>7</v>
      </c>
      <c r="C1737" s="0" t="n">
        <v>4624</v>
      </c>
      <c r="D1737" s="0" t="n">
        <v>285</v>
      </c>
      <c r="E1737" s="0" t="n">
        <v>2</v>
      </c>
      <c r="F1737" s="23" t="s">
        <v>818</v>
      </c>
      <c r="I1737" s="23" t="s">
        <v>357</v>
      </c>
      <c r="J1737" s="0" t="n">
        <v>69</v>
      </c>
      <c r="K1737" s="0" t="n">
        <v>69</v>
      </c>
      <c r="L1737" s="0" t="n">
        <v>245</v>
      </c>
      <c r="M1737" s="0" t="n">
        <v>744.02</v>
      </c>
      <c r="N1737" s="0" t="n">
        <v>43.94</v>
      </c>
      <c r="O1737" s="0" t="n">
        <v>19.52</v>
      </c>
      <c r="P1737" s="0" t="n">
        <v>4.25</v>
      </c>
      <c r="Q1737" s="0" t="n">
        <v>3.67</v>
      </c>
      <c r="R1737" s="0" t="n">
        <v>5137</v>
      </c>
      <c r="S1737" s="0" t="n">
        <v>9744</v>
      </c>
      <c r="T1737" s="0" t="n">
        <v>59.2</v>
      </c>
      <c r="U1737" s="0" t="n">
        <v>1302</v>
      </c>
      <c r="V1737" s="0" t="n">
        <v>1</v>
      </c>
      <c r="W1737" s="0" t="str">
        <f aca="false">IF(OR(AND(B1737&gt;=1,B1737&lt;=6),B1737=10),"Vaca em lactação",IF(I1737="Male","Macho",IF(E1737&gt;=1,"Vaca seca",IF(I1737="Youngstock","Bezerra/recria","Novilha"))))</f>
        <v>Vaca seca</v>
      </c>
      <c r="X1737" s="0" t="str">
        <f aca="false">IF(AND(B1737&gt;=1,B1737&lt;=6),"Tanque",IF(B1737=10,"Descarte",""))</f>
        <v/>
      </c>
    </row>
    <row r="1738" customFormat="false" ht="15" hidden="false" customHeight="false" outlineLevel="0" collapsed="false">
      <c r="A1738" s="22" t="n">
        <v>46309</v>
      </c>
      <c r="B1738" s="0" t="n">
        <v>7</v>
      </c>
      <c r="C1738" s="0" t="n">
        <v>4562</v>
      </c>
      <c r="D1738" s="0" t="n">
        <v>268</v>
      </c>
      <c r="E1738" s="0" t="n">
        <v>2</v>
      </c>
      <c r="F1738" s="23" t="s">
        <v>866</v>
      </c>
      <c r="I1738" s="23" t="s">
        <v>357</v>
      </c>
      <c r="J1738" s="0" t="n">
        <v>94</v>
      </c>
      <c r="K1738" s="0" t="n">
        <v>94</v>
      </c>
      <c r="L1738" s="0" t="n">
        <v>245</v>
      </c>
      <c r="M1738" s="0" t="n">
        <v>488.72</v>
      </c>
      <c r="N1738" s="0" t="n">
        <v>40.99</v>
      </c>
      <c r="O1738" s="0" t="n">
        <v>32.93</v>
      </c>
      <c r="P1738" s="0" t="n">
        <v>4.69</v>
      </c>
      <c r="Q1738" s="0" t="n">
        <v>3.79</v>
      </c>
      <c r="R1738" s="0" t="n">
        <v>2967</v>
      </c>
      <c r="S1738" s="0" t="n">
        <v>6418</v>
      </c>
      <c r="T1738" s="0" t="n">
        <v>34.15</v>
      </c>
      <c r="U1738" s="0" t="n">
        <v>1328</v>
      </c>
      <c r="V1738" s="0" t="n">
        <v>1</v>
      </c>
      <c r="W1738" s="0" t="str">
        <f aca="false">IF(OR(AND(B1738&gt;=1,B1738&lt;=6),B1738=10),"Vaca em lactação",IF(I1738="Male","Macho",IF(E1738&gt;=1,"Vaca seca",IF(I1738="Youngstock","Bezerra/recria","Novilha"))))</f>
        <v>Vaca seca</v>
      </c>
      <c r="X1738" s="0" t="str">
        <f aca="false">IF(AND(B1738&gt;=1,B1738&lt;=6),"Tanque",IF(B1738=10,"Descarte",""))</f>
        <v/>
      </c>
    </row>
    <row r="1739" customFormat="false" ht="15" hidden="false" customHeight="false" outlineLevel="0" collapsed="false">
      <c r="A1739" s="22" t="n">
        <v>46309</v>
      </c>
      <c r="B1739" s="0" t="n">
        <v>7</v>
      </c>
      <c r="C1739" s="0" t="n">
        <v>4576</v>
      </c>
      <c r="D1739" s="0" t="n">
        <v>223</v>
      </c>
      <c r="E1739" s="0" t="n">
        <v>2</v>
      </c>
      <c r="F1739" s="23" t="s">
        <v>392</v>
      </c>
      <c r="G1739" s="0" t="n">
        <v>4.7</v>
      </c>
      <c r="H1739" s="0" t="n">
        <v>6</v>
      </c>
      <c r="I1739" s="23" t="s">
        <v>92</v>
      </c>
      <c r="J1739" s="0" t="n">
        <v>133</v>
      </c>
      <c r="K1739" s="0" t="n">
        <v>69</v>
      </c>
      <c r="L1739" s="0" t="n">
        <v>90</v>
      </c>
      <c r="M1739" s="0" t="n">
        <v>633.58</v>
      </c>
      <c r="N1739" s="0" t="n">
        <v>41.31</v>
      </c>
      <c r="O1739" s="0" t="n">
        <v>22.65</v>
      </c>
      <c r="P1739" s="0" t="n">
        <v>4.34</v>
      </c>
      <c r="Q1739" s="0" t="n">
        <v>3.45</v>
      </c>
      <c r="R1739" s="0" t="n">
        <v>1939</v>
      </c>
      <c r="S1739" s="0" t="n">
        <v>4556</v>
      </c>
      <c r="T1739" s="0" t="n">
        <v>22.55</v>
      </c>
      <c r="U1739" s="0" t="n">
        <v>1320</v>
      </c>
      <c r="V1739" s="0" t="n">
        <v>3</v>
      </c>
      <c r="W1739" s="0" t="str">
        <f aca="false">IF(OR(AND(B1739&gt;=1,B1739&lt;=6),B1739=10),"Vaca em lactação",IF(I1739="Male","Macho",IF(E1739&gt;=1,"Vaca seca",IF(I1739="Youngstock","Bezerra/recria","Novilha"))))</f>
        <v>Vaca seca</v>
      </c>
      <c r="X1739" s="0" t="str">
        <f aca="false">IF(AND(B1739&gt;=1,B1739&lt;=6),"Tanque",IF(B1739=10,"Descarte",""))</f>
        <v/>
      </c>
    </row>
    <row r="1740" customFormat="false" ht="15" hidden="false" customHeight="false" outlineLevel="0" collapsed="false">
      <c r="A1740" s="22" t="n">
        <v>46309</v>
      </c>
      <c r="B1740" s="0" t="n">
        <v>7</v>
      </c>
      <c r="C1740" s="0" t="n">
        <v>4591</v>
      </c>
      <c r="D1740" s="0" t="n">
        <v>307</v>
      </c>
      <c r="E1740" s="0" t="n">
        <v>2</v>
      </c>
      <c r="F1740" s="23" t="s">
        <v>1018</v>
      </c>
      <c r="I1740" s="23" t="s">
        <v>357</v>
      </c>
      <c r="J1740" s="0" t="n">
        <v>85</v>
      </c>
      <c r="K1740" s="0" t="n">
        <v>63</v>
      </c>
      <c r="L1740" s="0" t="n">
        <v>237</v>
      </c>
      <c r="M1740" s="0" t="n">
        <v>1010.18</v>
      </c>
      <c r="N1740" s="0" t="n">
        <v>57.58</v>
      </c>
      <c r="O1740" s="0" t="n">
        <v>43.56</v>
      </c>
      <c r="P1740" s="0" t="n">
        <v>0</v>
      </c>
      <c r="Q1740" s="0" t="n">
        <v>0</v>
      </c>
      <c r="R1740" s="0" t="n">
        <v>5376</v>
      </c>
      <c r="S1740" s="0" t="n">
        <v>10908</v>
      </c>
      <c r="T1740" s="0" t="n">
        <v>61.4</v>
      </c>
      <c r="U1740" s="0" t="n">
        <v>1315</v>
      </c>
      <c r="V1740" s="0" t="n">
        <v>2</v>
      </c>
      <c r="W1740" s="0" t="str">
        <f aca="false">IF(OR(AND(B1740&gt;=1,B1740&lt;=6),B1740=10),"Vaca em lactação",IF(I1740="Male","Macho",IF(E1740&gt;=1,"Vaca seca",IF(I1740="Youngstock","Bezerra/recria","Novilha"))))</f>
        <v>Vaca seca</v>
      </c>
      <c r="X1740" s="0" t="str">
        <f aca="false">IF(AND(B1740&gt;=1,B1740&lt;=6),"Tanque",IF(B1740=10,"Descarte",""))</f>
        <v/>
      </c>
    </row>
    <row r="1741" customFormat="false" ht="15" hidden="false" customHeight="false" outlineLevel="0" collapsed="false">
      <c r="A1741" s="22" t="n">
        <v>46309</v>
      </c>
      <c r="B1741" s="0" t="n">
        <v>7</v>
      </c>
      <c r="C1741" s="0" t="n">
        <v>4584</v>
      </c>
      <c r="D1741" s="0" t="n">
        <v>324</v>
      </c>
      <c r="E1741" s="0" t="n">
        <v>2</v>
      </c>
      <c r="F1741" s="23" t="s">
        <v>530</v>
      </c>
      <c r="G1741" s="0" t="n">
        <v>6.8</v>
      </c>
      <c r="H1741" s="0" t="n">
        <v>17</v>
      </c>
      <c r="I1741" s="23" t="s">
        <v>357</v>
      </c>
      <c r="J1741" s="0" t="n">
        <v>101</v>
      </c>
      <c r="K1741" s="0" t="n">
        <v>66</v>
      </c>
      <c r="L1741" s="0" t="n">
        <v>224</v>
      </c>
      <c r="M1741" s="0" t="n">
        <v>973.42</v>
      </c>
      <c r="N1741" s="0" t="n">
        <v>33.75</v>
      </c>
      <c r="O1741" s="0" t="n">
        <v>34.38</v>
      </c>
      <c r="P1741" s="0" t="n">
        <v>5.14</v>
      </c>
      <c r="Q1741" s="0" t="n">
        <v>4.31</v>
      </c>
      <c r="R1741" s="0" t="n">
        <v>5060</v>
      </c>
      <c r="S1741" s="0" t="n">
        <v>10600</v>
      </c>
      <c r="T1741" s="0" t="n">
        <v>55.15</v>
      </c>
      <c r="U1741" s="0" t="n">
        <v>1318</v>
      </c>
      <c r="V1741" s="0" t="n">
        <v>2</v>
      </c>
      <c r="W1741" s="0" t="str">
        <f aca="false">IF(OR(AND(B1741&gt;=1,B1741&lt;=6),B1741=10),"Vaca em lactação",IF(I1741="Male","Macho",IF(E1741&gt;=1,"Vaca seca",IF(I1741="Youngstock","Bezerra/recria","Novilha"))))</f>
        <v>Vaca seca</v>
      </c>
      <c r="X1741" s="0" t="str">
        <f aca="false">IF(AND(B1741&gt;=1,B1741&lt;=6),"Tanque",IF(B1741=10,"Descarte",""))</f>
        <v/>
      </c>
    </row>
    <row r="1742" customFormat="false" ht="15" hidden="false" customHeight="false" outlineLevel="0" collapsed="false">
      <c r="A1742" s="22" t="n">
        <v>46309</v>
      </c>
      <c r="B1742" s="0" t="n">
        <v>7</v>
      </c>
      <c r="C1742" s="0" t="n">
        <v>4400</v>
      </c>
      <c r="D1742" s="0" t="n">
        <v>360</v>
      </c>
      <c r="E1742" s="0" t="n">
        <v>2</v>
      </c>
      <c r="F1742" s="23" t="s">
        <v>533</v>
      </c>
      <c r="I1742" s="23" t="s">
        <v>357</v>
      </c>
      <c r="J1742" s="0" t="n">
        <v>137</v>
      </c>
      <c r="K1742" s="0" t="n">
        <v>67</v>
      </c>
      <c r="L1742" s="0" t="n">
        <v>245</v>
      </c>
      <c r="M1742" s="0" t="n">
        <v>-102.87</v>
      </c>
      <c r="N1742" s="0" t="n">
        <v>27.19</v>
      </c>
      <c r="O1742" s="0" t="n">
        <v>7.44</v>
      </c>
      <c r="P1742" s="0" t="n">
        <v>4.4</v>
      </c>
      <c r="Q1742" s="0" t="n">
        <v>4.04</v>
      </c>
      <c r="R1742" s="0" t="n">
        <v>5266</v>
      </c>
      <c r="S1742" s="0" t="n">
        <v>10694</v>
      </c>
      <c r="T1742" s="0" t="n">
        <v>55.9</v>
      </c>
      <c r="U1742" s="0" t="n">
        <v>1394</v>
      </c>
      <c r="V1742" s="0" t="n">
        <v>3</v>
      </c>
      <c r="W1742" s="0" t="str">
        <f aca="false">IF(OR(AND(B1742&gt;=1,B1742&lt;=6),B1742=10),"Vaca em lactação",IF(I1742="Male","Macho",IF(E1742&gt;=1,"Vaca seca",IF(I1742="Youngstock","Bezerra/recria","Novilha"))))</f>
        <v>Vaca seca</v>
      </c>
      <c r="X1742" s="0" t="str">
        <f aca="false">IF(AND(B1742&gt;=1,B1742&lt;=6),"Tanque",IF(B1742=10,"Descarte",""))</f>
        <v/>
      </c>
    </row>
    <row r="1743" customFormat="false" ht="15" hidden="false" customHeight="false" outlineLevel="0" collapsed="false">
      <c r="A1743" s="22" t="n">
        <v>46309</v>
      </c>
      <c r="B1743" s="0" t="n">
        <v>7</v>
      </c>
      <c r="C1743" s="0" t="n">
        <v>4409</v>
      </c>
      <c r="D1743" s="0" t="n">
        <v>313</v>
      </c>
      <c r="E1743" s="0" t="n">
        <v>2</v>
      </c>
      <c r="F1743" s="23" t="s">
        <v>874</v>
      </c>
      <c r="I1743" s="23" t="s">
        <v>357</v>
      </c>
      <c r="J1743" s="0" t="n">
        <v>139</v>
      </c>
      <c r="K1743" s="0" t="n">
        <v>69</v>
      </c>
      <c r="L1743" s="0" t="n">
        <v>252</v>
      </c>
      <c r="M1743" s="0" t="n">
        <v>446.41</v>
      </c>
      <c r="N1743" s="0" t="n">
        <v>-2.01</v>
      </c>
      <c r="O1743" s="0" t="n">
        <v>7.45</v>
      </c>
      <c r="P1743" s="0" t="n">
        <v>4.63</v>
      </c>
      <c r="Q1743" s="0" t="n">
        <v>3.3</v>
      </c>
      <c r="R1743" s="0" t="n">
        <v>5684</v>
      </c>
      <c r="S1743" s="0" t="n">
        <v>11080</v>
      </c>
      <c r="T1743" s="0" t="n">
        <v>63.05</v>
      </c>
      <c r="U1743" s="0" t="n">
        <v>1390</v>
      </c>
      <c r="V1743" s="0" t="n">
        <v>3</v>
      </c>
      <c r="W1743" s="0" t="str">
        <f aca="false">IF(OR(AND(B1743&gt;=1,B1743&lt;=6),B1743=10),"Vaca em lactação",IF(I1743="Male","Macho",IF(E1743&gt;=1,"Vaca seca",IF(I1743="Youngstock","Bezerra/recria","Novilha"))))</f>
        <v>Vaca seca</v>
      </c>
      <c r="X1743" s="0" t="str">
        <f aca="false">IF(AND(B1743&gt;=1,B1743&lt;=6),"Tanque",IF(B1743=10,"Descarte",""))</f>
        <v/>
      </c>
    </row>
    <row r="1744" customFormat="false" ht="15" hidden="false" customHeight="false" outlineLevel="0" collapsed="false">
      <c r="A1744" s="22" t="n">
        <v>46309</v>
      </c>
      <c r="B1744" s="0" t="n">
        <v>7</v>
      </c>
      <c r="C1744" s="0" t="n">
        <v>4408</v>
      </c>
      <c r="D1744" s="0" t="n">
        <v>289</v>
      </c>
      <c r="E1744" s="0" t="n">
        <v>2</v>
      </c>
      <c r="F1744" s="23" t="s">
        <v>874</v>
      </c>
      <c r="I1744" s="23" t="s">
        <v>357</v>
      </c>
      <c r="J1744" s="0" t="n">
        <v>66</v>
      </c>
      <c r="K1744" s="0" t="n">
        <v>66</v>
      </c>
      <c r="L1744" s="0" t="n">
        <v>238</v>
      </c>
      <c r="M1744" s="0" t="n">
        <v>1336.45</v>
      </c>
      <c r="N1744" s="0" t="n">
        <v>66.45</v>
      </c>
      <c r="O1744" s="0" t="n">
        <v>40.19</v>
      </c>
      <c r="P1744" s="0" t="n">
        <v>4.11</v>
      </c>
      <c r="Q1744" s="0" t="n">
        <v>3.67</v>
      </c>
      <c r="R1744" s="0" t="n">
        <v>6400</v>
      </c>
      <c r="S1744" s="0" t="n">
        <v>13126</v>
      </c>
      <c r="T1744" s="0" t="n">
        <v>69.35</v>
      </c>
      <c r="U1744" s="0" t="n">
        <v>1390</v>
      </c>
      <c r="V1744" s="0" t="n">
        <v>1</v>
      </c>
      <c r="W1744" s="0" t="str">
        <f aca="false">IF(OR(AND(B1744&gt;=1,B1744&lt;=6),B1744=10),"Vaca em lactação",IF(I1744="Male","Macho",IF(E1744&gt;=1,"Vaca seca",IF(I1744="Youngstock","Bezerra/recria","Novilha"))))</f>
        <v>Vaca seca</v>
      </c>
      <c r="X1744" s="0" t="str">
        <f aca="false">IF(AND(B1744&gt;=1,B1744&lt;=6),"Tanque",IF(B1744=10,"Descarte",""))</f>
        <v/>
      </c>
    </row>
    <row r="1745" customFormat="false" ht="15" hidden="false" customHeight="false" outlineLevel="0" collapsed="false">
      <c r="A1745" s="22" t="n">
        <v>46309</v>
      </c>
      <c r="B1745" s="0" t="n">
        <v>7</v>
      </c>
      <c r="C1745" s="0" t="n">
        <v>4418</v>
      </c>
      <c r="D1745" s="0" t="n">
        <v>393</v>
      </c>
      <c r="E1745" s="0" t="n">
        <v>2</v>
      </c>
      <c r="F1745" s="23" t="s">
        <v>396</v>
      </c>
      <c r="I1745" s="23" t="s">
        <v>357</v>
      </c>
      <c r="J1745" s="0" t="n">
        <v>170</v>
      </c>
      <c r="K1745" s="0" t="n">
        <v>65</v>
      </c>
      <c r="L1745" s="0" t="n">
        <v>245</v>
      </c>
      <c r="M1745" s="0" t="n">
        <v>1686.69</v>
      </c>
      <c r="N1745" s="0" t="n">
        <v>36.43</v>
      </c>
      <c r="O1745" s="0" t="n">
        <v>40.94</v>
      </c>
      <c r="P1745" s="0" t="n">
        <v>4.47</v>
      </c>
      <c r="Q1745" s="0" t="n">
        <v>3.47</v>
      </c>
      <c r="R1745" s="0" t="n">
        <v>5755</v>
      </c>
      <c r="S1745" s="0" t="n">
        <v>11902</v>
      </c>
      <c r="T1745" s="0" t="n">
        <v>61.6</v>
      </c>
      <c r="U1745" s="0" t="n">
        <v>1384</v>
      </c>
      <c r="V1745" s="0" t="n">
        <v>4</v>
      </c>
      <c r="W1745" s="0" t="str">
        <f aca="false">IF(OR(AND(B1745&gt;=1,B1745&lt;=6),B1745=10),"Vaca em lactação",IF(I1745="Male","Macho",IF(E1745&gt;=1,"Vaca seca",IF(I1745="Youngstock","Bezerra/recria","Novilha"))))</f>
        <v>Vaca seca</v>
      </c>
      <c r="X1745" s="0" t="str">
        <f aca="false">IF(AND(B1745&gt;=1,B1745&lt;=6),"Tanque",IF(B1745=10,"Descarte",""))</f>
        <v/>
      </c>
    </row>
    <row r="1746" customFormat="false" ht="15" hidden="false" customHeight="false" outlineLevel="0" collapsed="false">
      <c r="A1746" s="22" t="n">
        <v>46309</v>
      </c>
      <c r="B1746" s="0" t="n">
        <v>7</v>
      </c>
      <c r="C1746" s="0" t="n">
        <v>4383</v>
      </c>
      <c r="D1746" s="0" t="n">
        <v>308</v>
      </c>
      <c r="E1746" s="0" t="n">
        <v>2</v>
      </c>
      <c r="F1746" s="23" t="s">
        <v>399</v>
      </c>
      <c r="I1746" s="23" t="s">
        <v>357</v>
      </c>
      <c r="J1746" s="0" t="n">
        <v>148</v>
      </c>
      <c r="K1746" s="0" t="n">
        <v>64</v>
      </c>
      <c r="L1746" s="0" t="n">
        <v>231</v>
      </c>
      <c r="M1746" s="0" t="n">
        <v>381.97</v>
      </c>
      <c r="N1746" s="0" t="n">
        <v>58.76</v>
      </c>
      <c r="O1746" s="0" t="n">
        <v>25.56</v>
      </c>
      <c r="P1746" s="0" t="n">
        <v>4.86</v>
      </c>
      <c r="Q1746" s="0" t="n">
        <v>4.79</v>
      </c>
      <c r="R1746" s="0" t="n">
        <v>4090</v>
      </c>
      <c r="S1746" s="0" t="n">
        <v>8873</v>
      </c>
      <c r="T1746" s="0" t="n">
        <v>44.25</v>
      </c>
      <c r="U1746" s="0" t="n">
        <v>1401</v>
      </c>
      <c r="V1746" s="0" t="n">
        <v>3</v>
      </c>
      <c r="W1746" s="0" t="str">
        <f aca="false">IF(OR(AND(B1746&gt;=1,B1746&lt;=6),B1746=10),"Vaca em lactação",IF(I1746="Male","Macho",IF(E1746&gt;=1,"Vaca seca",IF(I1746="Youngstock","Bezerra/recria","Novilha"))))</f>
        <v>Vaca seca</v>
      </c>
      <c r="X1746" s="0" t="str">
        <f aca="false">IF(AND(B1746&gt;=1,B1746&lt;=6),"Tanque",IF(B1746=10,"Descarte",""))</f>
        <v/>
      </c>
    </row>
    <row r="1747" customFormat="false" ht="15" hidden="false" customHeight="false" outlineLevel="0" collapsed="false">
      <c r="A1747" s="22" t="n">
        <v>46309</v>
      </c>
      <c r="B1747" s="0" t="n">
        <v>7</v>
      </c>
      <c r="C1747" s="0" t="n">
        <v>4469</v>
      </c>
      <c r="D1747" s="0" t="n">
        <v>317</v>
      </c>
      <c r="E1747" s="0" t="n">
        <v>2</v>
      </c>
      <c r="F1747" s="23" t="s">
        <v>884</v>
      </c>
      <c r="I1747" s="23" t="s">
        <v>357</v>
      </c>
      <c r="J1747" s="0" t="n">
        <v>89</v>
      </c>
      <c r="K1747" s="0" t="n">
        <v>67</v>
      </c>
      <c r="L1747" s="0" t="n">
        <v>264</v>
      </c>
      <c r="M1747" s="0" t="n">
        <v>-182.59</v>
      </c>
      <c r="N1747" s="0" t="n">
        <v>35.36</v>
      </c>
      <c r="O1747" s="0" t="n">
        <v>7.93</v>
      </c>
      <c r="P1747" s="0" t="n">
        <v>5.52</v>
      </c>
      <c r="Q1747" s="0" t="n">
        <v>3.76</v>
      </c>
      <c r="R1747" s="0" t="n">
        <v>4546</v>
      </c>
      <c r="S1747" s="0" t="n">
        <v>9681</v>
      </c>
      <c r="T1747" s="0" t="n">
        <v>49.3</v>
      </c>
      <c r="U1747" s="0" t="n">
        <v>1365</v>
      </c>
      <c r="V1747" s="0" t="n">
        <v>2</v>
      </c>
      <c r="W1747" s="0" t="str">
        <f aca="false">IF(OR(AND(B1747&gt;=1,B1747&lt;=6),B1747=10),"Vaca em lactação",IF(I1747="Male","Macho",IF(E1747&gt;=1,"Vaca seca",IF(I1747="Youngstock","Bezerra/recria","Novilha"))))</f>
        <v>Vaca seca</v>
      </c>
      <c r="X1747" s="0" t="str">
        <f aca="false">IF(AND(B1747&gt;=1,B1747&lt;=6),"Tanque",IF(B1747=10,"Descarte",""))</f>
        <v/>
      </c>
    </row>
    <row r="1748" customFormat="false" ht="15" hidden="false" customHeight="false" outlineLevel="0" collapsed="false">
      <c r="A1748" s="22" t="n">
        <v>46309</v>
      </c>
      <c r="B1748" s="0" t="n">
        <v>7</v>
      </c>
      <c r="C1748" s="0" t="n">
        <v>4468</v>
      </c>
      <c r="D1748" s="0" t="n">
        <v>343</v>
      </c>
      <c r="E1748" s="0" t="n">
        <v>2</v>
      </c>
      <c r="F1748" s="23" t="s">
        <v>540</v>
      </c>
      <c r="G1748" s="0" t="n">
        <v>9.3</v>
      </c>
      <c r="H1748" s="0" t="n">
        <v>23</v>
      </c>
      <c r="I1748" s="23" t="s">
        <v>357</v>
      </c>
      <c r="J1748" s="0" t="n">
        <v>120</v>
      </c>
      <c r="K1748" s="0" t="n">
        <v>65</v>
      </c>
      <c r="L1748" s="0" t="n">
        <v>224</v>
      </c>
      <c r="M1748" s="0" t="n">
        <v>685.58</v>
      </c>
      <c r="N1748" s="0" t="n">
        <v>26.57</v>
      </c>
      <c r="O1748" s="0" t="n">
        <v>30.42</v>
      </c>
      <c r="P1748" s="0" t="n">
        <v>5.04</v>
      </c>
      <c r="Q1748" s="0" t="n">
        <v>4.09</v>
      </c>
      <c r="R1748" s="0" t="n">
        <v>3326</v>
      </c>
      <c r="S1748" s="0" t="n">
        <v>6619</v>
      </c>
      <c r="T1748" s="0" t="n">
        <v>35.4</v>
      </c>
      <c r="U1748" s="0" t="n">
        <v>1366</v>
      </c>
      <c r="V1748" s="0" t="n">
        <v>3</v>
      </c>
      <c r="W1748" s="0" t="str">
        <f aca="false">IF(OR(AND(B1748&gt;=1,B1748&lt;=6),B1748=10),"Vaca em lactação",IF(I1748="Male","Macho",IF(E1748&gt;=1,"Vaca seca",IF(I1748="Youngstock","Bezerra/recria","Novilha"))))</f>
        <v>Vaca seca</v>
      </c>
      <c r="X1748" s="0" t="str">
        <f aca="false">IF(AND(B1748&gt;=1,B1748&lt;=6),"Tanque",IF(B1748=10,"Descarte",""))</f>
        <v/>
      </c>
    </row>
    <row r="1749" customFormat="false" ht="15" hidden="false" customHeight="false" outlineLevel="0" collapsed="false">
      <c r="A1749" s="22" t="n">
        <v>46309</v>
      </c>
      <c r="B1749" s="0" t="n">
        <v>7</v>
      </c>
      <c r="C1749" s="0" t="n">
        <v>4481</v>
      </c>
      <c r="D1749" s="0" t="n">
        <v>735</v>
      </c>
      <c r="E1749" s="0" t="n">
        <v>1</v>
      </c>
      <c r="F1749" s="23" t="s">
        <v>402</v>
      </c>
      <c r="I1749" s="23" t="s">
        <v>92</v>
      </c>
      <c r="J1749" s="0" t="n">
        <v>525</v>
      </c>
      <c r="K1749" s="0" t="n">
        <v>71</v>
      </c>
      <c r="L1749" s="0" t="n">
        <v>210</v>
      </c>
      <c r="M1749" s="0" t="n">
        <v>685.32</v>
      </c>
      <c r="N1749" s="0" t="n">
        <v>30.18</v>
      </c>
      <c r="O1749" s="0" t="n">
        <v>35.12</v>
      </c>
      <c r="P1749" s="0" t="n">
        <v>5</v>
      </c>
      <c r="Q1749" s="0" t="n">
        <v>3.68</v>
      </c>
      <c r="R1749" s="0" t="n">
        <v>4035</v>
      </c>
      <c r="S1749" s="0" t="n">
        <v>9152</v>
      </c>
      <c r="T1749" s="0" t="n">
        <v>55.6</v>
      </c>
      <c r="U1749" s="0" t="n">
        <v>1362</v>
      </c>
      <c r="V1749" s="0" t="n">
        <v>17</v>
      </c>
      <c r="W1749" s="0" t="str">
        <f aca="false">IF(OR(AND(B1749&gt;=1,B1749&lt;=6),B1749=10),"Vaca em lactação",IF(I1749="Male","Macho",IF(E1749&gt;=1,"Vaca seca",IF(I1749="Youngstock","Bezerra/recria","Novilha"))))</f>
        <v>Vaca seca</v>
      </c>
      <c r="X1749" s="0" t="str">
        <f aca="false">IF(AND(B1749&gt;=1,B1749&lt;=6),"Tanque",IF(B1749=10,"Descarte",""))</f>
        <v/>
      </c>
    </row>
    <row r="1750" customFormat="false" ht="15" hidden="false" customHeight="false" outlineLevel="0" collapsed="false">
      <c r="A1750" s="22" t="n">
        <v>46309</v>
      </c>
      <c r="B1750" s="0" t="n">
        <v>7</v>
      </c>
      <c r="C1750" s="0" t="n">
        <v>4488</v>
      </c>
      <c r="D1750" s="0" t="n">
        <v>319</v>
      </c>
      <c r="E1750" s="0" t="n">
        <v>2</v>
      </c>
      <c r="F1750" s="23" t="s">
        <v>1019</v>
      </c>
      <c r="G1750" s="0" t="n">
        <v>9</v>
      </c>
      <c r="H1750" s="0" t="n">
        <v>19</v>
      </c>
      <c r="I1750" s="23" t="s">
        <v>357</v>
      </c>
      <c r="J1750" s="0" t="n">
        <v>124</v>
      </c>
      <c r="K1750" s="0" t="n">
        <v>68</v>
      </c>
      <c r="L1750" s="0" t="n">
        <v>196</v>
      </c>
      <c r="M1750" s="0" t="n">
        <v>-210.05</v>
      </c>
      <c r="N1750" s="0" t="n">
        <v>46.8</v>
      </c>
      <c r="O1750" s="0" t="n">
        <v>19.76</v>
      </c>
      <c r="P1750" s="0" t="n">
        <v>5.61</v>
      </c>
      <c r="Q1750" s="0" t="n">
        <v>4.28</v>
      </c>
      <c r="R1750" s="0" t="n">
        <v>5469</v>
      </c>
      <c r="S1750" s="0" t="n">
        <v>9563</v>
      </c>
      <c r="T1750" s="0" t="n">
        <v>59.25</v>
      </c>
      <c r="U1750" s="0" t="n">
        <v>1360</v>
      </c>
      <c r="V1750" s="0" t="n">
        <v>2</v>
      </c>
      <c r="W1750" s="0" t="str">
        <f aca="false">IF(OR(AND(B1750&gt;=1,B1750&lt;=6),B1750=10),"Vaca em lactação",IF(I1750="Male","Macho",IF(E1750&gt;=1,"Vaca seca",IF(I1750="Youngstock","Bezerra/recria","Novilha"))))</f>
        <v>Vaca seca</v>
      </c>
      <c r="X1750" s="0" t="str">
        <f aca="false">IF(AND(B1750&gt;=1,B1750&lt;=6),"Tanque",IF(B1750=10,"Descarte",""))</f>
        <v/>
      </c>
    </row>
    <row r="1751" customFormat="false" ht="15" hidden="false" customHeight="false" outlineLevel="0" collapsed="false">
      <c r="A1751" s="22" t="n">
        <v>46309</v>
      </c>
      <c r="B1751" s="0" t="n">
        <v>7</v>
      </c>
      <c r="C1751" s="0" t="n">
        <v>4485</v>
      </c>
      <c r="D1751" s="0" t="n">
        <v>381</v>
      </c>
      <c r="E1751" s="0" t="n">
        <v>2</v>
      </c>
      <c r="F1751" s="23" t="s">
        <v>1020</v>
      </c>
      <c r="I1751" s="23" t="s">
        <v>357</v>
      </c>
      <c r="J1751" s="0" t="n">
        <v>158</v>
      </c>
      <c r="K1751" s="0" t="n">
        <v>67</v>
      </c>
      <c r="L1751" s="0" t="n">
        <v>245</v>
      </c>
      <c r="M1751" s="0" t="n">
        <v>836.79</v>
      </c>
      <c r="N1751" s="0" t="n">
        <v>45.33</v>
      </c>
      <c r="O1751" s="0" t="n">
        <v>30.57</v>
      </c>
      <c r="P1751" s="0" t="n">
        <v>4.9</v>
      </c>
      <c r="Q1751" s="0" t="n">
        <v>3.87</v>
      </c>
      <c r="R1751" s="0" t="n">
        <v>6285</v>
      </c>
      <c r="S1751" s="0" t="n">
        <v>12118</v>
      </c>
      <c r="T1751" s="0" t="n">
        <v>70.45</v>
      </c>
      <c r="U1751" s="0" t="n">
        <v>1361</v>
      </c>
      <c r="V1751" s="0" t="n">
        <v>4</v>
      </c>
      <c r="W1751" s="0" t="str">
        <f aca="false">IF(OR(AND(B1751&gt;=1,B1751&lt;=6),B1751=10),"Vaca em lactação",IF(I1751="Male","Macho",IF(E1751&gt;=1,"Vaca seca",IF(I1751="Youngstock","Bezerra/recria","Novilha"))))</f>
        <v>Vaca seca</v>
      </c>
      <c r="X1751" s="0" t="str">
        <f aca="false">IF(AND(B1751&gt;=1,B1751&lt;=6),"Tanque",IF(B1751=10,"Descarte",""))</f>
        <v/>
      </c>
    </row>
    <row r="1752" customFormat="false" ht="15" hidden="false" customHeight="false" outlineLevel="0" collapsed="false">
      <c r="A1752" s="22" t="n">
        <v>46309</v>
      </c>
      <c r="B1752" s="0" t="n">
        <v>7</v>
      </c>
      <c r="C1752" s="0" t="n">
        <v>4484</v>
      </c>
      <c r="D1752" s="0" t="n">
        <v>292</v>
      </c>
      <c r="E1752" s="0" t="n">
        <v>2</v>
      </c>
      <c r="F1752" s="23" t="s">
        <v>402</v>
      </c>
      <c r="I1752" s="23" t="s">
        <v>357</v>
      </c>
      <c r="J1752" s="0" t="n">
        <v>69</v>
      </c>
      <c r="K1752" s="0" t="n">
        <v>69</v>
      </c>
      <c r="L1752" s="0" t="n">
        <v>273</v>
      </c>
      <c r="M1752" s="0" t="n">
        <v>676.84</v>
      </c>
      <c r="N1752" s="0" t="n">
        <v>68.78</v>
      </c>
      <c r="O1752" s="0" t="n">
        <v>48.88</v>
      </c>
      <c r="P1752" s="0" t="n">
        <v>6.36</v>
      </c>
      <c r="Q1752" s="0" t="n">
        <v>4.52</v>
      </c>
      <c r="R1752" s="0" t="n">
        <v>5084</v>
      </c>
      <c r="S1752" s="0" t="n">
        <v>10449</v>
      </c>
      <c r="T1752" s="0" t="n">
        <v>53.65</v>
      </c>
      <c r="U1752" s="0" t="n">
        <v>1362</v>
      </c>
      <c r="V1752" s="0" t="n">
        <v>1</v>
      </c>
      <c r="W1752" s="0" t="str">
        <f aca="false">IF(OR(AND(B1752&gt;=1,B1752&lt;=6),B1752=10),"Vaca em lactação",IF(I1752="Male","Macho",IF(E1752&gt;=1,"Vaca seca",IF(I1752="Youngstock","Bezerra/recria","Novilha"))))</f>
        <v>Vaca seca</v>
      </c>
      <c r="X1752" s="0" t="str">
        <f aca="false">IF(AND(B1752&gt;=1,B1752&lt;=6),"Tanque",IF(B1752=10,"Descarte",""))</f>
        <v/>
      </c>
    </row>
    <row r="1753" customFormat="false" ht="15" hidden="false" customHeight="false" outlineLevel="0" collapsed="false">
      <c r="A1753" s="22" t="n">
        <v>46309</v>
      </c>
      <c r="B1753" s="0" t="n">
        <v>7</v>
      </c>
      <c r="C1753" s="0" t="n">
        <v>4428</v>
      </c>
      <c r="D1753" s="0" t="n">
        <v>320</v>
      </c>
      <c r="E1753" s="0" t="n">
        <v>2</v>
      </c>
      <c r="F1753" s="23" t="s">
        <v>886</v>
      </c>
      <c r="G1753" s="0" t="n">
        <v>12.3</v>
      </c>
      <c r="H1753" s="0" t="n">
        <v>32</v>
      </c>
      <c r="I1753" s="23" t="s">
        <v>357</v>
      </c>
      <c r="J1753" s="0" t="n">
        <v>97</v>
      </c>
      <c r="K1753" s="0" t="n">
        <v>62</v>
      </c>
      <c r="L1753" s="0" t="n">
        <v>224</v>
      </c>
      <c r="M1753" s="0" t="n">
        <v>1014.71</v>
      </c>
      <c r="N1753" s="0" t="n">
        <v>39</v>
      </c>
      <c r="O1753" s="0" t="n">
        <v>31.95</v>
      </c>
      <c r="P1753" s="0" t="n">
        <v>3.43</v>
      </c>
      <c r="Q1753" s="0" t="n">
        <v>3.78</v>
      </c>
      <c r="R1753" s="0" t="n">
        <v>5669</v>
      </c>
      <c r="S1753" s="0" t="n">
        <v>10356</v>
      </c>
      <c r="T1753" s="0" t="n">
        <v>54.4</v>
      </c>
      <c r="U1753" s="0" t="n">
        <v>1378</v>
      </c>
      <c r="V1753" s="0" t="n">
        <v>2</v>
      </c>
      <c r="W1753" s="0" t="str">
        <f aca="false">IF(OR(AND(B1753&gt;=1,B1753&lt;=6),B1753=10),"Vaca em lactação",IF(I1753="Male","Macho",IF(E1753&gt;=1,"Vaca seca",IF(I1753="Youngstock","Bezerra/recria","Novilha"))))</f>
        <v>Vaca seca</v>
      </c>
      <c r="X1753" s="0" t="str">
        <f aca="false">IF(AND(B1753&gt;=1,B1753&lt;=6),"Tanque",IF(B1753=10,"Descarte",""))</f>
        <v/>
      </c>
    </row>
    <row r="1754" customFormat="false" ht="15" hidden="false" customHeight="false" outlineLevel="0" collapsed="false">
      <c r="A1754" s="22" t="n">
        <v>46309</v>
      </c>
      <c r="B1754" s="0" t="n">
        <v>7</v>
      </c>
      <c r="C1754" s="0" t="n">
        <v>4427</v>
      </c>
      <c r="D1754" s="0" t="n">
        <v>322</v>
      </c>
      <c r="E1754" s="0" t="n">
        <v>2</v>
      </c>
      <c r="F1754" s="23" t="s">
        <v>1021</v>
      </c>
      <c r="G1754" s="0" t="n">
        <v>9.3</v>
      </c>
      <c r="H1754" s="0" t="n">
        <v>18</v>
      </c>
      <c r="I1754" s="23" t="s">
        <v>357</v>
      </c>
      <c r="J1754" s="0" t="n">
        <v>99</v>
      </c>
      <c r="K1754" s="0" t="n">
        <v>64</v>
      </c>
      <c r="L1754" s="0" t="n">
        <v>224</v>
      </c>
      <c r="M1754" s="0" t="n">
        <v>116.99</v>
      </c>
      <c r="N1754" s="0" t="n">
        <v>65.98</v>
      </c>
      <c r="O1754" s="0" t="n">
        <v>25.27</v>
      </c>
      <c r="P1754" s="0" t="n">
        <v>5.8</v>
      </c>
      <c r="Q1754" s="0" t="n">
        <v>4.61</v>
      </c>
      <c r="R1754" s="0" t="n">
        <v>5528</v>
      </c>
      <c r="S1754" s="0" t="n">
        <v>11186</v>
      </c>
      <c r="T1754" s="0" t="n">
        <v>58.25</v>
      </c>
      <c r="U1754" s="0" t="n">
        <v>1379</v>
      </c>
      <c r="V1754" s="0" t="n">
        <v>2</v>
      </c>
      <c r="W1754" s="0" t="str">
        <f aca="false">IF(OR(AND(B1754&gt;=1,B1754&lt;=6),B1754=10),"Vaca em lactação",IF(I1754="Male","Macho",IF(E1754&gt;=1,"Vaca seca",IF(I1754="Youngstock","Bezerra/recria","Novilha"))))</f>
        <v>Vaca seca</v>
      </c>
      <c r="X1754" s="0" t="str">
        <f aca="false">IF(AND(B1754&gt;=1,B1754&lt;=6),"Tanque",IF(B1754=10,"Descarte",""))</f>
        <v/>
      </c>
    </row>
    <row r="1755" customFormat="false" ht="15" hidden="false" customHeight="false" outlineLevel="0" collapsed="false">
      <c r="A1755" s="22" t="n">
        <v>46309</v>
      </c>
      <c r="B1755" s="0" t="n">
        <v>7</v>
      </c>
      <c r="C1755" s="0" t="n">
        <v>4444</v>
      </c>
      <c r="D1755" s="0" t="n">
        <v>305</v>
      </c>
      <c r="E1755" s="0" t="n">
        <v>2</v>
      </c>
      <c r="F1755" s="23" t="s">
        <v>404</v>
      </c>
      <c r="H1755" s="0" t="n">
        <v>8</v>
      </c>
      <c r="I1755" s="23" t="s">
        <v>357</v>
      </c>
      <c r="J1755" s="0" t="n">
        <v>243</v>
      </c>
      <c r="K1755" s="0" t="n">
        <v>61</v>
      </c>
      <c r="L1755" s="0" t="n">
        <v>77</v>
      </c>
      <c r="M1755" s="0" t="n">
        <v>-114.52</v>
      </c>
      <c r="N1755" s="0" t="n">
        <v>15.8</v>
      </c>
      <c r="O1755" s="0" t="n">
        <v>6.21</v>
      </c>
      <c r="P1755" s="0" t="n">
        <v>6.43</v>
      </c>
      <c r="Q1755" s="0" t="n">
        <v>4.66</v>
      </c>
      <c r="R1755" s="0" t="n">
        <v>4304</v>
      </c>
      <c r="S1755" s="0" t="n">
        <v>8197</v>
      </c>
      <c r="T1755" s="0" t="n">
        <v>48.95</v>
      </c>
      <c r="U1755" s="0" t="n">
        <v>1372</v>
      </c>
      <c r="V1755" s="0" t="n">
        <v>5</v>
      </c>
      <c r="W1755" s="0" t="str">
        <f aca="false">IF(OR(AND(B1755&gt;=1,B1755&lt;=6),B1755=10),"Vaca em lactação",IF(I1755="Male","Macho",IF(E1755&gt;=1,"Vaca seca",IF(I1755="Youngstock","Bezerra/recria","Novilha"))))</f>
        <v>Vaca seca</v>
      </c>
      <c r="X1755" s="0" t="str">
        <f aca="false">IF(AND(B1755&gt;=1,B1755&lt;=6),"Tanque",IF(B1755=10,"Descarte",""))</f>
        <v/>
      </c>
    </row>
    <row r="1756" customFormat="false" ht="15" hidden="false" customHeight="false" outlineLevel="0" collapsed="false">
      <c r="A1756" s="22" t="n">
        <v>46309</v>
      </c>
      <c r="B1756" s="0" t="n">
        <v>7</v>
      </c>
      <c r="C1756" s="0" t="n">
        <v>4452</v>
      </c>
      <c r="D1756" s="0" t="n">
        <v>272</v>
      </c>
      <c r="E1756" s="0" t="n">
        <v>2</v>
      </c>
      <c r="F1756" s="23" t="s">
        <v>405</v>
      </c>
      <c r="I1756" s="23" t="s">
        <v>357</v>
      </c>
      <c r="J1756" s="0" t="n">
        <v>63</v>
      </c>
      <c r="K1756" s="0" t="n">
        <v>70</v>
      </c>
      <c r="L1756" s="0" t="n">
        <v>266</v>
      </c>
      <c r="M1756" s="0" t="n">
        <v>1006.25</v>
      </c>
      <c r="N1756" s="0" t="n">
        <v>20.27</v>
      </c>
      <c r="O1756" s="0" t="n">
        <v>29.23</v>
      </c>
      <c r="P1756" s="0" t="n">
        <v>5.26</v>
      </c>
      <c r="Q1756" s="0" t="n">
        <v>4.58</v>
      </c>
      <c r="R1756" s="0" t="n">
        <v>4752</v>
      </c>
      <c r="S1756" s="0" t="n">
        <v>9409</v>
      </c>
      <c r="T1756" s="0" t="n">
        <v>49.75</v>
      </c>
      <c r="U1756" s="0" t="n">
        <v>1371</v>
      </c>
      <c r="V1756" s="0" t="n">
        <v>1</v>
      </c>
      <c r="W1756" s="0" t="str">
        <f aca="false">IF(OR(AND(B1756&gt;=1,B1756&lt;=6),B1756=10),"Vaca em lactação",IF(I1756="Male","Macho",IF(E1756&gt;=1,"Vaca seca",IF(I1756="Youngstock","Bezerra/recria","Novilha"))))</f>
        <v>Vaca seca</v>
      </c>
      <c r="X1756" s="0" t="str">
        <f aca="false">IF(AND(B1756&gt;=1,B1756&lt;=6),"Tanque",IF(B1756=10,"Descarte",""))</f>
        <v/>
      </c>
    </row>
    <row r="1757" customFormat="false" ht="15" hidden="false" customHeight="false" outlineLevel="0" collapsed="false">
      <c r="A1757" s="22" t="n">
        <v>46309</v>
      </c>
      <c r="B1757" s="0" t="n">
        <v>7</v>
      </c>
      <c r="C1757" s="0" t="n">
        <v>5468</v>
      </c>
      <c r="D1757" s="0" t="n">
        <v>284</v>
      </c>
      <c r="E1757" s="0" t="n">
        <v>1</v>
      </c>
      <c r="F1757" s="23" t="s">
        <v>1022</v>
      </c>
      <c r="I1757" s="23" t="s">
        <v>357</v>
      </c>
      <c r="J1757" s="0" t="n">
        <v>61</v>
      </c>
      <c r="K1757" s="0" t="n">
        <v>61</v>
      </c>
      <c r="L1757" s="0" t="n">
        <v>231</v>
      </c>
      <c r="M1757" s="0" t="n">
        <v>561.94</v>
      </c>
      <c r="N1757" s="0" t="n">
        <v>64.62</v>
      </c>
      <c r="O1757" s="0" t="n">
        <v>27.29</v>
      </c>
      <c r="P1757" s="0" t="n">
        <v>3.23</v>
      </c>
      <c r="Q1757" s="0" t="n">
        <v>3.58</v>
      </c>
      <c r="R1757" s="0" t="n">
        <v>3494</v>
      </c>
      <c r="S1757" s="0" t="n">
        <v>8372</v>
      </c>
      <c r="T1757" s="0" t="n">
        <v>35.35</v>
      </c>
      <c r="U1757" s="0" t="n">
        <v>916</v>
      </c>
      <c r="V1757" s="0" t="n">
        <v>1</v>
      </c>
      <c r="W1757" s="0" t="str">
        <f aca="false">IF(OR(AND(B1757&gt;=1,B1757&lt;=6),B1757=10),"Vaca em lactação",IF(I1757="Male","Macho",IF(E1757&gt;=1,"Vaca seca",IF(I1757="Youngstock","Bezerra/recria","Novilha"))))</f>
        <v>Vaca seca</v>
      </c>
      <c r="X1757" s="0" t="str">
        <f aca="false">IF(AND(B1757&gt;=1,B1757&lt;=6),"Tanque",IF(B1757=10,"Descarte",""))</f>
        <v/>
      </c>
    </row>
    <row r="1758" customFormat="false" ht="15" hidden="false" customHeight="false" outlineLevel="0" collapsed="false">
      <c r="A1758" s="22" t="n">
        <v>46309</v>
      </c>
      <c r="B1758" s="0" t="n">
        <v>7</v>
      </c>
      <c r="C1758" s="0" t="n">
        <v>5586</v>
      </c>
      <c r="E1758" s="0" t="n">
        <v>0</v>
      </c>
      <c r="F1758" s="23" t="s">
        <v>1023</v>
      </c>
      <c r="I1758" s="23" t="s">
        <v>92</v>
      </c>
      <c r="L1758" s="0" t="n">
        <v>224</v>
      </c>
      <c r="U1758" s="0" t="n">
        <v>874</v>
      </c>
      <c r="V1758" s="0" t="n">
        <v>5</v>
      </c>
      <c r="W1758" s="0" t="str">
        <f aca="false">IF(OR(AND(B1758&gt;=1,B1758&lt;=6),B1758=10),"Vaca em lactação",IF(I1758="Male","Macho",IF(E1758&gt;=1,"Vaca seca",IF(I1758="Youngstock","Bezerra/recria","Novilha"))))</f>
        <v>Novilha</v>
      </c>
      <c r="X1758" s="0" t="str">
        <f aca="false">IF(AND(B1758&gt;=1,B1758&lt;=6),"Tanque",IF(B1758=10,"Descarte",""))</f>
        <v/>
      </c>
    </row>
    <row r="1759" customFormat="false" ht="15" hidden="false" customHeight="false" outlineLevel="0" collapsed="false">
      <c r="A1759" s="22" t="n">
        <v>46309</v>
      </c>
      <c r="B1759" s="0" t="n">
        <v>7</v>
      </c>
      <c r="C1759" s="0" t="n">
        <v>5807</v>
      </c>
      <c r="E1759" s="0" t="n">
        <v>0</v>
      </c>
      <c r="F1759" s="23" t="s">
        <v>125</v>
      </c>
      <c r="I1759" s="23" t="s">
        <v>92</v>
      </c>
      <c r="L1759" s="0" t="n">
        <v>196</v>
      </c>
      <c r="U1759" s="0" t="n">
        <v>792</v>
      </c>
      <c r="V1759" s="0" t="n">
        <v>5</v>
      </c>
      <c r="W1759" s="0" t="str">
        <f aca="false">IF(OR(AND(B1759&gt;=1,B1759&lt;=6),B1759=10),"Vaca em lactação",IF(I1759="Male","Macho",IF(E1759&gt;=1,"Vaca seca",IF(I1759="Youngstock","Bezerra/recria","Novilha"))))</f>
        <v>Novilha</v>
      </c>
      <c r="X1759" s="0" t="str">
        <f aca="false">IF(AND(B1759&gt;=1,B1759&lt;=6),"Tanque",IF(B1759=10,"Descarte",""))</f>
        <v/>
      </c>
    </row>
    <row r="1760" customFormat="false" ht="15" hidden="false" customHeight="false" outlineLevel="0" collapsed="false">
      <c r="A1760" s="22" t="n">
        <v>46309</v>
      </c>
      <c r="B1760" s="0" t="n">
        <v>7</v>
      </c>
      <c r="C1760" s="0" t="n">
        <v>5859</v>
      </c>
      <c r="E1760" s="0" t="n">
        <v>0</v>
      </c>
      <c r="F1760" s="23" t="s">
        <v>144</v>
      </c>
      <c r="I1760" s="23" t="s">
        <v>92</v>
      </c>
      <c r="L1760" s="0" t="n">
        <v>171</v>
      </c>
      <c r="U1760" s="0" t="n">
        <v>771</v>
      </c>
      <c r="V1760" s="0" t="n">
        <v>2</v>
      </c>
      <c r="W1760" s="0" t="str">
        <f aca="false">IF(OR(AND(B1760&gt;=1,B1760&lt;=6),B1760=10),"Vaca em lactação",IF(I1760="Male","Macho",IF(E1760&gt;=1,"Vaca seca",IF(I1760="Youngstock","Bezerra/recria","Novilha"))))</f>
        <v>Novilha</v>
      </c>
      <c r="X1760" s="0" t="str">
        <f aca="false">IF(AND(B1760&gt;=1,B1760&lt;=6),"Tanque",IF(B1760=10,"Descarte",""))</f>
        <v/>
      </c>
    </row>
    <row r="1761" customFormat="false" ht="15" hidden="false" customHeight="false" outlineLevel="0" collapsed="false">
      <c r="A1761" s="22" t="n">
        <v>46309</v>
      </c>
      <c r="B1761" s="0" t="n">
        <v>7</v>
      </c>
      <c r="C1761" s="0" t="n">
        <v>5827</v>
      </c>
      <c r="E1761" s="0" t="n">
        <v>0</v>
      </c>
      <c r="F1761" s="23" t="s">
        <v>684</v>
      </c>
      <c r="I1761" s="23" t="s">
        <v>92</v>
      </c>
      <c r="L1761" s="0" t="n">
        <v>252</v>
      </c>
      <c r="U1761" s="0" t="n">
        <v>782</v>
      </c>
      <c r="V1761" s="0" t="n">
        <v>8</v>
      </c>
      <c r="W1761" s="0" t="str">
        <f aca="false">IF(OR(AND(B1761&gt;=1,B1761&lt;=6),B1761=10),"Vaca em lactação",IF(I1761="Male","Macho",IF(E1761&gt;=1,"Vaca seca",IF(I1761="Youngstock","Bezerra/recria","Novilha"))))</f>
        <v>Novilha</v>
      </c>
      <c r="X1761" s="0" t="str">
        <f aca="false">IF(AND(B1761&gt;=1,B1761&lt;=6),"Tanque",IF(B1761=10,"Descarte",""))</f>
        <v/>
      </c>
    </row>
    <row r="1762" customFormat="false" ht="15" hidden="false" customHeight="false" outlineLevel="0" collapsed="false">
      <c r="A1762" s="22" t="n">
        <v>46309</v>
      </c>
      <c r="B1762" s="0" t="n">
        <v>7</v>
      </c>
      <c r="C1762" s="0" t="n">
        <v>5984</v>
      </c>
      <c r="E1762" s="0" t="n">
        <v>0</v>
      </c>
      <c r="F1762" s="23" t="s">
        <v>149</v>
      </c>
      <c r="I1762" s="23" t="s">
        <v>92</v>
      </c>
      <c r="L1762" s="0" t="n">
        <v>203</v>
      </c>
      <c r="U1762" s="0" t="n">
        <v>727</v>
      </c>
      <c r="V1762" s="0" t="n">
        <v>5</v>
      </c>
      <c r="W1762" s="0" t="str">
        <f aca="false">IF(OR(AND(B1762&gt;=1,B1762&lt;=6),B1762=10),"Vaca em lactação",IF(I1762="Male","Macho",IF(E1762&gt;=1,"Vaca seca",IF(I1762="Youngstock","Bezerra/recria","Novilha"))))</f>
        <v>Novilha</v>
      </c>
      <c r="X1762" s="0" t="str">
        <f aca="false">IF(AND(B1762&gt;=1,B1762&lt;=6),"Tanque",IF(B1762=10,"Descarte",""))</f>
        <v/>
      </c>
    </row>
    <row r="1763" customFormat="false" ht="15" hidden="false" customHeight="false" outlineLevel="0" collapsed="false">
      <c r="A1763" s="22" t="n">
        <v>46309</v>
      </c>
      <c r="B1763" s="0" t="n">
        <v>7</v>
      </c>
      <c r="C1763" s="0" t="n">
        <v>5968</v>
      </c>
      <c r="E1763" s="0" t="n">
        <v>0</v>
      </c>
      <c r="F1763" s="23" t="s">
        <v>159</v>
      </c>
      <c r="I1763" s="23" t="s">
        <v>92</v>
      </c>
      <c r="L1763" s="0" t="n">
        <v>182</v>
      </c>
      <c r="U1763" s="0" t="n">
        <v>732</v>
      </c>
      <c r="V1763" s="0" t="n">
        <v>2</v>
      </c>
      <c r="W1763" s="0" t="str">
        <f aca="false">IF(OR(AND(B1763&gt;=1,B1763&lt;=6),B1763=10),"Vaca em lactação",IF(I1763="Male","Macho",IF(E1763&gt;=1,"Vaca seca",IF(I1763="Youngstock","Bezerra/recria","Novilha"))))</f>
        <v>Novilha</v>
      </c>
      <c r="X1763" s="0" t="str">
        <f aca="false">IF(AND(B1763&gt;=1,B1763&lt;=6),"Tanque",IF(B1763=10,"Descarte",""))</f>
        <v/>
      </c>
    </row>
    <row r="1764" customFormat="false" ht="15" hidden="false" customHeight="false" outlineLevel="0" collapsed="false">
      <c r="A1764" s="22" t="n">
        <v>46309</v>
      </c>
      <c r="B1764" s="0" t="n">
        <v>7</v>
      </c>
      <c r="C1764" s="0" t="n">
        <v>6038</v>
      </c>
      <c r="E1764" s="0" t="n">
        <v>0</v>
      </c>
      <c r="F1764" s="23" t="s">
        <v>1024</v>
      </c>
      <c r="I1764" s="23" t="s">
        <v>92</v>
      </c>
      <c r="L1764" s="0" t="n">
        <v>128</v>
      </c>
      <c r="U1764" s="0" t="n">
        <v>707</v>
      </c>
      <c r="V1764" s="0" t="n">
        <v>8</v>
      </c>
      <c r="W1764" s="0" t="str">
        <f aca="false">IF(OR(AND(B1764&gt;=1,B1764&lt;=6),B1764=10),"Vaca em lactação",IF(I1764="Male","Macho",IF(E1764&gt;=1,"Vaca seca",IF(I1764="Youngstock","Bezerra/recria","Novilha"))))</f>
        <v>Novilha</v>
      </c>
      <c r="X1764" s="0" t="str">
        <f aca="false">IF(AND(B1764&gt;=1,B1764&lt;=6),"Tanque",IF(B1764=10,"Descarte",""))</f>
        <v/>
      </c>
    </row>
    <row r="1765" customFormat="false" ht="15" hidden="false" customHeight="false" outlineLevel="0" collapsed="false">
      <c r="A1765" s="22" t="n">
        <v>46309</v>
      </c>
      <c r="B1765" s="0" t="n">
        <v>7</v>
      </c>
      <c r="C1765" s="0" t="n">
        <v>6039</v>
      </c>
      <c r="E1765" s="0" t="n">
        <v>0</v>
      </c>
      <c r="F1765" s="23" t="s">
        <v>176</v>
      </c>
      <c r="I1765" s="23" t="s">
        <v>92</v>
      </c>
      <c r="L1765" s="0" t="n">
        <v>215</v>
      </c>
      <c r="U1765" s="0" t="n">
        <v>706</v>
      </c>
      <c r="V1765" s="0" t="n">
        <v>4</v>
      </c>
      <c r="W1765" s="0" t="str">
        <f aca="false">IF(OR(AND(B1765&gt;=1,B1765&lt;=6),B1765=10),"Vaca em lactação",IF(I1765="Male","Macho",IF(E1765&gt;=1,"Vaca seca",IF(I1765="Youngstock","Bezerra/recria","Novilha"))))</f>
        <v>Novilha</v>
      </c>
      <c r="X1765" s="0" t="str">
        <f aca="false">IF(AND(B1765&gt;=1,B1765&lt;=6),"Tanque",IF(B1765=10,"Descarte",""))</f>
        <v/>
      </c>
    </row>
    <row r="1766" customFormat="false" ht="15" hidden="false" customHeight="false" outlineLevel="0" collapsed="false">
      <c r="A1766" s="22" t="n">
        <v>46309</v>
      </c>
      <c r="B1766" s="0" t="n">
        <v>7</v>
      </c>
      <c r="C1766" s="0" t="n">
        <v>6100</v>
      </c>
      <c r="E1766" s="0" t="n">
        <v>0</v>
      </c>
      <c r="F1766" s="23" t="s">
        <v>1025</v>
      </c>
      <c r="I1766" s="23" t="s">
        <v>92</v>
      </c>
      <c r="L1766" s="0" t="n">
        <v>246</v>
      </c>
      <c r="U1766" s="0" t="n">
        <v>681</v>
      </c>
      <c r="V1766" s="0" t="n">
        <v>3</v>
      </c>
      <c r="W1766" s="0" t="str">
        <f aca="false">IF(OR(AND(B1766&gt;=1,B1766&lt;=6),B1766=10),"Vaca em lactação",IF(I1766="Male","Macho",IF(E1766&gt;=1,"Vaca seca",IF(I1766="Youngstock","Bezerra/recria","Novilha"))))</f>
        <v>Novilha</v>
      </c>
      <c r="X1766" s="0" t="str">
        <f aca="false">IF(AND(B1766&gt;=1,B1766&lt;=6),"Tanque",IF(B1766=10,"Descarte",""))</f>
        <v/>
      </c>
    </row>
    <row r="1767" customFormat="false" ht="15" hidden="false" customHeight="false" outlineLevel="0" collapsed="false">
      <c r="A1767" s="22" t="n">
        <v>46309</v>
      </c>
      <c r="B1767" s="0" t="n">
        <v>7</v>
      </c>
      <c r="C1767" s="0" t="n">
        <v>6090</v>
      </c>
      <c r="E1767" s="0" t="n">
        <v>0</v>
      </c>
      <c r="F1767" s="23" t="s">
        <v>1026</v>
      </c>
      <c r="I1767" s="23" t="s">
        <v>92</v>
      </c>
      <c r="L1767" s="0" t="n">
        <v>214</v>
      </c>
      <c r="U1767" s="0" t="n">
        <v>687</v>
      </c>
      <c r="V1767" s="0" t="n">
        <v>5</v>
      </c>
      <c r="W1767" s="0" t="str">
        <f aca="false">IF(OR(AND(B1767&gt;=1,B1767&lt;=6),B1767=10),"Vaca em lactação",IF(I1767="Male","Macho",IF(E1767&gt;=1,"Vaca seca",IF(I1767="Youngstock","Bezerra/recria","Novilha"))))</f>
        <v>Novilha</v>
      </c>
      <c r="X1767" s="0" t="str">
        <f aca="false">IF(AND(B1767&gt;=1,B1767&lt;=6),"Tanque",IF(B1767=10,"Descarte",""))</f>
        <v/>
      </c>
    </row>
    <row r="1768" customFormat="false" ht="15" hidden="false" customHeight="false" outlineLevel="0" collapsed="false">
      <c r="A1768" s="22" t="n">
        <v>46309</v>
      </c>
      <c r="B1768" s="0" t="n">
        <v>7</v>
      </c>
      <c r="C1768" s="0" t="n">
        <v>6077</v>
      </c>
      <c r="E1768" s="0" t="n">
        <v>0</v>
      </c>
      <c r="F1768" s="23" t="s">
        <v>194</v>
      </c>
      <c r="I1768" s="23" t="s">
        <v>92</v>
      </c>
      <c r="L1768" s="0" t="n">
        <v>246</v>
      </c>
      <c r="U1768" s="0" t="n">
        <v>694</v>
      </c>
      <c r="V1768" s="0" t="n">
        <v>2</v>
      </c>
      <c r="W1768" s="0" t="str">
        <f aca="false">IF(OR(AND(B1768&gt;=1,B1768&lt;=6),B1768=10),"Vaca em lactação",IF(I1768="Male","Macho",IF(E1768&gt;=1,"Vaca seca",IF(I1768="Youngstock","Bezerra/recria","Novilha"))))</f>
        <v>Novilha</v>
      </c>
      <c r="X1768" s="0" t="str">
        <f aca="false">IF(AND(B1768&gt;=1,B1768&lt;=6),"Tanque",IF(B1768=10,"Descarte",""))</f>
        <v/>
      </c>
    </row>
    <row r="1769" customFormat="false" ht="15" hidden="false" customHeight="false" outlineLevel="0" collapsed="false">
      <c r="A1769" s="22" t="n">
        <v>46309</v>
      </c>
      <c r="B1769" s="0" t="n">
        <v>7</v>
      </c>
      <c r="C1769" s="0" t="n">
        <v>6041</v>
      </c>
      <c r="E1769" s="0" t="n">
        <v>0</v>
      </c>
      <c r="F1769" s="23" t="s">
        <v>196</v>
      </c>
      <c r="I1769" s="23" t="s">
        <v>92</v>
      </c>
      <c r="L1769" s="0" t="n">
        <v>231</v>
      </c>
      <c r="U1769" s="0" t="n">
        <v>705</v>
      </c>
      <c r="V1769" s="0" t="n">
        <v>3</v>
      </c>
      <c r="W1769" s="0" t="str">
        <f aca="false">IF(OR(AND(B1769&gt;=1,B1769&lt;=6),B1769=10),"Vaca em lactação",IF(I1769="Male","Macho",IF(E1769&gt;=1,"Vaca seca",IF(I1769="Youngstock","Bezerra/recria","Novilha"))))</f>
        <v>Novilha</v>
      </c>
      <c r="X1769" s="0" t="str">
        <f aca="false">IF(AND(B1769&gt;=1,B1769&lt;=6),"Tanque",IF(B1769=10,"Descarte",""))</f>
        <v/>
      </c>
    </row>
    <row r="1770" customFormat="false" ht="15" hidden="false" customHeight="false" outlineLevel="0" collapsed="false">
      <c r="A1770" s="22" t="n">
        <v>46309</v>
      </c>
      <c r="B1770" s="0" t="n">
        <v>7</v>
      </c>
      <c r="C1770" s="0" t="n">
        <v>6054</v>
      </c>
      <c r="E1770" s="0" t="n">
        <v>0</v>
      </c>
      <c r="F1770" s="23" t="s">
        <v>199</v>
      </c>
      <c r="I1770" s="23" t="s">
        <v>92</v>
      </c>
      <c r="L1770" s="0" t="n">
        <v>177</v>
      </c>
      <c r="U1770" s="0" t="n">
        <v>701</v>
      </c>
      <c r="V1770" s="0" t="n">
        <v>7</v>
      </c>
      <c r="W1770" s="0" t="str">
        <f aca="false">IF(OR(AND(B1770&gt;=1,B1770&lt;=6),B1770=10),"Vaca em lactação",IF(I1770="Male","Macho",IF(E1770&gt;=1,"Vaca seca",IF(I1770="Youngstock","Bezerra/recria","Novilha"))))</f>
        <v>Novilha</v>
      </c>
      <c r="X1770" s="0" t="str">
        <f aca="false">IF(AND(B1770&gt;=1,B1770&lt;=6),"Tanque",IF(B1770=10,"Descarte",""))</f>
        <v/>
      </c>
    </row>
    <row r="1771" customFormat="false" ht="15" hidden="false" customHeight="false" outlineLevel="0" collapsed="false">
      <c r="A1771" s="22" t="n">
        <v>46309</v>
      </c>
      <c r="B1771" s="0" t="n">
        <v>7</v>
      </c>
      <c r="C1771" s="0" t="n">
        <v>6167</v>
      </c>
      <c r="E1771" s="0" t="n">
        <v>0</v>
      </c>
      <c r="F1771" s="23" t="s">
        <v>209</v>
      </c>
      <c r="I1771" s="23" t="s">
        <v>92</v>
      </c>
      <c r="L1771" s="0" t="n">
        <v>252</v>
      </c>
      <c r="U1771" s="0" t="n">
        <v>658</v>
      </c>
      <c r="V1771" s="0" t="n">
        <v>2</v>
      </c>
      <c r="W1771" s="0" t="str">
        <f aca="false">IF(OR(AND(B1771&gt;=1,B1771&lt;=6),B1771=10),"Vaca em lactação",IF(I1771="Male","Macho",IF(E1771&gt;=1,"Vaca seca",IF(I1771="Youngstock","Bezerra/recria","Novilha"))))</f>
        <v>Novilha</v>
      </c>
      <c r="X1771" s="0" t="str">
        <f aca="false">IF(AND(B1771&gt;=1,B1771&lt;=6),"Tanque",IF(B1771=10,"Descarte",""))</f>
        <v/>
      </c>
    </row>
    <row r="1772" customFormat="false" ht="15" hidden="false" customHeight="false" outlineLevel="0" collapsed="false">
      <c r="A1772" s="22" t="n">
        <v>46309</v>
      </c>
      <c r="B1772" s="0" t="n">
        <v>7</v>
      </c>
      <c r="C1772" s="0" t="n">
        <v>6175</v>
      </c>
      <c r="E1772" s="0" t="n">
        <v>0</v>
      </c>
      <c r="F1772" s="23" t="s">
        <v>210</v>
      </c>
      <c r="I1772" s="23" t="s">
        <v>92</v>
      </c>
      <c r="L1772" s="0" t="n">
        <v>224</v>
      </c>
      <c r="U1772" s="0" t="n">
        <v>657</v>
      </c>
      <c r="V1772" s="0" t="n">
        <v>3</v>
      </c>
      <c r="W1772" s="0" t="str">
        <f aca="false">IF(OR(AND(B1772&gt;=1,B1772&lt;=6),B1772=10),"Vaca em lactação",IF(I1772="Male","Macho",IF(E1772&gt;=1,"Vaca seca",IF(I1772="Youngstock","Bezerra/recria","Novilha"))))</f>
        <v>Novilha</v>
      </c>
      <c r="X1772" s="0" t="str">
        <f aca="false">IF(AND(B1772&gt;=1,B1772&lt;=6),"Tanque",IF(B1772=10,"Descarte",""))</f>
        <v/>
      </c>
    </row>
    <row r="1773" customFormat="false" ht="15" hidden="false" customHeight="false" outlineLevel="0" collapsed="false">
      <c r="A1773" s="22" t="n">
        <v>46309</v>
      </c>
      <c r="B1773" s="0" t="n">
        <v>7</v>
      </c>
      <c r="C1773" s="0" t="n">
        <v>6177</v>
      </c>
      <c r="E1773" s="0" t="n">
        <v>0</v>
      </c>
      <c r="F1773" s="23" t="s">
        <v>210</v>
      </c>
      <c r="I1773" s="23" t="s">
        <v>92</v>
      </c>
      <c r="L1773" s="0" t="n">
        <v>246</v>
      </c>
      <c r="U1773" s="0" t="n">
        <v>657</v>
      </c>
      <c r="V1773" s="0" t="n">
        <v>2</v>
      </c>
      <c r="W1773" s="0" t="str">
        <f aca="false">IF(OR(AND(B1773&gt;=1,B1773&lt;=6),B1773=10),"Vaca em lactação",IF(I1773="Male","Macho",IF(E1773&gt;=1,"Vaca seca",IF(I1773="Youngstock","Bezerra/recria","Novilha"))))</f>
        <v>Novilha</v>
      </c>
      <c r="X1773" s="0" t="str">
        <f aca="false">IF(AND(B1773&gt;=1,B1773&lt;=6),"Tanque",IF(B1773=10,"Descarte",""))</f>
        <v/>
      </c>
    </row>
    <row r="1774" customFormat="false" ht="15" hidden="false" customHeight="false" outlineLevel="0" collapsed="false">
      <c r="A1774" s="22" t="n">
        <v>46309</v>
      </c>
      <c r="B1774" s="0" t="n">
        <v>7</v>
      </c>
      <c r="C1774" s="0" t="n">
        <v>6126</v>
      </c>
      <c r="E1774" s="0" t="n">
        <v>0</v>
      </c>
      <c r="F1774" s="23" t="s">
        <v>214</v>
      </c>
      <c r="I1774" s="23" t="s">
        <v>92</v>
      </c>
      <c r="L1774" s="0" t="n">
        <v>243</v>
      </c>
      <c r="U1774" s="0" t="n">
        <v>671</v>
      </c>
      <c r="V1774" s="0" t="n">
        <v>3</v>
      </c>
      <c r="W1774" s="0" t="str">
        <f aca="false">IF(OR(AND(B1774&gt;=1,B1774&lt;=6),B1774=10),"Vaca em lactação",IF(I1774="Male","Macho",IF(E1774&gt;=1,"Vaca seca",IF(I1774="Youngstock","Bezerra/recria","Novilha"))))</f>
        <v>Novilha</v>
      </c>
      <c r="X1774" s="0" t="str">
        <f aca="false">IF(AND(B1774&gt;=1,B1774&lt;=6),"Tanque",IF(B1774=10,"Descarte",""))</f>
        <v/>
      </c>
    </row>
    <row r="1775" customFormat="false" ht="15" hidden="false" customHeight="false" outlineLevel="0" collapsed="false">
      <c r="A1775" s="22" t="n">
        <v>46309</v>
      </c>
      <c r="B1775" s="0" t="n">
        <v>7</v>
      </c>
      <c r="C1775" s="0" t="n">
        <v>6117</v>
      </c>
      <c r="E1775" s="0" t="n">
        <v>0</v>
      </c>
      <c r="F1775" s="23" t="s">
        <v>216</v>
      </c>
      <c r="I1775" s="23" t="s">
        <v>92</v>
      </c>
      <c r="L1775" s="0" t="n">
        <v>248</v>
      </c>
      <c r="U1775" s="0" t="n">
        <v>673</v>
      </c>
      <c r="V1775" s="0" t="n">
        <v>3</v>
      </c>
      <c r="W1775" s="0" t="str">
        <f aca="false">IF(OR(AND(B1775&gt;=1,B1775&lt;=6),B1775=10),"Vaca em lactação",IF(I1775="Male","Macho",IF(E1775&gt;=1,"Vaca seca",IF(I1775="Youngstock","Bezerra/recria","Novilha"))))</f>
        <v>Novilha</v>
      </c>
      <c r="X1775" s="0" t="str">
        <f aca="false">IF(AND(B1775&gt;=1,B1775&lt;=6),"Tanque",IF(B1775=10,"Descarte",""))</f>
        <v/>
      </c>
    </row>
    <row r="1776" customFormat="false" ht="15" hidden="false" customHeight="false" outlineLevel="0" collapsed="false">
      <c r="A1776" s="22" t="n">
        <v>46309</v>
      </c>
      <c r="B1776" s="0" t="n">
        <v>7</v>
      </c>
      <c r="C1776" s="0" t="n">
        <v>6103</v>
      </c>
      <c r="E1776" s="0" t="n">
        <v>0</v>
      </c>
      <c r="F1776" s="23" t="s">
        <v>219</v>
      </c>
      <c r="I1776" s="23" t="s">
        <v>92</v>
      </c>
      <c r="L1776" s="0" t="n">
        <v>192</v>
      </c>
      <c r="U1776" s="0" t="n">
        <v>678</v>
      </c>
      <c r="V1776" s="0" t="n">
        <v>4</v>
      </c>
      <c r="W1776" s="0" t="str">
        <f aca="false">IF(OR(AND(B1776&gt;=1,B1776&lt;=6),B1776=10),"Vaca em lactação",IF(I1776="Male","Macho",IF(E1776&gt;=1,"Vaca seca",IF(I1776="Youngstock","Bezerra/recria","Novilha"))))</f>
        <v>Novilha</v>
      </c>
      <c r="X1776" s="0" t="str">
        <f aca="false">IF(AND(B1776&gt;=1,B1776&lt;=6),"Tanque",IF(B1776=10,"Descarte",""))</f>
        <v/>
      </c>
    </row>
    <row r="1777" customFormat="false" ht="15" hidden="false" customHeight="false" outlineLevel="0" collapsed="false">
      <c r="A1777" s="22" t="n">
        <v>46309</v>
      </c>
      <c r="B1777" s="0" t="n">
        <v>7</v>
      </c>
      <c r="C1777" s="0" t="n">
        <v>6107</v>
      </c>
      <c r="E1777" s="0" t="n">
        <v>0</v>
      </c>
      <c r="F1777" s="23" t="s">
        <v>221</v>
      </c>
      <c r="I1777" s="23" t="s">
        <v>92</v>
      </c>
      <c r="L1777" s="0" t="n">
        <v>231</v>
      </c>
      <c r="U1777" s="0" t="n">
        <v>677</v>
      </c>
      <c r="V1777" s="0" t="n">
        <v>2</v>
      </c>
      <c r="W1777" s="0" t="str">
        <f aca="false">IF(OR(AND(B1777&gt;=1,B1777&lt;=6),B1777=10),"Vaca em lactação",IF(I1777="Male","Macho",IF(E1777&gt;=1,"Vaca seca",IF(I1777="Youngstock","Bezerra/recria","Novilha"))))</f>
        <v>Novilha</v>
      </c>
      <c r="X1777" s="0" t="str">
        <f aca="false">IF(AND(B1777&gt;=1,B1777&lt;=6),"Tanque",IF(B1777=10,"Descarte",""))</f>
        <v/>
      </c>
    </row>
    <row r="1778" customFormat="false" ht="15" hidden="false" customHeight="false" outlineLevel="0" collapsed="false">
      <c r="A1778" s="22" t="n">
        <v>46309</v>
      </c>
      <c r="B1778" s="0" t="n">
        <v>7</v>
      </c>
      <c r="C1778" s="0" t="n">
        <v>6106</v>
      </c>
      <c r="E1778" s="0" t="n">
        <v>0</v>
      </c>
      <c r="F1778" s="23" t="s">
        <v>221</v>
      </c>
      <c r="I1778" s="23" t="s">
        <v>92</v>
      </c>
      <c r="L1778" s="0" t="n">
        <v>219</v>
      </c>
      <c r="U1778" s="0" t="n">
        <v>677</v>
      </c>
      <c r="V1778" s="0" t="n">
        <v>4</v>
      </c>
      <c r="W1778" s="0" t="str">
        <f aca="false">IF(OR(AND(B1778&gt;=1,B1778&lt;=6),B1778=10),"Vaca em lactação",IF(I1778="Male","Macho",IF(E1778&gt;=1,"Vaca seca",IF(I1778="Youngstock","Bezerra/recria","Novilha"))))</f>
        <v>Novilha</v>
      </c>
      <c r="X1778" s="0" t="str">
        <f aca="false">IF(AND(B1778&gt;=1,B1778&lt;=6),"Tanque",IF(B1778=10,"Descarte",""))</f>
        <v/>
      </c>
    </row>
    <row r="1779" customFormat="false" ht="15" hidden="false" customHeight="false" outlineLevel="0" collapsed="false">
      <c r="A1779" s="22" t="n">
        <v>46309</v>
      </c>
      <c r="B1779" s="0" t="n">
        <v>7</v>
      </c>
      <c r="C1779" s="0" t="n">
        <v>6109</v>
      </c>
      <c r="E1779" s="0" t="n">
        <v>0</v>
      </c>
      <c r="F1779" s="23" t="s">
        <v>220</v>
      </c>
      <c r="I1779" s="23" t="s">
        <v>92</v>
      </c>
      <c r="L1779" s="0" t="n">
        <v>253</v>
      </c>
      <c r="U1779" s="0" t="n">
        <v>676</v>
      </c>
      <c r="V1779" s="0" t="n">
        <v>3</v>
      </c>
      <c r="W1779" s="0" t="str">
        <f aca="false">IF(OR(AND(B1779&gt;=1,B1779&lt;=6),B1779=10),"Vaca em lactação",IF(I1779="Male","Macho",IF(E1779&gt;=1,"Vaca seca",IF(I1779="Youngstock","Bezerra/recria","Novilha"))))</f>
        <v>Novilha</v>
      </c>
      <c r="X1779" s="0" t="str">
        <f aca="false">IF(AND(B1779&gt;=1,B1779&lt;=6),"Tanque",IF(B1779=10,"Descarte",""))</f>
        <v/>
      </c>
    </row>
    <row r="1780" customFormat="false" ht="15" hidden="false" customHeight="false" outlineLevel="0" collapsed="false">
      <c r="A1780" s="22" t="n">
        <v>46309</v>
      </c>
      <c r="B1780" s="0" t="n">
        <v>7</v>
      </c>
      <c r="C1780" s="0" t="n">
        <v>6258</v>
      </c>
      <c r="E1780" s="0" t="n">
        <v>0</v>
      </c>
      <c r="F1780" s="23" t="s">
        <v>1027</v>
      </c>
      <c r="I1780" s="23" t="s">
        <v>92</v>
      </c>
      <c r="L1780" s="0" t="n">
        <v>237</v>
      </c>
      <c r="U1780" s="0" t="n">
        <v>623</v>
      </c>
      <c r="V1780" s="0" t="n">
        <v>2</v>
      </c>
      <c r="W1780" s="0" t="str">
        <f aca="false">IF(OR(AND(B1780&gt;=1,B1780&lt;=6),B1780=10),"Vaca em lactação",IF(I1780="Male","Macho",IF(E1780&gt;=1,"Vaca seca",IF(I1780="Youngstock","Bezerra/recria","Novilha"))))</f>
        <v>Novilha</v>
      </c>
      <c r="X1780" s="0" t="str">
        <f aca="false">IF(AND(B1780&gt;=1,B1780&lt;=6),"Tanque",IF(B1780=10,"Descarte",""))</f>
        <v/>
      </c>
    </row>
    <row r="1781" customFormat="false" ht="15" hidden="false" customHeight="false" outlineLevel="0" collapsed="false">
      <c r="A1781" s="22" t="n">
        <v>46309</v>
      </c>
      <c r="B1781" s="0" t="n">
        <v>7</v>
      </c>
      <c r="C1781" s="0" t="n">
        <v>6274</v>
      </c>
      <c r="E1781" s="0" t="n">
        <v>0</v>
      </c>
      <c r="F1781" s="23" t="s">
        <v>1028</v>
      </c>
      <c r="I1781" s="23" t="s">
        <v>92</v>
      </c>
      <c r="L1781" s="0" t="n">
        <v>246</v>
      </c>
      <c r="U1781" s="0" t="n">
        <v>618</v>
      </c>
      <c r="V1781" s="0" t="n">
        <v>1</v>
      </c>
      <c r="W1781" s="0" t="str">
        <f aca="false">IF(OR(AND(B1781&gt;=1,B1781&lt;=6),B1781=10),"Vaca em lactação",IF(I1781="Male","Macho",IF(E1781&gt;=1,"Vaca seca",IF(I1781="Youngstock","Bezerra/recria","Novilha"))))</f>
        <v>Novilha</v>
      </c>
      <c r="X1781" s="0" t="str">
        <f aca="false">IF(AND(B1781&gt;=1,B1781&lt;=6),"Tanque",IF(B1781=10,"Descarte",""))</f>
        <v/>
      </c>
    </row>
    <row r="1782" customFormat="false" ht="15" hidden="false" customHeight="false" outlineLevel="0" collapsed="false">
      <c r="A1782" s="22" t="n">
        <v>46309</v>
      </c>
      <c r="B1782" s="0" t="n">
        <v>7</v>
      </c>
      <c r="C1782" s="0" t="n">
        <v>6228</v>
      </c>
      <c r="E1782" s="0" t="n">
        <v>0</v>
      </c>
      <c r="F1782" s="23" t="s">
        <v>1029</v>
      </c>
      <c r="I1782" s="23" t="s">
        <v>92</v>
      </c>
      <c r="L1782" s="0" t="n">
        <v>247</v>
      </c>
      <c r="U1782" s="0" t="n">
        <v>635</v>
      </c>
      <c r="V1782" s="0" t="n">
        <v>2</v>
      </c>
      <c r="W1782" s="0" t="str">
        <f aca="false">IF(OR(AND(B1782&gt;=1,B1782&lt;=6),B1782=10),"Vaca em lactação",IF(I1782="Male","Macho",IF(E1782&gt;=1,"Vaca seca",IF(I1782="Youngstock","Bezerra/recria","Novilha"))))</f>
        <v>Novilha</v>
      </c>
      <c r="X1782" s="0" t="str">
        <f aca="false">IF(AND(B1782&gt;=1,B1782&lt;=6),"Tanque",IF(B1782=10,"Descarte",""))</f>
        <v/>
      </c>
    </row>
    <row r="1783" customFormat="false" ht="15" hidden="false" customHeight="false" outlineLevel="0" collapsed="false">
      <c r="A1783" s="22" t="n">
        <v>46309</v>
      </c>
      <c r="B1783" s="0" t="n">
        <v>7</v>
      </c>
      <c r="C1783" s="0" t="n">
        <v>6245</v>
      </c>
      <c r="E1783" s="0" t="n">
        <v>0</v>
      </c>
      <c r="F1783" s="23" t="s">
        <v>1030</v>
      </c>
      <c r="I1783" s="23" t="s">
        <v>92</v>
      </c>
      <c r="L1783" s="0" t="n">
        <v>253</v>
      </c>
      <c r="U1783" s="0" t="n">
        <v>629</v>
      </c>
      <c r="V1783" s="0" t="n">
        <v>1</v>
      </c>
      <c r="W1783" s="0" t="str">
        <f aca="false">IF(OR(AND(B1783&gt;=1,B1783&lt;=6),B1783=10),"Vaca em lactação",IF(I1783="Male","Macho",IF(E1783&gt;=1,"Vaca seca",IF(I1783="Youngstock","Bezerra/recria","Novilha"))))</f>
        <v>Novilha</v>
      </c>
      <c r="X1783" s="0" t="str">
        <f aca="false">IF(AND(B1783&gt;=1,B1783&lt;=6),"Tanque",IF(B1783=10,"Descarte",""))</f>
        <v/>
      </c>
    </row>
    <row r="1784" customFormat="false" ht="15" hidden="false" customHeight="false" outlineLevel="0" collapsed="false">
      <c r="A1784" s="22" t="n">
        <v>46309</v>
      </c>
      <c r="B1784" s="0" t="n">
        <v>7</v>
      </c>
      <c r="C1784" s="0" t="n">
        <v>6256</v>
      </c>
      <c r="E1784" s="0" t="n">
        <v>0</v>
      </c>
      <c r="F1784" s="23" t="s">
        <v>1031</v>
      </c>
      <c r="I1784" s="23" t="s">
        <v>92</v>
      </c>
      <c r="L1784" s="0" t="n">
        <v>234</v>
      </c>
      <c r="U1784" s="0" t="n">
        <v>626</v>
      </c>
      <c r="V1784" s="0" t="n">
        <v>2</v>
      </c>
      <c r="W1784" s="0" t="str">
        <f aca="false">IF(OR(AND(B1784&gt;=1,B1784&lt;=6),B1784=10),"Vaca em lactação",IF(I1784="Male","Macho",IF(E1784&gt;=1,"Vaca seca",IF(I1784="Youngstock","Bezerra/recria","Novilha"))))</f>
        <v>Novilha</v>
      </c>
      <c r="X1784" s="0" t="str">
        <f aca="false">IF(AND(B1784&gt;=1,B1784&lt;=6),"Tanque",IF(B1784=10,"Descarte",""))</f>
        <v/>
      </c>
    </row>
    <row r="1785" customFormat="false" ht="15" hidden="false" customHeight="false" outlineLevel="0" collapsed="false">
      <c r="A1785" s="22" t="n">
        <v>46309</v>
      </c>
      <c r="B1785" s="0" t="n">
        <v>7</v>
      </c>
      <c r="C1785" s="0" t="n">
        <v>6234</v>
      </c>
      <c r="E1785" s="0" t="n">
        <v>0</v>
      </c>
      <c r="F1785" s="23" t="s">
        <v>1032</v>
      </c>
      <c r="I1785" s="23" t="s">
        <v>92</v>
      </c>
      <c r="L1785" s="0" t="n">
        <v>252</v>
      </c>
      <c r="U1785" s="0" t="n">
        <v>642</v>
      </c>
      <c r="V1785" s="0" t="n">
        <v>1</v>
      </c>
      <c r="W1785" s="0" t="str">
        <f aca="false">IF(OR(AND(B1785&gt;=1,B1785&lt;=6),B1785=10),"Vaca em lactação",IF(I1785="Male","Macho",IF(E1785&gt;=1,"Vaca seca",IF(I1785="Youngstock","Bezerra/recria","Novilha"))))</f>
        <v>Novilha</v>
      </c>
      <c r="X1785" s="0" t="str">
        <f aca="false">IF(AND(B1785&gt;=1,B1785&lt;=6),"Tanque",IF(B1785=10,"Descarte",""))</f>
        <v/>
      </c>
    </row>
    <row r="1786" customFormat="false" ht="15" hidden="false" customHeight="false" outlineLevel="0" collapsed="false">
      <c r="A1786" s="22" t="n">
        <v>46309</v>
      </c>
      <c r="B1786" s="0" t="n">
        <v>7</v>
      </c>
      <c r="C1786" s="0" t="n">
        <v>6218</v>
      </c>
      <c r="E1786" s="0" t="n">
        <v>0</v>
      </c>
      <c r="F1786" s="23" t="s">
        <v>1033</v>
      </c>
      <c r="I1786" s="23" t="s">
        <v>92</v>
      </c>
      <c r="L1786" s="0" t="n">
        <v>246</v>
      </c>
      <c r="U1786" s="0" t="n">
        <v>640</v>
      </c>
      <c r="V1786" s="0" t="n">
        <v>1</v>
      </c>
      <c r="W1786" s="0" t="str">
        <f aca="false">IF(OR(AND(B1786&gt;=1,B1786&lt;=6),B1786=10),"Vaca em lactação",IF(I1786="Male","Macho",IF(E1786&gt;=1,"Vaca seca",IF(I1786="Youngstock","Bezerra/recria","Novilha"))))</f>
        <v>Novilha</v>
      </c>
      <c r="X1786" s="0" t="str">
        <f aca="false">IF(AND(B1786&gt;=1,B1786&lt;=6),"Tanque",IF(B1786=10,"Descarte",""))</f>
        <v/>
      </c>
    </row>
    <row r="1787" customFormat="false" ht="15" hidden="false" customHeight="false" outlineLevel="0" collapsed="false">
      <c r="A1787" s="22" t="n">
        <v>46309</v>
      </c>
      <c r="B1787" s="0" t="n">
        <v>7</v>
      </c>
      <c r="C1787" s="0" t="n">
        <v>6287</v>
      </c>
      <c r="E1787" s="0" t="n">
        <v>0</v>
      </c>
      <c r="F1787" s="23" t="s">
        <v>1034</v>
      </c>
      <c r="I1787" s="23" t="s">
        <v>92</v>
      </c>
      <c r="L1787" s="0" t="n">
        <v>246</v>
      </c>
      <c r="U1787" s="0" t="n">
        <v>614</v>
      </c>
      <c r="V1787" s="0" t="n">
        <v>1</v>
      </c>
      <c r="W1787" s="0" t="str">
        <f aca="false">IF(OR(AND(B1787&gt;=1,B1787&lt;=6),B1787=10),"Vaca em lactação",IF(I1787="Male","Macho",IF(E1787&gt;=1,"Vaca seca",IF(I1787="Youngstock","Bezerra/recria","Novilha"))))</f>
        <v>Novilha</v>
      </c>
      <c r="X1787" s="0" t="str">
        <f aca="false">IF(AND(B1787&gt;=1,B1787&lt;=6),"Tanque",IF(B1787=10,"Descarte",""))</f>
        <v/>
      </c>
    </row>
    <row r="1788" customFormat="false" ht="15" hidden="false" customHeight="false" outlineLevel="0" collapsed="false">
      <c r="A1788" s="22" t="n">
        <v>46309</v>
      </c>
      <c r="B1788" s="0" t="n">
        <v>7</v>
      </c>
      <c r="C1788" s="0" t="n">
        <v>6297</v>
      </c>
      <c r="E1788" s="0" t="n">
        <v>0</v>
      </c>
      <c r="F1788" s="23" t="s">
        <v>1035</v>
      </c>
      <c r="I1788" s="23" t="s">
        <v>92</v>
      </c>
      <c r="L1788" s="0" t="n">
        <v>248</v>
      </c>
      <c r="U1788" s="0" t="n">
        <v>609</v>
      </c>
      <c r="V1788" s="0" t="n">
        <v>1</v>
      </c>
      <c r="W1788" s="0" t="str">
        <f aca="false">IF(OR(AND(B1788&gt;=1,B1788&lt;=6),B1788=10),"Vaca em lactação",IF(I1788="Male","Macho",IF(E1788&gt;=1,"Vaca seca",IF(I1788="Youngstock","Bezerra/recria","Novilha"))))</f>
        <v>Novilha</v>
      </c>
      <c r="X1788" s="0" t="str">
        <f aca="false">IF(AND(B1788&gt;=1,B1788&lt;=6),"Tanque",IF(B1788=10,"Descarte",""))</f>
        <v/>
      </c>
    </row>
    <row r="1789" customFormat="false" ht="15" hidden="false" customHeight="false" outlineLevel="0" collapsed="false">
      <c r="A1789" s="22" t="n">
        <v>46309</v>
      </c>
      <c r="B1789" s="0" t="n">
        <v>7</v>
      </c>
      <c r="C1789" s="0" t="n">
        <v>6282</v>
      </c>
      <c r="E1789" s="0" t="n">
        <v>0</v>
      </c>
      <c r="F1789" s="23" t="s">
        <v>1036</v>
      </c>
      <c r="I1789" s="23" t="s">
        <v>92</v>
      </c>
      <c r="L1789" s="0" t="n">
        <v>220</v>
      </c>
      <c r="U1789" s="0" t="n">
        <v>615</v>
      </c>
      <c r="V1789" s="0" t="n">
        <v>1</v>
      </c>
      <c r="W1789" s="0" t="str">
        <f aca="false">IF(OR(AND(B1789&gt;=1,B1789&lt;=6),B1789=10),"Vaca em lactação",IF(I1789="Male","Macho",IF(E1789&gt;=1,"Vaca seca",IF(I1789="Youngstock","Bezerra/recria","Novilha"))))</f>
        <v>Novilha</v>
      </c>
      <c r="X1789" s="0" t="str">
        <f aca="false">IF(AND(B1789&gt;=1,B1789&lt;=6),"Tanque",IF(B1789=10,"Descarte",""))</f>
        <v/>
      </c>
    </row>
    <row r="1790" customFormat="false" ht="15" hidden="false" customHeight="false" outlineLevel="0" collapsed="false">
      <c r="A1790" s="22" t="n">
        <v>46309</v>
      </c>
      <c r="B1790" s="0" t="n">
        <v>7</v>
      </c>
      <c r="C1790" s="0" t="n">
        <v>6280</v>
      </c>
      <c r="E1790" s="0" t="n">
        <v>0</v>
      </c>
      <c r="F1790" s="23" t="s">
        <v>1037</v>
      </c>
      <c r="I1790" s="23" t="s">
        <v>92</v>
      </c>
      <c r="L1790" s="0" t="n">
        <v>250</v>
      </c>
      <c r="U1790" s="0" t="n">
        <v>616</v>
      </c>
      <c r="V1790" s="0" t="n">
        <v>1</v>
      </c>
      <c r="W1790" s="0" t="str">
        <f aca="false">IF(OR(AND(B1790&gt;=1,B1790&lt;=6),B1790=10),"Vaca em lactação",IF(I1790="Male","Macho",IF(E1790&gt;=1,"Vaca seca",IF(I1790="Youngstock","Bezerra/recria","Novilha"))))</f>
        <v>Novilha</v>
      </c>
      <c r="X1790" s="0" t="str">
        <f aca="false">IF(AND(B1790&gt;=1,B1790&lt;=6),"Tanque",IF(B1790=10,"Descarte",""))</f>
        <v/>
      </c>
    </row>
    <row r="1791" customFormat="false" ht="15" hidden="false" customHeight="false" outlineLevel="0" collapsed="false">
      <c r="A1791" s="22" t="n">
        <v>46309</v>
      </c>
      <c r="B1791" s="0" t="n">
        <v>7</v>
      </c>
      <c r="C1791" s="0" t="n">
        <v>6289</v>
      </c>
      <c r="E1791" s="0" t="n">
        <v>0</v>
      </c>
      <c r="F1791" s="23" t="s">
        <v>1034</v>
      </c>
      <c r="I1791" s="23" t="s">
        <v>92</v>
      </c>
      <c r="L1791" s="0" t="n">
        <v>244</v>
      </c>
      <c r="U1791" s="0" t="n">
        <v>614</v>
      </c>
      <c r="V1791" s="0" t="n">
        <v>1</v>
      </c>
      <c r="W1791" s="0" t="str">
        <f aca="false">IF(OR(AND(B1791&gt;=1,B1791&lt;=6),B1791=10),"Vaca em lactação",IF(I1791="Male","Macho",IF(E1791&gt;=1,"Vaca seca",IF(I1791="Youngstock","Bezerra/recria","Novilha"))))</f>
        <v>Novilha</v>
      </c>
      <c r="X1791" s="0" t="str">
        <f aca="false">IF(AND(B1791&gt;=1,B1791&lt;=6),"Tanque",IF(B1791=10,"Descarte",""))</f>
        <v/>
      </c>
    </row>
    <row r="1792" customFormat="false" ht="15" hidden="false" customHeight="false" outlineLevel="0" collapsed="false">
      <c r="A1792" s="22" t="n">
        <v>46309</v>
      </c>
      <c r="B1792" s="0" t="n">
        <v>7</v>
      </c>
      <c r="C1792" s="0" t="n">
        <v>6288</v>
      </c>
      <c r="E1792" s="0" t="n">
        <v>0</v>
      </c>
      <c r="F1792" s="23" t="s">
        <v>1034</v>
      </c>
      <c r="I1792" s="23" t="s">
        <v>92</v>
      </c>
      <c r="L1792" s="0" t="n">
        <v>253</v>
      </c>
      <c r="U1792" s="0" t="n">
        <v>614</v>
      </c>
      <c r="V1792" s="0" t="n">
        <v>1</v>
      </c>
      <c r="W1792" s="0" t="str">
        <f aca="false">IF(OR(AND(B1792&gt;=1,B1792&lt;=6),B1792=10),"Vaca em lactação",IF(I1792="Male","Macho",IF(E1792&gt;=1,"Vaca seca",IF(I1792="Youngstock","Bezerra/recria","Novilha"))))</f>
        <v>Novilha</v>
      </c>
      <c r="X1792" s="0" t="str">
        <f aca="false">IF(AND(B1792&gt;=1,B1792&lt;=6),"Tanque",IF(B1792=10,"Descarte",""))</f>
        <v/>
      </c>
    </row>
    <row r="1793" customFormat="false" ht="15" hidden="false" customHeight="false" outlineLevel="0" collapsed="false">
      <c r="A1793" s="22" t="n">
        <v>46309</v>
      </c>
      <c r="B1793" s="0" t="n">
        <v>8</v>
      </c>
      <c r="C1793" s="0" t="n">
        <v>5345</v>
      </c>
      <c r="E1793" s="0" t="n">
        <v>0</v>
      </c>
      <c r="F1793" s="23" t="s">
        <v>586</v>
      </c>
      <c r="I1793" s="23" t="s">
        <v>92</v>
      </c>
      <c r="L1793" s="0" t="n">
        <v>156</v>
      </c>
      <c r="M1793" s="0" t="n">
        <v>324.8</v>
      </c>
      <c r="N1793" s="0" t="n">
        <v>75.41</v>
      </c>
      <c r="O1793" s="0" t="n">
        <v>41.88</v>
      </c>
      <c r="U1793" s="0" t="n">
        <v>965</v>
      </c>
      <c r="V1793" s="0" t="n">
        <v>7</v>
      </c>
      <c r="W1793" s="0" t="str">
        <f aca="false">IF(OR(AND(B1793&gt;=1,B1793&lt;=6),B1793=10),"Vaca em lactação",IF(I1793="Male","Macho",IF(E1793&gt;=1,"Vaca seca",IF(I1793="Youngstock","Bezerra/recria","Novilha"))))</f>
        <v>Novilha</v>
      </c>
      <c r="X1793" s="0" t="str">
        <f aca="false">IF(AND(B1793&gt;=1,B1793&lt;=6),"Tanque",IF(B1793=10,"Descarte",""))</f>
        <v/>
      </c>
    </row>
    <row r="1794" customFormat="false" ht="15" hidden="false" customHeight="false" outlineLevel="0" collapsed="false">
      <c r="A1794" s="22" t="n">
        <v>46309</v>
      </c>
      <c r="B1794" s="0" t="n">
        <v>8</v>
      </c>
      <c r="C1794" s="0" t="n">
        <v>5606</v>
      </c>
      <c r="E1794" s="0" t="n">
        <v>0</v>
      </c>
      <c r="F1794" s="23" t="s">
        <v>649</v>
      </c>
      <c r="I1794" s="23" t="s">
        <v>92</v>
      </c>
      <c r="L1794" s="0" t="n">
        <v>169</v>
      </c>
      <c r="U1794" s="0" t="n">
        <v>865</v>
      </c>
      <c r="V1794" s="0" t="n">
        <v>11</v>
      </c>
      <c r="W1794" s="0" t="str">
        <f aca="false">IF(OR(AND(B1794&gt;=1,B1794&lt;=6),B1794=10),"Vaca em lactação",IF(I1794="Male","Macho",IF(E1794&gt;=1,"Vaca seca",IF(I1794="Youngstock","Bezerra/recria","Novilha"))))</f>
        <v>Novilha</v>
      </c>
      <c r="X1794" s="0" t="str">
        <f aca="false">IF(AND(B1794&gt;=1,B1794&lt;=6),"Tanque",IF(B1794=10,"Descarte",""))</f>
        <v/>
      </c>
    </row>
    <row r="1795" customFormat="false" ht="15" hidden="false" customHeight="false" outlineLevel="0" collapsed="false">
      <c r="A1795" s="22" t="n">
        <v>46309</v>
      </c>
      <c r="B1795" s="0" t="n">
        <v>8</v>
      </c>
      <c r="C1795" s="0" t="n">
        <v>5709</v>
      </c>
      <c r="E1795" s="0" t="n">
        <v>0</v>
      </c>
      <c r="F1795" s="23" t="s">
        <v>114</v>
      </c>
      <c r="I1795" s="23" t="s">
        <v>92</v>
      </c>
      <c r="L1795" s="0" t="n">
        <v>147</v>
      </c>
      <c r="U1795" s="0" t="n">
        <v>832</v>
      </c>
      <c r="V1795" s="0" t="n">
        <v>9</v>
      </c>
      <c r="W1795" s="0" t="str">
        <f aca="false">IF(OR(AND(B1795&gt;=1,B1795&lt;=6),B1795=10),"Vaca em lactação",IF(I1795="Male","Macho",IF(E1795&gt;=1,"Vaca seca",IF(I1795="Youngstock","Bezerra/recria","Novilha"))))</f>
        <v>Novilha</v>
      </c>
      <c r="X1795" s="0" t="str">
        <f aca="false">IF(AND(B1795&gt;=1,B1795&lt;=6),"Tanque",IF(B1795=10,"Descarte",""))</f>
        <v/>
      </c>
    </row>
    <row r="1796" customFormat="false" ht="15" hidden="false" customHeight="false" outlineLevel="0" collapsed="false">
      <c r="A1796" s="22" t="n">
        <v>46309</v>
      </c>
      <c r="B1796" s="0" t="n">
        <v>8</v>
      </c>
      <c r="C1796" s="0" t="n">
        <v>5895</v>
      </c>
      <c r="E1796" s="0" t="n">
        <v>0</v>
      </c>
      <c r="F1796" s="23" t="s">
        <v>137</v>
      </c>
      <c r="I1796" s="23" t="s">
        <v>92</v>
      </c>
      <c r="L1796" s="0" t="n">
        <v>226</v>
      </c>
      <c r="U1796" s="0" t="n">
        <v>756</v>
      </c>
      <c r="V1796" s="0" t="n">
        <v>2</v>
      </c>
      <c r="W1796" s="0" t="str">
        <f aca="false">IF(OR(AND(B1796&gt;=1,B1796&lt;=6),B1796=10),"Vaca em lactação",IF(I1796="Male","Macho",IF(E1796&gt;=1,"Vaca seca",IF(I1796="Youngstock","Bezerra/recria","Novilha"))))</f>
        <v>Novilha</v>
      </c>
      <c r="X1796" s="0" t="str">
        <f aca="false">IF(AND(B1796&gt;=1,B1796&lt;=6),"Tanque",IF(B1796=10,"Descarte",""))</f>
        <v/>
      </c>
    </row>
    <row r="1797" customFormat="false" ht="15" hidden="false" customHeight="false" outlineLevel="0" collapsed="false">
      <c r="A1797" s="22" t="n">
        <v>46309</v>
      </c>
      <c r="B1797" s="0" t="n">
        <v>8</v>
      </c>
      <c r="C1797" s="0" t="n">
        <v>5997</v>
      </c>
      <c r="E1797" s="0" t="n">
        <v>0</v>
      </c>
      <c r="F1797" s="23" t="s">
        <v>152</v>
      </c>
      <c r="I1797" s="23" t="s">
        <v>92</v>
      </c>
      <c r="L1797" s="0" t="n">
        <v>126</v>
      </c>
      <c r="U1797" s="0" t="n">
        <v>723</v>
      </c>
      <c r="V1797" s="0" t="n">
        <v>7</v>
      </c>
      <c r="W1797" s="0" t="str">
        <f aca="false">IF(OR(AND(B1797&gt;=1,B1797&lt;=6),B1797=10),"Vaca em lactação",IF(I1797="Male","Macho",IF(E1797&gt;=1,"Vaca seca",IF(I1797="Youngstock","Bezerra/recria","Novilha"))))</f>
        <v>Novilha</v>
      </c>
      <c r="X1797" s="0" t="str">
        <f aca="false">IF(AND(B1797&gt;=1,B1797&lt;=6),"Tanque",IF(B1797=10,"Descarte",""))</f>
        <v/>
      </c>
    </row>
    <row r="1798" customFormat="false" ht="15" hidden="false" customHeight="false" outlineLevel="0" collapsed="false">
      <c r="A1798" s="22" t="n">
        <v>46309</v>
      </c>
      <c r="B1798" s="0" t="n">
        <v>8</v>
      </c>
      <c r="C1798" s="0" t="n">
        <v>5958</v>
      </c>
      <c r="E1798" s="0" t="n">
        <v>0</v>
      </c>
      <c r="F1798" s="23" t="s">
        <v>155</v>
      </c>
      <c r="I1798" s="23" t="s">
        <v>92</v>
      </c>
      <c r="L1798" s="0" t="n">
        <v>63</v>
      </c>
      <c r="U1798" s="0" t="n">
        <v>735</v>
      </c>
      <c r="V1798" s="0" t="n">
        <v>12</v>
      </c>
      <c r="W1798" s="0" t="str">
        <f aca="false">IF(OR(AND(B1798&gt;=1,B1798&lt;=6),B1798=10),"Vaca em lactação",IF(I1798="Male","Macho",IF(E1798&gt;=1,"Vaca seca",IF(I1798="Youngstock","Bezerra/recria","Novilha"))))</f>
        <v>Novilha</v>
      </c>
      <c r="X1798" s="0" t="str">
        <f aca="false">IF(AND(B1798&gt;=1,B1798&lt;=6),"Tanque",IF(B1798=10,"Descarte",""))</f>
        <v/>
      </c>
    </row>
    <row r="1799" customFormat="false" ht="15" hidden="false" customHeight="false" outlineLevel="0" collapsed="false">
      <c r="A1799" s="22" t="n">
        <v>46309</v>
      </c>
      <c r="B1799" s="0" t="n">
        <v>8</v>
      </c>
      <c r="C1799" s="0" t="n">
        <v>5956</v>
      </c>
      <c r="E1799" s="0" t="n">
        <v>0</v>
      </c>
      <c r="F1799" s="23" t="s">
        <v>155</v>
      </c>
      <c r="I1799" s="23" t="s">
        <v>92</v>
      </c>
      <c r="L1799" s="0" t="n">
        <v>152</v>
      </c>
      <c r="U1799" s="0" t="n">
        <v>735</v>
      </c>
      <c r="V1799" s="0" t="n">
        <v>4</v>
      </c>
      <c r="W1799" s="0" t="str">
        <f aca="false">IF(OR(AND(B1799&gt;=1,B1799&lt;=6),B1799=10),"Vaca em lactação",IF(I1799="Male","Macho",IF(E1799&gt;=1,"Vaca seca",IF(I1799="Youngstock","Bezerra/recria","Novilha"))))</f>
        <v>Novilha</v>
      </c>
      <c r="X1799" s="0" t="str">
        <f aca="false">IF(AND(B1799&gt;=1,B1799&lt;=6),"Tanque",IF(B1799=10,"Descarte",""))</f>
        <v/>
      </c>
    </row>
    <row r="1800" customFormat="false" ht="15" hidden="false" customHeight="false" outlineLevel="0" collapsed="false">
      <c r="A1800" s="22" t="n">
        <v>46309</v>
      </c>
      <c r="B1800" s="0" t="n">
        <v>8</v>
      </c>
      <c r="C1800" s="0" t="n">
        <v>5963</v>
      </c>
      <c r="E1800" s="0" t="n">
        <v>0</v>
      </c>
      <c r="F1800" s="23" t="s">
        <v>156</v>
      </c>
      <c r="I1800" s="23" t="s">
        <v>92</v>
      </c>
      <c r="L1800" s="0" t="n">
        <v>205</v>
      </c>
      <c r="U1800" s="0" t="n">
        <v>734</v>
      </c>
      <c r="V1800" s="0" t="n">
        <v>7</v>
      </c>
      <c r="W1800" s="0" t="str">
        <f aca="false">IF(OR(AND(B1800&gt;=1,B1800&lt;=6),B1800=10),"Vaca em lactação",IF(I1800="Male","Macho",IF(E1800&gt;=1,"Vaca seca",IF(I1800="Youngstock","Bezerra/recria","Novilha"))))</f>
        <v>Novilha</v>
      </c>
      <c r="X1800" s="0" t="str">
        <f aca="false">IF(AND(B1800&gt;=1,B1800&lt;=6),"Tanque",IF(B1800=10,"Descarte",""))</f>
        <v/>
      </c>
    </row>
    <row r="1801" customFormat="false" ht="15" hidden="false" customHeight="false" outlineLevel="0" collapsed="false">
      <c r="A1801" s="22" t="n">
        <v>46309</v>
      </c>
      <c r="B1801" s="0" t="n">
        <v>8</v>
      </c>
      <c r="C1801" s="0" t="n">
        <v>5978</v>
      </c>
      <c r="E1801" s="0" t="n">
        <v>0</v>
      </c>
      <c r="F1801" s="23" t="s">
        <v>1038</v>
      </c>
      <c r="I1801" s="23" t="s">
        <v>92</v>
      </c>
      <c r="L1801" s="0" t="n">
        <v>219</v>
      </c>
      <c r="U1801" s="0" t="n">
        <v>729</v>
      </c>
      <c r="V1801" s="0" t="n">
        <v>5</v>
      </c>
      <c r="W1801" s="0" t="str">
        <f aca="false">IF(OR(AND(B1801&gt;=1,B1801&lt;=6),B1801=10),"Vaca em lactação",IF(I1801="Male","Macho",IF(E1801&gt;=1,"Vaca seca",IF(I1801="Youngstock","Bezerra/recria","Novilha"))))</f>
        <v>Novilha</v>
      </c>
      <c r="X1801" s="0" t="str">
        <f aca="false">IF(AND(B1801&gt;=1,B1801&lt;=6),"Tanque",IF(B1801=10,"Descarte",""))</f>
        <v/>
      </c>
    </row>
    <row r="1802" customFormat="false" ht="15" hidden="false" customHeight="false" outlineLevel="0" collapsed="false">
      <c r="A1802" s="22" t="n">
        <v>46309</v>
      </c>
      <c r="B1802" s="0" t="n">
        <v>8</v>
      </c>
      <c r="C1802" s="0" t="n">
        <v>5942</v>
      </c>
      <c r="E1802" s="0" t="n">
        <v>0</v>
      </c>
      <c r="F1802" s="23" t="s">
        <v>167</v>
      </c>
      <c r="I1802" s="23" t="s">
        <v>92</v>
      </c>
      <c r="L1802" s="0" t="n">
        <v>91</v>
      </c>
      <c r="U1802" s="0" t="n">
        <v>738</v>
      </c>
      <c r="V1802" s="0" t="n">
        <v>10</v>
      </c>
      <c r="W1802" s="0" t="str">
        <f aca="false">IF(OR(AND(B1802&gt;=1,B1802&lt;=6),B1802=10),"Vaca em lactação",IF(I1802="Male","Macho",IF(E1802&gt;=1,"Vaca seca",IF(I1802="Youngstock","Bezerra/recria","Novilha"))))</f>
        <v>Novilha</v>
      </c>
      <c r="X1802" s="0" t="str">
        <f aca="false">IF(AND(B1802&gt;=1,B1802&lt;=6),"Tanque",IF(B1802=10,"Descarte",""))</f>
        <v/>
      </c>
    </row>
    <row r="1803" customFormat="false" ht="15" hidden="false" customHeight="false" outlineLevel="0" collapsed="false">
      <c r="A1803" s="22" t="n">
        <v>46309</v>
      </c>
      <c r="B1803" s="0" t="n">
        <v>8</v>
      </c>
      <c r="C1803" s="0" t="n">
        <v>5915</v>
      </c>
      <c r="E1803" s="0" t="n">
        <v>0</v>
      </c>
      <c r="F1803" s="23" t="s">
        <v>1039</v>
      </c>
      <c r="I1803" s="23" t="s">
        <v>92</v>
      </c>
      <c r="L1803" s="0" t="n">
        <v>126</v>
      </c>
      <c r="U1803" s="0" t="n">
        <v>750</v>
      </c>
      <c r="V1803" s="0" t="n">
        <v>6</v>
      </c>
      <c r="W1803" s="0" t="str">
        <f aca="false">IF(OR(AND(B1803&gt;=1,B1803&lt;=6),B1803=10),"Vaca em lactação",IF(I1803="Male","Macho",IF(E1803&gt;=1,"Vaca seca",IF(I1803="Youngstock","Bezerra/recria","Novilha"))))</f>
        <v>Novilha</v>
      </c>
      <c r="X1803" s="0" t="str">
        <f aca="false">IF(AND(B1803&gt;=1,B1803&lt;=6),"Tanque",IF(B1803=10,"Descarte",""))</f>
        <v/>
      </c>
    </row>
    <row r="1804" customFormat="false" ht="15" hidden="false" customHeight="false" outlineLevel="0" collapsed="false">
      <c r="A1804" s="22" t="n">
        <v>46309</v>
      </c>
      <c r="B1804" s="0" t="n">
        <v>8</v>
      </c>
      <c r="C1804" s="0" t="n">
        <v>6034</v>
      </c>
      <c r="E1804" s="0" t="n">
        <v>0</v>
      </c>
      <c r="F1804" s="23" t="s">
        <v>175</v>
      </c>
      <c r="I1804" s="23" t="s">
        <v>92</v>
      </c>
      <c r="L1804" s="0" t="n">
        <v>224</v>
      </c>
      <c r="U1804" s="0" t="n">
        <v>708</v>
      </c>
      <c r="V1804" s="0" t="n">
        <v>4</v>
      </c>
      <c r="W1804" s="0" t="str">
        <f aca="false">IF(OR(AND(B1804&gt;=1,B1804&lt;=6),B1804=10),"Vaca em lactação",IF(I1804="Male","Macho",IF(E1804&gt;=1,"Vaca seca",IF(I1804="Youngstock","Bezerra/recria","Novilha"))))</f>
        <v>Novilha</v>
      </c>
      <c r="X1804" s="0" t="str">
        <f aca="false">IF(AND(B1804&gt;=1,B1804&lt;=6),"Tanque",IF(B1804=10,"Descarte",""))</f>
        <v/>
      </c>
    </row>
    <row r="1805" customFormat="false" ht="15" hidden="false" customHeight="false" outlineLevel="0" collapsed="false">
      <c r="A1805" s="22" t="n">
        <v>46309</v>
      </c>
      <c r="B1805" s="0" t="n">
        <v>8</v>
      </c>
      <c r="C1805" s="0" t="n">
        <v>6028</v>
      </c>
      <c r="E1805" s="0" t="n">
        <v>0</v>
      </c>
      <c r="F1805" s="23" t="s">
        <v>179</v>
      </c>
      <c r="I1805" s="23" t="s">
        <v>92</v>
      </c>
      <c r="L1805" s="0" t="n">
        <v>42</v>
      </c>
      <c r="U1805" s="0" t="n">
        <v>712</v>
      </c>
      <c r="V1805" s="0" t="n">
        <v>5</v>
      </c>
      <c r="W1805" s="0" t="str">
        <f aca="false">IF(OR(AND(B1805&gt;=1,B1805&lt;=6),B1805=10),"Vaca em lactação",IF(I1805="Male","Macho",IF(E1805&gt;=1,"Vaca seca",IF(I1805="Youngstock","Bezerra/recria","Novilha"))))</f>
        <v>Novilha</v>
      </c>
      <c r="X1805" s="0" t="str">
        <f aca="false">IF(AND(B1805&gt;=1,B1805&lt;=6),"Tanque",IF(B1805=10,"Descarte",""))</f>
        <v/>
      </c>
    </row>
    <row r="1806" customFormat="false" ht="15" hidden="false" customHeight="false" outlineLevel="0" collapsed="false">
      <c r="A1806" s="22" t="n">
        <v>46309</v>
      </c>
      <c r="B1806" s="0" t="n">
        <v>8</v>
      </c>
      <c r="C1806" s="0" t="n">
        <v>6005</v>
      </c>
      <c r="E1806" s="0" t="n">
        <v>0</v>
      </c>
      <c r="F1806" s="23" t="s">
        <v>182</v>
      </c>
      <c r="I1806" s="23" t="s">
        <v>92</v>
      </c>
      <c r="L1806" s="0" t="n">
        <v>35</v>
      </c>
      <c r="U1806" s="0" t="n">
        <v>720</v>
      </c>
      <c r="V1806" s="0" t="n">
        <v>7</v>
      </c>
      <c r="W1806" s="0" t="str">
        <f aca="false">IF(OR(AND(B1806&gt;=1,B1806&lt;=6),B1806=10),"Vaca em lactação",IF(I1806="Male","Macho",IF(E1806&gt;=1,"Vaca seca",IF(I1806="Youngstock","Bezerra/recria","Novilha"))))</f>
        <v>Novilha</v>
      </c>
      <c r="X1806" s="0" t="str">
        <f aca="false">IF(AND(B1806&gt;=1,B1806&lt;=6),"Tanque",IF(B1806=10,"Descarte",""))</f>
        <v/>
      </c>
    </row>
    <row r="1807" customFormat="false" ht="15" hidden="false" customHeight="false" outlineLevel="0" collapsed="false">
      <c r="A1807" s="22" t="n">
        <v>46309</v>
      </c>
      <c r="B1807" s="0" t="n">
        <v>8</v>
      </c>
      <c r="C1807" s="0" t="n">
        <v>6080</v>
      </c>
      <c r="E1807" s="0" t="n">
        <v>0</v>
      </c>
      <c r="F1807" s="23" t="s">
        <v>1040</v>
      </c>
      <c r="I1807" s="23" t="s">
        <v>92</v>
      </c>
      <c r="L1807" s="0" t="n">
        <v>147</v>
      </c>
      <c r="U1807" s="0" t="n">
        <v>693</v>
      </c>
      <c r="V1807" s="0" t="n">
        <v>7</v>
      </c>
      <c r="W1807" s="0" t="str">
        <f aca="false">IF(OR(AND(B1807&gt;=1,B1807&lt;=6),B1807=10),"Vaca em lactação",IF(I1807="Male","Macho",IF(E1807&gt;=1,"Vaca seca",IF(I1807="Youngstock","Bezerra/recria","Novilha"))))</f>
        <v>Novilha</v>
      </c>
      <c r="X1807" s="0" t="str">
        <f aca="false">IF(AND(B1807&gt;=1,B1807&lt;=6),"Tanque",IF(B1807=10,"Descarte",""))</f>
        <v/>
      </c>
    </row>
    <row r="1808" customFormat="false" ht="15" hidden="false" customHeight="false" outlineLevel="0" collapsed="false">
      <c r="A1808" s="22" t="n">
        <v>46309</v>
      </c>
      <c r="B1808" s="0" t="n">
        <v>8</v>
      </c>
      <c r="C1808" s="0" t="n">
        <v>6083</v>
      </c>
      <c r="E1808" s="0" t="n">
        <v>0</v>
      </c>
      <c r="F1808" s="23" t="s">
        <v>188</v>
      </c>
      <c r="I1808" s="23" t="s">
        <v>92</v>
      </c>
      <c r="L1808" s="0" t="n">
        <v>235</v>
      </c>
      <c r="U1808" s="0" t="n">
        <v>691</v>
      </c>
      <c r="V1808" s="0" t="n">
        <v>3</v>
      </c>
      <c r="W1808" s="0" t="str">
        <f aca="false">IF(OR(AND(B1808&gt;=1,B1808&lt;=6),B1808=10),"Vaca em lactação",IF(I1808="Male","Macho",IF(E1808&gt;=1,"Vaca seca",IF(I1808="Youngstock","Bezerra/recria","Novilha"))))</f>
        <v>Novilha</v>
      </c>
      <c r="X1808" s="0" t="str">
        <f aca="false">IF(AND(B1808&gt;=1,B1808&lt;=6),"Tanque",IF(B1808=10,"Descarte",""))</f>
        <v/>
      </c>
    </row>
    <row r="1809" customFormat="false" ht="15" hidden="false" customHeight="false" outlineLevel="0" collapsed="false">
      <c r="A1809" s="22" t="n">
        <v>46309</v>
      </c>
      <c r="B1809" s="0" t="n">
        <v>8</v>
      </c>
      <c r="C1809" s="0" t="n">
        <v>6085</v>
      </c>
      <c r="E1809" s="0" t="n">
        <v>0</v>
      </c>
      <c r="F1809" s="23" t="s">
        <v>188</v>
      </c>
      <c r="I1809" s="23" t="s">
        <v>92</v>
      </c>
      <c r="L1809" s="0" t="n">
        <v>154</v>
      </c>
      <c r="U1809" s="0" t="n">
        <v>691</v>
      </c>
      <c r="V1809" s="0" t="n">
        <v>8</v>
      </c>
      <c r="W1809" s="0" t="str">
        <f aca="false">IF(OR(AND(B1809&gt;=1,B1809&lt;=6),B1809=10),"Vaca em lactação",IF(I1809="Male","Macho",IF(E1809&gt;=1,"Vaca seca",IF(I1809="Youngstock","Bezerra/recria","Novilha"))))</f>
        <v>Novilha</v>
      </c>
      <c r="X1809" s="0" t="str">
        <f aca="false">IF(AND(B1809&gt;=1,B1809&lt;=6),"Tanque",IF(B1809=10,"Descarte",""))</f>
        <v/>
      </c>
    </row>
    <row r="1810" customFormat="false" ht="15" hidden="false" customHeight="false" outlineLevel="0" collapsed="false">
      <c r="A1810" s="22" t="n">
        <v>46309</v>
      </c>
      <c r="B1810" s="0" t="n">
        <v>8</v>
      </c>
      <c r="C1810" s="0" t="n">
        <v>6089</v>
      </c>
      <c r="E1810" s="0" t="n">
        <v>0</v>
      </c>
      <c r="F1810" s="23" t="s">
        <v>1041</v>
      </c>
      <c r="I1810" s="23" t="s">
        <v>92</v>
      </c>
      <c r="L1810" s="0" t="n">
        <v>169</v>
      </c>
      <c r="U1810" s="0" t="n">
        <v>689</v>
      </c>
      <c r="V1810" s="0" t="n">
        <v>8</v>
      </c>
      <c r="W1810" s="0" t="str">
        <f aca="false">IF(OR(AND(B1810&gt;=1,B1810&lt;=6),B1810=10),"Vaca em lactação",IF(I1810="Male","Macho",IF(E1810&gt;=1,"Vaca seca",IF(I1810="Youngstock","Bezerra/recria","Novilha"))))</f>
        <v>Novilha</v>
      </c>
      <c r="X1810" s="0" t="str">
        <f aca="false">IF(AND(B1810&gt;=1,B1810&lt;=6),"Tanque",IF(B1810=10,"Descarte",""))</f>
        <v/>
      </c>
    </row>
    <row r="1811" customFormat="false" ht="15" hidden="false" customHeight="false" outlineLevel="0" collapsed="false">
      <c r="A1811" s="22" t="n">
        <v>46309</v>
      </c>
      <c r="B1811" s="0" t="n">
        <v>8</v>
      </c>
      <c r="C1811" s="0" t="n">
        <v>6067</v>
      </c>
      <c r="E1811" s="0" t="n">
        <v>0</v>
      </c>
      <c r="F1811" s="23" t="s">
        <v>190</v>
      </c>
      <c r="I1811" s="23" t="s">
        <v>92</v>
      </c>
      <c r="L1811" s="0" t="n">
        <v>219</v>
      </c>
      <c r="U1811" s="0" t="n">
        <v>699</v>
      </c>
      <c r="V1811" s="0" t="n">
        <v>5</v>
      </c>
      <c r="W1811" s="0" t="str">
        <f aca="false">IF(OR(AND(B1811&gt;=1,B1811&lt;=6),B1811=10),"Vaca em lactação",IF(I1811="Male","Macho",IF(E1811&gt;=1,"Vaca seca",IF(I1811="Youngstock","Bezerra/recria","Novilha"))))</f>
        <v>Novilha</v>
      </c>
      <c r="X1811" s="0" t="str">
        <f aca="false">IF(AND(B1811&gt;=1,B1811&lt;=6),"Tanque",IF(B1811=10,"Descarte",""))</f>
        <v/>
      </c>
    </row>
    <row r="1812" customFormat="false" ht="15" hidden="false" customHeight="false" outlineLevel="0" collapsed="false">
      <c r="A1812" s="22" t="n">
        <v>46309</v>
      </c>
      <c r="B1812" s="0" t="n">
        <v>8</v>
      </c>
      <c r="C1812" s="0" t="n">
        <v>6065</v>
      </c>
      <c r="E1812" s="0" t="n">
        <v>0</v>
      </c>
      <c r="F1812" s="23" t="s">
        <v>190</v>
      </c>
      <c r="I1812" s="23" t="s">
        <v>92</v>
      </c>
      <c r="L1812" s="0" t="n">
        <v>178</v>
      </c>
      <c r="U1812" s="0" t="n">
        <v>699</v>
      </c>
      <c r="V1812" s="0" t="n">
        <v>2</v>
      </c>
      <c r="W1812" s="0" t="str">
        <f aca="false">IF(OR(AND(B1812&gt;=1,B1812&lt;=6),B1812=10),"Vaca em lactação",IF(I1812="Male","Macho",IF(E1812&gt;=1,"Vaca seca",IF(I1812="Youngstock","Bezerra/recria","Novilha"))))</f>
        <v>Novilha</v>
      </c>
      <c r="X1812" s="0" t="str">
        <f aca="false">IF(AND(B1812&gt;=1,B1812&lt;=6),"Tanque",IF(B1812=10,"Descarte",""))</f>
        <v/>
      </c>
    </row>
    <row r="1813" customFormat="false" ht="15" hidden="false" customHeight="false" outlineLevel="0" collapsed="false">
      <c r="A1813" s="22" t="n">
        <v>46309</v>
      </c>
      <c r="B1813" s="0" t="n">
        <v>8</v>
      </c>
      <c r="C1813" s="0" t="n">
        <v>6072</v>
      </c>
      <c r="E1813" s="0" t="n">
        <v>0</v>
      </c>
      <c r="F1813" s="23" t="s">
        <v>192</v>
      </c>
      <c r="I1813" s="23" t="s">
        <v>92</v>
      </c>
      <c r="L1813" s="0" t="n">
        <v>252</v>
      </c>
      <c r="U1813" s="0" t="n">
        <v>697</v>
      </c>
      <c r="V1813" s="0" t="n">
        <v>5</v>
      </c>
      <c r="W1813" s="0" t="str">
        <f aca="false">IF(OR(AND(B1813&gt;=1,B1813&lt;=6),B1813=10),"Vaca em lactação",IF(I1813="Male","Macho",IF(E1813&gt;=1,"Vaca seca",IF(I1813="Youngstock","Bezerra/recria","Novilha"))))</f>
        <v>Novilha</v>
      </c>
      <c r="X1813" s="0" t="str">
        <f aca="false">IF(AND(B1813&gt;=1,B1813&lt;=6),"Tanque",IF(B1813=10,"Descarte",""))</f>
        <v/>
      </c>
    </row>
    <row r="1814" customFormat="false" ht="15" hidden="false" customHeight="false" outlineLevel="0" collapsed="false">
      <c r="A1814" s="22" t="n">
        <v>46309</v>
      </c>
      <c r="B1814" s="0" t="n">
        <v>8</v>
      </c>
      <c r="C1814" s="0" t="n">
        <v>6050</v>
      </c>
      <c r="E1814" s="0" t="n">
        <v>0</v>
      </c>
      <c r="F1814" s="23" t="s">
        <v>195</v>
      </c>
      <c r="I1814" s="23" t="s">
        <v>92</v>
      </c>
      <c r="L1814" s="0" t="n">
        <v>182</v>
      </c>
      <c r="U1814" s="0" t="n">
        <v>703</v>
      </c>
      <c r="V1814" s="0" t="n">
        <v>4</v>
      </c>
      <c r="W1814" s="0" t="str">
        <f aca="false">IF(OR(AND(B1814&gt;=1,B1814&lt;=6),B1814=10),"Vaca em lactação",IF(I1814="Male","Macho",IF(E1814&gt;=1,"Vaca seca",IF(I1814="Youngstock","Bezerra/recria","Novilha"))))</f>
        <v>Novilha</v>
      </c>
      <c r="X1814" s="0" t="str">
        <f aca="false">IF(AND(B1814&gt;=1,B1814&lt;=6),"Tanque",IF(B1814=10,"Descarte",""))</f>
        <v/>
      </c>
    </row>
    <row r="1815" customFormat="false" ht="15" hidden="false" customHeight="false" outlineLevel="0" collapsed="false">
      <c r="A1815" s="22" t="n">
        <v>46309</v>
      </c>
      <c r="B1815" s="0" t="n">
        <v>8</v>
      </c>
      <c r="C1815" s="0" t="n">
        <v>6189</v>
      </c>
      <c r="E1815" s="0" t="n">
        <v>0</v>
      </c>
      <c r="F1815" s="23" t="s">
        <v>212</v>
      </c>
      <c r="I1815" s="23" t="s">
        <v>92</v>
      </c>
      <c r="L1815" s="0" t="n">
        <v>210</v>
      </c>
      <c r="U1815" s="0" t="n">
        <v>653</v>
      </c>
      <c r="V1815" s="0" t="n">
        <v>3</v>
      </c>
      <c r="W1815" s="0" t="str">
        <f aca="false">IF(OR(AND(B1815&gt;=1,B1815&lt;=6),B1815=10),"Vaca em lactação",IF(I1815="Male","Macho",IF(E1815&gt;=1,"Vaca seca",IF(I1815="Youngstock","Bezerra/recria","Novilha"))))</f>
        <v>Novilha</v>
      </c>
      <c r="X1815" s="0" t="str">
        <f aca="false">IF(AND(B1815&gt;=1,B1815&lt;=6),"Tanque",IF(B1815=10,"Descarte",""))</f>
        <v/>
      </c>
    </row>
    <row r="1816" customFormat="false" ht="15" hidden="false" customHeight="false" outlineLevel="0" collapsed="false">
      <c r="A1816" s="22" t="n">
        <v>46309</v>
      </c>
      <c r="B1816" s="0" t="n">
        <v>8</v>
      </c>
      <c r="C1816" s="0" t="n">
        <v>6186</v>
      </c>
      <c r="E1816" s="0" t="n">
        <v>0</v>
      </c>
      <c r="F1816" s="23" t="s">
        <v>212</v>
      </c>
      <c r="I1816" s="23" t="s">
        <v>92</v>
      </c>
      <c r="L1816" s="0" t="n">
        <v>141</v>
      </c>
      <c r="U1816" s="0" t="n">
        <v>653</v>
      </c>
      <c r="V1816" s="0" t="n">
        <v>7</v>
      </c>
      <c r="W1816" s="0" t="str">
        <f aca="false">IF(OR(AND(B1816&gt;=1,B1816&lt;=6),B1816=10),"Vaca em lactação",IF(I1816="Male","Macho",IF(E1816&gt;=1,"Vaca seca",IF(I1816="Youngstock","Bezerra/recria","Novilha"))))</f>
        <v>Novilha</v>
      </c>
      <c r="X1816" s="0" t="str">
        <f aca="false">IF(AND(B1816&gt;=1,B1816&lt;=6),"Tanque",IF(B1816=10,"Descarte",""))</f>
        <v/>
      </c>
    </row>
    <row r="1817" customFormat="false" ht="15" hidden="false" customHeight="false" outlineLevel="0" collapsed="false">
      <c r="A1817" s="22" t="n">
        <v>46309</v>
      </c>
      <c r="B1817" s="0" t="n">
        <v>8</v>
      </c>
      <c r="C1817" s="0" t="n">
        <v>6187</v>
      </c>
      <c r="E1817" s="0" t="n">
        <v>0</v>
      </c>
      <c r="F1817" s="23" t="s">
        <v>212</v>
      </c>
      <c r="I1817" s="23" t="s">
        <v>92</v>
      </c>
      <c r="L1817" s="0" t="n">
        <v>185</v>
      </c>
      <c r="U1817" s="0" t="n">
        <v>653</v>
      </c>
      <c r="V1817" s="0" t="n">
        <v>5</v>
      </c>
      <c r="W1817" s="0" t="str">
        <f aca="false">IF(OR(AND(B1817&gt;=1,B1817&lt;=6),B1817=10),"Vaca em lactação",IF(I1817="Male","Macho",IF(E1817&gt;=1,"Vaca seca",IF(I1817="Youngstock","Bezerra/recria","Novilha"))))</f>
        <v>Novilha</v>
      </c>
      <c r="X1817" s="0" t="str">
        <f aca="false">IF(AND(B1817&gt;=1,B1817&lt;=6),"Tanque",IF(B1817=10,"Descarte",""))</f>
        <v/>
      </c>
    </row>
    <row r="1818" customFormat="false" ht="15" hidden="false" customHeight="false" outlineLevel="0" collapsed="false">
      <c r="A1818" s="22" t="n">
        <v>46309</v>
      </c>
      <c r="B1818" s="0" t="n">
        <v>8</v>
      </c>
      <c r="C1818" s="0" t="n">
        <v>6191</v>
      </c>
      <c r="E1818" s="0" t="n">
        <v>0</v>
      </c>
      <c r="F1818" s="23" t="s">
        <v>200</v>
      </c>
      <c r="I1818" s="23" t="s">
        <v>92</v>
      </c>
      <c r="L1818" s="0" t="n">
        <v>109</v>
      </c>
      <c r="U1818" s="0" t="n">
        <v>651</v>
      </c>
      <c r="V1818" s="0" t="n">
        <v>6</v>
      </c>
      <c r="W1818" s="0" t="str">
        <f aca="false">IF(OR(AND(B1818&gt;=1,B1818&lt;=6),B1818=10),"Vaca em lactação",IF(I1818="Male","Macho",IF(E1818&gt;=1,"Vaca seca",IF(I1818="Youngstock","Bezerra/recria","Novilha"))))</f>
        <v>Novilha</v>
      </c>
      <c r="X1818" s="0" t="str">
        <f aca="false">IF(AND(B1818&gt;=1,B1818&lt;=6),"Tanque",IF(B1818=10,"Descarte",""))</f>
        <v/>
      </c>
    </row>
    <row r="1819" customFormat="false" ht="15" hidden="false" customHeight="false" outlineLevel="0" collapsed="false">
      <c r="A1819" s="22" t="n">
        <v>46309</v>
      </c>
      <c r="B1819" s="0" t="n">
        <v>8</v>
      </c>
      <c r="C1819" s="0" t="n">
        <v>6197</v>
      </c>
      <c r="E1819" s="0" t="n">
        <v>0</v>
      </c>
      <c r="F1819" s="23" t="s">
        <v>1042</v>
      </c>
      <c r="I1819" s="23" t="s">
        <v>92</v>
      </c>
      <c r="L1819" s="0" t="n">
        <v>78</v>
      </c>
      <c r="U1819" s="0" t="n">
        <v>649</v>
      </c>
      <c r="V1819" s="0" t="n">
        <v>7</v>
      </c>
      <c r="W1819" s="0" t="str">
        <f aca="false">IF(OR(AND(B1819&gt;=1,B1819&lt;=6),B1819=10),"Vaca em lactação",IF(I1819="Male","Macho",IF(E1819&gt;=1,"Vaca seca",IF(I1819="Youngstock","Bezerra/recria","Novilha"))))</f>
        <v>Novilha</v>
      </c>
      <c r="X1819" s="0" t="str">
        <f aca="false">IF(AND(B1819&gt;=1,B1819&lt;=6),"Tanque",IF(B1819=10,"Descarte",""))</f>
        <v/>
      </c>
    </row>
    <row r="1820" customFormat="false" ht="15" hidden="false" customHeight="false" outlineLevel="0" collapsed="false">
      <c r="A1820" s="22" t="n">
        <v>46309</v>
      </c>
      <c r="B1820" s="0" t="n">
        <v>8</v>
      </c>
      <c r="C1820" s="0" t="n">
        <v>6190</v>
      </c>
      <c r="E1820" s="0" t="n">
        <v>0</v>
      </c>
      <c r="F1820" s="23" t="s">
        <v>1043</v>
      </c>
      <c r="I1820" s="23" t="s">
        <v>92</v>
      </c>
      <c r="L1820" s="0" t="n">
        <v>160</v>
      </c>
      <c r="U1820" s="0" t="n">
        <v>652</v>
      </c>
      <c r="V1820" s="0" t="n">
        <v>4</v>
      </c>
      <c r="W1820" s="0" t="str">
        <f aca="false">IF(OR(AND(B1820&gt;=1,B1820&lt;=6),B1820=10),"Vaca em lactação",IF(I1820="Male","Macho",IF(E1820&gt;=1,"Vaca seca",IF(I1820="Youngstock","Bezerra/recria","Novilha"))))</f>
        <v>Novilha</v>
      </c>
      <c r="X1820" s="0" t="str">
        <f aca="false">IF(AND(B1820&gt;=1,B1820&lt;=6),"Tanque",IF(B1820=10,"Descarte",""))</f>
        <v/>
      </c>
    </row>
    <row r="1821" customFormat="false" ht="15" hidden="false" customHeight="false" outlineLevel="0" collapsed="false">
      <c r="A1821" s="22" t="n">
        <v>46309</v>
      </c>
      <c r="B1821" s="0" t="n">
        <v>8</v>
      </c>
      <c r="C1821" s="0" t="n">
        <v>6148</v>
      </c>
      <c r="E1821" s="0" t="n">
        <v>0</v>
      </c>
      <c r="F1821" s="23" t="s">
        <v>205</v>
      </c>
      <c r="I1821" s="23" t="s">
        <v>92</v>
      </c>
      <c r="L1821" s="0" t="n">
        <v>232</v>
      </c>
      <c r="U1821" s="0" t="n">
        <v>665</v>
      </c>
      <c r="V1821" s="0" t="n">
        <v>4</v>
      </c>
      <c r="W1821" s="0" t="str">
        <f aca="false">IF(OR(AND(B1821&gt;=1,B1821&lt;=6),B1821=10),"Vaca em lactação",IF(I1821="Male","Macho",IF(E1821&gt;=1,"Vaca seca",IF(I1821="Youngstock","Bezerra/recria","Novilha"))))</f>
        <v>Novilha</v>
      </c>
      <c r="X1821" s="0" t="str">
        <f aca="false">IF(AND(B1821&gt;=1,B1821&lt;=6),"Tanque",IF(B1821=10,"Descarte",""))</f>
        <v/>
      </c>
    </row>
    <row r="1822" customFormat="false" ht="15" hidden="false" customHeight="false" outlineLevel="0" collapsed="false">
      <c r="A1822" s="22" t="n">
        <v>46309</v>
      </c>
      <c r="B1822" s="0" t="n">
        <v>8</v>
      </c>
      <c r="C1822" s="0" t="n">
        <v>6158</v>
      </c>
      <c r="E1822" s="0" t="n">
        <v>0</v>
      </c>
      <c r="F1822" s="23" t="s">
        <v>204</v>
      </c>
      <c r="I1822" s="23" t="s">
        <v>92</v>
      </c>
      <c r="L1822" s="0" t="n">
        <v>231</v>
      </c>
      <c r="U1822" s="0" t="n">
        <v>662</v>
      </c>
      <c r="V1822" s="0" t="n">
        <v>3</v>
      </c>
      <c r="W1822" s="0" t="str">
        <f aca="false">IF(OR(AND(B1822&gt;=1,B1822&lt;=6),B1822=10),"Vaca em lactação",IF(I1822="Male","Macho",IF(E1822&gt;=1,"Vaca seca",IF(I1822="Youngstock","Bezerra/recria","Novilha"))))</f>
        <v>Novilha</v>
      </c>
      <c r="X1822" s="0" t="str">
        <f aca="false">IF(AND(B1822&gt;=1,B1822&lt;=6),"Tanque",IF(B1822=10,"Descarte",""))</f>
        <v/>
      </c>
    </row>
    <row r="1823" customFormat="false" ht="15" hidden="false" customHeight="false" outlineLevel="0" collapsed="false">
      <c r="A1823" s="22" t="n">
        <v>46309</v>
      </c>
      <c r="B1823" s="0" t="n">
        <v>8</v>
      </c>
      <c r="C1823" s="0" t="n">
        <v>6159</v>
      </c>
      <c r="E1823" s="0" t="n">
        <v>0</v>
      </c>
      <c r="F1823" s="23" t="s">
        <v>204</v>
      </c>
      <c r="I1823" s="23" t="s">
        <v>92</v>
      </c>
      <c r="L1823" s="0" t="n">
        <v>98</v>
      </c>
      <c r="U1823" s="0" t="n">
        <v>662</v>
      </c>
      <c r="V1823" s="0" t="n">
        <v>7</v>
      </c>
      <c r="W1823" s="0" t="str">
        <f aca="false">IF(OR(AND(B1823&gt;=1,B1823&lt;=6),B1823=10),"Vaca em lactação",IF(I1823="Male","Macho",IF(E1823&gt;=1,"Vaca seca",IF(I1823="Youngstock","Bezerra/recria","Novilha"))))</f>
        <v>Novilha</v>
      </c>
      <c r="X1823" s="0" t="str">
        <f aca="false">IF(AND(B1823&gt;=1,B1823&lt;=6),"Tanque",IF(B1823=10,"Descarte",""))</f>
        <v/>
      </c>
    </row>
    <row r="1824" customFormat="false" ht="15" hidden="false" customHeight="false" outlineLevel="0" collapsed="false">
      <c r="A1824" s="22" t="n">
        <v>46309</v>
      </c>
      <c r="B1824" s="0" t="n">
        <v>8</v>
      </c>
      <c r="C1824" s="0" t="n">
        <v>6153</v>
      </c>
      <c r="E1824" s="0" t="n">
        <v>0</v>
      </c>
      <c r="F1824" s="23" t="s">
        <v>203</v>
      </c>
      <c r="I1824" s="23" t="s">
        <v>92</v>
      </c>
      <c r="L1824" s="0" t="n">
        <v>127</v>
      </c>
      <c r="U1824" s="0" t="n">
        <v>663</v>
      </c>
      <c r="V1824" s="0" t="n">
        <v>8</v>
      </c>
      <c r="W1824" s="0" t="str">
        <f aca="false">IF(OR(AND(B1824&gt;=1,B1824&lt;=6),B1824=10),"Vaca em lactação",IF(I1824="Male","Macho",IF(E1824&gt;=1,"Vaca seca",IF(I1824="Youngstock","Bezerra/recria","Novilha"))))</f>
        <v>Novilha</v>
      </c>
      <c r="X1824" s="0" t="str">
        <f aca="false">IF(AND(B1824&gt;=1,B1824&lt;=6),"Tanque",IF(B1824=10,"Descarte",""))</f>
        <v/>
      </c>
    </row>
    <row r="1825" customFormat="false" ht="15" hidden="false" customHeight="false" outlineLevel="0" collapsed="false">
      <c r="A1825" s="22" t="n">
        <v>46309</v>
      </c>
      <c r="B1825" s="0" t="n">
        <v>8</v>
      </c>
      <c r="C1825" s="0" t="n">
        <v>6166</v>
      </c>
      <c r="E1825" s="0" t="n">
        <v>0</v>
      </c>
      <c r="F1825" s="23" t="s">
        <v>209</v>
      </c>
      <c r="I1825" s="23" t="s">
        <v>92</v>
      </c>
      <c r="L1825" s="0" t="n">
        <v>233</v>
      </c>
      <c r="U1825" s="0" t="n">
        <v>658</v>
      </c>
      <c r="V1825" s="0" t="n">
        <v>4</v>
      </c>
      <c r="W1825" s="0" t="str">
        <f aca="false">IF(OR(AND(B1825&gt;=1,B1825&lt;=6),B1825=10),"Vaca em lactação",IF(I1825="Male","Macho",IF(E1825&gt;=1,"Vaca seca",IF(I1825="Youngstock","Bezerra/recria","Novilha"))))</f>
        <v>Novilha</v>
      </c>
      <c r="X1825" s="0" t="str">
        <f aca="false">IF(AND(B1825&gt;=1,B1825&lt;=6),"Tanque",IF(B1825=10,"Descarte",""))</f>
        <v/>
      </c>
    </row>
    <row r="1826" customFormat="false" ht="15" hidden="false" customHeight="false" outlineLevel="0" collapsed="false">
      <c r="A1826" s="22" t="n">
        <v>46309</v>
      </c>
      <c r="B1826" s="0" t="n">
        <v>8</v>
      </c>
      <c r="C1826" s="0" t="n">
        <v>6169</v>
      </c>
      <c r="E1826" s="0" t="n">
        <v>0</v>
      </c>
      <c r="F1826" s="23" t="s">
        <v>209</v>
      </c>
      <c r="I1826" s="23" t="s">
        <v>92</v>
      </c>
      <c r="L1826" s="0" t="n">
        <v>161</v>
      </c>
      <c r="U1826" s="0" t="n">
        <v>658</v>
      </c>
      <c r="V1826" s="0" t="n">
        <v>7</v>
      </c>
      <c r="W1826" s="0" t="str">
        <f aca="false">IF(OR(AND(B1826&gt;=1,B1826&lt;=6),B1826=10),"Vaca em lactação",IF(I1826="Male","Macho",IF(E1826&gt;=1,"Vaca seca",IF(I1826="Youngstock","Bezerra/recria","Novilha"))))</f>
        <v>Novilha</v>
      </c>
      <c r="X1826" s="0" t="str">
        <f aca="false">IF(AND(B1826&gt;=1,B1826&lt;=6),"Tanque",IF(B1826=10,"Descarte",""))</f>
        <v/>
      </c>
    </row>
    <row r="1827" customFormat="false" ht="15" hidden="false" customHeight="false" outlineLevel="0" collapsed="false">
      <c r="A1827" s="22" t="n">
        <v>46309</v>
      </c>
      <c r="B1827" s="0" t="n">
        <v>8</v>
      </c>
      <c r="C1827" s="0" t="n">
        <v>6174</v>
      </c>
      <c r="E1827" s="0" t="n">
        <v>0</v>
      </c>
      <c r="F1827" s="23" t="s">
        <v>210</v>
      </c>
      <c r="I1827" s="23" t="s">
        <v>92</v>
      </c>
      <c r="L1827" s="0" t="n">
        <v>238</v>
      </c>
      <c r="U1827" s="0" t="n">
        <v>657</v>
      </c>
      <c r="V1827" s="0" t="n">
        <v>3</v>
      </c>
      <c r="W1827" s="0" t="str">
        <f aca="false">IF(OR(AND(B1827&gt;=1,B1827&lt;=6),B1827=10),"Vaca em lactação",IF(I1827="Male","Macho",IF(E1827&gt;=1,"Vaca seca",IF(I1827="Youngstock","Bezerra/recria","Novilha"))))</f>
        <v>Novilha</v>
      </c>
      <c r="X1827" s="0" t="str">
        <f aca="false">IF(AND(B1827&gt;=1,B1827&lt;=6),"Tanque",IF(B1827=10,"Descarte",""))</f>
        <v/>
      </c>
    </row>
    <row r="1828" customFormat="false" ht="15" hidden="false" customHeight="false" outlineLevel="0" collapsed="false">
      <c r="A1828" s="22" t="n">
        <v>46309</v>
      </c>
      <c r="B1828" s="0" t="n">
        <v>8</v>
      </c>
      <c r="C1828" s="0" t="n">
        <v>6176</v>
      </c>
      <c r="E1828" s="0" t="n">
        <v>0</v>
      </c>
      <c r="F1828" s="23" t="s">
        <v>210</v>
      </c>
      <c r="I1828" s="23" t="s">
        <v>92</v>
      </c>
      <c r="L1828" s="0" t="n">
        <v>231</v>
      </c>
      <c r="U1828" s="0" t="n">
        <v>657</v>
      </c>
      <c r="V1828" s="0" t="n">
        <v>4</v>
      </c>
      <c r="W1828" s="0" t="str">
        <f aca="false">IF(OR(AND(B1828&gt;=1,B1828&lt;=6),B1828=10),"Vaca em lactação",IF(I1828="Male","Macho",IF(E1828&gt;=1,"Vaca seca",IF(I1828="Youngstock","Bezerra/recria","Novilha"))))</f>
        <v>Novilha</v>
      </c>
      <c r="X1828" s="0" t="str">
        <f aca="false">IF(AND(B1828&gt;=1,B1828&lt;=6),"Tanque",IF(B1828=10,"Descarte",""))</f>
        <v/>
      </c>
    </row>
    <row r="1829" customFormat="false" ht="15" hidden="false" customHeight="false" outlineLevel="0" collapsed="false">
      <c r="A1829" s="22" t="n">
        <v>46309</v>
      </c>
      <c r="B1829" s="0" t="n">
        <v>8</v>
      </c>
      <c r="C1829" s="0" t="n">
        <v>6181</v>
      </c>
      <c r="E1829" s="0" t="n">
        <v>0</v>
      </c>
      <c r="F1829" s="23" t="s">
        <v>211</v>
      </c>
      <c r="I1829" s="23" t="s">
        <v>92</v>
      </c>
      <c r="L1829" s="0" t="n">
        <v>201</v>
      </c>
      <c r="U1829" s="0" t="n">
        <v>656</v>
      </c>
      <c r="V1829" s="0" t="n">
        <v>4</v>
      </c>
      <c r="W1829" s="0" t="str">
        <f aca="false">IF(OR(AND(B1829&gt;=1,B1829&lt;=6),B1829=10),"Vaca em lactação",IF(I1829="Male","Macho",IF(E1829&gt;=1,"Vaca seca",IF(I1829="Youngstock","Bezerra/recria","Novilha"))))</f>
        <v>Novilha</v>
      </c>
      <c r="X1829" s="0" t="str">
        <f aca="false">IF(AND(B1829&gt;=1,B1829&lt;=6),"Tanque",IF(B1829=10,"Descarte",""))</f>
        <v/>
      </c>
    </row>
    <row r="1830" customFormat="false" ht="15" hidden="false" customHeight="false" outlineLevel="0" collapsed="false">
      <c r="A1830" s="22" t="n">
        <v>46309</v>
      </c>
      <c r="B1830" s="0" t="n">
        <v>8</v>
      </c>
      <c r="C1830" s="0" t="n">
        <v>6183</v>
      </c>
      <c r="E1830" s="0" t="n">
        <v>0</v>
      </c>
      <c r="F1830" s="23" t="s">
        <v>1044</v>
      </c>
      <c r="I1830" s="23" t="s">
        <v>92</v>
      </c>
      <c r="L1830" s="0" t="n">
        <v>248</v>
      </c>
      <c r="U1830" s="0" t="n">
        <v>655</v>
      </c>
      <c r="V1830" s="0" t="n">
        <v>2</v>
      </c>
      <c r="W1830" s="0" t="str">
        <f aca="false">IF(OR(AND(B1830&gt;=1,B1830&lt;=6),B1830=10),"Vaca em lactação",IF(I1830="Male","Macho",IF(E1830&gt;=1,"Vaca seca",IF(I1830="Youngstock","Bezerra/recria","Novilha"))))</f>
        <v>Novilha</v>
      </c>
      <c r="X1830" s="0" t="str">
        <f aca="false">IF(AND(B1830&gt;=1,B1830&lt;=6),"Tanque",IF(B1830=10,"Descarte",""))</f>
        <v/>
      </c>
    </row>
    <row r="1831" customFormat="false" ht="15" hidden="false" customHeight="false" outlineLevel="0" collapsed="false">
      <c r="A1831" s="22" t="n">
        <v>46309</v>
      </c>
      <c r="B1831" s="0" t="n">
        <v>8</v>
      </c>
      <c r="C1831" s="0" t="n">
        <v>6121</v>
      </c>
      <c r="E1831" s="0" t="n">
        <v>0</v>
      </c>
      <c r="F1831" s="23" t="s">
        <v>213</v>
      </c>
      <c r="I1831" s="23" t="s">
        <v>92</v>
      </c>
      <c r="L1831" s="0" t="n">
        <v>112</v>
      </c>
      <c r="U1831" s="0" t="n">
        <v>672</v>
      </c>
      <c r="V1831" s="0" t="n">
        <v>5</v>
      </c>
      <c r="W1831" s="0" t="str">
        <f aca="false">IF(OR(AND(B1831&gt;=1,B1831&lt;=6),B1831=10),"Vaca em lactação",IF(I1831="Male","Macho",IF(E1831&gt;=1,"Vaca seca",IF(I1831="Youngstock","Bezerra/recria","Novilha"))))</f>
        <v>Novilha</v>
      </c>
      <c r="X1831" s="0" t="str">
        <f aca="false">IF(AND(B1831&gt;=1,B1831&lt;=6),"Tanque",IF(B1831=10,"Descarte",""))</f>
        <v/>
      </c>
    </row>
    <row r="1832" customFormat="false" ht="15" hidden="false" customHeight="false" outlineLevel="0" collapsed="false">
      <c r="A1832" s="22" t="n">
        <v>46309</v>
      </c>
      <c r="B1832" s="0" t="n">
        <v>8</v>
      </c>
      <c r="C1832" s="0" t="n">
        <v>6127</v>
      </c>
      <c r="E1832" s="0" t="n">
        <v>0</v>
      </c>
      <c r="F1832" s="23" t="s">
        <v>214</v>
      </c>
      <c r="I1832" s="23" t="s">
        <v>92</v>
      </c>
      <c r="L1832" s="0" t="n">
        <v>119</v>
      </c>
      <c r="U1832" s="0" t="n">
        <v>671</v>
      </c>
      <c r="V1832" s="0" t="n">
        <v>7</v>
      </c>
      <c r="W1832" s="0" t="str">
        <f aca="false">IF(OR(AND(B1832&gt;=1,B1832&lt;=6),B1832=10),"Vaca em lactação",IF(I1832="Male","Macho",IF(E1832&gt;=1,"Vaca seca",IF(I1832="Youngstock","Bezerra/recria","Novilha"))))</f>
        <v>Novilha</v>
      </c>
      <c r="X1832" s="0" t="str">
        <f aca="false">IF(AND(B1832&gt;=1,B1832&lt;=6),"Tanque",IF(B1832=10,"Descarte",""))</f>
        <v/>
      </c>
    </row>
    <row r="1833" customFormat="false" ht="15" hidden="false" customHeight="false" outlineLevel="0" collapsed="false">
      <c r="A1833" s="22" t="n">
        <v>46309</v>
      </c>
      <c r="B1833" s="0" t="n">
        <v>8</v>
      </c>
      <c r="C1833" s="0" t="n">
        <v>6142</v>
      </c>
      <c r="E1833" s="0" t="n">
        <v>0</v>
      </c>
      <c r="F1833" s="23" t="s">
        <v>218</v>
      </c>
      <c r="I1833" s="23" t="s">
        <v>92</v>
      </c>
      <c r="L1833" s="0" t="n">
        <v>175</v>
      </c>
      <c r="U1833" s="0" t="n">
        <v>666</v>
      </c>
      <c r="V1833" s="0" t="n">
        <v>6</v>
      </c>
      <c r="W1833" s="0" t="str">
        <f aca="false">IF(OR(AND(B1833&gt;=1,B1833&lt;=6),B1833=10),"Vaca em lactação",IF(I1833="Male","Macho",IF(E1833&gt;=1,"Vaca seca",IF(I1833="Youngstock","Bezerra/recria","Novilha"))))</f>
        <v>Novilha</v>
      </c>
      <c r="X1833" s="0" t="str">
        <f aca="false">IF(AND(B1833&gt;=1,B1833&lt;=6),"Tanque",IF(B1833=10,"Descarte",""))</f>
        <v/>
      </c>
    </row>
    <row r="1834" customFormat="false" ht="15" hidden="false" customHeight="false" outlineLevel="0" collapsed="false">
      <c r="A1834" s="22" t="n">
        <v>46309</v>
      </c>
      <c r="B1834" s="0" t="n">
        <v>8</v>
      </c>
      <c r="C1834" s="0" t="n">
        <v>6140</v>
      </c>
      <c r="E1834" s="0" t="n">
        <v>0</v>
      </c>
      <c r="F1834" s="23" t="s">
        <v>218</v>
      </c>
      <c r="I1834" s="23" t="s">
        <v>92</v>
      </c>
      <c r="L1834" s="0" t="n">
        <v>216</v>
      </c>
      <c r="U1834" s="0" t="n">
        <v>666</v>
      </c>
      <c r="V1834" s="0" t="n">
        <v>4</v>
      </c>
      <c r="W1834" s="0" t="str">
        <f aca="false">IF(OR(AND(B1834&gt;=1,B1834&lt;=6),B1834=10),"Vaca em lactação",IF(I1834="Male","Macho",IF(E1834&gt;=1,"Vaca seca",IF(I1834="Youngstock","Bezerra/recria","Novilha"))))</f>
        <v>Novilha</v>
      </c>
      <c r="X1834" s="0" t="str">
        <f aca="false">IF(AND(B1834&gt;=1,B1834&lt;=6),"Tanque",IF(B1834=10,"Descarte",""))</f>
        <v/>
      </c>
    </row>
    <row r="1835" customFormat="false" ht="15" hidden="false" customHeight="false" outlineLevel="0" collapsed="false">
      <c r="A1835" s="22" t="n">
        <v>46309</v>
      </c>
      <c r="B1835" s="0" t="n">
        <v>8</v>
      </c>
      <c r="C1835" s="0" t="n">
        <v>6139</v>
      </c>
      <c r="E1835" s="0" t="n">
        <v>0</v>
      </c>
      <c r="F1835" s="23" t="s">
        <v>218</v>
      </c>
      <c r="I1835" s="23" t="s">
        <v>92</v>
      </c>
      <c r="L1835" s="0" t="n">
        <v>212</v>
      </c>
      <c r="U1835" s="0" t="n">
        <v>666</v>
      </c>
      <c r="V1835" s="0" t="n">
        <v>5</v>
      </c>
      <c r="W1835" s="0" t="str">
        <f aca="false">IF(OR(AND(B1835&gt;=1,B1835&lt;=6),B1835=10),"Vaca em lactação",IF(I1835="Male","Macho",IF(E1835&gt;=1,"Vaca seca",IF(I1835="Youngstock","Bezerra/recria","Novilha"))))</f>
        <v>Novilha</v>
      </c>
      <c r="X1835" s="0" t="str">
        <f aca="false">IF(AND(B1835&gt;=1,B1835&lt;=6),"Tanque",IF(B1835=10,"Descarte",""))</f>
        <v/>
      </c>
    </row>
    <row r="1836" customFormat="false" ht="15" hidden="false" customHeight="false" outlineLevel="0" collapsed="false">
      <c r="A1836" s="22" t="n">
        <v>46309</v>
      </c>
      <c r="B1836" s="0" t="n">
        <v>8</v>
      </c>
      <c r="C1836" s="0" t="n">
        <v>6146</v>
      </c>
      <c r="E1836" s="0" t="n">
        <v>0</v>
      </c>
      <c r="F1836" s="23" t="s">
        <v>205</v>
      </c>
      <c r="I1836" s="23" t="s">
        <v>92</v>
      </c>
      <c r="L1836" s="0" t="n">
        <v>201</v>
      </c>
      <c r="U1836" s="0" t="n">
        <v>665</v>
      </c>
      <c r="V1836" s="0" t="n">
        <v>4</v>
      </c>
      <c r="W1836" s="0" t="str">
        <f aca="false">IF(OR(AND(B1836&gt;=1,B1836&lt;=6),B1836=10),"Vaca em lactação",IF(I1836="Male","Macho",IF(E1836&gt;=1,"Vaca seca",IF(I1836="Youngstock","Bezerra/recria","Novilha"))))</f>
        <v>Novilha</v>
      </c>
      <c r="X1836" s="0" t="str">
        <f aca="false">IF(AND(B1836&gt;=1,B1836&lt;=6),"Tanque",IF(B1836=10,"Descarte",""))</f>
        <v/>
      </c>
    </row>
    <row r="1837" customFormat="false" ht="15" hidden="false" customHeight="false" outlineLevel="0" collapsed="false">
      <c r="A1837" s="22" t="n">
        <v>46309</v>
      </c>
      <c r="B1837" s="0" t="n">
        <v>8</v>
      </c>
      <c r="C1837" s="0" t="n">
        <v>6110</v>
      </c>
      <c r="E1837" s="0" t="n">
        <v>0</v>
      </c>
      <c r="F1837" s="23" t="s">
        <v>220</v>
      </c>
      <c r="I1837" s="23" t="s">
        <v>92</v>
      </c>
      <c r="L1837" s="0" t="n">
        <v>273</v>
      </c>
      <c r="U1837" s="0" t="n">
        <v>676</v>
      </c>
      <c r="V1837" s="0" t="n">
        <v>2</v>
      </c>
      <c r="W1837" s="0" t="str">
        <f aca="false">IF(OR(AND(B1837&gt;=1,B1837&lt;=6),B1837=10),"Vaca em lactação",IF(I1837="Male","Macho",IF(E1837&gt;=1,"Vaca seca",IF(I1837="Youngstock","Bezerra/recria","Novilha"))))</f>
        <v>Novilha</v>
      </c>
      <c r="X1837" s="0" t="str">
        <f aca="false">IF(AND(B1837&gt;=1,B1837&lt;=6),"Tanque",IF(B1837=10,"Descarte",""))</f>
        <v/>
      </c>
    </row>
    <row r="1838" customFormat="false" ht="15" hidden="false" customHeight="false" outlineLevel="0" collapsed="false">
      <c r="A1838" s="22" t="n">
        <v>46309</v>
      </c>
      <c r="B1838" s="0" t="n">
        <v>8</v>
      </c>
      <c r="C1838" s="0" t="n">
        <v>6113</v>
      </c>
      <c r="E1838" s="0" t="n">
        <v>0</v>
      </c>
      <c r="F1838" s="23" t="s">
        <v>222</v>
      </c>
      <c r="I1838" s="23" t="s">
        <v>92</v>
      </c>
      <c r="L1838" s="0" t="n">
        <v>246</v>
      </c>
      <c r="U1838" s="0" t="n">
        <v>675</v>
      </c>
      <c r="V1838" s="0" t="n">
        <v>4</v>
      </c>
      <c r="W1838" s="0" t="str">
        <f aca="false">IF(OR(AND(B1838&gt;=1,B1838&lt;=6),B1838=10),"Vaca em lactação",IF(I1838="Male","Macho",IF(E1838&gt;=1,"Vaca seca",IF(I1838="Youngstock","Bezerra/recria","Novilha"))))</f>
        <v>Novilha</v>
      </c>
      <c r="X1838" s="0" t="str">
        <f aca="false">IF(AND(B1838&gt;=1,B1838&lt;=6),"Tanque",IF(B1838=10,"Descarte",""))</f>
        <v/>
      </c>
    </row>
    <row r="1839" customFormat="false" ht="15" hidden="false" customHeight="false" outlineLevel="0" collapsed="false">
      <c r="A1839" s="22" t="n">
        <v>46309</v>
      </c>
      <c r="B1839" s="0" t="n">
        <v>8</v>
      </c>
      <c r="C1839" s="0" t="n">
        <v>6260</v>
      </c>
      <c r="E1839" s="0" t="n">
        <v>0</v>
      </c>
      <c r="F1839" s="23" t="s">
        <v>1027</v>
      </c>
      <c r="I1839" s="23" t="s">
        <v>92</v>
      </c>
      <c r="L1839" s="0" t="n">
        <v>232</v>
      </c>
      <c r="U1839" s="0" t="n">
        <v>623</v>
      </c>
      <c r="V1839" s="0" t="n">
        <v>2</v>
      </c>
      <c r="W1839" s="0" t="str">
        <f aca="false">IF(OR(AND(B1839&gt;=1,B1839&lt;=6),B1839=10),"Vaca em lactação",IF(I1839="Male","Macho",IF(E1839&gt;=1,"Vaca seca",IF(I1839="Youngstock","Bezerra/recria","Novilha"))))</f>
        <v>Novilha</v>
      </c>
      <c r="X1839" s="0" t="str">
        <f aca="false">IF(AND(B1839&gt;=1,B1839&lt;=6),"Tanque",IF(B1839=10,"Descarte",""))</f>
        <v/>
      </c>
    </row>
    <row r="1840" customFormat="false" ht="15" hidden="false" customHeight="false" outlineLevel="0" collapsed="false">
      <c r="A1840" s="22" t="n">
        <v>46309</v>
      </c>
      <c r="B1840" s="0" t="n">
        <v>8</v>
      </c>
      <c r="C1840" s="0" t="n">
        <v>6263</v>
      </c>
      <c r="E1840" s="0" t="n">
        <v>0</v>
      </c>
      <c r="F1840" s="23" t="s">
        <v>1045</v>
      </c>
      <c r="I1840" s="23" t="s">
        <v>92</v>
      </c>
      <c r="L1840" s="0" t="n">
        <v>173</v>
      </c>
      <c r="U1840" s="0" t="n">
        <v>622</v>
      </c>
      <c r="V1840" s="0" t="n">
        <v>3</v>
      </c>
      <c r="W1840" s="0" t="str">
        <f aca="false">IF(OR(AND(B1840&gt;=1,B1840&lt;=6),B1840=10),"Vaca em lactação",IF(I1840="Male","Macho",IF(E1840&gt;=1,"Vaca seca",IF(I1840="Youngstock","Bezerra/recria","Novilha"))))</f>
        <v>Novilha</v>
      </c>
      <c r="X1840" s="0" t="str">
        <f aca="false">IF(AND(B1840&gt;=1,B1840&lt;=6),"Tanque",IF(B1840=10,"Descarte",""))</f>
        <v/>
      </c>
    </row>
    <row r="1841" customFormat="false" ht="15" hidden="false" customHeight="false" outlineLevel="0" collapsed="false">
      <c r="A1841" s="22" t="n">
        <v>46309</v>
      </c>
      <c r="B1841" s="0" t="n">
        <v>8</v>
      </c>
      <c r="C1841" s="0" t="n">
        <v>6265</v>
      </c>
      <c r="E1841" s="0" t="n">
        <v>0</v>
      </c>
      <c r="F1841" s="23" t="s">
        <v>1045</v>
      </c>
      <c r="I1841" s="23" t="s">
        <v>92</v>
      </c>
      <c r="L1841" s="0" t="n">
        <v>119</v>
      </c>
      <c r="U1841" s="0" t="n">
        <v>622</v>
      </c>
      <c r="V1841" s="0" t="n">
        <v>2</v>
      </c>
      <c r="W1841" s="0" t="str">
        <f aca="false">IF(OR(AND(B1841&gt;=1,B1841&lt;=6),B1841=10),"Vaca em lactação",IF(I1841="Male","Macho",IF(E1841&gt;=1,"Vaca seca",IF(I1841="Youngstock","Bezerra/recria","Novilha"))))</f>
        <v>Novilha</v>
      </c>
      <c r="X1841" s="0" t="str">
        <f aca="false">IF(AND(B1841&gt;=1,B1841&lt;=6),"Tanque",IF(B1841=10,"Descarte",""))</f>
        <v/>
      </c>
    </row>
    <row r="1842" customFormat="false" ht="15" hidden="false" customHeight="false" outlineLevel="0" collapsed="false">
      <c r="A1842" s="22" t="n">
        <v>46309</v>
      </c>
      <c r="B1842" s="0" t="n">
        <v>8</v>
      </c>
      <c r="C1842" s="0" t="n">
        <v>6266</v>
      </c>
      <c r="E1842" s="0" t="n">
        <v>0</v>
      </c>
      <c r="F1842" s="23" t="s">
        <v>1046</v>
      </c>
      <c r="I1842" s="23" t="s">
        <v>92</v>
      </c>
      <c r="L1842" s="0" t="n">
        <v>161</v>
      </c>
      <c r="U1842" s="0" t="n">
        <v>621</v>
      </c>
      <c r="V1842" s="0" t="n">
        <v>3</v>
      </c>
      <c r="W1842" s="0" t="str">
        <f aca="false">IF(OR(AND(B1842&gt;=1,B1842&lt;=6),B1842=10),"Vaca em lactação",IF(I1842="Male","Macho",IF(E1842&gt;=1,"Vaca seca",IF(I1842="Youngstock","Bezerra/recria","Novilha"))))</f>
        <v>Novilha</v>
      </c>
      <c r="X1842" s="0" t="str">
        <f aca="false">IF(AND(B1842&gt;=1,B1842&lt;=6),"Tanque",IF(B1842=10,"Descarte",""))</f>
        <v/>
      </c>
    </row>
    <row r="1843" customFormat="false" ht="15" hidden="false" customHeight="false" outlineLevel="0" collapsed="false">
      <c r="A1843" s="22" t="n">
        <v>46309</v>
      </c>
      <c r="B1843" s="0" t="n">
        <v>8</v>
      </c>
      <c r="C1843" s="0" t="n">
        <v>6267</v>
      </c>
      <c r="E1843" s="0" t="n">
        <v>0</v>
      </c>
      <c r="F1843" s="23" t="s">
        <v>1046</v>
      </c>
      <c r="I1843" s="23" t="s">
        <v>92</v>
      </c>
      <c r="L1843" s="0" t="n">
        <v>210</v>
      </c>
      <c r="U1843" s="0" t="n">
        <v>621</v>
      </c>
      <c r="V1843" s="0" t="n">
        <v>3</v>
      </c>
      <c r="W1843" s="0" t="str">
        <f aca="false">IF(OR(AND(B1843&gt;=1,B1843&lt;=6),B1843=10),"Vaca em lactação",IF(I1843="Male","Macho",IF(E1843&gt;=1,"Vaca seca",IF(I1843="Youngstock","Bezerra/recria","Novilha"))))</f>
        <v>Novilha</v>
      </c>
      <c r="X1843" s="0" t="str">
        <f aca="false">IF(AND(B1843&gt;=1,B1843&lt;=6),"Tanque",IF(B1843=10,"Descarte",""))</f>
        <v/>
      </c>
    </row>
    <row r="1844" customFormat="false" ht="15" hidden="false" customHeight="false" outlineLevel="0" collapsed="false">
      <c r="A1844" s="22" t="n">
        <v>46309</v>
      </c>
      <c r="B1844" s="0" t="n">
        <v>8</v>
      </c>
      <c r="C1844" s="0" t="n">
        <v>6270</v>
      </c>
      <c r="E1844" s="0" t="n">
        <v>0</v>
      </c>
      <c r="F1844" s="23" t="s">
        <v>1047</v>
      </c>
      <c r="I1844" s="23" t="s">
        <v>92</v>
      </c>
      <c r="L1844" s="0" t="n">
        <v>133</v>
      </c>
      <c r="U1844" s="0" t="n">
        <v>620</v>
      </c>
      <c r="V1844" s="0" t="n">
        <v>2</v>
      </c>
      <c r="W1844" s="0" t="str">
        <f aca="false">IF(OR(AND(B1844&gt;=1,B1844&lt;=6),B1844=10),"Vaca em lactação",IF(I1844="Male","Macho",IF(E1844&gt;=1,"Vaca seca",IF(I1844="Youngstock","Bezerra/recria","Novilha"))))</f>
        <v>Novilha</v>
      </c>
      <c r="X1844" s="0" t="str">
        <f aca="false">IF(AND(B1844&gt;=1,B1844&lt;=6),"Tanque",IF(B1844=10,"Descarte",""))</f>
        <v/>
      </c>
    </row>
    <row r="1845" customFormat="false" ht="15" hidden="false" customHeight="false" outlineLevel="0" collapsed="false">
      <c r="A1845" s="22" t="n">
        <v>46309</v>
      </c>
      <c r="B1845" s="0" t="n">
        <v>8</v>
      </c>
      <c r="C1845" s="0" t="n">
        <v>6272</v>
      </c>
      <c r="E1845" s="0" t="n">
        <v>0</v>
      </c>
      <c r="F1845" s="23" t="s">
        <v>1048</v>
      </c>
      <c r="I1845" s="23" t="s">
        <v>92</v>
      </c>
      <c r="L1845" s="0" t="n">
        <v>231</v>
      </c>
      <c r="U1845" s="0" t="n">
        <v>619</v>
      </c>
      <c r="V1845" s="0" t="n">
        <v>1</v>
      </c>
      <c r="W1845" s="0" t="str">
        <f aca="false">IF(OR(AND(B1845&gt;=1,B1845&lt;=6),B1845=10),"Vaca em lactação",IF(I1845="Male","Macho",IF(E1845&gt;=1,"Vaca seca",IF(I1845="Youngstock","Bezerra/recria","Novilha"))))</f>
        <v>Novilha</v>
      </c>
      <c r="X1845" s="0" t="str">
        <f aca="false">IF(AND(B1845&gt;=1,B1845&lt;=6),"Tanque",IF(B1845=10,"Descarte",""))</f>
        <v/>
      </c>
    </row>
    <row r="1846" customFormat="false" ht="15" hidden="false" customHeight="false" outlineLevel="0" collapsed="false">
      <c r="A1846" s="22" t="n">
        <v>46309</v>
      </c>
      <c r="B1846" s="0" t="n">
        <v>8</v>
      </c>
      <c r="C1846" s="0" t="n">
        <v>6275</v>
      </c>
      <c r="E1846" s="0" t="n">
        <v>0</v>
      </c>
      <c r="F1846" s="23" t="s">
        <v>1049</v>
      </c>
      <c r="I1846" s="23" t="s">
        <v>92</v>
      </c>
      <c r="L1846" s="0" t="n">
        <v>184</v>
      </c>
      <c r="U1846" s="0" t="n">
        <v>617</v>
      </c>
      <c r="V1846" s="0" t="n">
        <v>4</v>
      </c>
      <c r="W1846" s="0" t="str">
        <f aca="false">IF(OR(AND(B1846&gt;=1,B1846&lt;=6),B1846=10),"Vaca em lactação",IF(I1846="Male","Macho",IF(E1846&gt;=1,"Vaca seca",IF(I1846="Youngstock","Bezerra/recria","Novilha"))))</f>
        <v>Novilha</v>
      </c>
      <c r="X1846" s="0" t="str">
        <f aca="false">IF(AND(B1846&gt;=1,B1846&lt;=6),"Tanque",IF(B1846=10,"Descarte",""))</f>
        <v/>
      </c>
    </row>
    <row r="1847" customFormat="false" ht="15" hidden="false" customHeight="false" outlineLevel="0" collapsed="false">
      <c r="A1847" s="22" t="n">
        <v>46309</v>
      </c>
      <c r="B1847" s="0" t="n">
        <v>8</v>
      </c>
      <c r="C1847" s="0" t="n">
        <v>6278</v>
      </c>
      <c r="E1847" s="0" t="n">
        <v>0</v>
      </c>
      <c r="F1847" s="23" t="s">
        <v>1049</v>
      </c>
      <c r="I1847" s="23" t="s">
        <v>92</v>
      </c>
      <c r="L1847" s="0" t="n">
        <v>203</v>
      </c>
      <c r="U1847" s="0" t="n">
        <v>617</v>
      </c>
      <c r="V1847" s="0" t="n">
        <v>2</v>
      </c>
      <c r="W1847" s="0" t="str">
        <f aca="false">IF(OR(AND(B1847&gt;=1,B1847&lt;=6),B1847=10),"Vaca em lactação",IF(I1847="Male","Macho",IF(E1847&gt;=1,"Vaca seca",IF(I1847="Youngstock","Bezerra/recria","Novilha"))))</f>
        <v>Novilha</v>
      </c>
      <c r="X1847" s="0" t="str">
        <f aca="false">IF(AND(B1847&gt;=1,B1847&lt;=6),"Tanque",IF(B1847=10,"Descarte",""))</f>
        <v/>
      </c>
    </row>
    <row r="1848" customFormat="false" ht="15" hidden="false" customHeight="false" outlineLevel="0" collapsed="false">
      <c r="A1848" s="22" t="n">
        <v>46309</v>
      </c>
      <c r="B1848" s="0" t="n">
        <v>8</v>
      </c>
      <c r="C1848" s="0" t="n">
        <v>6276</v>
      </c>
      <c r="E1848" s="0" t="n">
        <v>0</v>
      </c>
      <c r="F1848" s="23" t="s">
        <v>1049</v>
      </c>
      <c r="I1848" s="23" t="s">
        <v>92</v>
      </c>
      <c r="L1848" s="0" t="n">
        <v>234</v>
      </c>
      <c r="U1848" s="0" t="n">
        <v>617</v>
      </c>
      <c r="V1848" s="0" t="n">
        <v>2</v>
      </c>
      <c r="W1848" s="0" t="str">
        <f aca="false">IF(OR(AND(B1848&gt;=1,B1848&lt;=6),B1848=10),"Vaca em lactação",IF(I1848="Male","Macho",IF(E1848&gt;=1,"Vaca seca",IF(I1848="Youngstock","Bezerra/recria","Novilha"))))</f>
        <v>Novilha</v>
      </c>
      <c r="X1848" s="0" t="str">
        <f aca="false">IF(AND(B1848&gt;=1,B1848&lt;=6),"Tanque",IF(B1848=10,"Descarte",""))</f>
        <v/>
      </c>
    </row>
    <row r="1849" customFormat="false" ht="15" hidden="false" customHeight="false" outlineLevel="0" collapsed="false">
      <c r="A1849" s="22" t="n">
        <v>46309</v>
      </c>
      <c r="B1849" s="0" t="n">
        <v>8</v>
      </c>
      <c r="C1849" s="0" t="n">
        <v>6235</v>
      </c>
      <c r="E1849" s="0" t="n">
        <v>0</v>
      </c>
      <c r="F1849" s="23" t="s">
        <v>1050</v>
      </c>
      <c r="I1849" s="23" t="s">
        <v>92</v>
      </c>
      <c r="L1849" s="0" t="n">
        <v>212</v>
      </c>
      <c r="U1849" s="0" t="n">
        <v>632</v>
      </c>
      <c r="V1849" s="0" t="n">
        <v>2</v>
      </c>
      <c r="W1849" s="0" t="str">
        <f aca="false">IF(OR(AND(B1849&gt;=1,B1849&lt;=6),B1849=10),"Vaca em lactação",IF(I1849="Male","Macho",IF(E1849&gt;=1,"Vaca seca",IF(I1849="Youngstock","Bezerra/recria","Novilha"))))</f>
        <v>Novilha</v>
      </c>
      <c r="X1849" s="0" t="str">
        <f aca="false">IF(AND(B1849&gt;=1,B1849&lt;=6),"Tanque",IF(B1849=10,"Descarte",""))</f>
        <v/>
      </c>
    </row>
    <row r="1850" customFormat="false" ht="15" hidden="false" customHeight="false" outlineLevel="0" collapsed="false">
      <c r="A1850" s="22" t="n">
        <v>46309</v>
      </c>
      <c r="B1850" s="0" t="n">
        <v>8</v>
      </c>
      <c r="C1850" s="0" t="n">
        <v>6241</v>
      </c>
      <c r="E1850" s="0" t="n">
        <v>0</v>
      </c>
      <c r="F1850" s="23" t="s">
        <v>1051</v>
      </c>
      <c r="I1850" s="23" t="s">
        <v>92</v>
      </c>
      <c r="L1850" s="0" t="n">
        <v>209</v>
      </c>
      <c r="U1850" s="0" t="n">
        <v>630</v>
      </c>
      <c r="V1850" s="0" t="n">
        <v>3</v>
      </c>
      <c r="W1850" s="0" t="str">
        <f aca="false">IF(OR(AND(B1850&gt;=1,B1850&lt;=6),B1850=10),"Vaca em lactação",IF(I1850="Male","Macho",IF(E1850&gt;=1,"Vaca seca",IF(I1850="Youngstock","Bezerra/recria","Novilha"))))</f>
        <v>Novilha</v>
      </c>
      <c r="X1850" s="0" t="str">
        <f aca="false">IF(AND(B1850&gt;=1,B1850&lt;=6),"Tanque",IF(B1850=10,"Descarte",""))</f>
        <v/>
      </c>
    </row>
    <row r="1851" customFormat="false" ht="15" hidden="false" customHeight="false" outlineLevel="0" collapsed="false">
      <c r="A1851" s="22" t="n">
        <v>46309</v>
      </c>
      <c r="B1851" s="0" t="n">
        <v>8</v>
      </c>
      <c r="C1851" s="0" t="n">
        <v>6240</v>
      </c>
      <c r="E1851" s="0" t="n">
        <v>0</v>
      </c>
      <c r="F1851" s="23" t="s">
        <v>1051</v>
      </c>
      <c r="I1851" s="23" t="s">
        <v>92</v>
      </c>
      <c r="L1851" s="0" t="n">
        <v>162</v>
      </c>
      <c r="U1851" s="0" t="n">
        <v>630</v>
      </c>
      <c r="V1851" s="0" t="n">
        <v>5</v>
      </c>
      <c r="W1851" s="0" t="str">
        <f aca="false">IF(OR(AND(B1851&gt;=1,B1851&lt;=6),B1851=10),"Vaca em lactação",IF(I1851="Male","Macho",IF(E1851&gt;=1,"Vaca seca",IF(I1851="Youngstock","Bezerra/recria","Novilha"))))</f>
        <v>Novilha</v>
      </c>
      <c r="X1851" s="0" t="str">
        <f aca="false">IF(AND(B1851&gt;=1,B1851&lt;=6),"Tanque",IF(B1851=10,"Descarte",""))</f>
        <v/>
      </c>
    </row>
    <row r="1852" customFormat="false" ht="15" hidden="false" customHeight="false" outlineLevel="0" collapsed="false">
      <c r="A1852" s="22" t="n">
        <v>46309</v>
      </c>
      <c r="B1852" s="0" t="n">
        <v>8</v>
      </c>
      <c r="C1852" s="0" t="n">
        <v>6244</v>
      </c>
      <c r="E1852" s="0" t="n">
        <v>0</v>
      </c>
      <c r="F1852" s="23" t="s">
        <v>1030</v>
      </c>
      <c r="I1852" s="23" t="s">
        <v>92</v>
      </c>
      <c r="L1852" s="0" t="n">
        <v>260</v>
      </c>
      <c r="U1852" s="0" t="n">
        <v>629</v>
      </c>
      <c r="V1852" s="0" t="n">
        <v>1</v>
      </c>
      <c r="W1852" s="0" t="str">
        <f aca="false">IF(OR(AND(B1852&gt;=1,B1852&lt;=6),B1852=10),"Vaca em lactação",IF(I1852="Male","Macho",IF(E1852&gt;=1,"Vaca seca",IF(I1852="Youngstock","Bezerra/recria","Novilha"))))</f>
        <v>Novilha</v>
      </c>
      <c r="X1852" s="0" t="str">
        <f aca="false">IF(AND(B1852&gt;=1,B1852&lt;=6),"Tanque",IF(B1852=10,"Descarte",""))</f>
        <v/>
      </c>
    </row>
    <row r="1853" customFormat="false" ht="15" hidden="false" customHeight="false" outlineLevel="0" collapsed="false">
      <c r="A1853" s="22" t="n">
        <v>46309</v>
      </c>
      <c r="B1853" s="0" t="n">
        <v>8</v>
      </c>
      <c r="C1853" s="0" t="n">
        <v>6252</v>
      </c>
      <c r="E1853" s="0" t="n">
        <v>0</v>
      </c>
      <c r="F1853" s="23" t="s">
        <v>1052</v>
      </c>
      <c r="I1853" s="23" t="s">
        <v>92</v>
      </c>
      <c r="L1853" s="0" t="n">
        <v>217</v>
      </c>
      <c r="U1853" s="0" t="n">
        <v>627</v>
      </c>
      <c r="V1853" s="0" t="n">
        <v>3</v>
      </c>
      <c r="W1853" s="0" t="str">
        <f aca="false">IF(OR(AND(B1853&gt;=1,B1853&lt;=6),B1853=10),"Vaca em lactação",IF(I1853="Male","Macho",IF(E1853&gt;=1,"Vaca seca",IF(I1853="Youngstock","Bezerra/recria","Novilha"))))</f>
        <v>Novilha</v>
      </c>
      <c r="X1853" s="0" t="str">
        <f aca="false">IF(AND(B1853&gt;=1,B1853&lt;=6),"Tanque",IF(B1853=10,"Descarte",""))</f>
        <v/>
      </c>
    </row>
    <row r="1854" customFormat="false" ht="15" hidden="false" customHeight="false" outlineLevel="0" collapsed="false">
      <c r="A1854" s="22" t="n">
        <v>46309</v>
      </c>
      <c r="B1854" s="0" t="n">
        <v>8</v>
      </c>
      <c r="C1854" s="0" t="n">
        <v>6250</v>
      </c>
      <c r="E1854" s="0" t="n">
        <v>0</v>
      </c>
      <c r="F1854" s="23" t="s">
        <v>1052</v>
      </c>
      <c r="I1854" s="23" t="s">
        <v>92</v>
      </c>
      <c r="L1854" s="0" t="n">
        <v>215</v>
      </c>
      <c r="U1854" s="0" t="n">
        <v>627</v>
      </c>
      <c r="V1854" s="0" t="n">
        <v>2</v>
      </c>
      <c r="W1854" s="0" t="str">
        <f aca="false">IF(OR(AND(B1854&gt;=1,B1854&lt;=6),B1854=10),"Vaca em lactação",IF(I1854="Male","Macho",IF(E1854&gt;=1,"Vaca seca",IF(I1854="Youngstock","Bezerra/recria","Novilha"))))</f>
        <v>Novilha</v>
      </c>
      <c r="X1854" s="0" t="str">
        <f aca="false">IF(AND(B1854&gt;=1,B1854&lt;=6),"Tanque",IF(B1854=10,"Descarte",""))</f>
        <v/>
      </c>
    </row>
    <row r="1855" customFormat="false" ht="15" hidden="false" customHeight="false" outlineLevel="0" collapsed="false">
      <c r="A1855" s="22" t="n">
        <v>46309</v>
      </c>
      <c r="B1855" s="0" t="n">
        <v>8</v>
      </c>
      <c r="C1855" s="0" t="n">
        <v>6251</v>
      </c>
      <c r="E1855" s="0" t="n">
        <v>0</v>
      </c>
      <c r="F1855" s="23" t="s">
        <v>1052</v>
      </c>
      <c r="I1855" s="23" t="s">
        <v>92</v>
      </c>
      <c r="L1855" s="0" t="n">
        <v>140</v>
      </c>
      <c r="U1855" s="0" t="n">
        <v>627</v>
      </c>
      <c r="V1855" s="0" t="n">
        <v>3</v>
      </c>
      <c r="W1855" s="0" t="str">
        <f aca="false">IF(OR(AND(B1855&gt;=1,B1855&lt;=6),B1855=10),"Vaca em lactação",IF(I1855="Male","Macho",IF(E1855&gt;=1,"Vaca seca",IF(I1855="Youngstock","Bezerra/recria","Novilha"))))</f>
        <v>Novilha</v>
      </c>
      <c r="X1855" s="0" t="str">
        <f aca="false">IF(AND(B1855&gt;=1,B1855&lt;=6),"Tanque",IF(B1855=10,"Descarte",""))</f>
        <v/>
      </c>
    </row>
    <row r="1856" customFormat="false" ht="15" hidden="false" customHeight="false" outlineLevel="0" collapsed="false">
      <c r="A1856" s="22" t="n">
        <v>46309</v>
      </c>
      <c r="B1856" s="0" t="n">
        <v>8</v>
      </c>
      <c r="C1856" s="0" t="n">
        <v>6254</v>
      </c>
      <c r="E1856" s="0" t="n">
        <v>0</v>
      </c>
      <c r="F1856" s="23" t="s">
        <v>1031</v>
      </c>
      <c r="I1856" s="23" t="s">
        <v>92</v>
      </c>
      <c r="L1856" s="0" t="n">
        <v>183</v>
      </c>
      <c r="U1856" s="0" t="n">
        <v>626</v>
      </c>
      <c r="V1856" s="0" t="n">
        <v>2</v>
      </c>
      <c r="W1856" s="0" t="str">
        <f aca="false">IF(OR(AND(B1856&gt;=1,B1856&lt;=6),B1856=10),"Vaca em lactação",IF(I1856="Male","Macho",IF(E1856&gt;=1,"Vaca seca",IF(I1856="Youngstock","Bezerra/recria","Novilha"))))</f>
        <v>Novilha</v>
      </c>
      <c r="X1856" s="0" t="str">
        <f aca="false">IF(AND(B1856&gt;=1,B1856&lt;=6),"Tanque",IF(B1856=10,"Descarte",""))</f>
        <v/>
      </c>
    </row>
    <row r="1857" customFormat="false" ht="15" hidden="false" customHeight="false" outlineLevel="0" collapsed="false">
      <c r="A1857" s="22" t="n">
        <v>46309</v>
      </c>
      <c r="B1857" s="0" t="n">
        <v>8</v>
      </c>
      <c r="C1857" s="0" t="n">
        <v>6224</v>
      </c>
      <c r="E1857" s="0" t="n">
        <v>0</v>
      </c>
      <c r="F1857" s="23" t="s">
        <v>1053</v>
      </c>
      <c r="I1857" s="23" t="s">
        <v>92</v>
      </c>
      <c r="L1857" s="0" t="n">
        <v>183</v>
      </c>
      <c r="U1857" s="0" t="n">
        <v>637</v>
      </c>
      <c r="V1857" s="0" t="n">
        <v>4</v>
      </c>
      <c r="W1857" s="0" t="str">
        <f aca="false">IF(OR(AND(B1857&gt;=1,B1857&lt;=6),B1857=10),"Vaca em lactação",IF(I1857="Male","Macho",IF(E1857&gt;=1,"Vaca seca",IF(I1857="Youngstock","Bezerra/recria","Novilha"))))</f>
        <v>Novilha</v>
      </c>
      <c r="X1857" s="0" t="str">
        <f aca="false">IF(AND(B1857&gt;=1,B1857&lt;=6),"Tanque",IF(B1857=10,"Descarte",""))</f>
        <v/>
      </c>
    </row>
    <row r="1858" customFormat="false" ht="15" hidden="false" customHeight="false" outlineLevel="0" collapsed="false">
      <c r="A1858" s="22" t="n">
        <v>46309</v>
      </c>
      <c r="B1858" s="0" t="n">
        <v>8</v>
      </c>
      <c r="C1858" s="0" t="n">
        <v>6227</v>
      </c>
      <c r="E1858" s="0" t="n">
        <v>0</v>
      </c>
      <c r="F1858" s="23" t="s">
        <v>1029</v>
      </c>
      <c r="I1858" s="23" t="s">
        <v>92</v>
      </c>
      <c r="L1858" s="0" t="n">
        <v>188</v>
      </c>
      <c r="U1858" s="0" t="n">
        <v>635</v>
      </c>
      <c r="V1858" s="0" t="n">
        <v>2</v>
      </c>
      <c r="W1858" s="0" t="str">
        <f aca="false">IF(OR(AND(B1858&gt;=1,B1858&lt;=6),B1858=10),"Vaca em lactação",IF(I1858="Male","Macho",IF(E1858&gt;=1,"Vaca seca",IF(I1858="Youngstock","Bezerra/recria","Novilha"))))</f>
        <v>Novilha</v>
      </c>
      <c r="X1858" s="0" t="str">
        <f aca="false">IF(AND(B1858&gt;=1,B1858&lt;=6),"Tanque",IF(B1858=10,"Descarte",""))</f>
        <v/>
      </c>
    </row>
    <row r="1859" customFormat="false" ht="15" hidden="false" customHeight="false" outlineLevel="0" collapsed="false">
      <c r="A1859" s="22" t="n">
        <v>46309</v>
      </c>
      <c r="B1859" s="0" t="n">
        <v>8</v>
      </c>
      <c r="C1859" s="0" t="n">
        <v>6225</v>
      </c>
      <c r="E1859" s="0" t="n">
        <v>0</v>
      </c>
      <c r="F1859" s="23" t="s">
        <v>1054</v>
      </c>
      <c r="I1859" s="23" t="s">
        <v>92</v>
      </c>
      <c r="L1859" s="0" t="n">
        <v>143</v>
      </c>
      <c r="U1859" s="0" t="n">
        <v>636</v>
      </c>
      <c r="V1859" s="0" t="n">
        <v>4</v>
      </c>
      <c r="W1859" s="0" t="str">
        <f aca="false">IF(OR(AND(B1859&gt;=1,B1859&lt;=6),B1859=10),"Vaca em lactação",IF(I1859="Male","Macho",IF(E1859&gt;=1,"Vaca seca",IF(I1859="Youngstock","Bezerra/recria","Novilha"))))</f>
        <v>Novilha</v>
      </c>
      <c r="X1859" s="0" t="str">
        <f aca="false">IF(AND(B1859&gt;=1,B1859&lt;=6),"Tanque",IF(B1859=10,"Descarte",""))</f>
        <v/>
      </c>
    </row>
    <row r="1860" customFormat="false" ht="15" hidden="false" customHeight="false" outlineLevel="0" collapsed="false">
      <c r="A1860" s="22" t="n">
        <v>46309</v>
      </c>
      <c r="B1860" s="0" t="n">
        <v>8</v>
      </c>
      <c r="C1860" s="0" t="n">
        <v>6222</v>
      </c>
      <c r="E1860" s="0" t="n">
        <v>0</v>
      </c>
      <c r="F1860" s="23" t="s">
        <v>1055</v>
      </c>
      <c r="I1860" s="23" t="s">
        <v>92</v>
      </c>
      <c r="L1860" s="0" t="n">
        <v>150</v>
      </c>
      <c r="U1860" s="0" t="n">
        <v>638</v>
      </c>
      <c r="V1860" s="0" t="n">
        <v>4</v>
      </c>
      <c r="W1860" s="0" t="str">
        <f aca="false">IF(OR(AND(B1860&gt;=1,B1860&lt;=6),B1860=10),"Vaca em lactação",IF(I1860="Male","Macho",IF(E1860&gt;=1,"Vaca seca",IF(I1860="Youngstock","Bezerra/recria","Novilha"))))</f>
        <v>Novilha</v>
      </c>
      <c r="X1860" s="0" t="str">
        <f aca="false">IF(AND(B1860&gt;=1,B1860&lt;=6),"Tanque",IF(B1860=10,"Descarte",""))</f>
        <v/>
      </c>
    </row>
    <row r="1861" customFormat="false" ht="15" hidden="false" customHeight="false" outlineLevel="0" collapsed="false">
      <c r="A1861" s="22" t="n">
        <v>46309</v>
      </c>
      <c r="B1861" s="0" t="n">
        <v>8</v>
      </c>
      <c r="C1861" s="0" t="n">
        <v>6212</v>
      </c>
      <c r="E1861" s="0" t="n">
        <v>0</v>
      </c>
      <c r="F1861" s="23" t="s">
        <v>1056</v>
      </c>
      <c r="I1861" s="23" t="s">
        <v>92</v>
      </c>
      <c r="L1861" s="0" t="n">
        <v>212</v>
      </c>
      <c r="U1861" s="0" t="n">
        <v>643</v>
      </c>
      <c r="V1861" s="0" t="n">
        <v>4</v>
      </c>
      <c r="W1861" s="0" t="str">
        <f aca="false">IF(OR(AND(B1861&gt;=1,B1861&lt;=6),B1861=10),"Vaca em lactação",IF(I1861="Male","Macho",IF(E1861&gt;=1,"Vaca seca",IF(I1861="Youngstock","Bezerra/recria","Novilha"))))</f>
        <v>Novilha</v>
      </c>
      <c r="X1861" s="0" t="str">
        <f aca="false">IF(AND(B1861&gt;=1,B1861&lt;=6),"Tanque",IF(B1861=10,"Descarte",""))</f>
        <v/>
      </c>
    </row>
    <row r="1862" customFormat="false" ht="15" hidden="false" customHeight="false" outlineLevel="0" collapsed="false">
      <c r="A1862" s="22" t="n">
        <v>46309</v>
      </c>
      <c r="B1862" s="0" t="n">
        <v>8</v>
      </c>
      <c r="C1862" s="0" t="n">
        <v>6214</v>
      </c>
      <c r="E1862" s="0" t="n">
        <v>0</v>
      </c>
      <c r="F1862" s="23" t="s">
        <v>1032</v>
      </c>
      <c r="I1862" s="23" t="s">
        <v>92</v>
      </c>
      <c r="L1862" s="0" t="n">
        <v>128</v>
      </c>
      <c r="U1862" s="0" t="n">
        <v>642</v>
      </c>
      <c r="V1862" s="0" t="n">
        <v>7</v>
      </c>
      <c r="W1862" s="0" t="str">
        <f aca="false">IF(OR(AND(B1862&gt;=1,B1862&lt;=6),B1862=10),"Vaca em lactação",IF(I1862="Male","Macho",IF(E1862&gt;=1,"Vaca seca",IF(I1862="Youngstock","Bezerra/recria","Novilha"))))</f>
        <v>Novilha</v>
      </c>
      <c r="X1862" s="0" t="str">
        <f aca="false">IF(AND(B1862&gt;=1,B1862&lt;=6),"Tanque",IF(B1862=10,"Descarte",""))</f>
        <v/>
      </c>
    </row>
    <row r="1863" customFormat="false" ht="15" hidden="false" customHeight="false" outlineLevel="0" collapsed="false">
      <c r="A1863" s="22" t="n">
        <v>46309</v>
      </c>
      <c r="B1863" s="0" t="n">
        <v>8</v>
      </c>
      <c r="C1863" s="0" t="n">
        <v>6213</v>
      </c>
      <c r="E1863" s="0" t="n">
        <v>0</v>
      </c>
      <c r="F1863" s="23" t="s">
        <v>1032</v>
      </c>
      <c r="I1863" s="23" t="s">
        <v>92</v>
      </c>
      <c r="L1863" s="0" t="n">
        <v>49</v>
      </c>
      <c r="U1863" s="0" t="n">
        <v>642</v>
      </c>
      <c r="V1863" s="0" t="n">
        <v>7</v>
      </c>
      <c r="W1863" s="0" t="str">
        <f aca="false">IF(OR(AND(B1863&gt;=1,B1863&lt;=6),B1863=10),"Vaca em lactação",IF(I1863="Male","Macho",IF(E1863&gt;=1,"Vaca seca",IF(I1863="Youngstock","Bezerra/recria","Novilha"))))</f>
        <v>Novilha</v>
      </c>
      <c r="X1863" s="0" t="str">
        <f aca="false">IF(AND(B1863&gt;=1,B1863&lt;=6),"Tanque",IF(B1863=10,"Descarte",""))</f>
        <v/>
      </c>
    </row>
    <row r="1864" customFormat="false" ht="15" hidden="false" customHeight="false" outlineLevel="0" collapsed="false">
      <c r="A1864" s="22" t="n">
        <v>46309</v>
      </c>
      <c r="B1864" s="0" t="n">
        <v>8</v>
      </c>
      <c r="C1864" s="0" t="n">
        <v>6216</v>
      </c>
      <c r="E1864" s="0" t="n">
        <v>0</v>
      </c>
      <c r="F1864" s="23" t="s">
        <v>1057</v>
      </c>
      <c r="I1864" s="23" t="s">
        <v>92</v>
      </c>
      <c r="L1864" s="0" t="n">
        <v>100</v>
      </c>
      <c r="U1864" s="0" t="n">
        <v>641</v>
      </c>
      <c r="V1864" s="0" t="n">
        <v>9</v>
      </c>
      <c r="W1864" s="0" t="str">
        <f aca="false">IF(OR(AND(B1864&gt;=1,B1864&lt;=6),B1864=10),"Vaca em lactação",IF(I1864="Male","Macho",IF(E1864&gt;=1,"Vaca seca",IF(I1864="Youngstock","Bezerra/recria","Novilha"))))</f>
        <v>Novilha</v>
      </c>
      <c r="X1864" s="0" t="str">
        <f aca="false">IF(AND(B1864&gt;=1,B1864&lt;=6),"Tanque",IF(B1864=10,"Descarte",""))</f>
        <v/>
      </c>
    </row>
    <row r="1865" customFormat="false" ht="15" hidden="false" customHeight="false" outlineLevel="0" collapsed="false">
      <c r="A1865" s="22" t="n">
        <v>46309</v>
      </c>
      <c r="B1865" s="0" t="n">
        <v>8</v>
      </c>
      <c r="C1865" s="0" t="n">
        <v>6219</v>
      </c>
      <c r="E1865" s="0" t="n">
        <v>0</v>
      </c>
      <c r="F1865" s="23" t="s">
        <v>1058</v>
      </c>
      <c r="I1865" s="23" t="s">
        <v>92</v>
      </c>
      <c r="L1865" s="0" t="n">
        <v>182</v>
      </c>
      <c r="U1865" s="0" t="n">
        <v>639</v>
      </c>
      <c r="V1865" s="0" t="n">
        <v>4</v>
      </c>
      <c r="W1865" s="0" t="str">
        <f aca="false">IF(OR(AND(B1865&gt;=1,B1865&lt;=6),B1865=10),"Vaca em lactação",IF(I1865="Male","Macho",IF(E1865&gt;=1,"Vaca seca",IF(I1865="Youngstock","Bezerra/recria","Novilha"))))</f>
        <v>Novilha</v>
      </c>
      <c r="X1865" s="0" t="str">
        <f aca="false">IF(AND(B1865&gt;=1,B1865&lt;=6),"Tanque",IF(B1865=10,"Descarte",""))</f>
        <v/>
      </c>
    </row>
    <row r="1866" customFormat="false" ht="15" hidden="false" customHeight="false" outlineLevel="0" collapsed="false">
      <c r="A1866" s="22" t="n">
        <v>46309</v>
      </c>
      <c r="B1866" s="0" t="n">
        <v>8</v>
      </c>
      <c r="C1866" s="0" t="n">
        <v>6221</v>
      </c>
      <c r="E1866" s="0" t="n">
        <v>0</v>
      </c>
      <c r="F1866" s="23" t="s">
        <v>1055</v>
      </c>
      <c r="I1866" s="23" t="s">
        <v>92</v>
      </c>
      <c r="L1866" s="0" t="n">
        <v>259</v>
      </c>
      <c r="U1866" s="0" t="n">
        <v>638</v>
      </c>
      <c r="V1866" s="0" t="n">
        <v>1</v>
      </c>
      <c r="W1866" s="0" t="str">
        <f aca="false">IF(OR(AND(B1866&gt;=1,B1866&lt;=6),B1866=10),"Vaca em lactação",IF(I1866="Male","Macho",IF(E1866&gt;=1,"Vaca seca",IF(I1866="Youngstock","Bezerra/recria","Novilha"))))</f>
        <v>Novilha</v>
      </c>
      <c r="X1866" s="0" t="str">
        <f aca="false">IF(AND(B1866&gt;=1,B1866&lt;=6),"Tanque",IF(B1866=10,"Descarte",""))</f>
        <v/>
      </c>
    </row>
    <row r="1867" customFormat="false" ht="15" hidden="false" customHeight="false" outlineLevel="0" collapsed="false">
      <c r="A1867" s="22" t="n">
        <v>46309</v>
      </c>
      <c r="B1867" s="0" t="n">
        <v>8</v>
      </c>
      <c r="C1867" s="0" t="n">
        <v>6330</v>
      </c>
      <c r="E1867" s="0" t="n">
        <v>0</v>
      </c>
      <c r="F1867" s="23" t="s">
        <v>1059</v>
      </c>
      <c r="I1867" s="23" t="s">
        <v>92</v>
      </c>
      <c r="L1867" s="0" t="n">
        <v>119</v>
      </c>
      <c r="U1867" s="0" t="n">
        <v>597</v>
      </c>
      <c r="V1867" s="0" t="n">
        <v>3</v>
      </c>
      <c r="W1867" s="0" t="str">
        <f aca="false">IF(OR(AND(B1867&gt;=1,B1867&lt;=6),B1867=10),"Vaca em lactação",IF(I1867="Male","Macho",IF(E1867&gt;=1,"Vaca seca",IF(I1867="Youngstock","Bezerra/recria","Novilha"))))</f>
        <v>Novilha</v>
      </c>
      <c r="X1867" s="0" t="str">
        <f aca="false">IF(AND(B1867&gt;=1,B1867&lt;=6),"Tanque",IF(B1867=10,"Descarte",""))</f>
        <v/>
      </c>
    </row>
    <row r="1868" customFormat="false" ht="15" hidden="false" customHeight="false" outlineLevel="0" collapsed="false">
      <c r="A1868" s="22" t="n">
        <v>46309</v>
      </c>
      <c r="B1868" s="0" t="n">
        <v>8</v>
      </c>
      <c r="C1868" s="0" t="n">
        <v>6327</v>
      </c>
      <c r="E1868" s="0" t="n">
        <v>0</v>
      </c>
      <c r="F1868" s="23" t="s">
        <v>1059</v>
      </c>
      <c r="I1868" s="23" t="s">
        <v>92</v>
      </c>
      <c r="L1868" s="0" t="n">
        <v>119</v>
      </c>
      <c r="U1868" s="0" t="n">
        <v>597</v>
      </c>
      <c r="V1868" s="0" t="n">
        <v>2</v>
      </c>
      <c r="W1868" s="0" t="str">
        <f aca="false">IF(OR(AND(B1868&gt;=1,B1868&lt;=6),B1868=10),"Vaca em lactação",IF(I1868="Male","Macho",IF(E1868&gt;=1,"Vaca seca",IF(I1868="Youngstock","Bezerra/recria","Novilha"))))</f>
        <v>Novilha</v>
      </c>
      <c r="X1868" s="0" t="str">
        <f aca="false">IF(AND(B1868&gt;=1,B1868&lt;=6),"Tanque",IF(B1868=10,"Descarte",""))</f>
        <v/>
      </c>
    </row>
    <row r="1869" customFormat="false" ht="15" hidden="false" customHeight="false" outlineLevel="0" collapsed="false">
      <c r="A1869" s="22" t="n">
        <v>46309</v>
      </c>
      <c r="B1869" s="0" t="n">
        <v>8</v>
      </c>
      <c r="C1869" s="0" t="n">
        <v>6328</v>
      </c>
      <c r="E1869" s="0" t="n">
        <v>0</v>
      </c>
      <c r="F1869" s="23" t="s">
        <v>1059</v>
      </c>
      <c r="I1869" s="23" t="s">
        <v>92</v>
      </c>
      <c r="L1869" s="0" t="n">
        <v>206</v>
      </c>
      <c r="U1869" s="0" t="n">
        <v>597</v>
      </c>
      <c r="V1869" s="0" t="n">
        <v>1</v>
      </c>
      <c r="W1869" s="0" t="str">
        <f aca="false">IF(OR(AND(B1869&gt;=1,B1869&lt;=6),B1869=10),"Vaca em lactação",IF(I1869="Male","Macho",IF(E1869&gt;=1,"Vaca seca",IF(I1869="Youngstock","Bezerra/recria","Novilha"))))</f>
        <v>Novilha</v>
      </c>
      <c r="X1869" s="0" t="str">
        <f aca="false">IF(AND(B1869&gt;=1,B1869&lt;=6),"Tanque",IF(B1869=10,"Descarte",""))</f>
        <v/>
      </c>
    </row>
    <row r="1870" customFormat="false" ht="15" hidden="false" customHeight="false" outlineLevel="0" collapsed="false">
      <c r="A1870" s="22" t="n">
        <v>46309</v>
      </c>
      <c r="B1870" s="0" t="n">
        <v>8</v>
      </c>
      <c r="C1870" s="0" t="n">
        <v>6329</v>
      </c>
      <c r="E1870" s="0" t="n">
        <v>0</v>
      </c>
      <c r="F1870" s="23" t="s">
        <v>1059</v>
      </c>
      <c r="I1870" s="23" t="s">
        <v>92</v>
      </c>
      <c r="L1870" s="0" t="n">
        <v>51</v>
      </c>
      <c r="U1870" s="0" t="n">
        <v>597</v>
      </c>
      <c r="V1870" s="0" t="n">
        <v>7</v>
      </c>
      <c r="W1870" s="0" t="str">
        <f aca="false">IF(OR(AND(B1870&gt;=1,B1870&lt;=6),B1870=10),"Vaca em lactação",IF(I1870="Male","Macho",IF(E1870&gt;=1,"Vaca seca",IF(I1870="Youngstock","Bezerra/recria","Novilha"))))</f>
        <v>Novilha</v>
      </c>
      <c r="X1870" s="0" t="str">
        <f aca="false">IF(AND(B1870&gt;=1,B1870&lt;=6),"Tanque",IF(B1870=10,"Descarte",""))</f>
        <v/>
      </c>
    </row>
    <row r="1871" customFormat="false" ht="15" hidden="false" customHeight="false" outlineLevel="0" collapsed="false">
      <c r="A1871" s="22" t="n">
        <v>46309</v>
      </c>
      <c r="B1871" s="0" t="n">
        <v>8</v>
      </c>
      <c r="C1871" s="0" t="n">
        <v>6286</v>
      </c>
      <c r="E1871" s="0" t="n">
        <v>0</v>
      </c>
      <c r="F1871" s="23" t="s">
        <v>1036</v>
      </c>
      <c r="I1871" s="23" t="s">
        <v>92</v>
      </c>
      <c r="L1871" s="0" t="n">
        <v>140</v>
      </c>
      <c r="U1871" s="0" t="n">
        <v>615</v>
      </c>
      <c r="V1871" s="0" t="n">
        <v>4</v>
      </c>
      <c r="W1871" s="0" t="str">
        <f aca="false">IF(OR(AND(B1871&gt;=1,B1871&lt;=6),B1871=10),"Vaca em lactação",IF(I1871="Male","Macho",IF(E1871&gt;=1,"Vaca seca",IF(I1871="Youngstock","Bezerra/recria","Novilha"))))</f>
        <v>Novilha</v>
      </c>
      <c r="X1871" s="0" t="str">
        <f aca="false">IF(AND(B1871&gt;=1,B1871&lt;=6),"Tanque",IF(B1871=10,"Descarte",""))</f>
        <v/>
      </c>
    </row>
    <row r="1872" customFormat="false" ht="15" hidden="false" customHeight="false" outlineLevel="0" collapsed="false">
      <c r="A1872" s="22" t="n">
        <v>46309</v>
      </c>
      <c r="B1872" s="0" t="n">
        <v>8</v>
      </c>
      <c r="C1872" s="0" t="n">
        <v>6331</v>
      </c>
      <c r="E1872" s="0" t="n">
        <v>0</v>
      </c>
      <c r="F1872" s="23" t="s">
        <v>1060</v>
      </c>
      <c r="I1872" s="23" t="s">
        <v>92</v>
      </c>
      <c r="L1872" s="0" t="n">
        <v>203</v>
      </c>
      <c r="U1872" s="0" t="n">
        <v>596</v>
      </c>
      <c r="V1872" s="0" t="n">
        <v>1</v>
      </c>
      <c r="W1872" s="0" t="str">
        <f aca="false">IF(OR(AND(B1872&gt;=1,B1872&lt;=6),B1872=10),"Vaca em lactação",IF(I1872="Male","Macho",IF(E1872&gt;=1,"Vaca seca",IF(I1872="Youngstock","Bezerra/recria","Novilha"))))</f>
        <v>Novilha</v>
      </c>
      <c r="X1872" s="0" t="str">
        <f aca="false">IF(AND(B1872&gt;=1,B1872&lt;=6),"Tanque",IF(B1872=10,"Descarte",""))</f>
        <v/>
      </c>
    </row>
    <row r="1873" customFormat="false" ht="15" hidden="false" customHeight="false" outlineLevel="0" collapsed="false">
      <c r="A1873" s="22" t="n">
        <v>46309</v>
      </c>
      <c r="B1873" s="0" t="n">
        <v>8</v>
      </c>
      <c r="C1873" s="0" t="n">
        <v>6332</v>
      </c>
      <c r="E1873" s="0" t="n">
        <v>0</v>
      </c>
      <c r="F1873" s="23" t="s">
        <v>1060</v>
      </c>
      <c r="I1873" s="23" t="s">
        <v>92</v>
      </c>
      <c r="L1873" s="0" t="n">
        <v>155</v>
      </c>
      <c r="U1873" s="0" t="n">
        <v>596</v>
      </c>
      <c r="V1873" s="0" t="n">
        <v>2</v>
      </c>
      <c r="W1873" s="0" t="str">
        <f aca="false">IF(OR(AND(B1873&gt;=1,B1873&lt;=6),B1873=10),"Vaca em lactação",IF(I1873="Male","Macho",IF(E1873&gt;=1,"Vaca seca",IF(I1873="Youngstock","Bezerra/recria","Novilha"))))</f>
        <v>Novilha</v>
      </c>
      <c r="X1873" s="0" t="str">
        <f aca="false">IF(AND(B1873&gt;=1,B1873&lt;=6),"Tanque",IF(B1873=10,"Descarte",""))</f>
        <v/>
      </c>
    </row>
    <row r="1874" customFormat="false" ht="15" hidden="false" customHeight="false" outlineLevel="0" collapsed="false">
      <c r="A1874" s="22" t="n">
        <v>46309</v>
      </c>
      <c r="B1874" s="0" t="n">
        <v>8</v>
      </c>
      <c r="C1874" s="0" t="n">
        <v>6333</v>
      </c>
      <c r="E1874" s="0" t="n">
        <v>0</v>
      </c>
      <c r="F1874" s="23" t="s">
        <v>1060</v>
      </c>
      <c r="I1874" s="23" t="s">
        <v>92</v>
      </c>
      <c r="L1874" s="0" t="n">
        <v>175</v>
      </c>
      <c r="U1874" s="0" t="n">
        <v>596</v>
      </c>
      <c r="V1874" s="0" t="n">
        <v>2</v>
      </c>
      <c r="W1874" s="0" t="str">
        <f aca="false">IF(OR(AND(B1874&gt;=1,B1874&lt;=6),B1874=10),"Vaca em lactação",IF(I1874="Male","Macho",IF(E1874&gt;=1,"Vaca seca",IF(I1874="Youngstock","Bezerra/recria","Novilha"))))</f>
        <v>Novilha</v>
      </c>
      <c r="X1874" s="0" t="str">
        <f aca="false">IF(AND(B1874&gt;=1,B1874&lt;=6),"Tanque",IF(B1874=10,"Descarte",""))</f>
        <v/>
      </c>
    </row>
    <row r="1875" customFormat="false" ht="15" hidden="false" customHeight="false" outlineLevel="0" collapsed="false">
      <c r="A1875" s="22" t="n">
        <v>46309</v>
      </c>
      <c r="B1875" s="0" t="n">
        <v>8</v>
      </c>
      <c r="C1875" s="0" t="n">
        <v>6334</v>
      </c>
      <c r="E1875" s="0" t="n">
        <v>0</v>
      </c>
      <c r="F1875" s="23" t="s">
        <v>1060</v>
      </c>
      <c r="I1875" s="23" t="s">
        <v>92</v>
      </c>
      <c r="L1875" s="0" t="n">
        <v>188</v>
      </c>
      <c r="U1875" s="0" t="n">
        <v>596</v>
      </c>
      <c r="V1875" s="0" t="n">
        <v>1</v>
      </c>
      <c r="W1875" s="0" t="str">
        <f aca="false">IF(OR(AND(B1875&gt;=1,B1875&lt;=6),B1875=10),"Vaca em lactação",IF(I1875="Male","Macho",IF(E1875&gt;=1,"Vaca seca",IF(I1875="Youngstock","Bezerra/recria","Novilha"))))</f>
        <v>Novilha</v>
      </c>
      <c r="X1875" s="0" t="str">
        <f aca="false">IF(AND(B1875&gt;=1,B1875&lt;=6),"Tanque",IF(B1875=10,"Descarte",""))</f>
        <v/>
      </c>
    </row>
    <row r="1876" customFormat="false" ht="15" hidden="false" customHeight="false" outlineLevel="0" collapsed="false">
      <c r="A1876" s="22" t="n">
        <v>46309</v>
      </c>
      <c r="B1876" s="0" t="n">
        <v>8</v>
      </c>
      <c r="C1876" s="0" t="n">
        <v>6338</v>
      </c>
      <c r="E1876" s="0" t="n">
        <v>0</v>
      </c>
      <c r="F1876" s="23" t="s">
        <v>1061</v>
      </c>
      <c r="I1876" s="23" t="s">
        <v>92</v>
      </c>
      <c r="L1876" s="0" t="n">
        <v>197</v>
      </c>
      <c r="U1876" s="0" t="n">
        <v>595</v>
      </c>
      <c r="V1876" s="0" t="n">
        <v>1</v>
      </c>
      <c r="W1876" s="0" t="str">
        <f aca="false">IF(OR(AND(B1876&gt;=1,B1876&lt;=6),B1876=10),"Vaca em lactação",IF(I1876="Male","Macho",IF(E1876&gt;=1,"Vaca seca",IF(I1876="Youngstock","Bezerra/recria","Novilha"))))</f>
        <v>Novilha</v>
      </c>
      <c r="X1876" s="0" t="str">
        <f aca="false">IF(AND(B1876&gt;=1,B1876&lt;=6),"Tanque",IF(B1876=10,"Descarte",""))</f>
        <v/>
      </c>
    </row>
    <row r="1877" customFormat="false" ht="15" hidden="false" customHeight="false" outlineLevel="0" collapsed="false">
      <c r="A1877" s="22" t="n">
        <v>46309</v>
      </c>
      <c r="B1877" s="0" t="n">
        <v>8</v>
      </c>
      <c r="C1877" s="0" t="n">
        <v>6335</v>
      </c>
      <c r="E1877" s="0" t="n">
        <v>0</v>
      </c>
      <c r="F1877" s="23" t="s">
        <v>1061</v>
      </c>
      <c r="I1877" s="23" t="s">
        <v>92</v>
      </c>
      <c r="L1877" s="0" t="n">
        <v>198</v>
      </c>
      <c r="U1877" s="0" t="n">
        <v>595</v>
      </c>
      <c r="V1877" s="0" t="n">
        <v>1</v>
      </c>
      <c r="W1877" s="0" t="str">
        <f aca="false">IF(OR(AND(B1877&gt;=1,B1877&lt;=6),B1877=10),"Vaca em lactação",IF(I1877="Male","Macho",IF(E1877&gt;=1,"Vaca seca",IF(I1877="Youngstock","Bezerra/recria","Novilha"))))</f>
        <v>Novilha</v>
      </c>
      <c r="X1877" s="0" t="str">
        <f aca="false">IF(AND(B1877&gt;=1,B1877&lt;=6),"Tanque",IF(B1877=10,"Descarte",""))</f>
        <v/>
      </c>
    </row>
    <row r="1878" customFormat="false" ht="15" hidden="false" customHeight="false" outlineLevel="0" collapsed="false">
      <c r="A1878" s="22" t="n">
        <v>46309</v>
      </c>
      <c r="B1878" s="0" t="n">
        <v>8</v>
      </c>
      <c r="C1878" s="0" t="n">
        <v>6336</v>
      </c>
      <c r="E1878" s="0" t="n">
        <v>0</v>
      </c>
      <c r="F1878" s="23" t="s">
        <v>1061</v>
      </c>
      <c r="I1878" s="23" t="s">
        <v>92</v>
      </c>
      <c r="L1878" s="0" t="n">
        <v>197</v>
      </c>
      <c r="U1878" s="0" t="n">
        <v>595</v>
      </c>
      <c r="V1878" s="0" t="n">
        <v>1</v>
      </c>
      <c r="W1878" s="0" t="str">
        <f aca="false">IF(OR(AND(B1878&gt;=1,B1878&lt;=6),B1878=10),"Vaca em lactação",IF(I1878="Male","Macho",IF(E1878&gt;=1,"Vaca seca",IF(I1878="Youngstock","Bezerra/recria","Novilha"))))</f>
        <v>Novilha</v>
      </c>
      <c r="X1878" s="0" t="str">
        <f aca="false">IF(AND(B1878&gt;=1,B1878&lt;=6),"Tanque",IF(B1878=10,"Descarte",""))</f>
        <v/>
      </c>
    </row>
    <row r="1879" customFormat="false" ht="15" hidden="false" customHeight="false" outlineLevel="0" collapsed="false">
      <c r="A1879" s="22" t="n">
        <v>46309</v>
      </c>
      <c r="B1879" s="0" t="n">
        <v>8</v>
      </c>
      <c r="C1879" s="0" t="n">
        <v>6337</v>
      </c>
      <c r="E1879" s="0" t="n">
        <v>0</v>
      </c>
      <c r="F1879" s="23" t="s">
        <v>1061</v>
      </c>
      <c r="I1879" s="23" t="s">
        <v>92</v>
      </c>
      <c r="L1879" s="0" t="n">
        <v>197</v>
      </c>
      <c r="U1879" s="0" t="n">
        <v>595</v>
      </c>
      <c r="V1879" s="0" t="n">
        <v>1</v>
      </c>
      <c r="W1879" s="0" t="str">
        <f aca="false">IF(OR(AND(B1879&gt;=1,B1879&lt;=6),B1879=10),"Vaca em lactação",IF(I1879="Male","Macho",IF(E1879&gt;=1,"Vaca seca",IF(I1879="Youngstock","Bezerra/recria","Novilha"))))</f>
        <v>Novilha</v>
      </c>
      <c r="X1879" s="0" t="str">
        <f aca="false">IF(AND(B1879&gt;=1,B1879&lt;=6),"Tanque",IF(B1879=10,"Descarte",""))</f>
        <v/>
      </c>
    </row>
    <row r="1880" customFormat="false" ht="15" hidden="false" customHeight="false" outlineLevel="0" collapsed="false">
      <c r="A1880" s="22" t="n">
        <v>46309</v>
      </c>
      <c r="B1880" s="0" t="n">
        <v>8</v>
      </c>
      <c r="C1880" s="0" t="n">
        <v>6307</v>
      </c>
      <c r="E1880" s="0" t="n">
        <v>0</v>
      </c>
      <c r="F1880" s="23" t="s">
        <v>1062</v>
      </c>
      <c r="I1880" s="23" t="s">
        <v>92</v>
      </c>
      <c r="L1880" s="0" t="n">
        <v>215</v>
      </c>
      <c r="U1880" s="0" t="n">
        <v>605</v>
      </c>
      <c r="V1880" s="0" t="n">
        <v>1</v>
      </c>
      <c r="W1880" s="0" t="str">
        <f aca="false">IF(OR(AND(B1880&gt;=1,B1880&lt;=6),B1880=10),"Vaca em lactação",IF(I1880="Male","Macho",IF(E1880&gt;=1,"Vaca seca",IF(I1880="Youngstock","Bezerra/recria","Novilha"))))</f>
        <v>Novilha</v>
      </c>
      <c r="X1880" s="0" t="str">
        <f aca="false">IF(AND(B1880&gt;=1,B1880&lt;=6),"Tanque",IF(B1880=10,"Descarte",""))</f>
        <v/>
      </c>
    </row>
    <row r="1881" customFormat="false" ht="15" hidden="false" customHeight="false" outlineLevel="0" collapsed="false">
      <c r="A1881" s="22" t="n">
        <v>46309</v>
      </c>
      <c r="B1881" s="0" t="n">
        <v>8</v>
      </c>
      <c r="C1881" s="0" t="n">
        <v>6298</v>
      </c>
      <c r="E1881" s="0" t="n">
        <v>0</v>
      </c>
      <c r="F1881" s="23" t="s">
        <v>1035</v>
      </c>
      <c r="I1881" s="23" t="s">
        <v>92</v>
      </c>
      <c r="L1881" s="0" t="n">
        <v>212</v>
      </c>
      <c r="U1881" s="0" t="n">
        <v>609</v>
      </c>
      <c r="V1881" s="0" t="n">
        <v>1</v>
      </c>
      <c r="W1881" s="0" t="str">
        <f aca="false">IF(OR(AND(B1881&gt;=1,B1881&lt;=6),B1881=10),"Vaca em lactação",IF(I1881="Male","Macho",IF(E1881&gt;=1,"Vaca seca",IF(I1881="Youngstock","Bezerra/recria","Novilha"))))</f>
        <v>Novilha</v>
      </c>
      <c r="X1881" s="0" t="str">
        <f aca="false">IF(AND(B1881&gt;=1,B1881&lt;=6),"Tanque",IF(B1881=10,"Descarte",""))</f>
        <v/>
      </c>
    </row>
    <row r="1882" customFormat="false" ht="15" hidden="false" customHeight="false" outlineLevel="0" collapsed="false">
      <c r="A1882" s="22" t="n">
        <v>46309</v>
      </c>
      <c r="B1882" s="0" t="n">
        <v>8</v>
      </c>
      <c r="C1882" s="0" t="n">
        <v>6306</v>
      </c>
      <c r="E1882" s="0" t="n">
        <v>0</v>
      </c>
      <c r="F1882" s="23" t="s">
        <v>1062</v>
      </c>
      <c r="I1882" s="23" t="s">
        <v>92</v>
      </c>
      <c r="L1882" s="0" t="n">
        <v>209</v>
      </c>
      <c r="U1882" s="0" t="n">
        <v>605</v>
      </c>
      <c r="V1882" s="0" t="n">
        <v>1</v>
      </c>
      <c r="W1882" s="0" t="str">
        <f aca="false">IF(OR(AND(B1882&gt;=1,B1882&lt;=6),B1882=10),"Vaca em lactação",IF(I1882="Male","Macho",IF(E1882&gt;=1,"Vaca seca",IF(I1882="Youngstock","Bezerra/recria","Novilha"))))</f>
        <v>Novilha</v>
      </c>
      <c r="X1882" s="0" t="str">
        <f aca="false">IF(AND(B1882&gt;=1,B1882&lt;=6),"Tanque",IF(B1882=10,"Descarte",""))</f>
        <v/>
      </c>
    </row>
    <row r="1883" customFormat="false" ht="15" hidden="false" customHeight="false" outlineLevel="0" collapsed="false">
      <c r="A1883" s="22" t="n">
        <v>46309</v>
      </c>
      <c r="B1883" s="0" t="n">
        <v>8</v>
      </c>
      <c r="C1883" s="0" t="n">
        <v>6305</v>
      </c>
      <c r="E1883" s="0" t="n">
        <v>0</v>
      </c>
      <c r="F1883" s="23" t="s">
        <v>1063</v>
      </c>
      <c r="I1883" s="23" t="s">
        <v>92</v>
      </c>
      <c r="L1883" s="0" t="n">
        <v>210</v>
      </c>
      <c r="U1883" s="0" t="n">
        <v>606</v>
      </c>
      <c r="V1883" s="0" t="n">
        <v>1</v>
      </c>
      <c r="W1883" s="0" t="str">
        <f aca="false">IF(OR(AND(B1883&gt;=1,B1883&lt;=6),B1883=10),"Vaca em lactação",IF(I1883="Male","Macho",IF(E1883&gt;=1,"Vaca seca",IF(I1883="Youngstock","Bezerra/recria","Novilha"))))</f>
        <v>Novilha</v>
      </c>
      <c r="X1883" s="0" t="str">
        <f aca="false">IF(AND(B1883&gt;=1,B1883&lt;=6),"Tanque",IF(B1883=10,"Descarte",""))</f>
        <v/>
      </c>
    </row>
    <row r="1884" customFormat="false" ht="15" hidden="false" customHeight="false" outlineLevel="0" collapsed="false">
      <c r="A1884" s="22" t="n">
        <v>46309</v>
      </c>
      <c r="B1884" s="0" t="n">
        <v>8</v>
      </c>
      <c r="C1884" s="0" t="n">
        <v>6304</v>
      </c>
      <c r="E1884" s="0" t="n">
        <v>0</v>
      </c>
      <c r="F1884" s="23" t="s">
        <v>1064</v>
      </c>
      <c r="I1884" s="23" t="s">
        <v>92</v>
      </c>
      <c r="L1884" s="0" t="n">
        <v>178</v>
      </c>
      <c r="U1884" s="0" t="n">
        <v>607</v>
      </c>
      <c r="V1884" s="0" t="n">
        <v>3</v>
      </c>
      <c r="W1884" s="0" t="str">
        <f aca="false">IF(OR(AND(B1884&gt;=1,B1884&lt;=6),B1884=10),"Vaca em lactação",IF(I1884="Male","Macho",IF(E1884&gt;=1,"Vaca seca",IF(I1884="Youngstock","Bezerra/recria","Novilha"))))</f>
        <v>Novilha</v>
      </c>
      <c r="X1884" s="0" t="str">
        <f aca="false">IF(AND(B1884&gt;=1,B1884&lt;=6),"Tanque",IF(B1884=10,"Descarte",""))</f>
        <v/>
      </c>
    </row>
    <row r="1885" customFormat="false" ht="15" hidden="false" customHeight="false" outlineLevel="0" collapsed="false">
      <c r="A1885" s="22" t="n">
        <v>46309</v>
      </c>
      <c r="B1885" s="0" t="n">
        <v>8</v>
      </c>
      <c r="C1885" s="0" t="n">
        <v>6303</v>
      </c>
      <c r="E1885" s="0" t="n">
        <v>0</v>
      </c>
      <c r="F1885" s="23" t="s">
        <v>1064</v>
      </c>
      <c r="I1885" s="23" t="s">
        <v>92</v>
      </c>
      <c r="L1885" s="0" t="n">
        <v>188</v>
      </c>
      <c r="U1885" s="0" t="n">
        <v>607</v>
      </c>
      <c r="V1885" s="0" t="n">
        <v>1</v>
      </c>
      <c r="W1885" s="0" t="str">
        <f aca="false">IF(OR(AND(B1885&gt;=1,B1885&lt;=6),B1885=10),"Vaca em lactação",IF(I1885="Male","Macho",IF(E1885&gt;=1,"Vaca seca",IF(I1885="Youngstock","Bezerra/recria","Novilha"))))</f>
        <v>Novilha</v>
      </c>
      <c r="X1885" s="0" t="str">
        <f aca="false">IF(AND(B1885&gt;=1,B1885&lt;=6),"Tanque",IF(B1885=10,"Descarte",""))</f>
        <v/>
      </c>
    </row>
    <row r="1886" customFormat="false" ht="15" hidden="false" customHeight="false" outlineLevel="0" collapsed="false">
      <c r="A1886" s="22" t="n">
        <v>46309</v>
      </c>
      <c r="B1886" s="0" t="n">
        <v>8</v>
      </c>
      <c r="C1886" s="0" t="n">
        <v>6302</v>
      </c>
      <c r="E1886" s="0" t="n">
        <v>0</v>
      </c>
      <c r="F1886" s="23" t="s">
        <v>1064</v>
      </c>
      <c r="I1886" s="23" t="s">
        <v>92</v>
      </c>
      <c r="L1886" s="0" t="n">
        <v>220</v>
      </c>
      <c r="U1886" s="0" t="n">
        <v>607</v>
      </c>
      <c r="V1886" s="0" t="n">
        <v>1</v>
      </c>
      <c r="W1886" s="0" t="str">
        <f aca="false">IF(OR(AND(B1886&gt;=1,B1886&lt;=6),B1886=10),"Vaca em lactação",IF(I1886="Male","Macho",IF(E1886&gt;=1,"Vaca seca",IF(I1886="Youngstock","Bezerra/recria","Novilha"))))</f>
        <v>Novilha</v>
      </c>
      <c r="X1886" s="0" t="str">
        <f aca="false">IF(AND(B1886&gt;=1,B1886&lt;=6),"Tanque",IF(B1886=10,"Descarte",""))</f>
        <v/>
      </c>
    </row>
    <row r="1887" customFormat="false" ht="15" hidden="false" customHeight="false" outlineLevel="0" collapsed="false">
      <c r="A1887" s="22" t="n">
        <v>46309</v>
      </c>
      <c r="B1887" s="0" t="n">
        <v>8</v>
      </c>
      <c r="C1887" s="0" t="n">
        <v>6308</v>
      </c>
      <c r="E1887" s="0" t="n">
        <v>0</v>
      </c>
      <c r="F1887" s="23" t="s">
        <v>1062</v>
      </c>
      <c r="I1887" s="23" t="s">
        <v>92</v>
      </c>
      <c r="L1887" s="0" t="n">
        <v>191</v>
      </c>
      <c r="U1887" s="0" t="n">
        <v>605</v>
      </c>
      <c r="V1887" s="0" t="n">
        <v>2</v>
      </c>
      <c r="W1887" s="0" t="str">
        <f aca="false">IF(OR(AND(B1887&gt;=1,B1887&lt;=6),B1887=10),"Vaca em lactação",IF(I1887="Male","Macho",IF(E1887&gt;=1,"Vaca seca",IF(I1887="Youngstock","Bezerra/recria","Novilha"))))</f>
        <v>Novilha</v>
      </c>
      <c r="X1887" s="0" t="str">
        <f aca="false">IF(AND(B1887&gt;=1,B1887&lt;=6),"Tanque",IF(B1887=10,"Descarte",""))</f>
        <v/>
      </c>
    </row>
    <row r="1888" customFormat="false" ht="15" hidden="false" customHeight="false" outlineLevel="0" collapsed="false">
      <c r="A1888" s="22" t="n">
        <v>46309</v>
      </c>
      <c r="B1888" s="0" t="n">
        <v>8</v>
      </c>
      <c r="C1888" s="0" t="n">
        <v>6310</v>
      </c>
      <c r="E1888" s="0" t="n">
        <v>0</v>
      </c>
      <c r="F1888" s="23" t="s">
        <v>1062</v>
      </c>
      <c r="I1888" s="23" t="s">
        <v>92</v>
      </c>
      <c r="L1888" s="0" t="n">
        <v>165</v>
      </c>
      <c r="U1888" s="0" t="n">
        <v>605</v>
      </c>
      <c r="V1888" s="0" t="n">
        <v>1</v>
      </c>
      <c r="W1888" s="0" t="str">
        <f aca="false">IF(OR(AND(B1888&gt;=1,B1888&lt;=6),B1888=10),"Vaca em lactação",IF(I1888="Male","Macho",IF(E1888&gt;=1,"Vaca seca",IF(I1888="Youngstock","Bezerra/recria","Novilha"))))</f>
        <v>Novilha</v>
      </c>
      <c r="X1888" s="0" t="str">
        <f aca="false">IF(AND(B1888&gt;=1,B1888&lt;=6),"Tanque",IF(B1888=10,"Descarte",""))</f>
        <v/>
      </c>
    </row>
    <row r="1889" customFormat="false" ht="15" hidden="false" customHeight="false" outlineLevel="0" collapsed="false">
      <c r="A1889" s="22" t="n">
        <v>46309</v>
      </c>
      <c r="B1889" s="0" t="n">
        <v>8</v>
      </c>
      <c r="C1889" s="0" t="n">
        <v>6317</v>
      </c>
      <c r="E1889" s="0" t="n">
        <v>0</v>
      </c>
      <c r="F1889" s="23" t="s">
        <v>1065</v>
      </c>
      <c r="I1889" s="23" t="s">
        <v>92</v>
      </c>
      <c r="L1889" s="0" t="n">
        <v>155</v>
      </c>
      <c r="U1889" s="0" t="n">
        <v>602</v>
      </c>
      <c r="V1889" s="0" t="n">
        <v>3</v>
      </c>
      <c r="W1889" s="0" t="str">
        <f aca="false">IF(OR(AND(B1889&gt;=1,B1889&lt;=6),B1889=10),"Vaca em lactação",IF(I1889="Male","Macho",IF(E1889&gt;=1,"Vaca seca",IF(I1889="Youngstock","Bezerra/recria","Novilha"))))</f>
        <v>Novilha</v>
      </c>
      <c r="X1889" s="0" t="str">
        <f aca="false">IF(AND(B1889&gt;=1,B1889&lt;=6),"Tanque",IF(B1889=10,"Descarte",""))</f>
        <v/>
      </c>
    </row>
    <row r="1890" customFormat="false" ht="15" hidden="false" customHeight="false" outlineLevel="0" collapsed="false">
      <c r="A1890" s="22" t="n">
        <v>46309</v>
      </c>
      <c r="B1890" s="0" t="n">
        <v>8</v>
      </c>
      <c r="C1890" s="0" t="n">
        <v>6318</v>
      </c>
      <c r="E1890" s="0" t="n">
        <v>0</v>
      </c>
      <c r="F1890" s="23" t="s">
        <v>1065</v>
      </c>
      <c r="I1890" s="23" t="s">
        <v>92</v>
      </c>
      <c r="L1890" s="0" t="n">
        <v>126</v>
      </c>
      <c r="U1890" s="0" t="n">
        <v>602</v>
      </c>
      <c r="V1890" s="0" t="n">
        <v>4</v>
      </c>
      <c r="W1890" s="0" t="str">
        <f aca="false">IF(OR(AND(B1890&gt;=1,B1890&lt;=6),B1890=10),"Vaca em lactação",IF(I1890="Male","Macho",IF(E1890&gt;=1,"Vaca seca",IF(I1890="Youngstock","Bezerra/recria","Novilha"))))</f>
        <v>Novilha</v>
      </c>
      <c r="X1890" s="0" t="str">
        <f aca="false">IF(AND(B1890&gt;=1,B1890&lt;=6),"Tanque",IF(B1890=10,"Descarte",""))</f>
        <v/>
      </c>
    </row>
    <row r="1891" customFormat="false" ht="15" hidden="false" customHeight="false" outlineLevel="0" collapsed="false">
      <c r="A1891" s="22" t="n">
        <v>46309</v>
      </c>
      <c r="B1891" s="0" t="n">
        <v>8</v>
      </c>
      <c r="C1891" s="0" t="n">
        <v>6319</v>
      </c>
      <c r="E1891" s="0" t="n">
        <v>0</v>
      </c>
      <c r="F1891" s="23" t="s">
        <v>1065</v>
      </c>
      <c r="I1891" s="23" t="s">
        <v>92</v>
      </c>
      <c r="L1891" s="0" t="n">
        <v>169</v>
      </c>
      <c r="U1891" s="0" t="n">
        <v>602</v>
      </c>
      <c r="V1891" s="0" t="n">
        <v>2</v>
      </c>
      <c r="W1891" s="0" t="str">
        <f aca="false">IF(OR(AND(B1891&gt;=1,B1891&lt;=6),B1891=10),"Vaca em lactação",IF(I1891="Male","Macho",IF(E1891&gt;=1,"Vaca seca",IF(I1891="Youngstock","Bezerra/recria","Novilha"))))</f>
        <v>Novilha</v>
      </c>
      <c r="X1891" s="0" t="str">
        <f aca="false">IF(AND(B1891&gt;=1,B1891&lt;=6),"Tanque",IF(B1891=10,"Descarte",""))</f>
        <v/>
      </c>
    </row>
    <row r="1892" customFormat="false" ht="15" hidden="false" customHeight="false" outlineLevel="0" collapsed="false">
      <c r="A1892" s="22" t="n">
        <v>46309</v>
      </c>
      <c r="B1892" s="0" t="n">
        <v>8</v>
      </c>
      <c r="C1892" s="0" t="n">
        <v>6320</v>
      </c>
      <c r="E1892" s="0" t="n">
        <v>0</v>
      </c>
      <c r="F1892" s="23" t="s">
        <v>1065</v>
      </c>
      <c r="I1892" s="23" t="s">
        <v>92</v>
      </c>
      <c r="L1892" s="0" t="n">
        <v>192</v>
      </c>
      <c r="U1892" s="0" t="n">
        <v>602</v>
      </c>
      <c r="V1892" s="0" t="n">
        <v>1</v>
      </c>
      <c r="W1892" s="0" t="str">
        <f aca="false">IF(OR(AND(B1892&gt;=1,B1892&lt;=6),B1892=10),"Vaca em lactação",IF(I1892="Male","Macho",IF(E1892&gt;=1,"Vaca seca",IF(I1892="Youngstock","Bezerra/recria","Novilha"))))</f>
        <v>Novilha</v>
      </c>
      <c r="X1892" s="0" t="str">
        <f aca="false">IF(AND(B1892&gt;=1,B1892&lt;=6),"Tanque",IF(B1892=10,"Descarte",""))</f>
        <v/>
      </c>
    </row>
    <row r="1893" customFormat="false" ht="15" hidden="false" customHeight="false" outlineLevel="0" collapsed="false">
      <c r="A1893" s="22" t="n">
        <v>46309</v>
      </c>
      <c r="B1893" s="0" t="n">
        <v>8</v>
      </c>
      <c r="C1893" s="0" t="n">
        <v>6311</v>
      </c>
      <c r="E1893" s="0" t="n">
        <v>0</v>
      </c>
      <c r="F1893" s="23" t="s">
        <v>1065</v>
      </c>
      <c r="I1893" s="23" t="s">
        <v>92</v>
      </c>
      <c r="L1893" s="0" t="n">
        <v>192</v>
      </c>
      <c r="U1893" s="0" t="n">
        <v>602</v>
      </c>
      <c r="V1893" s="0" t="n">
        <v>2</v>
      </c>
      <c r="W1893" s="0" t="str">
        <f aca="false">IF(OR(AND(B1893&gt;=1,B1893&lt;=6),B1893=10),"Vaca em lactação",IF(I1893="Male","Macho",IF(E1893&gt;=1,"Vaca seca",IF(I1893="Youngstock","Bezerra/recria","Novilha"))))</f>
        <v>Novilha</v>
      </c>
      <c r="X1893" s="0" t="str">
        <f aca="false">IF(AND(B1893&gt;=1,B1893&lt;=6),"Tanque",IF(B1893=10,"Descarte",""))</f>
        <v/>
      </c>
    </row>
    <row r="1894" customFormat="false" ht="15" hidden="false" customHeight="false" outlineLevel="0" collapsed="false">
      <c r="A1894" s="22" t="n">
        <v>46309</v>
      </c>
      <c r="B1894" s="0" t="n">
        <v>8</v>
      </c>
      <c r="C1894" s="0" t="n">
        <v>6312</v>
      </c>
      <c r="E1894" s="0" t="n">
        <v>0</v>
      </c>
      <c r="F1894" s="23" t="s">
        <v>1065</v>
      </c>
      <c r="I1894" s="23" t="s">
        <v>92</v>
      </c>
      <c r="L1894" s="0" t="n">
        <v>184</v>
      </c>
      <c r="U1894" s="0" t="n">
        <v>602</v>
      </c>
      <c r="V1894" s="0" t="n">
        <v>2</v>
      </c>
      <c r="W1894" s="0" t="str">
        <f aca="false">IF(OR(AND(B1894&gt;=1,B1894&lt;=6),B1894=10),"Vaca em lactação",IF(I1894="Male","Macho",IF(E1894&gt;=1,"Vaca seca",IF(I1894="Youngstock","Bezerra/recria","Novilha"))))</f>
        <v>Novilha</v>
      </c>
      <c r="X1894" s="0" t="str">
        <f aca="false">IF(AND(B1894&gt;=1,B1894&lt;=6),"Tanque",IF(B1894=10,"Descarte",""))</f>
        <v/>
      </c>
    </row>
    <row r="1895" customFormat="false" ht="15" hidden="false" customHeight="false" outlineLevel="0" collapsed="false">
      <c r="A1895" s="22" t="n">
        <v>46309</v>
      </c>
      <c r="B1895" s="0" t="n">
        <v>8</v>
      </c>
      <c r="C1895" s="0" t="n">
        <v>6314</v>
      </c>
      <c r="E1895" s="0" t="n">
        <v>0</v>
      </c>
      <c r="F1895" s="23" t="s">
        <v>1065</v>
      </c>
      <c r="I1895" s="23" t="s">
        <v>92</v>
      </c>
      <c r="L1895" s="0" t="n">
        <v>163</v>
      </c>
      <c r="U1895" s="0" t="n">
        <v>602</v>
      </c>
      <c r="V1895" s="0" t="n">
        <v>3</v>
      </c>
      <c r="W1895" s="0" t="str">
        <f aca="false">IF(OR(AND(B1895&gt;=1,B1895&lt;=6),B1895=10),"Vaca em lactação",IF(I1895="Male","Macho",IF(E1895&gt;=1,"Vaca seca",IF(I1895="Youngstock","Bezerra/recria","Novilha"))))</f>
        <v>Novilha</v>
      </c>
      <c r="X1895" s="0" t="str">
        <f aca="false">IF(AND(B1895&gt;=1,B1895&lt;=6),"Tanque",IF(B1895=10,"Descarte",""))</f>
        <v/>
      </c>
    </row>
    <row r="1896" customFormat="false" ht="15" hidden="false" customHeight="false" outlineLevel="0" collapsed="false">
      <c r="A1896" s="22" t="n">
        <v>46309</v>
      </c>
      <c r="B1896" s="0" t="n">
        <v>8</v>
      </c>
      <c r="C1896" s="0" t="n">
        <v>6315</v>
      </c>
      <c r="E1896" s="0" t="n">
        <v>0</v>
      </c>
      <c r="F1896" s="23" t="s">
        <v>1065</v>
      </c>
      <c r="I1896" s="23" t="s">
        <v>92</v>
      </c>
      <c r="L1896" s="0" t="n">
        <v>206</v>
      </c>
      <c r="U1896" s="0" t="n">
        <v>602</v>
      </c>
      <c r="V1896" s="0" t="n">
        <v>1</v>
      </c>
      <c r="W1896" s="0" t="str">
        <f aca="false">IF(OR(AND(B1896&gt;=1,B1896&lt;=6),B1896=10),"Vaca em lactação",IF(I1896="Male","Macho",IF(E1896&gt;=1,"Vaca seca",IF(I1896="Youngstock","Bezerra/recria","Novilha"))))</f>
        <v>Novilha</v>
      </c>
      <c r="X1896" s="0" t="str">
        <f aca="false">IF(AND(B1896&gt;=1,B1896&lt;=6),"Tanque",IF(B1896=10,"Descarte",""))</f>
        <v/>
      </c>
    </row>
    <row r="1897" customFormat="false" ht="15" hidden="false" customHeight="false" outlineLevel="0" collapsed="false">
      <c r="A1897" s="22" t="n">
        <v>46309</v>
      </c>
      <c r="B1897" s="0" t="n">
        <v>8</v>
      </c>
      <c r="C1897" s="0" t="n">
        <v>6316</v>
      </c>
      <c r="E1897" s="0" t="n">
        <v>0</v>
      </c>
      <c r="F1897" s="23" t="s">
        <v>1065</v>
      </c>
      <c r="I1897" s="23" t="s">
        <v>92</v>
      </c>
      <c r="L1897" s="0" t="n">
        <v>207</v>
      </c>
      <c r="U1897" s="0" t="n">
        <v>602</v>
      </c>
      <c r="V1897" s="0" t="n">
        <v>1</v>
      </c>
      <c r="W1897" s="0" t="str">
        <f aca="false">IF(OR(AND(B1897&gt;=1,B1897&lt;=6),B1897=10),"Vaca em lactação",IF(I1897="Male","Macho",IF(E1897&gt;=1,"Vaca seca",IF(I1897="Youngstock","Bezerra/recria","Novilha"))))</f>
        <v>Novilha</v>
      </c>
      <c r="X1897" s="0" t="str">
        <f aca="false">IF(AND(B1897&gt;=1,B1897&lt;=6),"Tanque",IF(B1897=10,"Descarte",""))</f>
        <v/>
      </c>
    </row>
    <row r="1898" customFormat="false" ht="15" hidden="false" customHeight="false" outlineLevel="0" collapsed="false">
      <c r="A1898" s="22" t="n">
        <v>46309</v>
      </c>
      <c r="B1898" s="0" t="n">
        <v>8</v>
      </c>
      <c r="C1898" s="0" t="n">
        <v>6322</v>
      </c>
      <c r="E1898" s="0" t="n">
        <v>0</v>
      </c>
      <c r="F1898" s="23" t="s">
        <v>1065</v>
      </c>
      <c r="I1898" s="23" t="s">
        <v>92</v>
      </c>
      <c r="L1898" s="0" t="n">
        <v>210</v>
      </c>
      <c r="U1898" s="0" t="n">
        <v>602</v>
      </c>
      <c r="V1898" s="0" t="n">
        <v>1</v>
      </c>
      <c r="W1898" s="0" t="str">
        <f aca="false">IF(OR(AND(B1898&gt;=1,B1898&lt;=6),B1898=10),"Vaca em lactação",IF(I1898="Male","Macho",IF(E1898&gt;=1,"Vaca seca",IF(I1898="Youngstock","Bezerra/recria","Novilha"))))</f>
        <v>Novilha</v>
      </c>
      <c r="X1898" s="0" t="str">
        <f aca="false">IF(AND(B1898&gt;=1,B1898&lt;=6),"Tanque",IF(B1898=10,"Descarte",""))</f>
        <v/>
      </c>
    </row>
    <row r="1899" customFormat="false" ht="15" hidden="false" customHeight="false" outlineLevel="0" collapsed="false">
      <c r="A1899" s="22" t="n">
        <v>46309</v>
      </c>
      <c r="B1899" s="0" t="n">
        <v>8</v>
      </c>
      <c r="C1899" s="0" t="n">
        <v>6326</v>
      </c>
      <c r="E1899" s="0" t="n">
        <v>0</v>
      </c>
      <c r="F1899" s="23" t="s">
        <v>1066</v>
      </c>
      <c r="I1899" s="23" t="s">
        <v>92</v>
      </c>
      <c r="L1899" s="0" t="n">
        <v>201</v>
      </c>
      <c r="U1899" s="0" t="n">
        <v>600</v>
      </c>
      <c r="V1899" s="0" t="n">
        <v>1</v>
      </c>
      <c r="W1899" s="0" t="str">
        <f aca="false">IF(OR(AND(B1899&gt;=1,B1899&lt;=6),B1899=10),"Vaca em lactação",IF(I1899="Male","Macho",IF(E1899&gt;=1,"Vaca seca",IF(I1899="Youngstock","Bezerra/recria","Novilha"))))</f>
        <v>Novilha</v>
      </c>
      <c r="X1899" s="0" t="str">
        <f aca="false">IF(AND(B1899&gt;=1,B1899&lt;=6),"Tanque",IF(B1899=10,"Descarte",""))</f>
        <v/>
      </c>
    </row>
    <row r="1900" customFormat="false" ht="15" hidden="false" customHeight="false" outlineLevel="0" collapsed="false">
      <c r="A1900" s="22" t="n">
        <v>46309</v>
      </c>
      <c r="B1900" s="0" t="n">
        <v>8</v>
      </c>
      <c r="C1900" s="0" t="n">
        <v>6324</v>
      </c>
      <c r="E1900" s="0" t="n">
        <v>0</v>
      </c>
      <c r="F1900" s="23" t="s">
        <v>1066</v>
      </c>
      <c r="I1900" s="23" t="s">
        <v>92</v>
      </c>
      <c r="L1900" s="0" t="n">
        <v>204</v>
      </c>
      <c r="U1900" s="0" t="n">
        <v>600</v>
      </c>
      <c r="V1900" s="0" t="n">
        <v>1</v>
      </c>
      <c r="W1900" s="0" t="str">
        <f aca="false">IF(OR(AND(B1900&gt;=1,B1900&lt;=6),B1900=10),"Vaca em lactação",IF(I1900="Male","Macho",IF(E1900&gt;=1,"Vaca seca",IF(I1900="Youngstock","Bezerra/recria","Novilha"))))</f>
        <v>Novilha</v>
      </c>
      <c r="X1900" s="0" t="str">
        <f aca="false">IF(AND(B1900&gt;=1,B1900&lt;=6),"Tanque",IF(B1900=10,"Descarte",""))</f>
        <v/>
      </c>
    </row>
    <row r="1901" customFormat="false" ht="15" hidden="false" customHeight="false" outlineLevel="0" collapsed="false">
      <c r="A1901" s="22" t="n">
        <v>46309</v>
      </c>
      <c r="B1901" s="0" t="n">
        <v>8</v>
      </c>
      <c r="C1901" s="0" t="n">
        <v>6325</v>
      </c>
      <c r="E1901" s="0" t="n">
        <v>0</v>
      </c>
      <c r="F1901" s="23" t="s">
        <v>1066</v>
      </c>
      <c r="I1901" s="23" t="s">
        <v>92</v>
      </c>
      <c r="L1901" s="0" t="n">
        <v>161</v>
      </c>
      <c r="U1901" s="0" t="n">
        <v>600</v>
      </c>
      <c r="V1901" s="0" t="n">
        <v>1</v>
      </c>
      <c r="W1901" s="0" t="str">
        <f aca="false">IF(OR(AND(B1901&gt;=1,B1901&lt;=6),B1901=10),"Vaca em lactação",IF(I1901="Male","Macho",IF(E1901&gt;=1,"Vaca seca",IF(I1901="Youngstock","Bezerra/recria","Novilha"))))</f>
        <v>Novilha</v>
      </c>
      <c r="X1901" s="0" t="str">
        <f aca="false">IF(AND(B1901&gt;=1,B1901&lt;=6),"Tanque",IF(B1901=10,"Descarte",""))</f>
        <v/>
      </c>
    </row>
    <row r="1902" customFormat="false" ht="15" hidden="false" customHeight="false" outlineLevel="0" collapsed="false">
      <c r="A1902" s="22" t="n">
        <v>46309</v>
      </c>
      <c r="B1902" s="0" t="n">
        <v>8</v>
      </c>
      <c r="C1902" s="0" t="n">
        <v>6294</v>
      </c>
      <c r="E1902" s="0" t="n">
        <v>0</v>
      </c>
      <c r="F1902" s="23" t="s">
        <v>1067</v>
      </c>
      <c r="I1902" s="23" t="s">
        <v>92</v>
      </c>
      <c r="L1902" s="0" t="n">
        <v>213</v>
      </c>
      <c r="U1902" s="0" t="n">
        <v>610</v>
      </c>
      <c r="V1902" s="0" t="n">
        <v>1</v>
      </c>
      <c r="W1902" s="0" t="str">
        <f aca="false">IF(OR(AND(B1902&gt;=1,B1902&lt;=6),B1902=10),"Vaca em lactação",IF(I1902="Male","Macho",IF(E1902&gt;=1,"Vaca seca",IF(I1902="Youngstock","Bezerra/recria","Novilha"))))</f>
        <v>Novilha</v>
      </c>
      <c r="X1902" s="0" t="str">
        <f aca="false">IF(AND(B1902&gt;=1,B1902&lt;=6),"Tanque",IF(B1902=10,"Descarte",""))</f>
        <v/>
      </c>
    </row>
    <row r="1903" customFormat="false" ht="15" hidden="false" customHeight="false" outlineLevel="0" collapsed="false">
      <c r="A1903" s="22" t="n">
        <v>46309</v>
      </c>
      <c r="B1903" s="0" t="n">
        <v>8</v>
      </c>
      <c r="C1903" s="0" t="n">
        <v>6295</v>
      </c>
      <c r="E1903" s="0" t="n">
        <v>0</v>
      </c>
      <c r="F1903" s="23" t="s">
        <v>1067</v>
      </c>
      <c r="I1903" s="23" t="s">
        <v>92</v>
      </c>
      <c r="L1903" s="0" t="n">
        <v>246</v>
      </c>
      <c r="U1903" s="0" t="n">
        <v>610</v>
      </c>
      <c r="V1903" s="0" t="n">
        <v>1</v>
      </c>
      <c r="W1903" s="0" t="str">
        <f aca="false">IF(OR(AND(B1903&gt;=1,B1903&lt;=6),B1903=10),"Vaca em lactação",IF(I1903="Male","Macho",IF(E1903&gt;=1,"Vaca seca",IF(I1903="Youngstock","Bezerra/recria","Novilha"))))</f>
        <v>Novilha</v>
      </c>
      <c r="X1903" s="0" t="str">
        <f aca="false">IF(AND(B1903&gt;=1,B1903&lt;=6),"Tanque",IF(B1903=10,"Descarte",""))</f>
        <v/>
      </c>
    </row>
    <row r="1904" customFormat="false" ht="15" hidden="false" customHeight="false" outlineLevel="0" collapsed="false">
      <c r="A1904" s="22" t="n">
        <v>46309</v>
      </c>
      <c r="B1904" s="0" t="n">
        <v>8</v>
      </c>
      <c r="C1904" s="0" t="n">
        <v>6296</v>
      </c>
      <c r="E1904" s="0" t="n">
        <v>0</v>
      </c>
      <c r="F1904" s="23" t="s">
        <v>1035</v>
      </c>
      <c r="I1904" s="23" t="s">
        <v>92</v>
      </c>
      <c r="L1904" s="0" t="n">
        <v>69</v>
      </c>
      <c r="U1904" s="0" t="n">
        <v>609</v>
      </c>
      <c r="V1904" s="0" t="n">
        <v>7</v>
      </c>
      <c r="W1904" s="0" t="str">
        <f aca="false">IF(OR(AND(B1904&gt;=1,B1904&lt;=6),B1904=10),"Vaca em lactação",IF(I1904="Male","Macho",IF(E1904&gt;=1,"Vaca seca",IF(I1904="Youngstock","Bezerra/recria","Novilha"))))</f>
        <v>Novilha</v>
      </c>
      <c r="X1904" s="0" t="str">
        <f aca="false">IF(AND(B1904&gt;=1,B1904&lt;=6),"Tanque",IF(B1904=10,"Descarte",""))</f>
        <v/>
      </c>
    </row>
    <row r="1905" customFormat="false" ht="15" hidden="false" customHeight="false" outlineLevel="0" collapsed="false">
      <c r="A1905" s="22" t="n">
        <v>46309</v>
      </c>
      <c r="B1905" s="0" t="n">
        <v>8</v>
      </c>
      <c r="C1905" s="0" t="n">
        <v>6284</v>
      </c>
      <c r="E1905" s="0" t="n">
        <v>0</v>
      </c>
      <c r="F1905" s="23" t="s">
        <v>1036</v>
      </c>
      <c r="I1905" s="23" t="s">
        <v>92</v>
      </c>
      <c r="L1905" s="0" t="n">
        <v>234</v>
      </c>
      <c r="U1905" s="0" t="n">
        <v>615</v>
      </c>
      <c r="V1905" s="0" t="n">
        <v>1</v>
      </c>
      <c r="W1905" s="0" t="str">
        <f aca="false">IF(OR(AND(B1905&gt;=1,B1905&lt;=6),B1905=10),"Vaca em lactação",IF(I1905="Male","Macho",IF(E1905&gt;=1,"Vaca seca",IF(I1905="Youngstock","Bezerra/recria","Novilha"))))</f>
        <v>Novilha</v>
      </c>
      <c r="X1905" s="0" t="str">
        <f aca="false">IF(AND(B1905&gt;=1,B1905&lt;=6),"Tanque",IF(B1905=10,"Descarte",""))</f>
        <v/>
      </c>
    </row>
    <row r="1906" customFormat="false" ht="15" hidden="false" customHeight="false" outlineLevel="0" collapsed="false">
      <c r="A1906" s="22" t="n">
        <v>46309</v>
      </c>
      <c r="B1906" s="0" t="n">
        <v>8</v>
      </c>
      <c r="C1906" s="0" t="n">
        <v>6283</v>
      </c>
      <c r="E1906" s="0" t="n">
        <v>0</v>
      </c>
      <c r="F1906" s="23" t="s">
        <v>1036</v>
      </c>
      <c r="I1906" s="23" t="s">
        <v>92</v>
      </c>
      <c r="L1906" s="0" t="n">
        <v>246</v>
      </c>
      <c r="U1906" s="0" t="n">
        <v>615</v>
      </c>
      <c r="V1906" s="0" t="n">
        <v>1</v>
      </c>
      <c r="W1906" s="0" t="str">
        <f aca="false">IF(OR(AND(B1906&gt;=1,B1906&lt;=6),B1906=10),"Vaca em lactação",IF(I1906="Male","Macho",IF(E1906&gt;=1,"Vaca seca",IF(I1906="Youngstock","Bezerra/recria","Novilha"))))</f>
        <v>Novilha</v>
      </c>
      <c r="X1906" s="0" t="str">
        <f aca="false">IF(AND(B1906&gt;=1,B1906&lt;=6),"Tanque",IF(B1906=10,"Descarte",""))</f>
        <v/>
      </c>
    </row>
    <row r="1907" customFormat="false" ht="15" hidden="false" customHeight="false" outlineLevel="0" collapsed="false">
      <c r="A1907" s="22" t="n">
        <v>46309</v>
      </c>
      <c r="B1907" s="0" t="n">
        <v>8</v>
      </c>
      <c r="C1907" s="0" t="n">
        <v>6269</v>
      </c>
      <c r="E1907" s="0" t="n">
        <v>0</v>
      </c>
      <c r="F1907" s="23" t="s">
        <v>1046</v>
      </c>
      <c r="I1907" s="23" t="s">
        <v>92</v>
      </c>
      <c r="L1907" s="0" t="n">
        <v>212</v>
      </c>
      <c r="U1907" s="0" t="n">
        <v>621</v>
      </c>
      <c r="V1907" s="0" t="n">
        <v>3</v>
      </c>
      <c r="W1907" s="0" t="str">
        <f aca="false">IF(OR(AND(B1907&gt;=1,B1907&lt;=6),B1907=10),"Vaca em lactação",IF(I1907="Male","Macho",IF(E1907&gt;=1,"Vaca seca",IF(I1907="Youngstock","Bezerra/recria","Novilha"))))</f>
        <v>Novilha</v>
      </c>
      <c r="X1907" s="0" t="str">
        <f aca="false">IF(AND(B1907&gt;=1,B1907&lt;=6),"Tanque",IF(B1907=10,"Descarte",""))</f>
        <v/>
      </c>
    </row>
    <row r="1908" customFormat="false" ht="15" hidden="false" customHeight="false" outlineLevel="0" collapsed="false">
      <c r="A1908" s="22" t="n">
        <v>46309</v>
      </c>
      <c r="B1908" s="0" t="n">
        <v>8</v>
      </c>
      <c r="C1908" s="0" t="n">
        <v>6132</v>
      </c>
      <c r="E1908" s="0" t="n">
        <v>0</v>
      </c>
      <c r="F1908" s="23" t="s">
        <v>1068</v>
      </c>
      <c r="I1908" s="23" t="s">
        <v>92</v>
      </c>
      <c r="L1908" s="0" t="n">
        <v>231</v>
      </c>
      <c r="U1908" s="0" t="n">
        <v>667</v>
      </c>
      <c r="V1908" s="0" t="n">
        <v>3</v>
      </c>
      <c r="W1908" s="0" t="str">
        <f aca="false">IF(OR(AND(B1908&gt;=1,B1908&lt;=6),B1908=10),"Vaca em lactação",IF(I1908="Male","Macho",IF(E1908&gt;=1,"Vaca seca",IF(I1908="Youngstock","Bezerra/recria","Novilha"))))</f>
        <v>Novilha</v>
      </c>
      <c r="X1908" s="0" t="str">
        <f aca="false">IF(AND(B1908&gt;=1,B1908&lt;=6),"Tanque",IF(B1908=10,"Descarte",""))</f>
        <v/>
      </c>
    </row>
    <row r="1909" customFormat="false" ht="15" hidden="false" customHeight="false" outlineLevel="0" collapsed="false">
      <c r="A1909" s="22" t="n">
        <v>46309</v>
      </c>
      <c r="B1909" s="0" t="n">
        <v>8</v>
      </c>
      <c r="C1909" s="0" t="n">
        <v>6299</v>
      </c>
      <c r="E1909" s="0" t="n">
        <v>0</v>
      </c>
      <c r="F1909" s="23" t="s">
        <v>1069</v>
      </c>
      <c r="I1909" s="23" t="s">
        <v>92</v>
      </c>
      <c r="L1909" s="0" t="n">
        <v>211</v>
      </c>
      <c r="U1909" s="0" t="n">
        <v>608</v>
      </c>
      <c r="V1909" s="0" t="n">
        <v>1</v>
      </c>
      <c r="W1909" s="0" t="str">
        <f aca="false">IF(OR(AND(B1909&gt;=1,B1909&lt;=6),B1909=10),"Vaca em lactação",IF(I1909="Male","Macho",IF(E1909&gt;=1,"Vaca seca",IF(I1909="Youngstock","Bezerra/recria","Novilha"))))</f>
        <v>Novilha</v>
      </c>
      <c r="X1909" s="0" t="str">
        <f aca="false">IF(AND(B1909&gt;=1,B1909&lt;=6),"Tanque",IF(B1909=10,"Descarte",""))</f>
        <v/>
      </c>
    </row>
    <row r="1910" customFormat="false" ht="15" hidden="false" customHeight="false" outlineLevel="0" collapsed="false">
      <c r="A1910" s="22" t="n">
        <v>46309</v>
      </c>
      <c r="B1910" s="0" t="n">
        <v>8</v>
      </c>
      <c r="C1910" s="0" t="n">
        <v>6281</v>
      </c>
      <c r="E1910" s="0" t="n">
        <v>0</v>
      </c>
      <c r="F1910" s="23" t="s">
        <v>1036</v>
      </c>
      <c r="I1910" s="23" t="s">
        <v>92</v>
      </c>
      <c r="L1910" s="0" t="n">
        <v>248</v>
      </c>
      <c r="U1910" s="0" t="n">
        <v>615</v>
      </c>
      <c r="V1910" s="0" t="n">
        <v>1</v>
      </c>
      <c r="W1910" s="0" t="str">
        <f aca="false">IF(OR(AND(B1910&gt;=1,B1910&lt;=6),B1910=10),"Vaca em lactação",IF(I1910="Male","Macho",IF(E1910&gt;=1,"Vaca seca",IF(I1910="Youngstock","Bezerra/recria","Novilha"))))</f>
        <v>Novilha</v>
      </c>
      <c r="X1910" s="0" t="str">
        <f aca="false">IF(AND(B1910&gt;=1,B1910&lt;=6),"Tanque",IF(B1910=10,"Descarte",""))</f>
        <v/>
      </c>
    </row>
    <row r="1911" customFormat="false" ht="15" hidden="false" customHeight="false" outlineLevel="0" collapsed="false">
      <c r="A1911" s="22" t="n">
        <v>46309</v>
      </c>
      <c r="B1911" s="0" t="n">
        <v>8</v>
      </c>
      <c r="C1911" s="0" t="n">
        <v>6290</v>
      </c>
      <c r="E1911" s="0" t="n">
        <v>0</v>
      </c>
      <c r="F1911" s="23" t="s">
        <v>1070</v>
      </c>
      <c r="I1911" s="23" t="s">
        <v>92</v>
      </c>
      <c r="L1911" s="0" t="n">
        <v>145</v>
      </c>
      <c r="U1911" s="0" t="n">
        <v>613</v>
      </c>
      <c r="V1911" s="0" t="n">
        <v>4</v>
      </c>
      <c r="W1911" s="0" t="str">
        <f aca="false">IF(OR(AND(B1911&gt;=1,B1911&lt;=6),B1911=10),"Vaca em lactação",IF(I1911="Male","Macho",IF(E1911&gt;=1,"Vaca seca",IF(I1911="Youngstock","Bezerra/recria","Novilha"))))</f>
        <v>Novilha</v>
      </c>
      <c r="X1911" s="0" t="str">
        <f aca="false">IF(AND(B1911&gt;=1,B1911&lt;=6),"Tanque",IF(B1911=10,"Descarte",""))</f>
        <v/>
      </c>
    </row>
    <row r="1912" customFormat="false" ht="15" hidden="false" customHeight="false" outlineLevel="0" collapsed="false">
      <c r="A1912" s="22" t="n">
        <v>46309</v>
      </c>
      <c r="B1912" s="0" t="n">
        <v>8</v>
      </c>
      <c r="C1912" s="0" t="n">
        <v>6292</v>
      </c>
      <c r="E1912" s="0" t="n">
        <v>0</v>
      </c>
      <c r="F1912" s="23" t="s">
        <v>1071</v>
      </c>
      <c r="I1912" s="23" t="s">
        <v>92</v>
      </c>
      <c r="L1912" s="0" t="n">
        <v>188</v>
      </c>
      <c r="U1912" s="0" t="n">
        <v>611</v>
      </c>
      <c r="V1912" s="0" t="n">
        <v>4</v>
      </c>
      <c r="W1912" s="0" t="str">
        <f aca="false">IF(OR(AND(B1912&gt;=1,B1912&lt;=6),B1912=10),"Vaca em lactação",IF(I1912="Male","Macho",IF(E1912&gt;=1,"Vaca seca",IF(I1912="Youngstock","Bezerra/recria","Novilha"))))</f>
        <v>Novilha</v>
      </c>
      <c r="X1912" s="0" t="str">
        <f aca="false">IF(AND(B1912&gt;=1,B1912&lt;=6),"Tanque",IF(B1912=10,"Descarte",""))</f>
        <v/>
      </c>
    </row>
    <row r="1913" customFormat="false" ht="15" hidden="false" customHeight="false" outlineLevel="0" collapsed="false">
      <c r="A1913" s="22" t="n">
        <v>46309</v>
      </c>
      <c r="B1913" s="0" t="n">
        <v>8</v>
      </c>
      <c r="C1913" s="0" t="n">
        <v>6293</v>
      </c>
      <c r="E1913" s="0" t="n">
        <v>0</v>
      </c>
      <c r="F1913" s="23" t="s">
        <v>1071</v>
      </c>
      <c r="I1913" s="23" t="s">
        <v>92</v>
      </c>
      <c r="L1913" s="0" t="n">
        <v>202</v>
      </c>
      <c r="U1913" s="0" t="n">
        <v>611</v>
      </c>
      <c r="V1913" s="0" t="n">
        <v>3</v>
      </c>
      <c r="W1913" s="0" t="str">
        <f aca="false">IF(OR(AND(B1913&gt;=1,B1913&lt;=6),B1913=10),"Vaca em lactação",IF(I1913="Male","Macho",IF(E1913&gt;=1,"Vaca seca",IF(I1913="Youngstock","Bezerra/recria","Novilha"))))</f>
        <v>Novilha</v>
      </c>
      <c r="X1913" s="0" t="str">
        <f aca="false">IF(AND(B1913&gt;=1,B1913&lt;=6),"Tanque",IF(B1913=10,"Descarte",""))</f>
        <v/>
      </c>
    </row>
    <row r="1914" customFormat="false" ht="15" hidden="false" customHeight="false" outlineLevel="0" collapsed="false">
      <c r="A1914" s="22" t="n">
        <v>46309</v>
      </c>
      <c r="B1914" s="0" t="n">
        <v>8</v>
      </c>
      <c r="C1914" s="0" t="n">
        <v>6394</v>
      </c>
      <c r="E1914" s="0" t="n">
        <v>0</v>
      </c>
      <c r="F1914" s="23" t="s">
        <v>1072</v>
      </c>
      <c r="I1914" s="23" t="s">
        <v>92</v>
      </c>
      <c r="L1914" s="0" t="n">
        <v>181</v>
      </c>
      <c r="U1914" s="0" t="n">
        <v>575</v>
      </c>
      <c r="V1914" s="0" t="n">
        <v>1</v>
      </c>
      <c r="W1914" s="0" t="str">
        <f aca="false">IF(OR(AND(B1914&gt;=1,B1914&lt;=6),B1914=10),"Vaca em lactação",IF(I1914="Male","Macho",IF(E1914&gt;=1,"Vaca seca",IF(I1914="Youngstock","Bezerra/recria","Novilha"))))</f>
        <v>Novilha</v>
      </c>
      <c r="X1914" s="0" t="str">
        <f aca="false">IF(AND(B1914&gt;=1,B1914&lt;=6),"Tanque",IF(B1914=10,"Descarte",""))</f>
        <v/>
      </c>
    </row>
    <row r="1915" customFormat="false" ht="15" hidden="false" customHeight="false" outlineLevel="0" collapsed="false">
      <c r="A1915" s="22" t="n">
        <v>46309</v>
      </c>
      <c r="B1915" s="0" t="n">
        <v>8</v>
      </c>
      <c r="C1915" s="0" t="n">
        <v>6395</v>
      </c>
      <c r="E1915" s="0" t="n">
        <v>0</v>
      </c>
      <c r="F1915" s="23" t="s">
        <v>1072</v>
      </c>
      <c r="I1915" s="23" t="s">
        <v>92</v>
      </c>
      <c r="L1915" s="0" t="n">
        <v>152</v>
      </c>
      <c r="U1915" s="0" t="n">
        <v>575</v>
      </c>
      <c r="V1915" s="0" t="n">
        <v>2</v>
      </c>
      <c r="W1915" s="0" t="str">
        <f aca="false">IF(OR(AND(B1915&gt;=1,B1915&lt;=6),B1915=10),"Vaca em lactação",IF(I1915="Male","Macho",IF(E1915&gt;=1,"Vaca seca",IF(I1915="Youngstock","Bezerra/recria","Novilha"))))</f>
        <v>Novilha</v>
      </c>
      <c r="X1915" s="0" t="str">
        <f aca="false">IF(AND(B1915&gt;=1,B1915&lt;=6),"Tanque",IF(B1915=10,"Descarte",""))</f>
        <v/>
      </c>
    </row>
    <row r="1916" customFormat="false" ht="15" hidden="false" customHeight="false" outlineLevel="0" collapsed="false">
      <c r="A1916" s="22" t="n">
        <v>46309</v>
      </c>
      <c r="B1916" s="0" t="n">
        <v>8</v>
      </c>
      <c r="C1916" s="0" t="n">
        <v>6396</v>
      </c>
      <c r="E1916" s="0" t="n">
        <v>0</v>
      </c>
      <c r="F1916" s="23" t="s">
        <v>1072</v>
      </c>
      <c r="I1916" s="23" t="s">
        <v>92</v>
      </c>
      <c r="L1916" s="0" t="n">
        <v>50</v>
      </c>
      <c r="U1916" s="0" t="n">
        <v>575</v>
      </c>
      <c r="V1916" s="0" t="n">
        <v>3</v>
      </c>
      <c r="W1916" s="0" t="str">
        <f aca="false">IF(OR(AND(B1916&gt;=1,B1916&lt;=6),B1916=10),"Vaca em lactação",IF(I1916="Male","Macho",IF(E1916&gt;=1,"Vaca seca",IF(I1916="Youngstock","Bezerra/recria","Novilha"))))</f>
        <v>Novilha</v>
      </c>
      <c r="X1916" s="0" t="str">
        <f aca="false">IF(AND(B1916&gt;=1,B1916&lt;=6),"Tanque",IF(B1916=10,"Descarte",""))</f>
        <v/>
      </c>
    </row>
    <row r="1917" customFormat="false" ht="15" hidden="false" customHeight="false" outlineLevel="0" collapsed="false">
      <c r="A1917" s="22" t="n">
        <v>46309</v>
      </c>
      <c r="B1917" s="0" t="n">
        <v>8</v>
      </c>
      <c r="C1917" s="0" t="n">
        <v>6400</v>
      </c>
      <c r="E1917" s="0" t="n">
        <v>0</v>
      </c>
      <c r="F1917" s="23" t="s">
        <v>1073</v>
      </c>
      <c r="I1917" s="23" t="s">
        <v>92</v>
      </c>
      <c r="L1917" s="0" t="n">
        <v>145</v>
      </c>
      <c r="U1917" s="0" t="n">
        <v>573</v>
      </c>
      <c r="V1917" s="0" t="n">
        <v>2</v>
      </c>
      <c r="W1917" s="0" t="str">
        <f aca="false">IF(OR(AND(B1917&gt;=1,B1917&lt;=6),B1917=10),"Vaca em lactação",IF(I1917="Male","Macho",IF(E1917&gt;=1,"Vaca seca",IF(I1917="Youngstock","Bezerra/recria","Novilha"))))</f>
        <v>Novilha</v>
      </c>
      <c r="X1917" s="0" t="str">
        <f aca="false">IF(AND(B1917&gt;=1,B1917&lt;=6),"Tanque",IF(B1917=10,"Descarte",""))</f>
        <v/>
      </c>
    </row>
    <row r="1918" customFormat="false" ht="15" hidden="false" customHeight="false" outlineLevel="0" collapsed="false">
      <c r="A1918" s="22" t="n">
        <v>46309</v>
      </c>
      <c r="B1918" s="0" t="n">
        <v>8</v>
      </c>
      <c r="C1918" s="0" t="n">
        <v>6401</v>
      </c>
      <c r="E1918" s="0" t="n">
        <v>0</v>
      </c>
      <c r="F1918" s="23" t="s">
        <v>1073</v>
      </c>
      <c r="I1918" s="23" t="s">
        <v>92</v>
      </c>
      <c r="L1918" s="0" t="n">
        <v>162</v>
      </c>
      <c r="U1918" s="0" t="n">
        <v>573</v>
      </c>
      <c r="V1918" s="0" t="n">
        <v>1</v>
      </c>
      <c r="W1918" s="0" t="str">
        <f aca="false">IF(OR(AND(B1918&gt;=1,B1918&lt;=6),B1918=10),"Vaca em lactação",IF(I1918="Male","Macho",IF(E1918&gt;=1,"Vaca seca",IF(I1918="Youngstock","Bezerra/recria","Novilha"))))</f>
        <v>Novilha</v>
      </c>
      <c r="X1918" s="0" t="str">
        <f aca="false">IF(AND(B1918&gt;=1,B1918&lt;=6),"Tanque",IF(B1918=10,"Descarte",""))</f>
        <v/>
      </c>
    </row>
    <row r="1919" customFormat="false" ht="15" hidden="false" customHeight="false" outlineLevel="0" collapsed="false">
      <c r="A1919" s="22" t="n">
        <v>46309</v>
      </c>
      <c r="B1919" s="0" t="n">
        <v>8</v>
      </c>
      <c r="C1919" s="0" t="n">
        <v>6402</v>
      </c>
      <c r="E1919" s="0" t="n">
        <v>0</v>
      </c>
      <c r="F1919" s="23" t="s">
        <v>1073</v>
      </c>
      <c r="I1919" s="23" t="s">
        <v>92</v>
      </c>
      <c r="L1919" s="0" t="n">
        <v>167</v>
      </c>
      <c r="U1919" s="0" t="n">
        <v>573</v>
      </c>
      <c r="V1919" s="0" t="n">
        <v>1</v>
      </c>
      <c r="W1919" s="0" t="str">
        <f aca="false">IF(OR(AND(B1919&gt;=1,B1919&lt;=6),B1919=10),"Vaca em lactação",IF(I1919="Male","Macho",IF(E1919&gt;=1,"Vaca seca",IF(I1919="Youngstock","Bezerra/recria","Novilha"))))</f>
        <v>Novilha</v>
      </c>
      <c r="X1919" s="0" t="str">
        <f aca="false">IF(AND(B1919&gt;=1,B1919&lt;=6),"Tanque",IF(B1919=10,"Descarte",""))</f>
        <v/>
      </c>
    </row>
    <row r="1920" customFormat="false" ht="15" hidden="false" customHeight="false" outlineLevel="0" collapsed="false">
      <c r="A1920" s="22" t="n">
        <v>46309</v>
      </c>
      <c r="B1920" s="0" t="n">
        <v>8</v>
      </c>
      <c r="C1920" s="0" t="n">
        <v>6399</v>
      </c>
      <c r="E1920" s="0" t="n">
        <v>0</v>
      </c>
      <c r="F1920" s="23" t="s">
        <v>1073</v>
      </c>
      <c r="I1920" s="23" t="s">
        <v>92</v>
      </c>
      <c r="L1920" s="0" t="n">
        <v>176</v>
      </c>
      <c r="U1920" s="0" t="n">
        <v>573</v>
      </c>
      <c r="V1920" s="0" t="n">
        <v>1</v>
      </c>
      <c r="W1920" s="0" t="str">
        <f aca="false">IF(OR(AND(B1920&gt;=1,B1920&lt;=6),B1920=10),"Vaca em lactação",IF(I1920="Male","Macho",IF(E1920&gt;=1,"Vaca seca",IF(I1920="Youngstock","Bezerra/recria","Novilha"))))</f>
        <v>Novilha</v>
      </c>
      <c r="X1920" s="0" t="str">
        <f aca="false">IF(AND(B1920&gt;=1,B1920&lt;=6),"Tanque",IF(B1920=10,"Descarte",""))</f>
        <v/>
      </c>
    </row>
    <row r="1921" customFormat="false" ht="15" hidden="false" customHeight="false" outlineLevel="0" collapsed="false">
      <c r="A1921" s="22" t="n">
        <v>46309</v>
      </c>
      <c r="B1921" s="0" t="n">
        <v>8</v>
      </c>
      <c r="C1921" s="0" t="n">
        <v>6407</v>
      </c>
      <c r="E1921" s="0" t="n">
        <v>0</v>
      </c>
      <c r="F1921" s="23" t="s">
        <v>1074</v>
      </c>
      <c r="I1921" s="23" t="s">
        <v>92</v>
      </c>
      <c r="L1921" s="0" t="n">
        <v>170</v>
      </c>
      <c r="U1921" s="0" t="n">
        <v>570</v>
      </c>
      <c r="V1921" s="0" t="n">
        <v>1</v>
      </c>
      <c r="W1921" s="0" t="str">
        <f aca="false">IF(OR(AND(B1921&gt;=1,B1921&lt;=6),B1921=10),"Vaca em lactação",IF(I1921="Male","Macho",IF(E1921&gt;=1,"Vaca seca",IF(I1921="Youngstock","Bezerra/recria","Novilha"))))</f>
        <v>Novilha</v>
      </c>
      <c r="X1921" s="0" t="str">
        <f aca="false">IF(AND(B1921&gt;=1,B1921&lt;=6),"Tanque",IF(B1921=10,"Descarte",""))</f>
        <v/>
      </c>
    </row>
    <row r="1922" customFormat="false" ht="15" hidden="false" customHeight="false" outlineLevel="0" collapsed="false">
      <c r="A1922" s="22" t="n">
        <v>46309</v>
      </c>
      <c r="B1922" s="0" t="n">
        <v>8</v>
      </c>
      <c r="C1922" s="0" t="n">
        <v>6408</v>
      </c>
      <c r="E1922" s="0" t="n">
        <v>0</v>
      </c>
      <c r="F1922" s="23" t="s">
        <v>1074</v>
      </c>
      <c r="I1922" s="23" t="s">
        <v>92</v>
      </c>
      <c r="L1922" s="0" t="n">
        <v>169</v>
      </c>
      <c r="U1922" s="0" t="n">
        <v>570</v>
      </c>
      <c r="V1922" s="0" t="n">
        <v>1</v>
      </c>
      <c r="W1922" s="0" t="str">
        <f aca="false">IF(OR(AND(B1922&gt;=1,B1922&lt;=6),B1922=10),"Vaca em lactação",IF(I1922="Male","Macho",IF(E1922&gt;=1,"Vaca seca",IF(I1922="Youngstock","Bezerra/recria","Novilha"))))</f>
        <v>Novilha</v>
      </c>
      <c r="X1922" s="0" t="str">
        <f aca="false">IF(AND(B1922&gt;=1,B1922&lt;=6),"Tanque",IF(B1922=10,"Descarte",""))</f>
        <v/>
      </c>
    </row>
    <row r="1923" customFormat="false" ht="15" hidden="false" customHeight="false" outlineLevel="0" collapsed="false">
      <c r="A1923" s="22" t="n">
        <v>46309</v>
      </c>
      <c r="B1923" s="0" t="n">
        <v>8</v>
      </c>
      <c r="C1923" s="0" t="n">
        <v>6403</v>
      </c>
      <c r="E1923" s="0" t="n">
        <v>0</v>
      </c>
      <c r="F1923" s="23" t="s">
        <v>1074</v>
      </c>
      <c r="I1923" s="23" t="s">
        <v>92</v>
      </c>
      <c r="L1923" s="0" t="n">
        <v>154</v>
      </c>
      <c r="U1923" s="0" t="n">
        <v>570</v>
      </c>
      <c r="V1923" s="0" t="n">
        <v>1</v>
      </c>
      <c r="W1923" s="0" t="str">
        <f aca="false">IF(OR(AND(B1923&gt;=1,B1923&lt;=6),B1923=10),"Vaca em lactação",IF(I1923="Male","Macho",IF(E1923&gt;=1,"Vaca seca",IF(I1923="Youngstock","Bezerra/recria","Novilha"))))</f>
        <v>Novilha</v>
      </c>
      <c r="X1923" s="0" t="str">
        <f aca="false">IF(AND(B1923&gt;=1,B1923&lt;=6),"Tanque",IF(B1923=10,"Descarte",""))</f>
        <v/>
      </c>
    </row>
    <row r="1924" customFormat="false" ht="15" hidden="false" customHeight="false" outlineLevel="0" collapsed="false">
      <c r="A1924" s="22" t="n">
        <v>46309</v>
      </c>
      <c r="B1924" s="0" t="n">
        <v>8</v>
      </c>
      <c r="C1924" s="0" t="n">
        <v>6404</v>
      </c>
      <c r="E1924" s="0" t="n">
        <v>0</v>
      </c>
      <c r="F1924" s="23" t="s">
        <v>1074</v>
      </c>
      <c r="I1924" s="23" t="s">
        <v>92</v>
      </c>
      <c r="L1924" s="0" t="n">
        <v>111</v>
      </c>
      <c r="U1924" s="0" t="n">
        <v>570</v>
      </c>
      <c r="V1924" s="0" t="n">
        <v>4</v>
      </c>
      <c r="W1924" s="0" t="str">
        <f aca="false">IF(OR(AND(B1924&gt;=1,B1924&lt;=6),B1924=10),"Vaca em lactação",IF(I1924="Male","Macho",IF(E1924&gt;=1,"Vaca seca",IF(I1924="Youngstock","Bezerra/recria","Novilha"))))</f>
        <v>Novilha</v>
      </c>
      <c r="X1924" s="0" t="str">
        <f aca="false">IF(AND(B1924&gt;=1,B1924&lt;=6),"Tanque",IF(B1924=10,"Descarte",""))</f>
        <v/>
      </c>
    </row>
    <row r="1925" customFormat="false" ht="15" hidden="false" customHeight="false" outlineLevel="0" collapsed="false">
      <c r="A1925" s="22" t="n">
        <v>46309</v>
      </c>
      <c r="B1925" s="0" t="n">
        <v>8</v>
      </c>
      <c r="C1925" s="0" t="n">
        <v>6405</v>
      </c>
      <c r="E1925" s="0" t="n">
        <v>0</v>
      </c>
      <c r="F1925" s="23" t="s">
        <v>1074</v>
      </c>
      <c r="I1925" s="23" t="s">
        <v>92</v>
      </c>
      <c r="L1925" s="0" t="n">
        <v>169</v>
      </c>
      <c r="U1925" s="0" t="n">
        <v>570</v>
      </c>
      <c r="V1925" s="0" t="n">
        <v>1</v>
      </c>
      <c r="W1925" s="0" t="str">
        <f aca="false">IF(OR(AND(B1925&gt;=1,B1925&lt;=6),B1925=10),"Vaca em lactação",IF(I1925="Male","Macho",IF(E1925&gt;=1,"Vaca seca",IF(I1925="Youngstock","Bezerra/recria","Novilha"))))</f>
        <v>Novilha</v>
      </c>
      <c r="X1925" s="0" t="str">
        <f aca="false">IF(AND(B1925&gt;=1,B1925&lt;=6),"Tanque",IF(B1925=10,"Descarte",""))</f>
        <v/>
      </c>
    </row>
    <row r="1926" customFormat="false" ht="15" hidden="false" customHeight="false" outlineLevel="0" collapsed="false">
      <c r="A1926" s="22" t="n">
        <v>46309</v>
      </c>
      <c r="B1926" s="0" t="n">
        <v>8</v>
      </c>
      <c r="C1926" s="0" t="n">
        <v>6406</v>
      </c>
      <c r="E1926" s="0" t="n">
        <v>0</v>
      </c>
      <c r="F1926" s="23" t="s">
        <v>1074</v>
      </c>
      <c r="I1926" s="23" t="s">
        <v>92</v>
      </c>
      <c r="L1926" s="0" t="n">
        <v>169</v>
      </c>
      <c r="U1926" s="0" t="n">
        <v>570</v>
      </c>
      <c r="V1926" s="0" t="n">
        <v>1</v>
      </c>
      <c r="W1926" s="0" t="str">
        <f aca="false">IF(OR(AND(B1926&gt;=1,B1926&lt;=6),B1926=10),"Vaca em lactação",IF(I1926="Male","Macho",IF(E1926&gt;=1,"Vaca seca",IF(I1926="Youngstock","Bezerra/recria","Novilha"))))</f>
        <v>Novilha</v>
      </c>
      <c r="X1926" s="0" t="str">
        <f aca="false">IF(AND(B1926&gt;=1,B1926&lt;=6),"Tanque",IF(B1926=10,"Descarte",""))</f>
        <v/>
      </c>
    </row>
    <row r="1927" customFormat="false" ht="15" hidden="false" customHeight="false" outlineLevel="0" collapsed="false">
      <c r="A1927" s="22" t="n">
        <v>46309</v>
      </c>
      <c r="B1927" s="0" t="n">
        <v>8</v>
      </c>
      <c r="C1927" s="0" t="n">
        <v>6398</v>
      </c>
      <c r="E1927" s="0" t="n">
        <v>0</v>
      </c>
      <c r="F1927" s="23" t="s">
        <v>1072</v>
      </c>
      <c r="I1927" s="23" t="s">
        <v>92</v>
      </c>
      <c r="L1927" s="0" t="n">
        <v>176</v>
      </c>
      <c r="U1927" s="0" t="n">
        <v>575</v>
      </c>
      <c r="V1927" s="0" t="n">
        <v>1</v>
      </c>
      <c r="W1927" s="0" t="str">
        <f aca="false">IF(OR(AND(B1927&gt;=1,B1927&lt;=6),B1927=10),"Vaca em lactação",IF(I1927="Male","Macho",IF(E1927&gt;=1,"Vaca seca",IF(I1927="Youngstock","Bezerra/recria","Novilha"))))</f>
        <v>Novilha</v>
      </c>
      <c r="X1927" s="0" t="str">
        <f aca="false">IF(AND(B1927&gt;=1,B1927&lt;=6),"Tanque",IF(B1927=10,"Descarte",""))</f>
        <v/>
      </c>
    </row>
    <row r="1928" customFormat="false" ht="15" hidden="false" customHeight="false" outlineLevel="0" collapsed="false">
      <c r="A1928" s="22" t="n">
        <v>46309</v>
      </c>
      <c r="B1928" s="0" t="n">
        <v>8</v>
      </c>
      <c r="C1928" s="0" t="n">
        <v>6397</v>
      </c>
      <c r="E1928" s="0" t="n">
        <v>0</v>
      </c>
      <c r="F1928" s="23" t="s">
        <v>1072</v>
      </c>
      <c r="I1928" s="23" t="s">
        <v>92</v>
      </c>
      <c r="L1928" s="0" t="n">
        <v>169</v>
      </c>
      <c r="U1928" s="0" t="n">
        <v>575</v>
      </c>
      <c r="V1928" s="0" t="n">
        <v>1</v>
      </c>
      <c r="W1928" s="0" t="str">
        <f aca="false">IF(OR(AND(B1928&gt;=1,B1928&lt;=6),B1928=10),"Vaca em lactação",IF(I1928="Male","Macho",IF(E1928&gt;=1,"Vaca seca",IF(I1928="Youngstock","Bezerra/recria","Novilha"))))</f>
        <v>Novilha</v>
      </c>
      <c r="X1928" s="0" t="str">
        <f aca="false">IF(AND(B1928&gt;=1,B1928&lt;=6),"Tanque",IF(B1928=10,"Descarte",""))</f>
        <v/>
      </c>
    </row>
    <row r="1929" customFormat="false" ht="15" hidden="false" customHeight="false" outlineLevel="0" collapsed="false">
      <c r="A1929" s="22" t="n">
        <v>46309</v>
      </c>
      <c r="B1929" s="0" t="n">
        <v>8</v>
      </c>
      <c r="C1929" s="0" t="n">
        <v>6387</v>
      </c>
      <c r="E1929" s="0" t="n">
        <v>0</v>
      </c>
      <c r="F1929" s="23" t="s">
        <v>1075</v>
      </c>
      <c r="I1929" s="23" t="s">
        <v>92</v>
      </c>
      <c r="L1929" s="0" t="n">
        <v>175</v>
      </c>
      <c r="U1929" s="0" t="n">
        <v>578</v>
      </c>
      <c r="V1929" s="0" t="n">
        <v>1</v>
      </c>
      <c r="W1929" s="0" t="str">
        <f aca="false">IF(OR(AND(B1929&gt;=1,B1929&lt;=6),B1929=10),"Vaca em lactação",IF(I1929="Male","Macho",IF(E1929&gt;=1,"Vaca seca",IF(I1929="Youngstock","Bezerra/recria","Novilha"))))</f>
        <v>Novilha</v>
      </c>
      <c r="X1929" s="0" t="str">
        <f aca="false">IF(AND(B1929&gt;=1,B1929&lt;=6),"Tanque",IF(B1929=10,"Descarte",""))</f>
        <v/>
      </c>
    </row>
    <row r="1930" customFormat="false" ht="15" hidden="false" customHeight="false" outlineLevel="0" collapsed="false">
      <c r="A1930" s="22" t="n">
        <v>46309</v>
      </c>
      <c r="B1930" s="0" t="n">
        <v>8</v>
      </c>
      <c r="C1930" s="0" t="n">
        <v>6410</v>
      </c>
      <c r="E1930" s="0" t="n">
        <v>0</v>
      </c>
      <c r="F1930" s="23" t="s">
        <v>1076</v>
      </c>
      <c r="I1930" s="23" t="s">
        <v>92</v>
      </c>
      <c r="L1930" s="0" t="n">
        <v>169</v>
      </c>
      <c r="U1930" s="0" t="n">
        <v>568</v>
      </c>
      <c r="V1930" s="0" t="n">
        <v>1</v>
      </c>
      <c r="W1930" s="0" t="str">
        <f aca="false">IF(OR(AND(B1930&gt;=1,B1930&lt;=6),B1930=10),"Vaca em lactação",IF(I1930="Male","Macho",IF(E1930&gt;=1,"Vaca seca",IF(I1930="Youngstock","Bezerra/recria","Novilha"))))</f>
        <v>Novilha</v>
      </c>
      <c r="X1930" s="0" t="str">
        <f aca="false">IF(AND(B1930&gt;=1,B1930&lt;=6),"Tanque",IF(B1930=10,"Descarte",""))</f>
        <v/>
      </c>
    </row>
    <row r="1931" customFormat="false" ht="15" hidden="false" customHeight="false" outlineLevel="0" collapsed="false">
      <c r="A1931" s="22" t="n">
        <v>46309</v>
      </c>
      <c r="B1931" s="0" t="n">
        <v>8</v>
      </c>
      <c r="C1931" s="0" t="n">
        <v>6411</v>
      </c>
      <c r="E1931" s="0" t="n">
        <v>0</v>
      </c>
      <c r="F1931" s="23" t="s">
        <v>1076</v>
      </c>
      <c r="I1931" s="23" t="s">
        <v>92</v>
      </c>
      <c r="L1931" s="0" t="n">
        <v>169</v>
      </c>
      <c r="U1931" s="0" t="n">
        <v>568</v>
      </c>
      <c r="V1931" s="0" t="n">
        <v>1</v>
      </c>
      <c r="W1931" s="0" t="str">
        <f aca="false">IF(OR(AND(B1931&gt;=1,B1931&lt;=6),B1931=10),"Vaca em lactação",IF(I1931="Male","Macho",IF(E1931&gt;=1,"Vaca seca",IF(I1931="Youngstock","Bezerra/recria","Novilha"))))</f>
        <v>Novilha</v>
      </c>
      <c r="X1931" s="0" t="str">
        <f aca="false">IF(AND(B1931&gt;=1,B1931&lt;=6),"Tanque",IF(B1931=10,"Descarte",""))</f>
        <v/>
      </c>
    </row>
    <row r="1932" customFormat="false" ht="15" hidden="false" customHeight="false" outlineLevel="0" collapsed="false">
      <c r="A1932" s="22" t="n">
        <v>46309</v>
      </c>
      <c r="B1932" s="0" t="n">
        <v>8</v>
      </c>
      <c r="C1932" s="0" t="n">
        <v>6412</v>
      </c>
      <c r="E1932" s="0" t="n">
        <v>0</v>
      </c>
      <c r="F1932" s="23" t="s">
        <v>1076</v>
      </c>
      <c r="I1932" s="23" t="s">
        <v>92</v>
      </c>
      <c r="L1932" s="0" t="n">
        <v>147</v>
      </c>
      <c r="U1932" s="0" t="n">
        <v>568</v>
      </c>
      <c r="V1932" s="0" t="n">
        <v>2</v>
      </c>
      <c r="W1932" s="0" t="str">
        <f aca="false">IF(OR(AND(B1932&gt;=1,B1932&lt;=6),B1932=10),"Vaca em lactação",IF(I1932="Male","Macho",IF(E1932&gt;=1,"Vaca seca",IF(I1932="Youngstock","Bezerra/recria","Novilha"))))</f>
        <v>Novilha</v>
      </c>
      <c r="X1932" s="0" t="str">
        <f aca="false">IF(AND(B1932&gt;=1,B1932&lt;=6),"Tanque",IF(B1932=10,"Descarte",""))</f>
        <v/>
      </c>
    </row>
    <row r="1933" customFormat="false" ht="15" hidden="false" customHeight="false" outlineLevel="0" collapsed="false">
      <c r="A1933" s="22" t="n">
        <v>46309</v>
      </c>
      <c r="B1933" s="0" t="n">
        <v>8</v>
      </c>
      <c r="C1933" s="0" t="n">
        <v>6415</v>
      </c>
      <c r="E1933" s="0" t="n">
        <v>0</v>
      </c>
      <c r="F1933" s="23" t="s">
        <v>1077</v>
      </c>
      <c r="I1933" s="23" t="s">
        <v>92</v>
      </c>
      <c r="L1933" s="0" t="n">
        <v>168</v>
      </c>
      <c r="U1933" s="0" t="n">
        <v>567</v>
      </c>
      <c r="V1933" s="0" t="n">
        <v>1</v>
      </c>
      <c r="W1933" s="0" t="str">
        <f aca="false">IF(OR(AND(B1933&gt;=1,B1933&lt;=6),B1933=10),"Vaca em lactação",IF(I1933="Male","Macho",IF(E1933&gt;=1,"Vaca seca",IF(I1933="Youngstock","Bezerra/recria","Novilha"))))</f>
        <v>Novilha</v>
      </c>
      <c r="X1933" s="0" t="str">
        <f aca="false">IF(AND(B1933&gt;=1,B1933&lt;=6),"Tanque",IF(B1933=10,"Descarte",""))</f>
        <v/>
      </c>
    </row>
    <row r="1934" customFormat="false" ht="15" hidden="false" customHeight="false" outlineLevel="0" collapsed="false">
      <c r="A1934" s="22" t="n">
        <v>46309</v>
      </c>
      <c r="B1934" s="0" t="n">
        <v>8</v>
      </c>
      <c r="C1934" s="0" t="n">
        <v>6414</v>
      </c>
      <c r="E1934" s="0" t="n">
        <v>0</v>
      </c>
      <c r="F1934" s="23" t="s">
        <v>1077</v>
      </c>
      <c r="I1934" s="23" t="s">
        <v>92</v>
      </c>
      <c r="L1934" s="0" t="n">
        <v>167</v>
      </c>
      <c r="U1934" s="0" t="n">
        <v>567</v>
      </c>
      <c r="V1934" s="0" t="n">
        <v>1</v>
      </c>
      <c r="W1934" s="0" t="str">
        <f aca="false">IF(OR(AND(B1934&gt;=1,B1934&lt;=6),B1934=10),"Vaca em lactação",IF(I1934="Male","Macho",IF(E1934&gt;=1,"Vaca seca",IF(I1934="Youngstock","Bezerra/recria","Novilha"))))</f>
        <v>Novilha</v>
      </c>
      <c r="X1934" s="0" t="str">
        <f aca="false">IF(AND(B1934&gt;=1,B1934&lt;=6),"Tanque",IF(B1934=10,"Descarte",""))</f>
        <v/>
      </c>
    </row>
    <row r="1935" customFormat="false" ht="15" hidden="false" customHeight="false" outlineLevel="0" collapsed="false">
      <c r="A1935" s="22" t="n">
        <v>46309</v>
      </c>
      <c r="B1935" s="0" t="n">
        <v>8</v>
      </c>
      <c r="C1935" s="0" t="n">
        <v>6413</v>
      </c>
      <c r="E1935" s="0" t="n">
        <v>0</v>
      </c>
      <c r="F1935" s="23" t="s">
        <v>1077</v>
      </c>
      <c r="I1935" s="23" t="s">
        <v>92</v>
      </c>
      <c r="L1935" s="0" t="n">
        <v>166</v>
      </c>
      <c r="U1935" s="0" t="n">
        <v>567</v>
      </c>
      <c r="V1935" s="0" t="n">
        <v>1</v>
      </c>
      <c r="W1935" s="0" t="str">
        <f aca="false">IF(OR(AND(B1935&gt;=1,B1935&lt;=6),B1935=10),"Vaca em lactação",IF(I1935="Male","Macho",IF(E1935&gt;=1,"Vaca seca",IF(I1935="Youngstock","Bezerra/recria","Novilha"))))</f>
        <v>Novilha</v>
      </c>
      <c r="X1935" s="0" t="str">
        <f aca="false">IF(AND(B1935&gt;=1,B1935&lt;=6),"Tanque",IF(B1935=10,"Descarte",""))</f>
        <v/>
      </c>
    </row>
    <row r="1936" customFormat="false" ht="15" hidden="false" customHeight="false" outlineLevel="0" collapsed="false">
      <c r="A1936" s="22" t="n">
        <v>46309</v>
      </c>
      <c r="B1936" s="0" t="n">
        <v>8</v>
      </c>
      <c r="C1936" s="0" t="n">
        <v>6371</v>
      </c>
      <c r="E1936" s="0" t="n">
        <v>0</v>
      </c>
      <c r="F1936" s="23" t="s">
        <v>1078</v>
      </c>
      <c r="I1936" s="23" t="s">
        <v>92</v>
      </c>
      <c r="L1936" s="0" t="n">
        <v>119</v>
      </c>
      <c r="U1936" s="0" t="n">
        <v>584</v>
      </c>
      <c r="V1936" s="0" t="n">
        <v>2</v>
      </c>
      <c r="W1936" s="0" t="str">
        <f aca="false">IF(OR(AND(B1936&gt;=1,B1936&lt;=6),B1936=10),"Vaca em lactação",IF(I1936="Male","Macho",IF(E1936&gt;=1,"Vaca seca",IF(I1936="Youngstock","Bezerra/recria","Novilha"))))</f>
        <v>Novilha</v>
      </c>
      <c r="X1936" s="0" t="str">
        <f aca="false">IF(AND(B1936&gt;=1,B1936&lt;=6),"Tanque",IF(B1936=10,"Descarte",""))</f>
        <v/>
      </c>
    </row>
    <row r="1937" customFormat="false" ht="15" hidden="false" customHeight="false" outlineLevel="0" collapsed="false">
      <c r="A1937" s="22" t="n">
        <v>46309</v>
      </c>
      <c r="B1937" s="0" t="n">
        <v>8</v>
      </c>
      <c r="C1937" s="0" t="n">
        <v>6376</v>
      </c>
      <c r="E1937" s="0" t="n">
        <v>0</v>
      </c>
      <c r="F1937" s="23" t="s">
        <v>1079</v>
      </c>
      <c r="I1937" s="23" t="s">
        <v>92</v>
      </c>
      <c r="L1937" s="0" t="n">
        <v>162</v>
      </c>
      <c r="U1937" s="0" t="n">
        <v>582</v>
      </c>
      <c r="V1937" s="0" t="n">
        <v>2</v>
      </c>
      <c r="W1937" s="0" t="str">
        <f aca="false">IF(OR(AND(B1937&gt;=1,B1937&lt;=6),B1937=10),"Vaca em lactação",IF(I1937="Male","Macho",IF(E1937&gt;=1,"Vaca seca",IF(I1937="Youngstock","Bezerra/recria","Novilha"))))</f>
        <v>Novilha</v>
      </c>
      <c r="X1937" s="0" t="str">
        <f aca="false">IF(AND(B1937&gt;=1,B1937&lt;=6),"Tanque",IF(B1937=10,"Descarte",""))</f>
        <v/>
      </c>
    </row>
    <row r="1938" customFormat="false" ht="15" hidden="false" customHeight="false" outlineLevel="0" collapsed="false">
      <c r="A1938" s="22" t="n">
        <v>46309</v>
      </c>
      <c r="B1938" s="0" t="n">
        <v>8</v>
      </c>
      <c r="C1938" s="0" t="n">
        <v>6375</v>
      </c>
      <c r="E1938" s="0" t="n">
        <v>0</v>
      </c>
      <c r="F1938" s="23" t="s">
        <v>1079</v>
      </c>
      <c r="I1938" s="23" t="s">
        <v>92</v>
      </c>
      <c r="L1938" s="0" t="n">
        <v>185</v>
      </c>
      <c r="U1938" s="0" t="n">
        <v>582</v>
      </c>
      <c r="V1938" s="0" t="n">
        <v>1</v>
      </c>
      <c r="W1938" s="0" t="str">
        <f aca="false">IF(OR(AND(B1938&gt;=1,B1938&lt;=6),B1938=10),"Vaca em lactação",IF(I1938="Male","Macho",IF(E1938&gt;=1,"Vaca seca",IF(I1938="Youngstock","Bezerra/recria","Novilha"))))</f>
        <v>Novilha</v>
      </c>
      <c r="X1938" s="0" t="str">
        <f aca="false">IF(AND(B1938&gt;=1,B1938&lt;=6),"Tanque",IF(B1938=10,"Descarte",""))</f>
        <v/>
      </c>
    </row>
    <row r="1939" customFormat="false" ht="15" hidden="false" customHeight="false" outlineLevel="0" collapsed="false">
      <c r="A1939" s="22" t="n">
        <v>46309</v>
      </c>
      <c r="B1939" s="0" t="n">
        <v>8</v>
      </c>
      <c r="C1939" s="0" t="n">
        <v>6378</v>
      </c>
      <c r="E1939" s="0" t="n">
        <v>0</v>
      </c>
      <c r="F1939" s="23" t="s">
        <v>1080</v>
      </c>
      <c r="I1939" s="23" t="s">
        <v>92</v>
      </c>
      <c r="L1939" s="0" t="n">
        <v>182</v>
      </c>
      <c r="U1939" s="0" t="n">
        <v>581</v>
      </c>
      <c r="V1939" s="0" t="n">
        <v>1</v>
      </c>
      <c r="W1939" s="0" t="str">
        <f aca="false">IF(OR(AND(B1939&gt;=1,B1939&lt;=6),B1939=10),"Vaca em lactação",IF(I1939="Male","Macho",IF(E1939&gt;=1,"Vaca seca",IF(I1939="Youngstock","Bezerra/recria","Novilha"))))</f>
        <v>Novilha</v>
      </c>
      <c r="X1939" s="0" t="str">
        <f aca="false">IF(AND(B1939&gt;=1,B1939&lt;=6),"Tanque",IF(B1939=10,"Descarte",""))</f>
        <v/>
      </c>
    </row>
    <row r="1940" customFormat="false" ht="15" hidden="false" customHeight="false" outlineLevel="0" collapsed="false">
      <c r="A1940" s="22" t="n">
        <v>46309</v>
      </c>
      <c r="B1940" s="0" t="n">
        <v>8</v>
      </c>
      <c r="C1940" s="0" t="n">
        <v>6377</v>
      </c>
      <c r="E1940" s="0" t="n">
        <v>0</v>
      </c>
      <c r="F1940" s="23" t="s">
        <v>1079</v>
      </c>
      <c r="I1940" s="23" t="s">
        <v>92</v>
      </c>
      <c r="L1940" s="0" t="n">
        <v>169</v>
      </c>
      <c r="U1940" s="0" t="n">
        <v>582</v>
      </c>
      <c r="V1940" s="0" t="n">
        <v>1</v>
      </c>
      <c r="W1940" s="0" t="str">
        <f aca="false">IF(OR(AND(B1940&gt;=1,B1940&lt;=6),B1940=10),"Vaca em lactação",IF(I1940="Male","Macho",IF(E1940&gt;=1,"Vaca seca",IF(I1940="Youngstock","Bezerra/recria","Novilha"))))</f>
        <v>Novilha</v>
      </c>
      <c r="X1940" s="0" t="str">
        <f aca="false">IF(AND(B1940&gt;=1,B1940&lt;=6),"Tanque",IF(B1940=10,"Descarte",""))</f>
        <v/>
      </c>
    </row>
    <row r="1941" customFormat="false" ht="15" hidden="false" customHeight="false" outlineLevel="0" collapsed="false">
      <c r="A1941" s="22" t="n">
        <v>46309</v>
      </c>
      <c r="B1941" s="0" t="n">
        <v>8</v>
      </c>
      <c r="C1941" s="0" t="n">
        <v>6380</v>
      </c>
      <c r="E1941" s="0" t="n">
        <v>0</v>
      </c>
      <c r="F1941" s="23" t="s">
        <v>1081</v>
      </c>
      <c r="I1941" s="23" t="s">
        <v>92</v>
      </c>
      <c r="L1941" s="0" t="n">
        <v>101</v>
      </c>
      <c r="U1941" s="0" t="n">
        <v>580</v>
      </c>
      <c r="V1941" s="0" t="n">
        <v>3</v>
      </c>
      <c r="W1941" s="0" t="str">
        <f aca="false">IF(OR(AND(B1941&gt;=1,B1941&lt;=6),B1941=10),"Vaca em lactação",IF(I1941="Male","Macho",IF(E1941&gt;=1,"Vaca seca",IF(I1941="Youngstock","Bezerra/recria","Novilha"))))</f>
        <v>Novilha</v>
      </c>
      <c r="X1941" s="0" t="str">
        <f aca="false">IF(AND(B1941&gt;=1,B1941&lt;=6),"Tanque",IF(B1941=10,"Descarte",""))</f>
        <v/>
      </c>
    </row>
    <row r="1942" customFormat="false" ht="15" hidden="false" customHeight="false" outlineLevel="0" collapsed="false">
      <c r="A1942" s="22" t="n">
        <v>46309</v>
      </c>
      <c r="B1942" s="0" t="n">
        <v>8</v>
      </c>
      <c r="C1942" s="0" t="n">
        <v>6381</v>
      </c>
      <c r="E1942" s="0" t="n">
        <v>0</v>
      </c>
      <c r="F1942" s="23" t="s">
        <v>1081</v>
      </c>
      <c r="I1942" s="23" t="s">
        <v>92</v>
      </c>
      <c r="L1942" s="0" t="n">
        <v>162</v>
      </c>
      <c r="U1942" s="0" t="n">
        <v>580</v>
      </c>
      <c r="V1942" s="0" t="n">
        <v>1</v>
      </c>
      <c r="W1942" s="0" t="str">
        <f aca="false">IF(OR(AND(B1942&gt;=1,B1942&lt;=6),B1942=10),"Vaca em lactação",IF(I1942="Male","Macho",IF(E1942&gt;=1,"Vaca seca",IF(I1942="Youngstock","Bezerra/recria","Novilha"))))</f>
        <v>Novilha</v>
      </c>
      <c r="X1942" s="0" t="str">
        <f aca="false">IF(AND(B1942&gt;=1,B1942&lt;=6),"Tanque",IF(B1942=10,"Descarte",""))</f>
        <v/>
      </c>
    </row>
    <row r="1943" customFormat="false" ht="15" hidden="false" customHeight="false" outlineLevel="0" collapsed="false">
      <c r="A1943" s="22" t="n">
        <v>46309</v>
      </c>
      <c r="B1943" s="0" t="n">
        <v>8</v>
      </c>
      <c r="C1943" s="0" t="n">
        <v>6383</v>
      </c>
      <c r="E1943" s="0" t="n">
        <v>0</v>
      </c>
      <c r="F1943" s="23" t="s">
        <v>1082</v>
      </c>
      <c r="I1943" s="23" t="s">
        <v>92</v>
      </c>
      <c r="L1943" s="0" t="n">
        <v>118</v>
      </c>
      <c r="U1943" s="0" t="n">
        <v>579</v>
      </c>
      <c r="V1943" s="0" t="n">
        <v>2</v>
      </c>
      <c r="W1943" s="0" t="str">
        <f aca="false">IF(OR(AND(B1943&gt;=1,B1943&lt;=6),B1943=10),"Vaca em lactação",IF(I1943="Male","Macho",IF(E1943&gt;=1,"Vaca seca",IF(I1943="Youngstock","Bezerra/recria","Novilha"))))</f>
        <v>Novilha</v>
      </c>
      <c r="X1943" s="0" t="str">
        <f aca="false">IF(AND(B1943&gt;=1,B1943&lt;=6),"Tanque",IF(B1943=10,"Descarte",""))</f>
        <v/>
      </c>
    </row>
    <row r="1944" customFormat="false" ht="15" hidden="false" customHeight="false" outlineLevel="0" collapsed="false">
      <c r="A1944" s="22" t="n">
        <v>46309</v>
      </c>
      <c r="B1944" s="0" t="n">
        <v>8</v>
      </c>
      <c r="C1944" s="0" t="n">
        <v>6379</v>
      </c>
      <c r="E1944" s="0" t="n">
        <v>0</v>
      </c>
      <c r="F1944" s="23" t="s">
        <v>1080</v>
      </c>
      <c r="I1944" s="23" t="s">
        <v>92</v>
      </c>
      <c r="L1944" s="0" t="n">
        <v>190</v>
      </c>
      <c r="U1944" s="0" t="n">
        <v>581</v>
      </c>
      <c r="V1944" s="0" t="n">
        <v>1</v>
      </c>
      <c r="W1944" s="0" t="str">
        <f aca="false">IF(OR(AND(B1944&gt;=1,B1944&lt;=6),B1944=10),"Vaca em lactação",IF(I1944="Male","Macho",IF(E1944&gt;=1,"Vaca seca",IF(I1944="Youngstock","Bezerra/recria","Novilha"))))</f>
        <v>Novilha</v>
      </c>
      <c r="X1944" s="0" t="str">
        <f aca="false">IF(AND(B1944&gt;=1,B1944&lt;=6),"Tanque",IF(B1944=10,"Descarte",""))</f>
        <v/>
      </c>
    </row>
    <row r="1945" customFormat="false" ht="15" hidden="false" customHeight="false" outlineLevel="0" collapsed="false">
      <c r="A1945" s="22" t="n">
        <v>46309</v>
      </c>
      <c r="B1945" s="0" t="n">
        <v>8</v>
      </c>
      <c r="C1945" s="0" t="n">
        <v>6386</v>
      </c>
      <c r="E1945" s="0" t="n">
        <v>0</v>
      </c>
      <c r="F1945" s="23" t="s">
        <v>1083</v>
      </c>
      <c r="I1945" s="23" t="s">
        <v>92</v>
      </c>
      <c r="L1945" s="0" t="n">
        <v>175</v>
      </c>
      <c r="U1945" s="0" t="n">
        <v>577</v>
      </c>
      <c r="V1945" s="0" t="n">
        <v>1</v>
      </c>
      <c r="W1945" s="0" t="str">
        <f aca="false">IF(OR(AND(B1945&gt;=1,B1945&lt;=6),B1945=10),"Vaca em lactação",IF(I1945="Male","Macho",IF(E1945&gt;=1,"Vaca seca",IF(I1945="Youngstock","Bezerra/recria","Novilha"))))</f>
        <v>Novilha</v>
      </c>
      <c r="X1945" s="0" t="str">
        <f aca="false">IF(AND(B1945&gt;=1,B1945&lt;=6),"Tanque",IF(B1945=10,"Descarte",""))</f>
        <v/>
      </c>
    </row>
    <row r="1946" customFormat="false" ht="15" hidden="false" customHeight="false" outlineLevel="0" collapsed="false">
      <c r="A1946" s="22" t="n">
        <v>46309</v>
      </c>
      <c r="B1946" s="0" t="n">
        <v>8</v>
      </c>
      <c r="C1946" s="0" t="n">
        <v>6388</v>
      </c>
      <c r="E1946" s="0" t="n">
        <v>0</v>
      </c>
      <c r="F1946" s="23" t="s">
        <v>1083</v>
      </c>
      <c r="I1946" s="23" t="s">
        <v>92</v>
      </c>
      <c r="L1946" s="0" t="n">
        <v>157</v>
      </c>
      <c r="U1946" s="0" t="n">
        <v>577</v>
      </c>
      <c r="V1946" s="0" t="n">
        <v>1</v>
      </c>
      <c r="W1946" s="0" t="str">
        <f aca="false">IF(OR(AND(B1946&gt;=1,B1946&lt;=6),B1946=10),"Vaca em lactação",IF(I1946="Male","Macho",IF(E1946&gt;=1,"Vaca seca",IF(I1946="Youngstock","Bezerra/recria","Novilha"))))</f>
        <v>Novilha</v>
      </c>
      <c r="X1946" s="0" t="str">
        <f aca="false">IF(AND(B1946&gt;=1,B1946&lt;=6),"Tanque",IF(B1946=10,"Descarte",""))</f>
        <v/>
      </c>
    </row>
    <row r="1947" customFormat="false" ht="15" hidden="false" customHeight="false" outlineLevel="0" collapsed="false">
      <c r="A1947" s="22" t="n">
        <v>46309</v>
      </c>
      <c r="B1947" s="0" t="n">
        <v>8</v>
      </c>
      <c r="C1947" s="0" t="n">
        <v>6389</v>
      </c>
      <c r="E1947" s="0" t="n">
        <v>0</v>
      </c>
      <c r="F1947" s="23" t="s">
        <v>1083</v>
      </c>
      <c r="I1947" s="23" t="s">
        <v>92</v>
      </c>
      <c r="L1947" s="0" t="n">
        <v>176</v>
      </c>
      <c r="U1947" s="0" t="n">
        <v>577</v>
      </c>
      <c r="V1947" s="0" t="n">
        <v>1</v>
      </c>
      <c r="W1947" s="0" t="str">
        <f aca="false">IF(OR(AND(B1947&gt;=1,B1947&lt;=6),B1947=10),"Vaca em lactação",IF(I1947="Male","Macho",IF(E1947&gt;=1,"Vaca seca",IF(I1947="Youngstock","Bezerra/recria","Novilha"))))</f>
        <v>Novilha</v>
      </c>
      <c r="X1947" s="0" t="str">
        <f aca="false">IF(AND(B1947&gt;=1,B1947&lt;=6),"Tanque",IF(B1947=10,"Descarte",""))</f>
        <v/>
      </c>
    </row>
    <row r="1948" customFormat="false" ht="15" hidden="false" customHeight="false" outlineLevel="0" collapsed="false">
      <c r="A1948" s="22" t="n">
        <v>46309</v>
      </c>
      <c r="B1948" s="0" t="n">
        <v>8</v>
      </c>
      <c r="C1948" s="0" t="n">
        <v>6385</v>
      </c>
      <c r="E1948" s="0" t="n">
        <v>0</v>
      </c>
      <c r="F1948" s="23" t="s">
        <v>1083</v>
      </c>
      <c r="I1948" s="23" t="s">
        <v>92</v>
      </c>
      <c r="L1948" s="0" t="n">
        <v>123</v>
      </c>
      <c r="U1948" s="0" t="n">
        <v>577</v>
      </c>
      <c r="V1948" s="0" t="n">
        <v>4</v>
      </c>
      <c r="W1948" s="0" t="str">
        <f aca="false">IF(OR(AND(B1948&gt;=1,B1948&lt;=6),B1948=10),"Vaca em lactação",IF(I1948="Male","Macho",IF(E1948&gt;=1,"Vaca seca",IF(I1948="Youngstock","Bezerra/recria","Novilha"))))</f>
        <v>Novilha</v>
      </c>
      <c r="X1948" s="0" t="str">
        <f aca="false">IF(AND(B1948&gt;=1,B1948&lt;=6),"Tanque",IF(B1948=10,"Descarte",""))</f>
        <v/>
      </c>
    </row>
    <row r="1949" customFormat="false" ht="15" hidden="false" customHeight="false" outlineLevel="0" collapsed="false">
      <c r="A1949" s="22" t="n">
        <v>46309</v>
      </c>
      <c r="B1949" s="0" t="n">
        <v>8</v>
      </c>
      <c r="C1949" s="0" t="n">
        <v>6392</v>
      </c>
      <c r="E1949" s="0" t="n">
        <v>0</v>
      </c>
      <c r="F1949" s="23" t="s">
        <v>1084</v>
      </c>
      <c r="I1949" s="23" t="s">
        <v>92</v>
      </c>
      <c r="L1949" s="0" t="n">
        <v>162</v>
      </c>
      <c r="U1949" s="0" t="n">
        <v>576</v>
      </c>
      <c r="V1949" s="0" t="n">
        <v>1</v>
      </c>
      <c r="W1949" s="0" t="str">
        <f aca="false">IF(OR(AND(B1949&gt;=1,B1949&lt;=6),B1949=10),"Vaca em lactação",IF(I1949="Male","Macho",IF(E1949&gt;=1,"Vaca seca",IF(I1949="Youngstock","Bezerra/recria","Novilha"))))</f>
        <v>Novilha</v>
      </c>
      <c r="X1949" s="0" t="str">
        <f aca="false">IF(AND(B1949&gt;=1,B1949&lt;=6),"Tanque",IF(B1949=10,"Descarte",""))</f>
        <v/>
      </c>
    </row>
    <row r="1950" customFormat="false" ht="15" hidden="false" customHeight="false" outlineLevel="0" collapsed="false">
      <c r="A1950" s="22" t="n">
        <v>46309</v>
      </c>
      <c r="B1950" s="0" t="n">
        <v>8</v>
      </c>
      <c r="C1950" s="0" t="n">
        <v>6391</v>
      </c>
      <c r="E1950" s="0" t="n">
        <v>0</v>
      </c>
      <c r="F1950" s="23" t="s">
        <v>1084</v>
      </c>
      <c r="I1950" s="23" t="s">
        <v>92</v>
      </c>
      <c r="L1950" s="0" t="n">
        <v>153</v>
      </c>
      <c r="U1950" s="0" t="n">
        <v>576</v>
      </c>
      <c r="V1950" s="0" t="n">
        <v>1</v>
      </c>
      <c r="W1950" s="0" t="str">
        <f aca="false">IF(OR(AND(B1950&gt;=1,B1950&lt;=6),B1950=10),"Vaca em lactação",IF(I1950="Male","Macho",IF(E1950&gt;=1,"Vaca seca",IF(I1950="Youngstock","Bezerra/recria","Novilha"))))</f>
        <v>Novilha</v>
      </c>
      <c r="X1950" s="0" t="str">
        <f aca="false">IF(AND(B1950&gt;=1,B1950&lt;=6),"Tanque",IF(B1950=10,"Descarte",""))</f>
        <v/>
      </c>
    </row>
    <row r="1951" customFormat="false" ht="15" hidden="false" customHeight="false" outlineLevel="0" collapsed="false">
      <c r="A1951" s="22" t="n">
        <v>46309</v>
      </c>
      <c r="B1951" s="0" t="n">
        <v>8</v>
      </c>
      <c r="C1951" s="0" t="n">
        <v>6393</v>
      </c>
      <c r="E1951" s="0" t="n">
        <v>0</v>
      </c>
      <c r="F1951" s="23" t="s">
        <v>1084</v>
      </c>
      <c r="I1951" s="23" t="s">
        <v>92</v>
      </c>
      <c r="L1951" s="0" t="n">
        <v>175</v>
      </c>
      <c r="U1951" s="0" t="n">
        <v>576</v>
      </c>
      <c r="V1951" s="0" t="n">
        <v>1</v>
      </c>
      <c r="W1951" s="0" t="str">
        <f aca="false">IF(OR(AND(B1951&gt;=1,B1951&lt;=6),B1951=10),"Vaca em lactação",IF(I1951="Male","Macho",IF(E1951&gt;=1,"Vaca seca",IF(I1951="Youngstock","Bezerra/recria","Novilha"))))</f>
        <v>Novilha</v>
      </c>
      <c r="X1951" s="0" t="str">
        <f aca="false">IF(AND(B1951&gt;=1,B1951&lt;=6),"Tanque",IF(B1951=10,"Descarte",""))</f>
        <v/>
      </c>
    </row>
    <row r="1952" customFormat="false" ht="15" hidden="false" customHeight="false" outlineLevel="0" collapsed="false">
      <c r="A1952" s="22" t="n">
        <v>46309</v>
      </c>
      <c r="B1952" s="0" t="n">
        <v>8</v>
      </c>
      <c r="C1952" s="0" t="n">
        <v>6359</v>
      </c>
      <c r="E1952" s="0" t="n">
        <v>0</v>
      </c>
      <c r="F1952" s="23" t="s">
        <v>1085</v>
      </c>
      <c r="I1952" s="23" t="s">
        <v>92</v>
      </c>
      <c r="L1952" s="0" t="n">
        <v>160</v>
      </c>
      <c r="U1952" s="0" t="n">
        <v>587</v>
      </c>
      <c r="V1952" s="0" t="n">
        <v>2</v>
      </c>
      <c r="W1952" s="0" t="str">
        <f aca="false">IF(OR(AND(B1952&gt;=1,B1952&lt;=6),B1952=10),"Vaca em lactação",IF(I1952="Male","Macho",IF(E1952&gt;=1,"Vaca seca",IF(I1952="Youngstock","Bezerra/recria","Novilha"))))</f>
        <v>Novilha</v>
      </c>
      <c r="X1952" s="0" t="str">
        <f aca="false">IF(AND(B1952&gt;=1,B1952&lt;=6),"Tanque",IF(B1952=10,"Descarte",""))</f>
        <v/>
      </c>
    </row>
    <row r="1953" customFormat="false" ht="15" hidden="false" customHeight="false" outlineLevel="0" collapsed="false">
      <c r="A1953" s="22" t="n">
        <v>46309</v>
      </c>
      <c r="B1953" s="0" t="n">
        <v>8</v>
      </c>
      <c r="C1953" s="0" t="n">
        <v>6363</v>
      </c>
      <c r="E1953" s="0" t="n">
        <v>0</v>
      </c>
      <c r="F1953" s="23" t="s">
        <v>1085</v>
      </c>
      <c r="I1953" s="23" t="s">
        <v>92</v>
      </c>
      <c r="L1953" s="0" t="n">
        <v>190</v>
      </c>
      <c r="U1953" s="0" t="n">
        <v>587</v>
      </c>
      <c r="V1953" s="0" t="n">
        <v>1</v>
      </c>
      <c r="W1953" s="0" t="str">
        <f aca="false">IF(OR(AND(B1953&gt;=1,B1953&lt;=6),B1953=10),"Vaca em lactação",IF(I1953="Male","Macho",IF(E1953&gt;=1,"Vaca seca",IF(I1953="Youngstock","Bezerra/recria","Novilha"))))</f>
        <v>Novilha</v>
      </c>
      <c r="X1953" s="0" t="str">
        <f aca="false">IF(AND(B1953&gt;=1,B1953&lt;=6),"Tanque",IF(B1953=10,"Descarte",""))</f>
        <v/>
      </c>
    </row>
    <row r="1954" customFormat="false" ht="15" hidden="false" customHeight="false" outlineLevel="0" collapsed="false">
      <c r="A1954" s="22" t="n">
        <v>46309</v>
      </c>
      <c r="B1954" s="0" t="n">
        <v>8</v>
      </c>
      <c r="C1954" s="0" t="n">
        <v>6362</v>
      </c>
      <c r="E1954" s="0" t="n">
        <v>0</v>
      </c>
      <c r="F1954" s="23" t="s">
        <v>1085</v>
      </c>
      <c r="I1954" s="23" t="s">
        <v>92</v>
      </c>
      <c r="L1954" s="0" t="n">
        <v>184</v>
      </c>
      <c r="U1954" s="0" t="n">
        <v>587</v>
      </c>
      <c r="V1954" s="0" t="n">
        <v>1</v>
      </c>
      <c r="W1954" s="0" t="str">
        <f aca="false">IF(OR(AND(B1954&gt;=1,B1954&lt;=6),B1954=10),"Vaca em lactação",IF(I1954="Male","Macho",IF(E1954&gt;=1,"Vaca seca",IF(I1954="Youngstock","Bezerra/recria","Novilha"))))</f>
        <v>Novilha</v>
      </c>
      <c r="X1954" s="0" t="str">
        <f aca="false">IF(AND(B1954&gt;=1,B1954&lt;=6),"Tanque",IF(B1954=10,"Descarte",""))</f>
        <v/>
      </c>
    </row>
    <row r="1955" customFormat="false" ht="15" hidden="false" customHeight="false" outlineLevel="0" collapsed="false">
      <c r="A1955" s="22" t="n">
        <v>46309</v>
      </c>
      <c r="B1955" s="0" t="n">
        <v>8</v>
      </c>
      <c r="C1955" s="0" t="n">
        <v>6361</v>
      </c>
      <c r="E1955" s="0" t="n">
        <v>0</v>
      </c>
      <c r="F1955" s="23" t="s">
        <v>1085</v>
      </c>
      <c r="I1955" s="23" t="s">
        <v>92</v>
      </c>
      <c r="L1955" s="0" t="n">
        <v>147</v>
      </c>
      <c r="U1955" s="0" t="n">
        <v>587</v>
      </c>
      <c r="V1955" s="0" t="n">
        <v>1</v>
      </c>
      <c r="W1955" s="0" t="str">
        <f aca="false">IF(OR(AND(B1955&gt;=1,B1955&lt;=6),B1955=10),"Vaca em lactação",IF(I1955="Male","Macho",IF(E1955&gt;=1,"Vaca seca",IF(I1955="Youngstock","Bezerra/recria","Novilha"))))</f>
        <v>Novilha</v>
      </c>
      <c r="X1955" s="0" t="str">
        <f aca="false">IF(AND(B1955&gt;=1,B1955&lt;=6),"Tanque",IF(B1955=10,"Descarte",""))</f>
        <v/>
      </c>
    </row>
    <row r="1956" customFormat="false" ht="15" hidden="false" customHeight="false" outlineLevel="0" collapsed="false">
      <c r="A1956" s="22" t="n">
        <v>46309</v>
      </c>
      <c r="B1956" s="0" t="n">
        <v>8</v>
      </c>
      <c r="C1956" s="0" t="n">
        <v>6360</v>
      </c>
      <c r="E1956" s="0" t="n">
        <v>0</v>
      </c>
      <c r="F1956" s="23" t="s">
        <v>1085</v>
      </c>
      <c r="I1956" s="23" t="s">
        <v>92</v>
      </c>
      <c r="L1956" s="0" t="n">
        <v>122</v>
      </c>
      <c r="U1956" s="0" t="n">
        <v>587</v>
      </c>
      <c r="V1956" s="0" t="n">
        <v>4</v>
      </c>
      <c r="W1956" s="0" t="str">
        <f aca="false">IF(OR(AND(B1956&gt;=1,B1956&lt;=6),B1956=10),"Vaca em lactação",IF(I1956="Male","Macho",IF(E1956&gt;=1,"Vaca seca",IF(I1956="Youngstock","Bezerra/recria","Novilha"))))</f>
        <v>Novilha</v>
      </c>
      <c r="X1956" s="0" t="str">
        <f aca="false">IF(AND(B1956&gt;=1,B1956&lt;=6),"Tanque",IF(B1956=10,"Descarte",""))</f>
        <v/>
      </c>
    </row>
    <row r="1957" customFormat="false" ht="15" hidden="false" customHeight="false" outlineLevel="0" collapsed="false">
      <c r="A1957" s="22" t="n">
        <v>46309</v>
      </c>
      <c r="B1957" s="0" t="n">
        <v>8</v>
      </c>
      <c r="C1957" s="0" t="n">
        <v>6367</v>
      </c>
      <c r="E1957" s="0" t="n">
        <v>0</v>
      </c>
      <c r="F1957" s="23" t="s">
        <v>1086</v>
      </c>
      <c r="I1957" s="23" t="s">
        <v>92</v>
      </c>
      <c r="L1957" s="0" t="n">
        <v>169</v>
      </c>
      <c r="U1957" s="0" t="n">
        <v>585</v>
      </c>
      <c r="V1957" s="0" t="n">
        <v>2</v>
      </c>
      <c r="W1957" s="0" t="str">
        <f aca="false">IF(OR(AND(B1957&gt;=1,B1957&lt;=6),B1957=10),"Vaca em lactação",IF(I1957="Male","Macho",IF(E1957&gt;=1,"Vaca seca",IF(I1957="Youngstock","Bezerra/recria","Novilha"))))</f>
        <v>Novilha</v>
      </c>
      <c r="X1957" s="0" t="str">
        <f aca="false">IF(AND(B1957&gt;=1,B1957&lt;=6),"Tanque",IF(B1957=10,"Descarte",""))</f>
        <v/>
      </c>
    </row>
    <row r="1958" customFormat="false" ht="15" hidden="false" customHeight="false" outlineLevel="0" collapsed="false">
      <c r="A1958" s="22" t="n">
        <v>46309</v>
      </c>
      <c r="B1958" s="0" t="n">
        <v>8</v>
      </c>
      <c r="C1958" s="0" t="n">
        <v>6366</v>
      </c>
      <c r="E1958" s="0" t="n">
        <v>0</v>
      </c>
      <c r="F1958" s="23" t="s">
        <v>1086</v>
      </c>
      <c r="I1958" s="23" t="s">
        <v>92</v>
      </c>
      <c r="L1958" s="0" t="n">
        <v>182</v>
      </c>
      <c r="U1958" s="0" t="n">
        <v>585</v>
      </c>
      <c r="V1958" s="0" t="n">
        <v>1</v>
      </c>
      <c r="W1958" s="0" t="str">
        <f aca="false">IF(OR(AND(B1958&gt;=1,B1958&lt;=6),B1958=10),"Vaca em lactação",IF(I1958="Male","Macho",IF(E1958&gt;=1,"Vaca seca",IF(I1958="Youngstock","Bezerra/recria","Novilha"))))</f>
        <v>Novilha</v>
      </c>
      <c r="X1958" s="0" t="str">
        <f aca="false">IF(AND(B1958&gt;=1,B1958&lt;=6),"Tanque",IF(B1958=10,"Descarte",""))</f>
        <v/>
      </c>
    </row>
    <row r="1959" customFormat="false" ht="15" hidden="false" customHeight="false" outlineLevel="0" collapsed="false">
      <c r="A1959" s="22" t="n">
        <v>46309</v>
      </c>
      <c r="B1959" s="0" t="n">
        <v>8</v>
      </c>
      <c r="C1959" s="0" t="n">
        <v>6365</v>
      </c>
      <c r="E1959" s="0" t="n">
        <v>0</v>
      </c>
      <c r="F1959" s="23" t="s">
        <v>1087</v>
      </c>
      <c r="I1959" s="23" t="s">
        <v>92</v>
      </c>
      <c r="L1959" s="0" t="n">
        <v>192</v>
      </c>
      <c r="U1959" s="0" t="n">
        <v>586</v>
      </c>
      <c r="V1959" s="0" t="n">
        <v>1</v>
      </c>
      <c r="W1959" s="0" t="str">
        <f aca="false">IF(OR(AND(B1959&gt;=1,B1959&lt;=6),B1959=10),"Vaca em lactação",IF(I1959="Male","Macho",IF(E1959&gt;=1,"Vaca seca",IF(I1959="Youngstock","Bezerra/recria","Novilha"))))</f>
        <v>Novilha</v>
      </c>
      <c r="X1959" s="0" t="str">
        <f aca="false">IF(AND(B1959&gt;=1,B1959&lt;=6),"Tanque",IF(B1959=10,"Descarte",""))</f>
        <v/>
      </c>
    </row>
    <row r="1960" customFormat="false" ht="15" hidden="false" customHeight="false" outlineLevel="0" collapsed="false">
      <c r="A1960" s="22" t="n">
        <v>46309</v>
      </c>
      <c r="B1960" s="0" t="n">
        <v>8</v>
      </c>
      <c r="C1960" s="0" t="n">
        <v>6364</v>
      </c>
      <c r="E1960" s="0" t="n">
        <v>0</v>
      </c>
      <c r="F1960" s="23" t="s">
        <v>1087</v>
      </c>
      <c r="I1960" s="23" t="s">
        <v>92</v>
      </c>
      <c r="L1960" s="0" t="n">
        <v>182</v>
      </c>
      <c r="U1960" s="0" t="n">
        <v>586</v>
      </c>
      <c r="V1960" s="0" t="n">
        <v>1</v>
      </c>
      <c r="W1960" s="0" t="str">
        <f aca="false">IF(OR(AND(B1960&gt;=1,B1960&lt;=6),B1960=10),"Vaca em lactação",IF(I1960="Male","Macho",IF(E1960&gt;=1,"Vaca seca",IF(I1960="Youngstock","Bezerra/recria","Novilha"))))</f>
        <v>Novilha</v>
      </c>
      <c r="X1960" s="0" t="str">
        <f aca="false">IF(AND(B1960&gt;=1,B1960&lt;=6),"Tanque",IF(B1960=10,"Descarte",""))</f>
        <v/>
      </c>
    </row>
    <row r="1961" customFormat="false" ht="15" hidden="false" customHeight="false" outlineLevel="0" collapsed="false">
      <c r="A1961" s="22" t="n">
        <v>46309</v>
      </c>
      <c r="B1961" s="0" t="n">
        <v>8</v>
      </c>
      <c r="C1961" s="0" t="n">
        <v>6369</v>
      </c>
      <c r="E1961" s="0" t="n">
        <v>0</v>
      </c>
      <c r="F1961" s="23" t="s">
        <v>1078</v>
      </c>
      <c r="I1961" s="23" t="s">
        <v>92</v>
      </c>
      <c r="L1961" s="0" t="n">
        <v>181</v>
      </c>
      <c r="U1961" s="0" t="n">
        <v>584</v>
      </c>
      <c r="V1961" s="0" t="n">
        <v>1</v>
      </c>
      <c r="W1961" s="0" t="str">
        <f aca="false">IF(OR(AND(B1961&gt;=1,B1961&lt;=6),B1961=10),"Vaca em lactação",IF(I1961="Male","Macho",IF(E1961&gt;=1,"Vaca seca",IF(I1961="Youngstock","Bezerra/recria","Novilha"))))</f>
        <v>Novilha</v>
      </c>
      <c r="X1961" s="0" t="str">
        <f aca="false">IF(AND(B1961&gt;=1,B1961&lt;=6),"Tanque",IF(B1961=10,"Descarte",""))</f>
        <v/>
      </c>
    </row>
    <row r="1962" customFormat="false" ht="15" hidden="false" customHeight="false" outlineLevel="0" collapsed="false">
      <c r="A1962" s="22" t="n">
        <v>46309</v>
      </c>
      <c r="B1962" s="0" t="n">
        <v>8</v>
      </c>
      <c r="C1962" s="0" t="n">
        <v>6368</v>
      </c>
      <c r="E1962" s="0" t="n">
        <v>0</v>
      </c>
      <c r="F1962" s="23" t="s">
        <v>1086</v>
      </c>
      <c r="I1962" s="23" t="s">
        <v>92</v>
      </c>
      <c r="L1962" s="0" t="n">
        <v>170</v>
      </c>
      <c r="U1962" s="0" t="n">
        <v>585</v>
      </c>
      <c r="V1962" s="0" t="n">
        <v>2</v>
      </c>
      <c r="W1962" s="0" t="str">
        <f aca="false">IF(OR(AND(B1962&gt;=1,B1962&lt;=6),B1962=10),"Vaca em lactação",IF(I1962="Male","Macho",IF(E1962&gt;=1,"Vaca seca",IF(I1962="Youngstock","Bezerra/recria","Novilha"))))</f>
        <v>Novilha</v>
      </c>
      <c r="X1962" s="0" t="str">
        <f aca="false">IF(AND(B1962&gt;=1,B1962&lt;=6),"Tanque",IF(B1962=10,"Descarte",""))</f>
        <v/>
      </c>
    </row>
    <row r="1963" customFormat="false" ht="15" hidden="false" customHeight="false" outlineLevel="0" collapsed="false">
      <c r="A1963" s="22" t="n">
        <v>46309</v>
      </c>
      <c r="B1963" s="0" t="n">
        <v>8</v>
      </c>
      <c r="C1963" s="0" t="n">
        <v>6373</v>
      </c>
      <c r="E1963" s="0" t="n">
        <v>0</v>
      </c>
      <c r="F1963" s="23" t="s">
        <v>1088</v>
      </c>
      <c r="I1963" s="23" t="s">
        <v>92</v>
      </c>
      <c r="L1963" s="0" t="n">
        <v>180</v>
      </c>
      <c r="U1963" s="0" t="n">
        <v>583</v>
      </c>
      <c r="V1963" s="0" t="n">
        <v>1</v>
      </c>
      <c r="W1963" s="0" t="str">
        <f aca="false">IF(OR(AND(B1963&gt;=1,B1963&lt;=6),B1963=10),"Vaca em lactação",IF(I1963="Male","Macho",IF(E1963&gt;=1,"Vaca seca",IF(I1963="Youngstock","Bezerra/recria","Novilha"))))</f>
        <v>Novilha</v>
      </c>
      <c r="X1963" s="0" t="str">
        <f aca="false">IF(AND(B1963&gt;=1,B1963&lt;=6),"Tanque",IF(B1963=10,"Descarte",""))</f>
        <v/>
      </c>
    </row>
    <row r="1964" customFormat="false" ht="15" hidden="false" customHeight="false" outlineLevel="0" collapsed="false">
      <c r="A1964" s="22" t="n">
        <v>46309</v>
      </c>
      <c r="B1964" s="0" t="n">
        <v>8</v>
      </c>
      <c r="C1964" s="0" t="n">
        <v>6339</v>
      </c>
      <c r="E1964" s="0" t="n">
        <v>0</v>
      </c>
      <c r="F1964" s="23" t="s">
        <v>1089</v>
      </c>
      <c r="I1964" s="23" t="s">
        <v>92</v>
      </c>
      <c r="L1964" s="0" t="n">
        <v>176</v>
      </c>
      <c r="U1964" s="0" t="n">
        <v>594</v>
      </c>
      <c r="V1964" s="0" t="n">
        <v>2</v>
      </c>
      <c r="W1964" s="0" t="str">
        <f aca="false">IF(OR(AND(B1964&gt;=1,B1964&lt;=6),B1964=10),"Vaca em lactação",IF(I1964="Male","Macho",IF(E1964&gt;=1,"Vaca seca",IF(I1964="Youngstock","Bezerra/recria","Novilha"))))</f>
        <v>Novilha</v>
      </c>
      <c r="X1964" s="0" t="str">
        <f aca="false">IF(AND(B1964&gt;=1,B1964&lt;=6),"Tanque",IF(B1964=10,"Descarte",""))</f>
        <v/>
      </c>
    </row>
    <row r="1965" customFormat="false" ht="15" hidden="false" customHeight="false" outlineLevel="0" collapsed="false">
      <c r="A1965" s="22" t="n">
        <v>46309</v>
      </c>
      <c r="B1965" s="0" t="n">
        <v>8</v>
      </c>
      <c r="C1965" s="0" t="n">
        <v>6340</v>
      </c>
      <c r="E1965" s="0" t="n">
        <v>0</v>
      </c>
      <c r="F1965" s="23" t="s">
        <v>1089</v>
      </c>
      <c r="I1965" s="23" t="s">
        <v>92</v>
      </c>
      <c r="L1965" s="0" t="n">
        <v>62</v>
      </c>
      <c r="U1965" s="0" t="n">
        <v>594</v>
      </c>
      <c r="V1965" s="0" t="n">
        <v>4</v>
      </c>
      <c r="W1965" s="0" t="str">
        <f aca="false">IF(OR(AND(B1965&gt;=1,B1965&lt;=6),B1965=10),"Vaca em lactação",IF(I1965="Male","Macho",IF(E1965&gt;=1,"Vaca seca",IF(I1965="Youngstock","Bezerra/recria","Novilha"))))</f>
        <v>Novilha</v>
      </c>
      <c r="X1965" s="0" t="str">
        <f aca="false">IF(AND(B1965&gt;=1,B1965&lt;=6),"Tanque",IF(B1965=10,"Descarte",""))</f>
        <v/>
      </c>
    </row>
    <row r="1966" customFormat="false" ht="15" hidden="false" customHeight="false" outlineLevel="0" collapsed="false">
      <c r="A1966" s="22" t="n">
        <v>46309</v>
      </c>
      <c r="B1966" s="0" t="n">
        <v>8</v>
      </c>
      <c r="C1966" s="0" t="n">
        <v>6341</v>
      </c>
      <c r="E1966" s="0" t="n">
        <v>0</v>
      </c>
      <c r="F1966" s="23" t="s">
        <v>1089</v>
      </c>
      <c r="I1966" s="23" t="s">
        <v>92</v>
      </c>
      <c r="L1966" s="0" t="n">
        <v>202</v>
      </c>
      <c r="U1966" s="0" t="n">
        <v>594</v>
      </c>
      <c r="V1966" s="0" t="n">
        <v>1</v>
      </c>
      <c r="W1966" s="0" t="str">
        <f aca="false">IF(OR(AND(B1966&gt;=1,B1966&lt;=6),B1966=10),"Vaca em lactação",IF(I1966="Male","Macho",IF(E1966&gt;=1,"Vaca seca",IF(I1966="Youngstock","Bezerra/recria","Novilha"))))</f>
        <v>Novilha</v>
      </c>
      <c r="X1966" s="0" t="str">
        <f aca="false">IF(AND(B1966&gt;=1,B1966&lt;=6),"Tanque",IF(B1966=10,"Descarte",""))</f>
        <v/>
      </c>
    </row>
    <row r="1967" customFormat="false" ht="15" hidden="false" customHeight="false" outlineLevel="0" collapsed="false">
      <c r="A1967" s="22" t="n">
        <v>46309</v>
      </c>
      <c r="B1967" s="0" t="n">
        <v>8</v>
      </c>
      <c r="C1967" s="0" t="n">
        <v>6344</v>
      </c>
      <c r="E1967" s="0" t="n">
        <v>0</v>
      </c>
      <c r="F1967" s="23" t="s">
        <v>1090</v>
      </c>
      <c r="I1967" s="23" t="s">
        <v>92</v>
      </c>
      <c r="L1967" s="0" t="n">
        <v>182</v>
      </c>
      <c r="U1967" s="0" t="n">
        <v>593</v>
      </c>
      <c r="V1967" s="0" t="n">
        <v>1</v>
      </c>
      <c r="W1967" s="0" t="str">
        <f aca="false">IF(OR(AND(B1967&gt;=1,B1967&lt;=6),B1967=10),"Vaca em lactação",IF(I1967="Male","Macho",IF(E1967&gt;=1,"Vaca seca",IF(I1967="Youngstock","Bezerra/recria","Novilha"))))</f>
        <v>Novilha</v>
      </c>
      <c r="X1967" s="0" t="str">
        <f aca="false">IF(AND(B1967&gt;=1,B1967&lt;=6),"Tanque",IF(B1967=10,"Descarte",""))</f>
        <v/>
      </c>
    </row>
    <row r="1968" customFormat="false" ht="15" hidden="false" customHeight="false" outlineLevel="0" collapsed="false">
      <c r="A1968" s="22" t="n">
        <v>46309</v>
      </c>
      <c r="B1968" s="0" t="n">
        <v>8</v>
      </c>
      <c r="C1968" s="0" t="n">
        <v>6342</v>
      </c>
      <c r="E1968" s="0" t="n">
        <v>0</v>
      </c>
      <c r="F1968" s="23" t="s">
        <v>1090</v>
      </c>
      <c r="I1968" s="23" t="s">
        <v>92</v>
      </c>
      <c r="L1968" s="0" t="n">
        <v>83</v>
      </c>
      <c r="U1968" s="0" t="n">
        <v>593</v>
      </c>
      <c r="V1968" s="0" t="n">
        <v>4</v>
      </c>
      <c r="W1968" s="0" t="str">
        <f aca="false">IF(OR(AND(B1968&gt;=1,B1968&lt;=6),B1968=10),"Vaca em lactação",IF(I1968="Male","Macho",IF(E1968&gt;=1,"Vaca seca",IF(I1968="Youngstock","Bezerra/recria","Novilha"))))</f>
        <v>Novilha</v>
      </c>
      <c r="X1968" s="0" t="str">
        <f aca="false">IF(AND(B1968&gt;=1,B1968&lt;=6),"Tanque",IF(B1968=10,"Descarte",""))</f>
        <v/>
      </c>
    </row>
    <row r="1969" customFormat="false" ht="15" hidden="false" customHeight="false" outlineLevel="0" collapsed="false">
      <c r="A1969" s="22" t="n">
        <v>46309</v>
      </c>
      <c r="B1969" s="0" t="n">
        <v>8</v>
      </c>
      <c r="C1969" s="0" t="n">
        <v>6343</v>
      </c>
      <c r="E1969" s="0" t="n">
        <v>0</v>
      </c>
      <c r="F1969" s="23" t="s">
        <v>1090</v>
      </c>
      <c r="I1969" s="23" t="s">
        <v>92</v>
      </c>
      <c r="L1969" s="0" t="n">
        <v>150</v>
      </c>
      <c r="U1969" s="0" t="n">
        <v>593</v>
      </c>
      <c r="V1969" s="0" t="n">
        <v>2</v>
      </c>
      <c r="W1969" s="0" t="str">
        <f aca="false">IF(OR(AND(B1969&gt;=1,B1969&lt;=6),B1969=10),"Vaca em lactação",IF(I1969="Male","Macho",IF(E1969&gt;=1,"Vaca seca",IF(I1969="Youngstock","Bezerra/recria","Novilha"))))</f>
        <v>Novilha</v>
      </c>
      <c r="X1969" s="0" t="str">
        <f aca="false">IF(AND(B1969&gt;=1,B1969&lt;=6),"Tanque",IF(B1969=10,"Descarte",""))</f>
        <v/>
      </c>
    </row>
    <row r="1970" customFormat="false" ht="15" hidden="false" customHeight="false" outlineLevel="0" collapsed="false">
      <c r="A1970" s="22" t="n">
        <v>46309</v>
      </c>
      <c r="B1970" s="0" t="n">
        <v>8</v>
      </c>
      <c r="C1970" s="0" t="n">
        <v>6345</v>
      </c>
      <c r="E1970" s="0" t="n">
        <v>0</v>
      </c>
      <c r="F1970" s="23" t="s">
        <v>1091</v>
      </c>
      <c r="I1970" s="23" t="s">
        <v>92</v>
      </c>
      <c r="L1970" s="0" t="n">
        <v>192</v>
      </c>
      <c r="U1970" s="0" t="n">
        <v>592</v>
      </c>
      <c r="V1970" s="0" t="n">
        <v>1</v>
      </c>
      <c r="W1970" s="0" t="str">
        <f aca="false">IF(OR(AND(B1970&gt;=1,B1970&lt;=6),B1970=10),"Vaca em lactação",IF(I1970="Male","Macho",IF(E1970&gt;=1,"Vaca seca",IF(I1970="Youngstock","Bezerra/recria","Novilha"))))</f>
        <v>Novilha</v>
      </c>
      <c r="X1970" s="0" t="str">
        <f aca="false">IF(AND(B1970&gt;=1,B1970&lt;=6),"Tanque",IF(B1970=10,"Descarte",""))</f>
        <v/>
      </c>
    </row>
    <row r="1971" customFormat="false" ht="15" hidden="false" customHeight="false" outlineLevel="0" collapsed="false">
      <c r="A1971" s="22" t="n">
        <v>46309</v>
      </c>
      <c r="B1971" s="0" t="n">
        <v>8</v>
      </c>
      <c r="C1971" s="0" t="n">
        <v>6350</v>
      </c>
      <c r="E1971" s="0" t="n">
        <v>0</v>
      </c>
      <c r="F1971" s="23" t="s">
        <v>1092</v>
      </c>
      <c r="I1971" s="23" t="s">
        <v>92</v>
      </c>
      <c r="L1971" s="0" t="n">
        <v>94</v>
      </c>
      <c r="U1971" s="0" t="n">
        <v>590</v>
      </c>
      <c r="V1971" s="0" t="n">
        <v>5</v>
      </c>
      <c r="W1971" s="0" t="str">
        <f aca="false">IF(OR(AND(B1971&gt;=1,B1971&lt;=6),B1971=10),"Vaca em lactação",IF(I1971="Male","Macho",IF(E1971&gt;=1,"Vaca seca",IF(I1971="Youngstock","Bezerra/recria","Novilha"))))</f>
        <v>Novilha</v>
      </c>
      <c r="X1971" s="0" t="str">
        <f aca="false">IF(AND(B1971&gt;=1,B1971&lt;=6),"Tanque",IF(B1971=10,"Descarte",""))</f>
        <v/>
      </c>
    </row>
    <row r="1972" customFormat="false" ht="15" hidden="false" customHeight="false" outlineLevel="0" collapsed="false">
      <c r="A1972" s="22" t="n">
        <v>46309</v>
      </c>
      <c r="B1972" s="0" t="n">
        <v>8</v>
      </c>
      <c r="C1972" s="0" t="n">
        <v>6346</v>
      </c>
      <c r="E1972" s="0" t="n">
        <v>0</v>
      </c>
      <c r="F1972" s="23" t="s">
        <v>1092</v>
      </c>
      <c r="I1972" s="23" t="s">
        <v>92</v>
      </c>
      <c r="L1972" s="0" t="n">
        <v>177</v>
      </c>
      <c r="U1972" s="0" t="n">
        <v>590</v>
      </c>
      <c r="V1972" s="0" t="n">
        <v>2</v>
      </c>
      <c r="W1972" s="0" t="str">
        <f aca="false">IF(OR(AND(B1972&gt;=1,B1972&lt;=6),B1972=10),"Vaca em lactação",IF(I1972="Male","Macho",IF(E1972&gt;=1,"Vaca seca",IF(I1972="Youngstock","Bezerra/recria","Novilha"))))</f>
        <v>Novilha</v>
      </c>
      <c r="X1972" s="0" t="str">
        <f aca="false">IF(AND(B1972&gt;=1,B1972&lt;=6),"Tanque",IF(B1972=10,"Descarte",""))</f>
        <v/>
      </c>
    </row>
    <row r="1973" customFormat="false" ht="15" hidden="false" customHeight="false" outlineLevel="0" collapsed="false">
      <c r="A1973" s="22" t="n">
        <v>46309</v>
      </c>
      <c r="B1973" s="0" t="n">
        <v>8</v>
      </c>
      <c r="C1973" s="0" t="n">
        <v>6347</v>
      </c>
      <c r="E1973" s="0" t="n">
        <v>0</v>
      </c>
      <c r="F1973" s="23" t="s">
        <v>1092</v>
      </c>
      <c r="I1973" s="23" t="s">
        <v>92</v>
      </c>
      <c r="L1973" s="0" t="n">
        <v>188</v>
      </c>
      <c r="U1973" s="0" t="n">
        <v>590</v>
      </c>
      <c r="V1973" s="0" t="n">
        <v>1</v>
      </c>
      <c r="W1973" s="0" t="str">
        <f aca="false">IF(OR(AND(B1973&gt;=1,B1973&lt;=6),B1973=10),"Vaca em lactação",IF(I1973="Male","Macho",IF(E1973&gt;=1,"Vaca seca",IF(I1973="Youngstock","Bezerra/recria","Novilha"))))</f>
        <v>Novilha</v>
      </c>
      <c r="X1973" s="0" t="str">
        <f aca="false">IF(AND(B1973&gt;=1,B1973&lt;=6),"Tanque",IF(B1973=10,"Descarte",""))</f>
        <v/>
      </c>
    </row>
    <row r="1974" customFormat="false" ht="15" hidden="false" customHeight="false" outlineLevel="0" collapsed="false">
      <c r="A1974" s="22" t="n">
        <v>46309</v>
      </c>
      <c r="B1974" s="0" t="n">
        <v>8</v>
      </c>
      <c r="C1974" s="0" t="n">
        <v>6348</v>
      </c>
      <c r="E1974" s="0" t="n">
        <v>0</v>
      </c>
      <c r="F1974" s="23" t="s">
        <v>1092</v>
      </c>
      <c r="I1974" s="23" t="s">
        <v>92</v>
      </c>
      <c r="L1974" s="0" t="n">
        <v>163</v>
      </c>
      <c r="U1974" s="0" t="n">
        <v>590</v>
      </c>
      <c r="V1974" s="0" t="n">
        <v>2</v>
      </c>
      <c r="W1974" s="0" t="str">
        <f aca="false">IF(OR(AND(B1974&gt;=1,B1974&lt;=6),B1974=10),"Vaca em lactação",IF(I1974="Male","Macho",IF(E1974&gt;=1,"Vaca seca",IF(I1974="Youngstock","Bezerra/recria","Novilha"))))</f>
        <v>Novilha</v>
      </c>
      <c r="X1974" s="0" t="str">
        <f aca="false">IF(AND(B1974&gt;=1,B1974&lt;=6),"Tanque",IF(B1974=10,"Descarte",""))</f>
        <v/>
      </c>
    </row>
    <row r="1975" customFormat="false" ht="15" hidden="false" customHeight="false" outlineLevel="0" collapsed="false">
      <c r="A1975" s="22" t="n">
        <v>46309</v>
      </c>
      <c r="B1975" s="0" t="n">
        <v>8</v>
      </c>
      <c r="C1975" s="0" t="n">
        <v>6349</v>
      </c>
      <c r="E1975" s="0" t="n">
        <v>0</v>
      </c>
      <c r="F1975" s="23" t="s">
        <v>1092</v>
      </c>
      <c r="I1975" s="23" t="s">
        <v>92</v>
      </c>
      <c r="L1975" s="0" t="n">
        <v>133</v>
      </c>
      <c r="U1975" s="0" t="n">
        <v>590</v>
      </c>
      <c r="V1975" s="0" t="n">
        <v>3</v>
      </c>
      <c r="W1975" s="0" t="str">
        <f aca="false">IF(OR(AND(B1975&gt;=1,B1975&lt;=6),B1975=10),"Vaca em lactação",IF(I1975="Male","Macho",IF(E1975&gt;=1,"Vaca seca",IF(I1975="Youngstock","Bezerra/recria","Novilha"))))</f>
        <v>Novilha</v>
      </c>
      <c r="X1975" s="0" t="str">
        <f aca="false">IF(AND(B1975&gt;=1,B1975&lt;=6),"Tanque",IF(B1975=10,"Descarte",""))</f>
        <v/>
      </c>
    </row>
    <row r="1976" customFormat="false" ht="15" hidden="false" customHeight="false" outlineLevel="0" collapsed="false">
      <c r="A1976" s="22" t="n">
        <v>46309</v>
      </c>
      <c r="B1976" s="0" t="n">
        <v>8</v>
      </c>
      <c r="C1976" s="0" t="n">
        <v>6353</v>
      </c>
      <c r="E1976" s="0" t="n">
        <v>0</v>
      </c>
      <c r="F1976" s="23" t="s">
        <v>1092</v>
      </c>
      <c r="I1976" s="23" t="s">
        <v>92</v>
      </c>
      <c r="L1976" s="0" t="n">
        <v>133</v>
      </c>
      <c r="U1976" s="0" t="n">
        <v>590</v>
      </c>
      <c r="V1976" s="0" t="n">
        <v>2</v>
      </c>
      <c r="W1976" s="0" t="str">
        <f aca="false">IF(OR(AND(B1976&gt;=1,B1976&lt;=6),B1976=10),"Vaca em lactação",IF(I1976="Male","Macho",IF(E1976&gt;=1,"Vaca seca",IF(I1976="Youngstock","Bezerra/recria","Novilha"))))</f>
        <v>Novilha</v>
      </c>
      <c r="X1976" s="0" t="str">
        <f aca="false">IF(AND(B1976&gt;=1,B1976&lt;=6),"Tanque",IF(B1976=10,"Descarte",""))</f>
        <v/>
      </c>
    </row>
    <row r="1977" customFormat="false" ht="15" hidden="false" customHeight="false" outlineLevel="0" collapsed="false">
      <c r="A1977" s="22" t="n">
        <v>46309</v>
      </c>
      <c r="B1977" s="0" t="n">
        <v>8</v>
      </c>
      <c r="C1977" s="0" t="n">
        <v>6358</v>
      </c>
      <c r="E1977" s="0" t="n">
        <v>0</v>
      </c>
      <c r="F1977" s="23" t="s">
        <v>1093</v>
      </c>
      <c r="I1977" s="23" t="s">
        <v>92</v>
      </c>
      <c r="L1977" s="0" t="n">
        <v>182</v>
      </c>
      <c r="U1977" s="0" t="n">
        <v>589</v>
      </c>
      <c r="V1977" s="0" t="n">
        <v>1</v>
      </c>
      <c r="W1977" s="0" t="str">
        <f aca="false">IF(OR(AND(B1977&gt;=1,B1977&lt;=6),B1977=10),"Vaca em lactação",IF(I1977="Male","Macho",IF(E1977&gt;=1,"Vaca seca",IF(I1977="Youngstock","Bezerra/recria","Novilha"))))</f>
        <v>Novilha</v>
      </c>
      <c r="X1977" s="0" t="str">
        <f aca="false">IF(AND(B1977&gt;=1,B1977&lt;=6),"Tanque",IF(B1977=10,"Descarte",""))</f>
        <v/>
      </c>
    </row>
    <row r="1978" customFormat="false" ht="15" hidden="false" customHeight="false" outlineLevel="0" collapsed="false">
      <c r="A1978" s="22" t="n">
        <v>46309</v>
      </c>
      <c r="B1978" s="0" t="n">
        <v>8</v>
      </c>
      <c r="C1978" s="0" t="n">
        <v>6357</v>
      </c>
      <c r="E1978" s="0" t="n">
        <v>0</v>
      </c>
      <c r="F1978" s="23" t="s">
        <v>1093</v>
      </c>
      <c r="I1978" s="23" t="s">
        <v>92</v>
      </c>
      <c r="L1978" s="0" t="n">
        <v>184</v>
      </c>
      <c r="U1978" s="0" t="n">
        <v>589</v>
      </c>
      <c r="V1978" s="0" t="n">
        <v>1</v>
      </c>
      <c r="W1978" s="0" t="str">
        <f aca="false">IF(OR(AND(B1978&gt;=1,B1978&lt;=6),B1978=10),"Vaca em lactação",IF(I1978="Male","Macho",IF(E1978&gt;=1,"Vaca seca",IF(I1978="Youngstock","Bezerra/recria","Novilha"))))</f>
        <v>Novilha</v>
      </c>
      <c r="X1978" s="0" t="str">
        <f aca="false">IF(AND(B1978&gt;=1,B1978&lt;=6),"Tanque",IF(B1978=10,"Descarte",""))</f>
        <v/>
      </c>
    </row>
    <row r="1979" customFormat="false" ht="15" hidden="false" customHeight="false" outlineLevel="0" collapsed="false">
      <c r="A1979" s="22" t="n">
        <v>46309</v>
      </c>
      <c r="B1979" s="0" t="n">
        <v>8</v>
      </c>
      <c r="C1979" s="0" t="n">
        <v>6356</v>
      </c>
      <c r="E1979" s="0" t="n">
        <v>0</v>
      </c>
      <c r="F1979" s="23" t="s">
        <v>1092</v>
      </c>
      <c r="I1979" s="23" t="s">
        <v>92</v>
      </c>
      <c r="L1979" s="0" t="n">
        <v>150</v>
      </c>
      <c r="U1979" s="0" t="n">
        <v>590</v>
      </c>
      <c r="V1979" s="0" t="n">
        <v>2</v>
      </c>
      <c r="W1979" s="0" t="str">
        <f aca="false">IF(OR(AND(B1979&gt;=1,B1979&lt;=6),B1979=10),"Vaca em lactação",IF(I1979="Male","Macho",IF(E1979&gt;=1,"Vaca seca",IF(I1979="Youngstock","Bezerra/recria","Novilha"))))</f>
        <v>Novilha</v>
      </c>
      <c r="X1979" s="0" t="str">
        <f aca="false">IF(AND(B1979&gt;=1,B1979&lt;=6),"Tanque",IF(B1979=10,"Descarte",""))</f>
        <v/>
      </c>
    </row>
    <row r="1980" customFormat="false" ht="15" hidden="false" customHeight="false" outlineLevel="0" collapsed="false">
      <c r="A1980" s="22" t="n">
        <v>46309</v>
      </c>
      <c r="B1980" s="0" t="n">
        <v>8</v>
      </c>
      <c r="C1980" s="0" t="n">
        <v>6355</v>
      </c>
      <c r="E1980" s="0" t="n">
        <v>0</v>
      </c>
      <c r="F1980" s="23" t="s">
        <v>1092</v>
      </c>
      <c r="I1980" s="23" t="s">
        <v>92</v>
      </c>
      <c r="L1980" s="0" t="n">
        <v>191</v>
      </c>
      <c r="U1980" s="0" t="n">
        <v>590</v>
      </c>
      <c r="V1980" s="0" t="n">
        <v>1</v>
      </c>
      <c r="W1980" s="0" t="str">
        <f aca="false">IF(OR(AND(B1980&gt;=1,B1980&lt;=6),B1980=10),"Vaca em lactação",IF(I1980="Male","Macho",IF(E1980&gt;=1,"Vaca seca",IF(I1980="Youngstock","Bezerra/recria","Novilha"))))</f>
        <v>Novilha</v>
      </c>
      <c r="X1980" s="0" t="str">
        <f aca="false">IF(AND(B1980&gt;=1,B1980&lt;=6),"Tanque",IF(B1980=10,"Descarte",""))</f>
        <v/>
      </c>
    </row>
    <row r="1981" customFormat="false" ht="15" hidden="false" customHeight="false" outlineLevel="0" collapsed="false">
      <c r="A1981" s="22" t="n">
        <v>46309</v>
      </c>
      <c r="B1981" s="0" t="n">
        <v>8</v>
      </c>
      <c r="C1981" s="0" t="n">
        <v>6351</v>
      </c>
      <c r="E1981" s="0" t="n">
        <v>0</v>
      </c>
      <c r="F1981" s="23" t="s">
        <v>1092</v>
      </c>
      <c r="I1981" s="23" t="s">
        <v>92</v>
      </c>
      <c r="L1981" s="0" t="n">
        <v>163</v>
      </c>
      <c r="U1981" s="0" t="n">
        <v>590</v>
      </c>
      <c r="V1981" s="0" t="n">
        <v>2</v>
      </c>
      <c r="W1981" s="0" t="str">
        <f aca="false">IF(OR(AND(B1981&gt;=1,B1981&lt;=6),B1981=10),"Vaca em lactação",IF(I1981="Male","Macho",IF(E1981&gt;=1,"Vaca seca",IF(I1981="Youngstock","Bezerra/recria","Novilha"))))</f>
        <v>Novilha</v>
      </c>
      <c r="X1981" s="0" t="str">
        <f aca="false">IF(AND(B1981&gt;=1,B1981&lt;=6),"Tanque",IF(B1981=10,"Descarte",""))</f>
        <v/>
      </c>
    </row>
    <row r="1982" customFormat="false" ht="15" hidden="false" customHeight="false" outlineLevel="0" collapsed="false">
      <c r="A1982" s="22" t="n">
        <v>46309</v>
      </c>
      <c r="B1982" s="0" t="n">
        <v>8</v>
      </c>
      <c r="C1982" s="0" t="n">
        <v>6477</v>
      </c>
      <c r="E1982" s="0" t="n">
        <v>0</v>
      </c>
      <c r="F1982" s="23" t="s">
        <v>1094</v>
      </c>
      <c r="I1982" s="23" t="s">
        <v>92</v>
      </c>
      <c r="L1982" s="0" t="n">
        <v>146</v>
      </c>
      <c r="U1982" s="0" t="n">
        <v>545</v>
      </c>
      <c r="V1982" s="0" t="n">
        <v>1</v>
      </c>
      <c r="W1982" s="0" t="str">
        <f aca="false">IF(OR(AND(B1982&gt;=1,B1982&lt;=6),B1982=10),"Vaca em lactação",IF(I1982="Male","Macho",IF(E1982&gt;=1,"Vaca seca",IF(I1982="Youngstock","Bezerra/recria","Novilha"))))</f>
        <v>Novilha</v>
      </c>
      <c r="X1982" s="0" t="str">
        <f aca="false">IF(AND(B1982&gt;=1,B1982&lt;=6),"Tanque",IF(B1982=10,"Descarte",""))</f>
        <v/>
      </c>
    </row>
    <row r="1983" customFormat="false" ht="15" hidden="false" customHeight="false" outlineLevel="0" collapsed="false">
      <c r="A1983" s="22" t="n">
        <v>46309</v>
      </c>
      <c r="B1983" s="0" t="n">
        <v>8</v>
      </c>
      <c r="C1983" s="0" t="n">
        <v>6473</v>
      </c>
      <c r="E1983" s="0" t="n">
        <v>0</v>
      </c>
      <c r="F1983" s="23" t="s">
        <v>1094</v>
      </c>
      <c r="I1983" s="23" t="s">
        <v>92</v>
      </c>
      <c r="L1983" s="0" t="n">
        <v>153</v>
      </c>
      <c r="U1983" s="0" t="n">
        <v>545</v>
      </c>
      <c r="V1983" s="0" t="n">
        <v>1</v>
      </c>
      <c r="W1983" s="0" t="str">
        <f aca="false">IF(OR(AND(B1983&gt;=1,B1983&lt;=6),B1983=10),"Vaca em lactação",IF(I1983="Male","Macho",IF(E1983&gt;=1,"Vaca seca",IF(I1983="Youngstock","Bezerra/recria","Novilha"))))</f>
        <v>Novilha</v>
      </c>
      <c r="X1983" s="0" t="str">
        <f aca="false">IF(AND(B1983&gt;=1,B1983&lt;=6),"Tanque",IF(B1983=10,"Descarte",""))</f>
        <v/>
      </c>
    </row>
    <row r="1984" customFormat="false" ht="15" hidden="false" customHeight="false" outlineLevel="0" collapsed="false">
      <c r="A1984" s="22" t="n">
        <v>46309</v>
      </c>
      <c r="B1984" s="0" t="n">
        <v>8</v>
      </c>
      <c r="C1984" s="0" t="n">
        <v>6474</v>
      </c>
      <c r="E1984" s="0" t="n">
        <v>0</v>
      </c>
      <c r="F1984" s="23" t="s">
        <v>1094</v>
      </c>
      <c r="I1984" s="23" t="s">
        <v>92</v>
      </c>
      <c r="L1984" s="0" t="n">
        <v>140</v>
      </c>
      <c r="U1984" s="0" t="n">
        <v>545</v>
      </c>
      <c r="V1984" s="0" t="n">
        <v>1</v>
      </c>
      <c r="W1984" s="0" t="str">
        <f aca="false">IF(OR(AND(B1984&gt;=1,B1984&lt;=6),B1984=10),"Vaca em lactação",IF(I1984="Male","Macho",IF(E1984&gt;=1,"Vaca seca",IF(I1984="Youngstock","Bezerra/recria","Novilha"))))</f>
        <v>Novilha</v>
      </c>
      <c r="X1984" s="0" t="str">
        <f aca="false">IF(AND(B1984&gt;=1,B1984&lt;=6),"Tanque",IF(B1984=10,"Descarte",""))</f>
        <v/>
      </c>
    </row>
    <row r="1985" customFormat="false" ht="15" hidden="false" customHeight="false" outlineLevel="0" collapsed="false">
      <c r="A1985" s="22" t="n">
        <v>46309</v>
      </c>
      <c r="B1985" s="0" t="n">
        <v>8</v>
      </c>
      <c r="C1985" s="0" t="n">
        <v>6476</v>
      </c>
      <c r="E1985" s="0" t="n">
        <v>0</v>
      </c>
      <c r="F1985" s="23" t="s">
        <v>1094</v>
      </c>
      <c r="I1985" s="23" t="s">
        <v>92</v>
      </c>
      <c r="L1985" s="0" t="n">
        <v>79</v>
      </c>
      <c r="U1985" s="0" t="n">
        <v>545</v>
      </c>
      <c r="V1985" s="0" t="n">
        <v>3</v>
      </c>
      <c r="W1985" s="0" t="str">
        <f aca="false">IF(OR(AND(B1985&gt;=1,B1985&lt;=6),B1985=10),"Vaca em lactação",IF(I1985="Male","Macho",IF(E1985&gt;=1,"Vaca seca",IF(I1985="Youngstock","Bezerra/recria","Novilha"))))</f>
        <v>Novilha</v>
      </c>
      <c r="X1985" s="0" t="str">
        <f aca="false">IF(AND(B1985&gt;=1,B1985&lt;=6),"Tanque",IF(B1985=10,"Descarte",""))</f>
        <v/>
      </c>
    </row>
    <row r="1986" customFormat="false" ht="15" hidden="false" customHeight="false" outlineLevel="0" collapsed="false">
      <c r="A1986" s="22" t="n">
        <v>46309</v>
      </c>
      <c r="B1986" s="0" t="n">
        <v>8</v>
      </c>
      <c r="C1986" s="0" t="n">
        <v>6475</v>
      </c>
      <c r="E1986" s="0" t="n">
        <v>0</v>
      </c>
      <c r="F1986" s="23" t="s">
        <v>1094</v>
      </c>
      <c r="I1986" s="23" t="s">
        <v>92</v>
      </c>
      <c r="L1986" s="0" t="n">
        <v>153</v>
      </c>
      <c r="U1986" s="0" t="n">
        <v>545</v>
      </c>
      <c r="V1986" s="0" t="n">
        <v>1</v>
      </c>
      <c r="W1986" s="0" t="str">
        <f aca="false">IF(OR(AND(B1986&gt;=1,B1986&lt;=6),B1986=10),"Vaca em lactação",IF(I1986="Male","Macho",IF(E1986&gt;=1,"Vaca seca",IF(I1986="Youngstock","Bezerra/recria","Novilha"))))</f>
        <v>Novilha</v>
      </c>
      <c r="X1986" s="0" t="str">
        <f aca="false">IF(AND(B1986&gt;=1,B1986&lt;=6),"Tanque",IF(B1986=10,"Descarte",""))</f>
        <v/>
      </c>
    </row>
    <row r="1987" customFormat="false" ht="15" hidden="false" customHeight="false" outlineLevel="0" collapsed="false">
      <c r="A1987" s="22" t="n">
        <v>46309</v>
      </c>
      <c r="B1987" s="0" t="n">
        <v>8</v>
      </c>
      <c r="C1987" s="0" t="n">
        <v>6472</v>
      </c>
      <c r="E1987" s="0" t="n">
        <v>0</v>
      </c>
      <c r="F1987" s="23" t="s">
        <v>1095</v>
      </c>
      <c r="I1987" s="23" t="s">
        <v>92</v>
      </c>
      <c r="L1987" s="0" t="n">
        <v>149</v>
      </c>
      <c r="U1987" s="0" t="n">
        <v>547</v>
      </c>
      <c r="V1987" s="0" t="n">
        <v>1</v>
      </c>
      <c r="W1987" s="0" t="str">
        <f aca="false">IF(OR(AND(B1987&gt;=1,B1987&lt;=6),B1987=10),"Vaca em lactação",IF(I1987="Male","Macho",IF(E1987&gt;=1,"Vaca seca",IF(I1987="Youngstock","Bezerra/recria","Novilha"))))</f>
        <v>Novilha</v>
      </c>
      <c r="X1987" s="0" t="str">
        <f aca="false">IF(AND(B1987&gt;=1,B1987&lt;=6),"Tanque",IF(B1987=10,"Descarte",""))</f>
        <v/>
      </c>
    </row>
    <row r="1988" customFormat="false" ht="15" hidden="false" customHeight="false" outlineLevel="0" collapsed="false">
      <c r="A1988" s="22" t="n">
        <v>46309</v>
      </c>
      <c r="B1988" s="0" t="n">
        <v>8</v>
      </c>
      <c r="C1988" s="0" t="n">
        <v>6482</v>
      </c>
      <c r="E1988" s="0" t="n">
        <v>0</v>
      </c>
      <c r="F1988" s="23" t="s">
        <v>1096</v>
      </c>
      <c r="I1988" s="23" t="s">
        <v>92</v>
      </c>
      <c r="L1988" s="0" t="n">
        <v>143</v>
      </c>
      <c r="U1988" s="0" t="n">
        <v>544</v>
      </c>
      <c r="V1988" s="0" t="n">
        <v>1</v>
      </c>
      <c r="W1988" s="0" t="str">
        <f aca="false">IF(OR(AND(B1988&gt;=1,B1988&lt;=6),B1988=10),"Vaca em lactação",IF(I1988="Male","Macho",IF(E1988&gt;=1,"Vaca seca",IF(I1988="Youngstock","Bezerra/recria","Novilha"))))</f>
        <v>Novilha</v>
      </c>
      <c r="X1988" s="0" t="str">
        <f aca="false">IF(AND(B1988&gt;=1,B1988&lt;=6),"Tanque",IF(B1988=10,"Descarte",""))</f>
        <v/>
      </c>
    </row>
    <row r="1989" customFormat="false" ht="15" hidden="false" customHeight="false" outlineLevel="0" collapsed="false">
      <c r="A1989" s="22" t="n">
        <v>46309</v>
      </c>
      <c r="B1989" s="0" t="n">
        <v>8</v>
      </c>
      <c r="C1989" s="0" t="n">
        <v>6481</v>
      </c>
      <c r="E1989" s="0" t="n">
        <v>0</v>
      </c>
      <c r="F1989" s="23" t="s">
        <v>1096</v>
      </c>
      <c r="I1989" s="23" t="s">
        <v>92</v>
      </c>
      <c r="L1989" s="0" t="n">
        <v>143</v>
      </c>
      <c r="U1989" s="0" t="n">
        <v>544</v>
      </c>
      <c r="V1989" s="0" t="n">
        <v>1</v>
      </c>
      <c r="W1989" s="0" t="str">
        <f aca="false">IF(OR(AND(B1989&gt;=1,B1989&lt;=6),B1989=10),"Vaca em lactação",IF(I1989="Male","Macho",IF(E1989&gt;=1,"Vaca seca",IF(I1989="Youngstock","Bezerra/recria","Novilha"))))</f>
        <v>Novilha</v>
      </c>
      <c r="X1989" s="0" t="str">
        <f aca="false">IF(AND(B1989&gt;=1,B1989&lt;=6),"Tanque",IF(B1989=10,"Descarte",""))</f>
        <v/>
      </c>
    </row>
    <row r="1990" customFormat="false" ht="15" hidden="false" customHeight="false" outlineLevel="0" collapsed="false">
      <c r="A1990" s="22" t="n">
        <v>46309</v>
      </c>
      <c r="B1990" s="0" t="n">
        <v>8</v>
      </c>
      <c r="C1990" s="0" t="n">
        <v>6480</v>
      </c>
      <c r="E1990" s="0" t="n">
        <v>0</v>
      </c>
      <c r="F1990" s="23" t="s">
        <v>1096</v>
      </c>
      <c r="I1990" s="23" t="s">
        <v>92</v>
      </c>
      <c r="L1990" s="0" t="n">
        <v>133</v>
      </c>
      <c r="U1990" s="0" t="n">
        <v>544</v>
      </c>
      <c r="V1990" s="0" t="n">
        <v>1</v>
      </c>
      <c r="W1990" s="0" t="str">
        <f aca="false">IF(OR(AND(B1990&gt;=1,B1990&lt;=6),B1990=10),"Vaca em lactação",IF(I1990="Male","Macho",IF(E1990&gt;=1,"Vaca seca",IF(I1990="Youngstock","Bezerra/recria","Novilha"))))</f>
        <v>Novilha</v>
      </c>
      <c r="X1990" s="0" t="str">
        <f aca="false">IF(AND(B1990&gt;=1,B1990&lt;=6),"Tanque",IF(B1990=10,"Descarte",""))</f>
        <v/>
      </c>
    </row>
    <row r="1991" customFormat="false" ht="15" hidden="false" customHeight="false" outlineLevel="0" collapsed="false">
      <c r="A1991" s="22" t="n">
        <v>46309</v>
      </c>
      <c r="B1991" s="0" t="n">
        <v>8</v>
      </c>
      <c r="C1991" s="0" t="n">
        <v>6479</v>
      </c>
      <c r="E1991" s="0" t="n">
        <v>0</v>
      </c>
      <c r="F1991" s="23" t="s">
        <v>1096</v>
      </c>
      <c r="I1991" s="23" t="s">
        <v>92</v>
      </c>
      <c r="L1991" s="0" t="n">
        <v>77</v>
      </c>
      <c r="U1991" s="0" t="n">
        <v>544</v>
      </c>
      <c r="V1991" s="0" t="n">
        <v>1</v>
      </c>
      <c r="W1991" s="0" t="str">
        <f aca="false">IF(OR(AND(B1991&gt;=1,B1991&lt;=6),B1991=10),"Vaca em lactação",IF(I1991="Male","Macho",IF(E1991&gt;=1,"Vaca seca",IF(I1991="Youngstock","Bezerra/recria","Novilha"))))</f>
        <v>Novilha</v>
      </c>
      <c r="X1991" s="0" t="str">
        <f aca="false">IF(AND(B1991&gt;=1,B1991&lt;=6),"Tanque",IF(B1991=10,"Descarte",""))</f>
        <v/>
      </c>
    </row>
    <row r="1992" customFormat="false" ht="15" hidden="false" customHeight="false" outlineLevel="0" collapsed="false">
      <c r="A1992" s="22" t="n">
        <v>46309</v>
      </c>
      <c r="B1992" s="0" t="n">
        <v>8</v>
      </c>
      <c r="C1992" s="0" t="n">
        <v>6485</v>
      </c>
      <c r="E1992" s="0" t="n">
        <v>0</v>
      </c>
      <c r="F1992" s="23" t="s">
        <v>1097</v>
      </c>
      <c r="I1992" s="23" t="s">
        <v>92</v>
      </c>
      <c r="L1992" s="0" t="n">
        <v>61</v>
      </c>
      <c r="U1992" s="0" t="n">
        <v>542</v>
      </c>
      <c r="V1992" s="0" t="n">
        <v>4</v>
      </c>
      <c r="W1992" s="0" t="str">
        <f aca="false">IF(OR(AND(B1992&gt;=1,B1992&lt;=6),B1992=10),"Vaca em lactação",IF(I1992="Male","Macho",IF(E1992&gt;=1,"Vaca seca",IF(I1992="Youngstock","Bezerra/recria","Novilha"))))</f>
        <v>Novilha</v>
      </c>
      <c r="X1992" s="0" t="str">
        <f aca="false">IF(AND(B1992&gt;=1,B1992&lt;=6),"Tanque",IF(B1992=10,"Descarte",""))</f>
        <v/>
      </c>
    </row>
    <row r="1993" customFormat="false" ht="15" hidden="false" customHeight="false" outlineLevel="0" collapsed="false">
      <c r="A1993" s="22" t="n">
        <v>46309</v>
      </c>
      <c r="B1993" s="0" t="n">
        <v>8</v>
      </c>
      <c r="C1993" s="0" t="n">
        <v>6489</v>
      </c>
      <c r="E1993" s="0" t="n">
        <v>0</v>
      </c>
      <c r="F1993" s="23" t="s">
        <v>1097</v>
      </c>
      <c r="I1993" s="23" t="s">
        <v>92</v>
      </c>
      <c r="L1993" s="0" t="n">
        <v>139</v>
      </c>
      <c r="U1993" s="0" t="n">
        <v>542</v>
      </c>
      <c r="V1993" s="0" t="n">
        <v>1</v>
      </c>
      <c r="W1993" s="0" t="str">
        <f aca="false">IF(OR(AND(B1993&gt;=1,B1993&lt;=6),B1993=10),"Vaca em lactação",IF(I1993="Male","Macho",IF(E1993&gt;=1,"Vaca seca",IF(I1993="Youngstock","Bezerra/recria","Novilha"))))</f>
        <v>Novilha</v>
      </c>
      <c r="X1993" s="0" t="str">
        <f aca="false">IF(AND(B1993&gt;=1,B1993&lt;=6),"Tanque",IF(B1993=10,"Descarte",""))</f>
        <v/>
      </c>
    </row>
    <row r="1994" customFormat="false" ht="15" hidden="false" customHeight="false" outlineLevel="0" collapsed="false">
      <c r="A1994" s="22" t="n">
        <v>46309</v>
      </c>
      <c r="B1994" s="0" t="n">
        <v>8</v>
      </c>
      <c r="C1994" s="0" t="n">
        <v>6488</v>
      </c>
      <c r="E1994" s="0" t="n">
        <v>0</v>
      </c>
      <c r="F1994" s="23" t="s">
        <v>1097</v>
      </c>
      <c r="I1994" s="23" t="s">
        <v>92</v>
      </c>
      <c r="L1994" s="0" t="n">
        <v>147</v>
      </c>
      <c r="U1994" s="0" t="n">
        <v>542</v>
      </c>
      <c r="V1994" s="0" t="n">
        <v>1</v>
      </c>
      <c r="W1994" s="0" t="str">
        <f aca="false">IF(OR(AND(B1994&gt;=1,B1994&lt;=6),B1994=10),"Vaca em lactação",IF(I1994="Male","Macho",IF(E1994&gt;=1,"Vaca seca",IF(I1994="Youngstock","Bezerra/recria","Novilha"))))</f>
        <v>Novilha</v>
      </c>
      <c r="X1994" s="0" t="str">
        <f aca="false">IF(AND(B1994&gt;=1,B1994&lt;=6),"Tanque",IF(B1994=10,"Descarte",""))</f>
        <v/>
      </c>
    </row>
    <row r="1995" customFormat="false" ht="15" hidden="false" customHeight="false" outlineLevel="0" collapsed="false">
      <c r="A1995" s="22" t="n">
        <v>46309</v>
      </c>
      <c r="B1995" s="0" t="n">
        <v>8</v>
      </c>
      <c r="C1995" s="0" t="n">
        <v>6487</v>
      </c>
      <c r="E1995" s="0" t="n">
        <v>0</v>
      </c>
      <c r="F1995" s="23" t="s">
        <v>1097</v>
      </c>
      <c r="I1995" s="23" t="s">
        <v>92</v>
      </c>
      <c r="L1995" s="0" t="n">
        <v>118</v>
      </c>
      <c r="U1995" s="0" t="n">
        <v>542</v>
      </c>
      <c r="V1995" s="0" t="n">
        <v>2</v>
      </c>
      <c r="W1995" s="0" t="str">
        <f aca="false">IF(OR(AND(B1995&gt;=1,B1995&lt;=6),B1995=10),"Vaca em lactação",IF(I1995="Male","Macho",IF(E1995&gt;=1,"Vaca seca",IF(I1995="Youngstock","Bezerra/recria","Novilha"))))</f>
        <v>Novilha</v>
      </c>
      <c r="X1995" s="0" t="str">
        <f aca="false">IF(AND(B1995&gt;=1,B1995&lt;=6),"Tanque",IF(B1995=10,"Descarte",""))</f>
        <v/>
      </c>
    </row>
    <row r="1996" customFormat="false" ht="15" hidden="false" customHeight="false" outlineLevel="0" collapsed="false">
      <c r="A1996" s="22" t="n">
        <v>46309</v>
      </c>
      <c r="B1996" s="0" t="n">
        <v>8</v>
      </c>
      <c r="C1996" s="0" t="n">
        <v>6486</v>
      </c>
      <c r="E1996" s="0" t="n">
        <v>0</v>
      </c>
      <c r="F1996" s="23" t="s">
        <v>1097</v>
      </c>
      <c r="I1996" s="23" t="s">
        <v>92</v>
      </c>
      <c r="L1996" s="0" t="n">
        <v>145</v>
      </c>
      <c r="U1996" s="0" t="n">
        <v>542</v>
      </c>
      <c r="V1996" s="0" t="n">
        <v>1</v>
      </c>
      <c r="W1996" s="0" t="str">
        <f aca="false">IF(OR(AND(B1996&gt;=1,B1996&lt;=6),B1996=10),"Vaca em lactação",IF(I1996="Male","Macho",IF(E1996&gt;=1,"Vaca seca",IF(I1996="Youngstock","Bezerra/recria","Novilha"))))</f>
        <v>Novilha</v>
      </c>
      <c r="X1996" s="0" t="str">
        <f aca="false">IF(AND(B1996&gt;=1,B1996&lt;=6),"Tanque",IF(B1996=10,"Descarte",""))</f>
        <v/>
      </c>
    </row>
    <row r="1997" customFormat="false" ht="15" hidden="false" customHeight="false" outlineLevel="0" collapsed="false">
      <c r="A1997" s="22" t="n">
        <v>46309</v>
      </c>
      <c r="B1997" s="0" t="n">
        <v>8</v>
      </c>
      <c r="C1997" s="0" t="n">
        <v>6484</v>
      </c>
      <c r="E1997" s="0" t="n">
        <v>0</v>
      </c>
      <c r="F1997" s="23" t="s">
        <v>1098</v>
      </c>
      <c r="I1997" s="23" t="s">
        <v>92</v>
      </c>
      <c r="L1997" s="0" t="n">
        <v>149</v>
      </c>
      <c r="U1997" s="0" t="n">
        <v>543</v>
      </c>
      <c r="V1997" s="0" t="n">
        <v>1</v>
      </c>
      <c r="W1997" s="0" t="str">
        <f aca="false">IF(OR(AND(B1997&gt;=1,B1997&lt;=6),B1997=10),"Vaca em lactação",IF(I1997="Male","Macho",IF(E1997&gt;=1,"Vaca seca",IF(I1997="Youngstock","Bezerra/recria","Novilha"))))</f>
        <v>Novilha</v>
      </c>
      <c r="X1997" s="0" t="str">
        <f aca="false">IF(AND(B1997&gt;=1,B1997&lt;=6),"Tanque",IF(B1997=10,"Descarte",""))</f>
        <v/>
      </c>
    </row>
    <row r="1998" customFormat="false" ht="15" hidden="false" customHeight="false" outlineLevel="0" collapsed="false">
      <c r="A1998" s="22" t="n">
        <v>46309</v>
      </c>
      <c r="B1998" s="0" t="n">
        <v>8</v>
      </c>
      <c r="C1998" s="0" t="n">
        <v>6483</v>
      </c>
      <c r="E1998" s="0" t="n">
        <v>0</v>
      </c>
      <c r="F1998" s="23" t="s">
        <v>1098</v>
      </c>
      <c r="I1998" s="23" t="s">
        <v>92</v>
      </c>
      <c r="L1998" s="0" t="n">
        <v>55</v>
      </c>
      <c r="U1998" s="0" t="n">
        <v>543</v>
      </c>
      <c r="V1998" s="0" t="n">
        <v>3</v>
      </c>
      <c r="W1998" s="0" t="str">
        <f aca="false">IF(OR(AND(B1998&gt;=1,B1998&lt;=6),B1998=10),"Vaca em lactação",IF(I1998="Male","Macho",IF(E1998&gt;=1,"Vaca seca",IF(I1998="Youngstock","Bezerra/recria","Novilha"))))</f>
        <v>Novilha</v>
      </c>
      <c r="X1998" s="0" t="str">
        <f aca="false">IF(AND(B1998&gt;=1,B1998&lt;=6),"Tanque",IF(B1998=10,"Descarte",""))</f>
        <v/>
      </c>
    </row>
    <row r="1999" customFormat="false" ht="15" hidden="false" customHeight="false" outlineLevel="0" collapsed="false">
      <c r="A1999" s="22" t="n">
        <v>46309</v>
      </c>
      <c r="B1999" s="0" t="n">
        <v>8</v>
      </c>
      <c r="C1999" s="0" t="n">
        <v>6478</v>
      </c>
      <c r="E1999" s="0" t="n">
        <v>0</v>
      </c>
      <c r="F1999" s="23" t="s">
        <v>1096</v>
      </c>
      <c r="I1999" s="23" t="s">
        <v>92</v>
      </c>
      <c r="L1999" s="0" t="n">
        <v>140</v>
      </c>
      <c r="U1999" s="0" t="n">
        <v>544</v>
      </c>
      <c r="V1999" s="0" t="n">
        <v>1</v>
      </c>
      <c r="W1999" s="0" t="str">
        <f aca="false">IF(OR(AND(B1999&gt;=1,B1999&lt;=6),B1999=10),"Vaca em lactação",IF(I1999="Male","Macho",IF(E1999&gt;=1,"Vaca seca",IF(I1999="Youngstock","Bezerra/recria","Novilha"))))</f>
        <v>Novilha</v>
      </c>
      <c r="X1999" s="0" t="str">
        <f aca="false">IF(AND(B1999&gt;=1,B1999&lt;=6),"Tanque",IF(B1999=10,"Descarte",""))</f>
        <v/>
      </c>
    </row>
    <row r="2000" customFormat="false" ht="15" hidden="false" customHeight="false" outlineLevel="0" collapsed="false">
      <c r="A2000" s="22" t="n">
        <v>46309</v>
      </c>
      <c r="B2000" s="0" t="n">
        <v>8</v>
      </c>
      <c r="C2000" s="0" t="n">
        <v>6454</v>
      </c>
      <c r="E2000" s="0" t="n">
        <v>0</v>
      </c>
      <c r="F2000" s="23" t="s">
        <v>1099</v>
      </c>
      <c r="I2000" s="23" t="s">
        <v>92</v>
      </c>
      <c r="L2000" s="0" t="n">
        <v>150</v>
      </c>
      <c r="U2000" s="0" t="n">
        <v>553</v>
      </c>
      <c r="V2000" s="0" t="n">
        <v>1</v>
      </c>
      <c r="W2000" s="0" t="str">
        <f aca="false">IF(OR(AND(B2000&gt;=1,B2000&lt;=6),B2000=10),"Vaca em lactação",IF(I2000="Male","Macho",IF(E2000&gt;=1,"Vaca seca",IF(I2000="Youngstock","Bezerra/recria","Novilha"))))</f>
        <v>Novilha</v>
      </c>
      <c r="X2000" s="0" t="str">
        <f aca="false">IF(AND(B2000&gt;=1,B2000&lt;=6),"Tanque",IF(B2000=10,"Descarte",""))</f>
        <v/>
      </c>
    </row>
    <row r="2001" customFormat="false" ht="15" hidden="false" customHeight="false" outlineLevel="0" collapsed="false">
      <c r="A2001" s="22" t="n">
        <v>46309</v>
      </c>
      <c r="B2001" s="0" t="n">
        <v>8</v>
      </c>
      <c r="C2001" s="0" t="n">
        <v>6457</v>
      </c>
      <c r="E2001" s="0" t="n">
        <v>0</v>
      </c>
      <c r="F2001" s="23" t="s">
        <v>1099</v>
      </c>
      <c r="I2001" s="23" t="s">
        <v>92</v>
      </c>
      <c r="L2001" s="0" t="n">
        <v>134</v>
      </c>
      <c r="U2001" s="0" t="n">
        <v>553</v>
      </c>
      <c r="V2001" s="0" t="n">
        <v>2</v>
      </c>
      <c r="W2001" s="0" t="str">
        <f aca="false">IF(OR(AND(B2001&gt;=1,B2001&lt;=6),B2001=10),"Vaca em lactação",IF(I2001="Male","Macho",IF(E2001&gt;=1,"Vaca seca",IF(I2001="Youngstock","Bezerra/recria","Novilha"))))</f>
        <v>Novilha</v>
      </c>
      <c r="X2001" s="0" t="str">
        <f aca="false">IF(AND(B2001&gt;=1,B2001&lt;=6),"Tanque",IF(B2001=10,"Descarte",""))</f>
        <v/>
      </c>
    </row>
    <row r="2002" customFormat="false" ht="15" hidden="false" customHeight="false" outlineLevel="0" collapsed="false">
      <c r="A2002" s="22" t="n">
        <v>46309</v>
      </c>
      <c r="B2002" s="0" t="n">
        <v>8</v>
      </c>
      <c r="C2002" s="0" t="n">
        <v>6458</v>
      </c>
      <c r="E2002" s="0" t="n">
        <v>0</v>
      </c>
      <c r="F2002" s="23" t="s">
        <v>1099</v>
      </c>
      <c r="I2002" s="23" t="s">
        <v>92</v>
      </c>
      <c r="L2002" s="0" t="n">
        <v>141</v>
      </c>
      <c r="U2002" s="0" t="n">
        <v>553</v>
      </c>
      <c r="V2002" s="0" t="n">
        <v>2</v>
      </c>
      <c r="W2002" s="0" t="str">
        <f aca="false">IF(OR(AND(B2002&gt;=1,B2002&lt;=6),B2002=10),"Vaca em lactação",IF(I2002="Male","Macho",IF(E2002&gt;=1,"Vaca seca",IF(I2002="Youngstock","Bezerra/recria","Novilha"))))</f>
        <v>Novilha</v>
      </c>
      <c r="X2002" s="0" t="str">
        <f aca="false">IF(AND(B2002&gt;=1,B2002&lt;=6),"Tanque",IF(B2002=10,"Descarte",""))</f>
        <v/>
      </c>
    </row>
    <row r="2003" customFormat="false" ht="15" hidden="false" customHeight="false" outlineLevel="0" collapsed="false">
      <c r="A2003" s="22" t="n">
        <v>46309</v>
      </c>
      <c r="B2003" s="0" t="n">
        <v>8</v>
      </c>
      <c r="C2003" s="0" t="n">
        <v>6453</v>
      </c>
      <c r="E2003" s="0" t="n">
        <v>0</v>
      </c>
      <c r="F2003" s="23" t="s">
        <v>1099</v>
      </c>
      <c r="I2003" s="23" t="s">
        <v>92</v>
      </c>
      <c r="L2003" s="0" t="n">
        <v>150</v>
      </c>
      <c r="U2003" s="0" t="n">
        <v>553</v>
      </c>
      <c r="V2003" s="0" t="n">
        <v>1</v>
      </c>
      <c r="W2003" s="0" t="str">
        <f aca="false">IF(OR(AND(B2003&gt;=1,B2003&lt;=6),B2003=10),"Vaca em lactação",IF(I2003="Male","Macho",IF(E2003&gt;=1,"Vaca seca",IF(I2003="Youngstock","Bezerra/recria","Novilha"))))</f>
        <v>Novilha</v>
      </c>
      <c r="X2003" s="0" t="str">
        <f aca="false">IF(AND(B2003&gt;=1,B2003&lt;=6),"Tanque",IF(B2003=10,"Descarte",""))</f>
        <v/>
      </c>
    </row>
    <row r="2004" customFormat="false" ht="15" hidden="false" customHeight="false" outlineLevel="0" collapsed="false">
      <c r="A2004" s="22" t="n">
        <v>46309</v>
      </c>
      <c r="B2004" s="0" t="n">
        <v>8</v>
      </c>
      <c r="C2004" s="0" t="n">
        <v>6455</v>
      </c>
      <c r="E2004" s="0" t="n">
        <v>0</v>
      </c>
      <c r="F2004" s="23" t="s">
        <v>1099</v>
      </c>
      <c r="I2004" s="23" t="s">
        <v>92</v>
      </c>
      <c r="L2004" s="0" t="n">
        <v>150</v>
      </c>
      <c r="U2004" s="0" t="n">
        <v>553</v>
      </c>
      <c r="V2004" s="0" t="n">
        <v>1</v>
      </c>
      <c r="W2004" s="0" t="str">
        <f aca="false">IF(OR(AND(B2004&gt;=1,B2004&lt;=6),B2004=10),"Vaca em lactação",IF(I2004="Male","Macho",IF(E2004&gt;=1,"Vaca seca",IF(I2004="Youngstock","Bezerra/recria","Novilha"))))</f>
        <v>Novilha</v>
      </c>
      <c r="X2004" s="0" t="str">
        <f aca="false">IF(AND(B2004&gt;=1,B2004&lt;=6),"Tanque",IF(B2004=10,"Descarte",""))</f>
        <v/>
      </c>
    </row>
    <row r="2005" customFormat="false" ht="15" hidden="false" customHeight="false" outlineLevel="0" collapsed="false">
      <c r="A2005" s="22" t="n">
        <v>46309</v>
      </c>
      <c r="B2005" s="0" t="n">
        <v>8</v>
      </c>
      <c r="C2005" s="0" t="n">
        <v>6456</v>
      </c>
      <c r="E2005" s="0" t="n">
        <v>0</v>
      </c>
      <c r="F2005" s="23" t="s">
        <v>1099</v>
      </c>
      <c r="I2005" s="23" t="s">
        <v>92</v>
      </c>
      <c r="L2005" s="0" t="n">
        <v>150</v>
      </c>
      <c r="U2005" s="0" t="n">
        <v>553</v>
      </c>
      <c r="V2005" s="0" t="n">
        <v>1</v>
      </c>
      <c r="W2005" s="0" t="str">
        <f aca="false">IF(OR(AND(B2005&gt;=1,B2005&lt;=6),B2005=10),"Vaca em lactação",IF(I2005="Male","Macho",IF(E2005&gt;=1,"Vaca seca",IF(I2005="Youngstock","Bezerra/recria","Novilha"))))</f>
        <v>Novilha</v>
      </c>
      <c r="X2005" s="0" t="str">
        <f aca="false">IF(AND(B2005&gt;=1,B2005&lt;=6),"Tanque",IF(B2005=10,"Descarte",""))</f>
        <v/>
      </c>
    </row>
    <row r="2006" customFormat="false" ht="15" hidden="false" customHeight="false" outlineLevel="0" collapsed="false">
      <c r="A2006" s="22" t="n">
        <v>46309</v>
      </c>
      <c r="B2006" s="0" t="n">
        <v>8</v>
      </c>
      <c r="C2006" s="0" t="n">
        <v>6459</v>
      </c>
      <c r="E2006" s="0" t="n">
        <v>0</v>
      </c>
      <c r="F2006" s="23" t="s">
        <v>1099</v>
      </c>
      <c r="I2006" s="23" t="s">
        <v>92</v>
      </c>
      <c r="L2006" s="0" t="n">
        <v>84</v>
      </c>
      <c r="U2006" s="0" t="n">
        <v>553</v>
      </c>
      <c r="V2006" s="0" t="n">
        <v>3</v>
      </c>
      <c r="W2006" s="0" t="str">
        <f aca="false">IF(OR(AND(B2006&gt;=1,B2006&lt;=6),B2006=10),"Vaca em lactação",IF(I2006="Male","Macho",IF(E2006&gt;=1,"Vaca seca",IF(I2006="Youngstock","Bezerra/recria","Novilha"))))</f>
        <v>Novilha</v>
      </c>
      <c r="X2006" s="0" t="str">
        <f aca="false">IF(AND(B2006&gt;=1,B2006&lt;=6),"Tanque",IF(B2006=10,"Descarte",""))</f>
        <v/>
      </c>
    </row>
    <row r="2007" customFormat="false" ht="15" hidden="false" customHeight="false" outlineLevel="0" collapsed="false">
      <c r="A2007" s="22" t="n">
        <v>46309</v>
      </c>
      <c r="B2007" s="0" t="n">
        <v>8</v>
      </c>
      <c r="C2007" s="0" t="n">
        <v>6460</v>
      </c>
      <c r="E2007" s="0" t="n">
        <v>0</v>
      </c>
      <c r="F2007" s="23" t="s">
        <v>1100</v>
      </c>
      <c r="I2007" s="23" t="s">
        <v>92</v>
      </c>
      <c r="L2007" s="0" t="n">
        <v>128</v>
      </c>
      <c r="U2007" s="0" t="n">
        <v>552</v>
      </c>
      <c r="V2007" s="0" t="n">
        <v>2</v>
      </c>
      <c r="W2007" s="0" t="str">
        <f aca="false">IF(OR(AND(B2007&gt;=1,B2007&lt;=6),B2007=10),"Vaca em lactação",IF(I2007="Male","Macho",IF(E2007&gt;=1,"Vaca seca",IF(I2007="Youngstock","Bezerra/recria","Novilha"))))</f>
        <v>Novilha</v>
      </c>
      <c r="X2007" s="0" t="str">
        <f aca="false">IF(AND(B2007&gt;=1,B2007&lt;=6),"Tanque",IF(B2007=10,"Descarte",""))</f>
        <v/>
      </c>
    </row>
    <row r="2008" customFormat="false" ht="15" hidden="false" customHeight="false" outlineLevel="0" collapsed="false">
      <c r="A2008" s="22" t="n">
        <v>46309</v>
      </c>
      <c r="B2008" s="0" t="n">
        <v>8</v>
      </c>
      <c r="C2008" s="0" t="n">
        <v>6461</v>
      </c>
      <c r="E2008" s="0" t="n">
        <v>0</v>
      </c>
      <c r="F2008" s="23" t="s">
        <v>1100</v>
      </c>
      <c r="I2008" s="23" t="s">
        <v>92</v>
      </c>
      <c r="L2008" s="0" t="n">
        <v>154</v>
      </c>
      <c r="U2008" s="0" t="n">
        <v>552</v>
      </c>
      <c r="V2008" s="0" t="n">
        <v>1</v>
      </c>
      <c r="W2008" s="0" t="str">
        <f aca="false">IF(OR(AND(B2008&gt;=1,B2008&lt;=6),B2008=10),"Vaca em lactação",IF(I2008="Male","Macho",IF(E2008&gt;=1,"Vaca seca",IF(I2008="Youngstock","Bezerra/recria","Novilha"))))</f>
        <v>Novilha</v>
      </c>
      <c r="X2008" s="0" t="str">
        <f aca="false">IF(AND(B2008&gt;=1,B2008&lt;=6),"Tanque",IF(B2008=10,"Descarte",""))</f>
        <v/>
      </c>
    </row>
    <row r="2009" customFormat="false" ht="15" hidden="false" customHeight="false" outlineLevel="0" collapsed="false">
      <c r="A2009" s="22" t="n">
        <v>46309</v>
      </c>
      <c r="B2009" s="0" t="n">
        <v>8</v>
      </c>
      <c r="C2009" s="0" t="n">
        <v>6462</v>
      </c>
      <c r="E2009" s="0" t="n">
        <v>0</v>
      </c>
      <c r="F2009" s="23" t="s">
        <v>1101</v>
      </c>
      <c r="I2009" s="23" t="s">
        <v>92</v>
      </c>
      <c r="L2009" s="0" t="n">
        <v>148</v>
      </c>
      <c r="U2009" s="0" t="n">
        <v>551</v>
      </c>
      <c r="V2009" s="0" t="n">
        <v>1</v>
      </c>
      <c r="W2009" s="0" t="str">
        <f aca="false">IF(OR(AND(B2009&gt;=1,B2009&lt;=6),B2009=10),"Vaca em lactação",IF(I2009="Male","Macho",IF(E2009&gt;=1,"Vaca seca",IF(I2009="Youngstock","Bezerra/recria","Novilha"))))</f>
        <v>Novilha</v>
      </c>
      <c r="X2009" s="0" t="str">
        <f aca="false">IF(AND(B2009&gt;=1,B2009&lt;=6),"Tanque",IF(B2009=10,"Descarte",""))</f>
        <v/>
      </c>
    </row>
    <row r="2010" customFormat="false" ht="15" hidden="false" customHeight="false" outlineLevel="0" collapsed="false">
      <c r="A2010" s="22" t="n">
        <v>46309</v>
      </c>
      <c r="B2010" s="0" t="n">
        <v>8</v>
      </c>
      <c r="C2010" s="0" t="n">
        <v>6463</v>
      </c>
      <c r="E2010" s="0" t="n">
        <v>0</v>
      </c>
      <c r="F2010" s="23" t="s">
        <v>1101</v>
      </c>
      <c r="I2010" s="23" t="s">
        <v>92</v>
      </c>
      <c r="L2010" s="0" t="n">
        <v>62</v>
      </c>
      <c r="U2010" s="0" t="n">
        <v>551</v>
      </c>
      <c r="V2010" s="0" t="n">
        <v>4</v>
      </c>
      <c r="W2010" s="0" t="str">
        <f aca="false">IF(OR(AND(B2010&gt;=1,B2010&lt;=6),B2010=10),"Vaca em lactação",IF(I2010="Male","Macho",IF(E2010&gt;=1,"Vaca seca",IF(I2010="Youngstock","Bezerra/recria","Novilha"))))</f>
        <v>Novilha</v>
      </c>
      <c r="X2010" s="0" t="str">
        <f aca="false">IF(AND(B2010&gt;=1,B2010&lt;=6),"Tanque",IF(B2010=10,"Descarte",""))</f>
        <v/>
      </c>
    </row>
    <row r="2011" customFormat="false" ht="15" hidden="false" customHeight="false" outlineLevel="0" collapsed="false">
      <c r="A2011" s="22" t="n">
        <v>46309</v>
      </c>
      <c r="B2011" s="0" t="n">
        <v>8</v>
      </c>
      <c r="C2011" s="0" t="n">
        <v>6464</v>
      </c>
      <c r="E2011" s="0" t="n">
        <v>0</v>
      </c>
      <c r="F2011" s="23" t="s">
        <v>1102</v>
      </c>
      <c r="I2011" s="23" t="s">
        <v>92</v>
      </c>
      <c r="L2011" s="0" t="n">
        <v>93</v>
      </c>
      <c r="U2011" s="0" t="n">
        <v>550</v>
      </c>
      <c r="V2011" s="0" t="n">
        <v>4</v>
      </c>
      <c r="W2011" s="0" t="str">
        <f aca="false">IF(OR(AND(B2011&gt;=1,B2011&lt;=6),B2011=10),"Vaca em lactação",IF(I2011="Male","Macho",IF(E2011&gt;=1,"Vaca seca",IF(I2011="Youngstock","Bezerra/recria","Novilha"))))</f>
        <v>Novilha</v>
      </c>
      <c r="X2011" s="0" t="str">
        <f aca="false">IF(AND(B2011&gt;=1,B2011&lt;=6),"Tanque",IF(B2011=10,"Descarte",""))</f>
        <v/>
      </c>
    </row>
    <row r="2012" customFormat="false" ht="15" hidden="false" customHeight="false" outlineLevel="0" collapsed="false">
      <c r="A2012" s="22" t="n">
        <v>46309</v>
      </c>
      <c r="B2012" s="0" t="n">
        <v>8</v>
      </c>
      <c r="C2012" s="0" t="n">
        <v>6466</v>
      </c>
      <c r="E2012" s="0" t="n">
        <v>0</v>
      </c>
      <c r="F2012" s="23" t="s">
        <v>1102</v>
      </c>
      <c r="I2012" s="23" t="s">
        <v>92</v>
      </c>
      <c r="L2012" s="0" t="n">
        <v>142</v>
      </c>
      <c r="U2012" s="0" t="n">
        <v>550</v>
      </c>
      <c r="V2012" s="0" t="n">
        <v>1</v>
      </c>
      <c r="W2012" s="0" t="str">
        <f aca="false">IF(OR(AND(B2012&gt;=1,B2012&lt;=6),B2012=10),"Vaca em lactação",IF(I2012="Male","Macho",IF(E2012&gt;=1,"Vaca seca",IF(I2012="Youngstock","Bezerra/recria","Novilha"))))</f>
        <v>Novilha</v>
      </c>
      <c r="X2012" s="0" t="str">
        <f aca="false">IF(AND(B2012&gt;=1,B2012&lt;=6),"Tanque",IF(B2012=10,"Descarte",""))</f>
        <v/>
      </c>
    </row>
    <row r="2013" customFormat="false" ht="15" hidden="false" customHeight="false" outlineLevel="0" collapsed="false">
      <c r="A2013" s="22" t="n">
        <v>46309</v>
      </c>
      <c r="B2013" s="0" t="n">
        <v>8</v>
      </c>
      <c r="C2013" s="0" t="n">
        <v>6465</v>
      </c>
      <c r="E2013" s="0" t="n">
        <v>0</v>
      </c>
      <c r="F2013" s="23" t="s">
        <v>1102</v>
      </c>
      <c r="I2013" s="23" t="s">
        <v>92</v>
      </c>
      <c r="L2013" s="0" t="n">
        <v>126</v>
      </c>
      <c r="U2013" s="0" t="n">
        <v>550</v>
      </c>
      <c r="V2013" s="0" t="n">
        <v>2</v>
      </c>
      <c r="W2013" s="0" t="str">
        <f aca="false">IF(OR(AND(B2013&gt;=1,B2013&lt;=6),B2013=10),"Vaca em lactação",IF(I2013="Male","Macho",IF(E2013&gt;=1,"Vaca seca",IF(I2013="Youngstock","Bezerra/recria","Novilha"))))</f>
        <v>Novilha</v>
      </c>
      <c r="X2013" s="0" t="str">
        <f aca="false">IF(AND(B2013&gt;=1,B2013&lt;=6),"Tanque",IF(B2013=10,"Descarte",""))</f>
        <v/>
      </c>
    </row>
    <row r="2014" customFormat="false" ht="15" hidden="false" customHeight="false" outlineLevel="0" collapsed="false">
      <c r="A2014" s="22" t="n">
        <v>46309</v>
      </c>
      <c r="B2014" s="0" t="n">
        <v>8</v>
      </c>
      <c r="C2014" s="0" t="n">
        <v>6467</v>
      </c>
      <c r="E2014" s="0" t="n">
        <v>0</v>
      </c>
      <c r="F2014" s="23" t="s">
        <v>1103</v>
      </c>
      <c r="I2014" s="23" t="s">
        <v>92</v>
      </c>
      <c r="L2014" s="0" t="n">
        <v>145</v>
      </c>
      <c r="U2014" s="0" t="n">
        <v>549</v>
      </c>
      <c r="V2014" s="0" t="n">
        <v>1</v>
      </c>
      <c r="W2014" s="0" t="str">
        <f aca="false">IF(OR(AND(B2014&gt;=1,B2014&lt;=6),B2014=10),"Vaca em lactação",IF(I2014="Male","Macho",IF(E2014&gt;=1,"Vaca seca",IF(I2014="Youngstock","Bezerra/recria","Novilha"))))</f>
        <v>Novilha</v>
      </c>
      <c r="X2014" s="0" t="str">
        <f aca="false">IF(AND(B2014&gt;=1,B2014&lt;=6),"Tanque",IF(B2014=10,"Descarte",""))</f>
        <v/>
      </c>
    </row>
    <row r="2015" customFormat="false" ht="15" hidden="false" customHeight="false" outlineLevel="0" collapsed="false">
      <c r="A2015" s="22" t="n">
        <v>46309</v>
      </c>
      <c r="B2015" s="0" t="n">
        <v>8</v>
      </c>
      <c r="C2015" s="0" t="n">
        <v>6469</v>
      </c>
      <c r="E2015" s="0" t="n">
        <v>0</v>
      </c>
      <c r="F2015" s="23" t="s">
        <v>1095</v>
      </c>
      <c r="I2015" s="23" t="s">
        <v>92</v>
      </c>
      <c r="L2015" s="0" t="n">
        <v>147</v>
      </c>
      <c r="U2015" s="0" t="n">
        <v>547</v>
      </c>
      <c r="V2015" s="0" t="n">
        <v>1</v>
      </c>
      <c r="W2015" s="0" t="str">
        <f aca="false">IF(OR(AND(B2015&gt;=1,B2015&lt;=6),B2015=10),"Vaca em lactação",IF(I2015="Male","Macho",IF(E2015&gt;=1,"Vaca seca",IF(I2015="Youngstock","Bezerra/recria","Novilha"))))</f>
        <v>Novilha</v>
      </c>
      <c r="X2015" s="0" t="str">
        <f aca="false">IF(AND(B2015&gt;=1,B2015&lt;=6),"Tanque",IF(B2015=10,"Descarte",""))</f>
        <v/>
      </c>
    </row>
    <row r="2016" customFormat="false" ht="15" hidden="false" customHeight="false" outlineLevel="0" collapsed="false">
      <c r="A2016" s="22" t="n">
        <v>46309</v>
      </c>
      <c r="B2016" s="0" t="n">
        <v>8</v>
      </c>
      <c r="C2016" s="0" t="n">
        <v>6470</v>
      </c>
      <c r="E2016" s="0" t="n">
        <v>0</v>
      </c>
      <c r="F2016" s="23" t="s">
        <v>1095</v>
      </c>
      <c r="I2016" s="23" t="s">
        <v>92</v>
      </c>
      <c r="L2016" s="0" t="n">
        <v>92</v>
      </c>
      <c r="U2016" s="0" t="n">
        <v>547</v>
      </c>
      <c r="V2016" s="0" t="n">
        <v>3</v>
      </c>
      <c r="W2016" s="0" t="str">
        <f aca="false">IF(OR(AND(B2016&gt;=1,B2016&lt;=6),B2016=10),"Vaca em lactação",IF(I2016="Male","Macho",IF(E2016&gt;=1,"Vaca seca",IF(I2016="Youngstock","Bezerra/recria","Novilha"))))</f>
        <v>Novilha</v>
      </c>
      <c r="X2016" s="0" t="str">
        <f aca="false">IF(AND(B2016&gt;=1,B2016&lt;=6),"Tanque",IF(B2016=10,"Descarte",""))</f>
        <v/>
      </c>
    </row>
    <row r="2017" customFormat="false" ht="15" hidden="false" customHeight="false" outlineLevel="0" collapsed="false">
      <c r="A2017" s="22" t="n">
        <v>46309</v>
      </c>
      <c r="B2017" s="0" t="n">
        <v>8</v>
      </c>
      <c r="C2017" s="0" t="n">
        <v>6471</v>
      </c>
      <c r="E2017" s="0" t="n">
        <v>0</v>
      </c>
      <c r="F2017" s="23" t="s">
        <v>1095</v>
      </c>
      <c r="I2017" s="23" t="s">
        <v>92</v>
      </c>
      <c r="L2017" s="0" t="n">
        <v>70</v>
      </c>
      <c r="U2017" s="0" t="n">
        <v>547</v>
      </c>
      <c r="V2017" s="0" t="n">
        <v>4</v>
      </c>
      <c r="W2017" s="0" t="str">
        <f aca="false">IF(OR(AND(B2017&gt;=1,B2017&lt;=6),B2017=10),"Vaca em lactação",IF(I2017="Male","Macho",IF(E2017&gt;=1,"Vaca seca",IF(I2017="Youngstock","Bezerra/recria","Novilha"))))</f>
        <v>Novilha</v>
      </c>
      <c r="X2017" s="0" t="str">
        <f aca="false">IF(AND(B2017&gt;=1,B2017&lt;=6),"Tanque",IF(B2017=10,"Descarte",""))</f>
        <v/>
      </c>
    </row>
    <row r="2018" customFormat="false" ht="15" hidden="false" customHeight="false" outlineLevel="0" collapsed="false">
      <c r="A2018" s="22" t="n">
        <v>46309</v>
      </c>
      <c r="B2018" s="0" t="n">
        <v>8</v>
      </c>
      <c r="C2018" s="0" t="n">
        <v>6468</v>
      </c>
      <c r="E2018" s="0" t="n">
        <v>0</v>
      </c>
      <c r="F2018" s="23" t="s">
        <v>1095</v>
      </c>
      <c r="I2018" s="23" t="s">
        <v>92</v>
      </c>
      <c r="L2018" s="0" t="n">
        <v>139</v>
      </c>
      <c r="U2018" s="0" t="n">
        <v>547</v>
      </c>
      <c r="V2018" s="0" t="n">
        <v>1</v>
      </c>
      <c r="W2018" s="0" t="str">
        <f aca="false">IF(OR(AND(B2018&gt;=1,B2018&lt;=6),B2018=10),"Vaca em lactação",IF(I2018="Male","Macho",IF(E2018&gt;=1,"Vaca seca",IF(I2018="Youngstock","Bezerra/recria","Novilha"))))</f>
        <v>Novilha</v>
      </c>
      <c r="X2018" s="0" t="str">
        <f aca="false">IF(AND(B2018&gt;=1,B2018&lt;=6),"Tanque",IF(B2018=10,"Descarte",""))</f>
        <v/>
      </c>
    </row>
    <row r="2019" customFormat="false" ht="15" hidden="false" customHeight="false" outlineLevel="0" collapsed="false">
      <c r="A2019" s="22" t="n">
        <v>46309</v>
      </c>
      <c r="B2019" s="0" t="n">
        <v>8</v>
      </c>
      <c r="C2019" s="0" t="n">
        <v>6445</v>
      </c>
      <c r="E2019" s="0" t="n">
        <v>0</v>
      </c>
      <c r="F2019" s="23" t="s">
        <v>1104</v>
      </c>
      <c r="I2019" s="23" t="s">
        <v>92</v>
      </c>
      <c r="L2019" s="0" t="n">
        <v>139</v>
      </c>
      <c r="U2019" s="0" t="n">
        <v>555</v>
      </c>
      <c r="V2019" s="0" t="n">
        <v>1</v>
      </c>
      <c r="W2019" s="0" t="str">
        <f aca="false">IF(OR(AND(B2019&gt;=1,B2019&lt;=6),B2019=10),"Vaca em lactação",IF(I2019="Male","Macho",IF(E2019&gt;=1,"Vaca seca",IF(I2019="Youngstock","Bezerra/recria","Novilha"))))</f>
        <v>Novilha</v>
      </c>
      <c r="X2019" s="0" t="str">
        <f aca="false">IF(AND(B2019&gt;=1,B2019&lt;=6),"Tanque",IF(B2019=10,"Descarte",""))</f>
        <v/>
      </c>
    </row>
    <row r="2020" customFormat="false" ht="15" hidden="false" customHeight="false" outlineLevel="0" collapsed="false">
      <c r="A2020" s="22" t="n">
        <v>46309</v>
      </c>
      <c r="B2020" s="0" t="n">
        <v>8</v>
      </c>
      <c r="C2020" s="0" t="n">
        <v>6443</v>
      </c>
      <c r="E2020" s="0" t="n">
        <v>0</v>
      </c>
      <c r="F2020" s="23" t="s">
        <v>1104</v>
      </c>
      <c r="I2020" s="23" t="s">
        <v>92</v>
      </c>
      <c r="L2020" s="0" t="n">
        <v>154</v>
      </c>
      <c r="U2020" s="0" t="n">
        <v>555</v>
      </c>
      <c r="V2020" s="0" t="n">
        <v>1</v>
      </c>
      <c r="W2020" s="0" t="str">
        <f aca="false">IF(OR(AND(B2020&gt;=1,B2020&lt;=6),B2020=10),"Vaca em lactação",IF(I2020="Male","Macho",IF(E2020&gt;=1,"Vaca seca",IF(I2020="Youngstock","Bezerra/recria","Novilha"))))</f>
        <v>Novilha</v>
      </c>
      <c r="X2020" s="0" t="str">
        <f aca="false">IF(AND(B2020&gt;=1,B2020&lt;=6),"Tanque",IF(B2020=10,"Descarte",""))</f>
        <v/>
      </c>
    </row>
    <row r="2021" customFormat="false" ht="15" hidden="false" customHeight="false" outlineLevel="0" collapsed="false">
      <c r="A2021" s="22" t="n">
        <v>46309</v>
      </c>
      <c r="B2021" s="0" t="n">
        <v>8</v>
      </c>
      <c r="C2021" s="0" t="n">
        <v>6444</v>
      </c>
      <c r="E2021" s="0" t="n">
        <v>0</v>
      </c>
      <c r="F2021" s="23" t="s">
        <v>1104</v>
      </c>
      <c r="I2021" s="23" t="s">
        <v>92</v>
      </c>
      <c r="L2021" s="0" t="n">
        <v>162</v>
      </c>
      <c r="U2021" s="0" t="n">
        <v>555</v>
      </c>
      <c r="V2021" s="0" t="n">
        <v>1</v>
      </c>
      <c r="W2021" s="0" t="str">
        <f aca="false">IF(OR(AND(B2021&gt;=1,B2021&lt;=6),B2021=10),"Vaca em lactação",IF(I2021="Male","Macho",IF(E2021&gt;=1,"Vaca seca",IF(I2021="Youngstock","Bezerra/recria","Novilha"))))</f>
        <v>Novilha</v>
      </c>
      <c r="X2021" s="0" t="str">
        <f aca="false">IF(AND(B2021&gt;=1,B2021&lt;=6),"Tanque",IF(B2021=10,"Descarte",""))</f>
        <v/>
      </c>
    </row>
    <row r="2022" customFormat="false" ht="15" hidden="false" customHeight="false" outlineLevel="0" collapsed="false">
      <c r="A2022" s="22" t="n">
        <v>46309</v>
      </c>
      <c r="B2022" s="0" t="n">
        <v>8</v>
      </c>
      <c r="C2022" s="0" t="n">
        <v>6448</v>
      </c>
      <c r="E2022" s="0" t="n">
        <v>0</v>
      </c>
      <c r="F2022" s="23" t="s">
        <v>1104</v>
      </c>
      <c r="I2022" s="23" t="s">
        <v>92</v>
      </c>
      <c r="L2022" s="0" t="n">
        <v>121</v>
      </c>
      <c r="U2022" s="0" t="n">
        <v>555</v>
      </c>
      <c r="V2022" s="0" t="n">
        <v>2</v>
      </c>
      <c r="W2022" s="0" t="str">
        <f aca="false">IF(OR(AND(B2022&gt;=1,B2022&lt;=6),B2022=10),"Vaca em lactação",IF(I2022="Male","Macho",IF(E2022&gt;=1,"Vaca seca",IF(I2022="Youngstock","Bezerra/recria","Novilha"))))</f>
        <v>Novilha</v>
      </c>
      <c r="X2022" s="0" t="str">
        <f aca="false">IF(AND(B2022&gt;=1,B2022&lt;=6),"Tanque",IF(B2022=10,"Descarte",""))</f>
        <v/>
      </c>
    </row>
    <row r="2023" customFormat="false" ht="15" hidden="false" customHeight="false" outlineLevel="0" collapsed="false">
      <c r="A2023" s="22" t="n">
        <v>46309</v>
      </c>
      <c r="B2023" s="0" t="n">
        <v>8</v>
      </c>
      <c r="C2023" s="0" t="n">
        <v>6449</v>
      </c>
      <c r="E2023" s="0" t="n">
        <v>0</v>
      </c>
      <c r="F2023" s="23" t="s">
        <v>1104</v>
      </c>
      <c r="I2023" s="23" t="s">
        <v>92</v>
      </c>
      <c r="L2023" s="0" t="n">
        <v>139</v>
      </c>
      <c r="U2023" s="0" t="n">
        <v>555</v>
      </c>
      <c r="V2023" s="0" t="n">
        <v>1</v>
      </c>
      <c r="W2023" s="0" t="str">
        <f aca="false">IF(OR(AND(B2023&gt;=1,B2023&lt;=6),B2023=10),"Vaca em lactação",IF(I2023="Male","Macho",IF(E2023&gt;=1,"Vaca seca",IF(I2023="Youngstock","Bezerra/recria","Novilha"))))</f>
        <v>Novilha</v>
      </c>
      <c r="X2023" s="0" t="str">
        <f aca="false">IF(AND(B2023&gt;=1,B2023&lt;=6),"Tanque",IF(B2023=10,"Descarte",""))</f>
        <v/>
      </c>
    </row>
    <row r="2024" customFormat="false" ht="15" hidden="false" customHeight="false" outlineLevel="0" collapsed="false">
      <c r="A2024" s="22" t="n">
        <v>46309</v>
      </c>
      <c r="B2024" s="0" t="n">
        <v>8</v>
      </c>
      <c r="C2024" s="0" t="n">
        <v>6447</v>
      </c>
      <c r="E2024" s="0" t="n">
        <v>0</v>
      </c>
      <c r="F2024" s="23" t="s">
        <v>1104</v>
      </c>
      <c r="I2024" s="23" t="s">
        <v>92</v>
      </c>
      <c r="L2024" s="0" t="n">
        <v>148</v>
      </c>
      <c r="U2024" s="0" t="n">
        <v>555</v>
      </c>
      <c r="V2024" s="0" t="n">
        <v>1</v>
      </c>
      <c r="W2024" s="0" t="str">
        <f aca="false">IF(OR(AND(B2024&gt;=1,B2024&lt;=6),B2024=10),"Vaca em lactação",IF(I2024="Male","Macho",IF(E2024&gt;=1,"Vaca seca",IF(I2024="Youngstock","Bezerra/recria","Novilha"))))</f>
        <v>Novilha</v>
      </c>
      <c r="X2024" s="0" t="str">
        <f aca="false">IF(AND(B2024&gt;=1,B2024&lt;=6),"Tanque",IF(B2024=10,"Descarte",""))</f>
        <v/>
      </c>
    </row>
    <row r="2025" customFormat="false" ht="15" hidden="false" customHeight="false" outlineLevel="0" collapsed="false">
      <c r="A2025" s="22" t="n">
        <v>46309</v>
      </c>
      <c r="B2025" s="0" t="n">
        <v>8</v>
      </c>
      <c r="C2025" s="0" t="n">
        <v>6442</v>
      </c>
      <c r="E2025" s="0" t="n">
        <v>0</v>
      </c>
      <c r="F2025" s="23" t="s">
        <v>1105</v>
      </c>
      <c r="I2025" s="23" t="s">
        <v>92</v>
      </c>
      <c r="L2025" s="0" t="n">
        <v>147</v>
      </c>
      <c r="U2025" s="0" t="n">
        <v>557</v>
      </c>
      <c r="V2025" s="0" t="n">
        <v>1</v>
      </c>
      <c r="W2025" s="0" t="str">
        <f aca="false">IF(OR(AND(B2025&gt;=1,B2025&lt;=6),B2025=10),"Vaca em lactação",IF(I2025="Male","Macho",IF(E2025&gt;=1,"Vaca seca",IF(I2025="Youngstock","Bezerra/recria","Novilha"))))</f>
        <v>Novilha</v>
      </c>
      <c r="X2025" s="0" t="str">
        <f aca="false">IF(AND(B2025&gt;=1,B2025&lt;=6),"Tanque",IF(B2025=10,"Descarte",""))</f>
        <v/>
      </c>
    </row>
    <row r="2026" customFormat="false" ht="15" hidden="false" customHeight="false" outlineLevel="0" collapsed="false">
      <c r="A2026" s="22" t="n">
        <v>46309</v>
      </c>
      <c r="B2026" s="0" t="n">
        <v>8</v>
      </c>
      <c r="C2026" s="0" t="n">
        <v>6416</v>
      </c>
      <c r="E2026" s="0" t="n">
        <v>0</v>
      </c>
      <c r="F2026" s="23" t="s">
        <v>1106</v>
      </c>
      <c r="I2026" s="23" t="s">
        <v>92</v>
      </c>
      <c r="L2026" s="0" t="n">
        <v>150</v>
      </c>
      <c r="U2026" s="0" t="n">
        <v>565</v>
      </c>
      <c r="V2026" s="0" t="n">
        <v>1</v>
      </c>
      <c r="W2026" s="0" t="str">
        <f aca="false">IF(OR(AND(B2026&gt;=1,B2026&lt;=6),B2026=10),"Vaca em lactação",IF(I2026="Male","Macho",IF(E2026&gt;=1,"Vaca seca",IF(I2026="Youngstock","Bezerra/recria","Novilha"))))</f>
        <v>Novilha</v>
      </c>
      <c r="X2026" s="0" t="str">
        <f aca="false">IF(AND(B2026&gt;=1,B2026&lt;=6),"Tanque",IF(B2026=10,"Descarte",""))</f>
        <v/>
      </c>
    </row>
    <row r="2027" customFormat="false" ht="15" hidden="false" customHeight="false" outlineLevel="0" collapsed="false">
      <c r="A2027" s="22" t="n">
        <v>46309</v>
      </c>
      <c r="B2027" s="0" t="n">
        <v>8</v>
      </c>
      <c r="C2027" s="0" t="n">
        <v>6417</v>
      </c>
      <c r="E2027" s="0" t="n">
        <v>0</v>
      </c>
      <c r="F2027" s="23" t="s">
        <v>1106</v>
      </c>
      <c r="I2027" s="23" t="s">
        <v>92</v>
      </c>
      <c r="L2027" s="0" t="n">
        <v>145</v>
      </c>
      <c r="U2027" s="0" t="n">
        <v>565</v>
      </c>
      <c r="V2027" s="0" t="n">
        <v>2</v>
      </c>
      <c r="W2027" s="0" t="str">
        <f aca="false">IF(OR(AND(B2027&gt;=1,B2027&lt;=6),B2027=10),"Vaca em lactação",IF(I2027="Male","Macho",IF(E2027&gt;=1,"Vaca seca",IF(I2027="Youngstock","Bezerra/recria","Novilha"))))</f>
        <v>Novilha</v>
      </c>
      <c r="X2027" s="0" t="str">
        <f aca="false">IF(AND(B2027&gt;=1,B2027&lt;=6),"Tanque",IF(B2027=10,"Descarte",""))</f>
        <v/>
      </c>
    </row>
    <row r="2028" customFormat="false" ht="15" hidden="false" customHeight="false" outlineLevel="0" collapsed="false">
      <c r="A2028" s="22" t="n">
        <v>46309</v>
      </c>
      <c r="B2028" s="0" t="n">
        <v>8</v>
      </c>
      <c r="C2028" s="0" t="n">
        <v>6418</v>
      </c>
      <c r="E2028" s="0" t="n">
        <v>0</v>
      </c>
      <c r="F2028" s="23" t="s">
        <v>1106</v>
      </c>
      <c r="I2028" s="23" t="s">
        <v>92</v>
      </c>
      <c r="L2028" s="0" t="n">
        <v>55</v>
      </c>
      <c r="U2028" s="0" t="n">
        <v>565</v>
      </c>
      <c r="V2028" s="0" t="n">
        <v>3</v>
      </c>
      <c r="W2028" s="0" t="str">
        <f aca="false">IF(OR(AND(B2028&gt;=1,B2028&lt;=6),B2028=10),"Vaca em lactação",IF(I2028="Male","Macho",IF(E2028&gt;=1,"Vaca seca",IF(I2028="Youngstock","Bezerra/recria","Novilha"))))</f>
        <v>Novilha</v>
      </c>
      <c r="X2028" s="0" t="str">
        <f aca="false">IF(AND(B2028&gt;=1,B2028&lt;=6),"Tanque",IF(B2028=10,"Descarte",""))</f>
        <v/>
      </c>
    </row>
    <row r="2029" customFormat="false" ht="15" hidden="false" customHeight="false" outlineLevel="0" collapsed="false">
      <c r="A2029" s="22" t="n">
        <v>46309</v>
      </c>
      <c r="B2029" s="0" t="n">
        <v>8</v>
      </c>
      <c r="C2029" s="0" t="n">
        <v>6419</v>
      </c>
      <c r="E2029" s="0" t="n">
        <v>0</v>
      </c>
      <c r="F2029" s="23" t="s">
        <v>1106</v>
      </c>
      <c r="I2029" s="23" t="s">
        <v>92</v>
      </c>
      <c r="L2029" s="0" t="n">
        <v>161</v>
      </c>
      <c r="U2029" s="0" t="n">
        <v>565</v>
      </c>
      <c r="V2029" s="0" t="n">
        <v>1</v>
      </c>
      <c r="W2029" s="0" t="str">
        <f aca="false">IF(OR(AND(B2029&gt;=1,B2029&lt;=6),B2029=10),"Vaca em lactação",IF(I2029="Male","Macho",IF(E2029&gt;=1,"Vaca seca",IF(I2029="Youngstock","Bezerra/recria","Novilha"))))</f>
        <v>Novilha</v>
      </c>
      <c r="X2029" s="0" t="str">
        <f aca="false">IF(AND(B2029&gt;=1,B2029&lt;=6),"Tanque",IF(B2029=10,"Descarte",""))</f>
        <v/>
      </c>
    </row>
    <row r="2030" customFormat="false" ht="15" hidden="false" customHeight="false" outlineLevel="0" collapsed="false">
      <c r="A2030" s="22" t="n">
        <v>46309</v>
      </c>
      <c r="B2030" s="0" t="n">
        <v>8</v>
      </c>
      <c r="C2030" s="0" t="n">
        <v>6425</v>
      </c>
      <c r="E2030" s="0" t="n">
        <v>0</v>
      </c>
      <c r="F2030" s="23" t="s">
        <v>1107</v>
      </c>
      <c r="I2030" s="23" t="s">
        <v>92</v>
      </c>
      <c r="L2030" s="0" t="n">
        <v>93</v>
      </c>
      <c r="U2030" s="0" t="n">
        <v>563</v>
      </c>
      <c r="V2030" s="0" t="n">
        <v>5</v>
      </c>
      <c r="W2030" s="0" t="str">
        <f aca="false">IF(OR(AND(B2030&gt;=1,B2030&lt;=6),B2030=10),"Vaca em lactação",IF(I2030="Male","Macho",IF(E2030&gt;=1,"Vaca seca",IF(I2030="Youngstock","Bezerra/recria","Novilha"))))</f>
        <v>Novilha</v>
      </c>
      <c r="X2030" s="0" t="str">
        <f aca="false">IF(AND(B2030&gt;=1,B2030&lt;=6),"Tanque",IF(B2030=10,"Descarte",""))</f>
        <v/>
      </c>
    </row>
    <row r="2031" customFormat="false" ht="15" hidden="false" customHeight="false" outlineLevel="0" collapsed="false">
      <c r="A2031" s="22" t="n">
        <v>46309</v>
      </c>
      <c r="B2031" s="0" t="n">
        <v>8</v>
      </c>
      <c r="C2031" s="0" t="n">
        <v>6424</v>
      </c>
      <c r="E2031" s="0" t="n">
        <v>0</v>
      </c>
      <c r="F2031" s="23" t="s">
        <v>1107</v>
      </c>
      <c r="I2031" s="23" t="s">
        <v>92</v>
      </c>
      <c r="L2031" s="0" t="n">
        <v>77</v>
      </c>
      <c r="U2031" s="0" t="n">
        <v>563</v>
      </c>
      <c r="V2031" s="0" t="n">
        <v>2</v>
      </c>
      <c r="W2031" s="0" t="str">
        <f aca="false">IF(OR(AND(B2031&gt;=1,B2031&lt;=6),B2031=10),"Vaca em lactação",IF(I2031="Male","Macho",IF(E2031&gt;=1,"Vaca seca",IF(I2031="Youngstock","Bezerra/recria","Novilha"))))</f>
        <v>Novilha</v>
      </c>
      <c r="X2031" s="0" t="str">
        <f aca="false">IF(AND(B2031&gt;=1,B2031&lt;=6),"Tanque",IF(B2031=10,"Descarte",""))</f>
        <v/>
      </c>
    </row>
    <row r="2032" customFormat="false" ht="15" hidden="false" customHeight="false" outlineLevel="0" collapsed="false">
      <c r="A2032" s="22" t="n">
        <v>46309</v>
      </c>
      <c r="B2032" s="0" t="n">
        <v>8</v>
      </c>
      <c r="C2032" s="0" t="n">
        <v>6423</v>
      </c>
      <c r="E2032" s="0" t="n">
        <v>0</v>
      </c>
      <c r="F2032" s="23" t="s">
        <v>1108</v>
      </c>
      <c r="I2032" s="23" t="s">
        <v>92</v>
      </c>
      <c r="L2032" s="0" t="n">
        <v>164</v>
      </c>
      <c r="U2032" s="0" t="n">
        <v>564</v>
      </c>
      <c r="V2032" s="0" t="n">
        <v>1</v>
      </c>
      <c r="W2032" s="0" t="str">
        <f aca="false">IF(OR(AND(B2032&gt;=1,B2032&lt;=6),B2032=10),"Vaca em lactação",IF(I2032="Male","Macho",IF(E2032&gt;=1,"Vaca seca",IF(I2032="Youngstock","Bezerra/recria","Novilha"))))</f>
        <v>Novilha</v>
      </c>
      <c r="X2032" s="0" t="str">
        <f aca="false">IF(AND(B2032&gt;=1,B2032&lt;=6),"Tanque",IF(B2032=10,"Descarte",""))</f>
        <v/>
      </c>
    </row>
    <row r="2033" customFormat="false" ht="15" hidden="false" customHeight="false" outlineLevel="0" collapsed="false">
      <c r="A2033" s="22" t="n">
        <v>46309</v>
      </c>
      <c r="B2033" s="0" t="n">
        <v>8</v>
      </c>
      <c r="C2033" s="0" t="n">
        <v>6421</v>
      </c>
      <c r="E2033" s="0" t="n">
        <v>0</v>
      </c>
      <c r="F2033" s="23" t="s">
        <v>1106</v>
      </c>
      <c r="I2033" s="23" t="s">
        <v>92</v>
      </c>
      <c r="L2033" s="0" t="n">
        <v>121</v>
      </c>
      <c r="U2033" s="0" t="n">
        <v>565</v>
      </c>
      <c r="V2033" s="0" t="n">
        <v>3</v>
      </c>
      <c r="W2033" s="0" t="str">
        <f aca="false">IF(OR(AND(B2033&gt;=1,B2033&lt;=6),B2033=10),"Vaca em lactação",IF(I2033="Male","Macho",IF(E2033&gt;=1,"Vaca seca",IF(I2033="Youngstock","Bezerra/recria","Novilha"))))</f>
        <v>Novilha</v>
      </c>
      <c r="X2033" s="0" t="str">
        <f aca="false">IF(AND(B2033&gt;=1,B2033&lt;=6),"Tanque",IF(B2033=10,"Descarte",""))</f>
        <v/>
      </c>
    </row>
    <row r="2034" customFormat="false" ht="15" hidden="false" customHeight="false" outlineLevel="0" collapsed="false">
      <c r="A2034" s="22" t="n">
        <v>46309</v>
      </c>
      <c r="B2034" s="0" t="n">
        <v>8</v>
      </c>
      <c r="C2034" s="0" t="n">
        <v>6426</v>
      </c>
      <c r="E2034" s="0" t="n">
        <v>0</v>
      </c>
      <c r="F2034" s="23" t="s">
        <v>1107</v>
      </c>
      <c r="I2034" s="23" t="s">
        <v>92</v>
      </c>
      <c r="L2034" s="0" t="n">
        <v>169</v>
      </c>
      <c r="U2034" s="0" t="n">
        <v>563</v>
      </c>
      <c r="V2034" s="0" t="n">
        <v>1</v>
      </c>
      <c r="W2034" s="0" t="str">
        <f aca="false">IF(OR(AND(B2034&gt;=1,B2034&lt;=6),B2034=10),"Vaca em lactação",IF(I2034="Male","Macho",IF(E2034&gt;=1,"Vaca seca",IF(I2034="Youngstock","Bezerra/recria","Novilha"))))</f>
        <v>Novilha</v>
      </c>
      <c r="X2034" s="0" t="str">
        <f aca="false">IF(AND(B2034&gt;=1,B2034&lt;=6),"Tanque",IF(B2034=10,"Descarte",""))</f>
        <v/>
      </c>
    </row>
    <row r="2035" customFormat="false" ht="15" hidden="false" customHeight="false" outlineLevel="0" collapsed="false">
      <c r="A2035" s="22" t="n">
        <v>46309</v>
      </c>
      <c r="B2035" s="0" t="n">
        <v>8</v>
      </c>
      <c r="C2035" s="0" t="n">
        <v>6428</v>
      </c>
      <c r="E2035" s="0" t="n">
        <v>0</v>
      </c>
      <c r="F2035" s="23" t="s">
        <v>1109</v>
      </c>
      <c r="I2035" s="23" t="s">
        <v>92</v>
      </c>
      <c r="L2035" s="0" t="n">
        <v>135</v>
      </c>
      <c r="U2035" s="0" t="n">
        <v>562</v>
      </c>
      <c r="V2035" s="0" t="n">
        <v>1</v>
      </c>
      <c r="W2035" s="0" t="str">
        <f aca="false">IF(OR(AND(B2035&gt;=1,B2035&lt;=6),B2035=10),"Vaca em lactação",IF(I2035="Male","Macho",IF(E2035&gt;=1,"Vaca seca",IF(I2035="Youngstock","Bezerra/recria","Novilha"))))</f>
        <v>Novilha</v>
      </c>
      <c r="X2035" s="0" t="str">
        <f aca="false">IF(AND(B2035&gt;=1,B2035&lt;=6),"Tanque",IF(B2035=10,"Descarte",""))</f>
        <v/>
      </c>
    </row>
    <row r="2036" customFormat="false" ht="15" hidden="false" customHeight="false" outlineLevel="0" collapsed="false">
      <c r="A2036" s="22" t="n">
        <v>46309</v>
      </c>
      <c r="B2036" s="0" t="n">
        <v>8</v>
      </c>
      <c r="C2036" s="0" t="n">
        <v>6429</v>
      </c>
      <c r="E2036" s="0" t="n">
        <v>0</v>
      </c>
      <c r="F2036" s="23" t="s">
        <v>1109</v>
      </c>
      <c r="I2036" s="23" t="s">
        <v>92</v>
      </c>
      <c r="L2036" s="0" t="n">
        <v>149</v>
      </c>
      <c r="U2036" s="0" t="n">
        <v>562</v>
      </c>
      <c r="V2036" s="0" t="n">
        <v>2</v>
      </c>
      <c r="W2036" s="0" t="str">
        <f aca="false">IF(OR(AND(B2036&gt;=1,B2036&lt;=6),B2036=10),"Vaca em lactação",IF(I2036="Male","Macho",IF(E2036&gt;=1,"Vaca seca",IF(I2036="Youngstock","Bezerra/recria","Novilha"))))</f>
        <v>Novilha</v>
      </c>
      <c r="X2036" s="0" t="str">
        <f aca="false">IF(AND(B2036&gt;=1,B2036&lt;=6),"Tanque",IF(B2036=10,"Descarte",""))</f>
        <v/>
      </c>
    </row>
    <row r="2037" customFormat="false" ht="15" hidden="false" customHeight="false" outlineLevel="0" collapsed="false">
      <c r="A2037" s="22" t="n">
        <v>46309</v>
      </c>
      <c r="B2037" s="0" t="n">
        <v>8</v>
      </c>
      <c r="C2037" s="0" t="n">
        <v>6430</v>
      </c>
      <c r="E2037" s="0" t="n">
        <v>0</v>
      </c>
      <c r="F2037" s="23" t="s">
        <v>1110</v>
      </c>
      <c r="I2037" s="23" t="s">
        <v>92</v>
      </c>
      <c r="L2037" s="0" t="n">
        <v>152</v>
      </c>
      <c r="U2037" s="0" t="n">
        <v>561</v>
      </c>
      <c r="V2037" s="0" t="n">
        <v>1</v>
      </c>
      <c r="W2037" s="0" t="str">
        <f aca="false">IF(OR(AND(B2037&gt;=1,B2037&lt;=6),B2037=10),"Vaca em lactação",IF(I2037="Male","Macho",IF(E2037&gt;=1,"Vaca seca",IF(I2037="Youngstock","Bezerra/recria","Novilha"))))</f>
        <v>Novilha</v>
      </c>
      <c r="X2037" s="0" t="str">
        <f aca="false">IF(AND(B2037&gt;=1,B2037&lt;=6),"Tanque",IF(B2037=10,"Descarte",""))</f>
        <v/>
      </c>
    </row>
    <row r="2038" customFormat="false" ht="15" hidden="false" customHeight="false" outlineLevel="0" collapsed="false">
      <c r="A2038" s="22" t="n">
        <v>46309</v>
      </c>
      <c r="B2038" s="0" t="n">
        <v>8</v>
      </c>
      <c r="C2038" s="0" t="n">
        <v>6435</v>
      </c>
      <c r="E2038" s="0" t="n">
        <v>0</v>
      </c>
      <c r="F2038" s="23" t="s">
        <v>1111</v>
      </c>
      <c r="I2038" s="23" t="s">
        <v>92</v>
      </c>
      <c r="L2038" s="0" t="n">
        <v>160</v>
      </c>
      <c r="U2038" s="0" t="n">
        <v>560</v>
      </c>
      <c r="V2038" s="0" t="n">
        <v>1</v>
      </c>
      <c r="W2038" s="0" t="str">
        <f aca="false">IF(OR(AND(B2038&gt;=1,B2038&lt;=6),B2038=10),"Vaca em lactação",IF(I2038="Male","Macho",IF(E2038&gt;=1,"Vaca seca",IF(I2038="Youngstock","Bezerra/recria","Novilha"))))</f>
        <v>Novilha</v>
      </c>
      <c r="X2038" s="0" t="str">
        <f aca="false">IF(AND(B2038&gt;=1,B2038&lt;=6),"Tanque",IF(B2038=10,"Descarte",""))</f>
        <v/>
      </c>
    </row>
    <row r="2039" customFormat="false" ht="15" hidden="false" customHeight="false" outlineLevel="0" collapsed="false">
      <c r="A2039" s="22" t="n">
        <v>46309</v>
      </c>
      <c r="B2039" s="0" t="n">
        <v>8</v>
      </c>
      <c r="C2039" s="0" t="n">
        <v>6434</v>
      </c>
      <c r="E2039" s="0" t="n">
        <v>0</v>
      </c>
      <c r="F2039" s="23" t="s">
        <v>1111</v>
      </c>
      <c r="I2039" s="23" t="s">
        <v>92</v>
      </c>
      <c r="L2039" s="0" t="n">
        <v>146</v>
      </c>
      <c r="U2039" s="0" t="n">
        <v>560</v>
      </c>
      <c r="V2039" s="0" t="n">
        <v>1</v>
      </c>
      <c r="W2039" s="0" t="str">
        <f aca="false">IF(OR(AND(B2039&gt;=1,B2039&lt;=6),B2039=10),"Vaca em lactação",IF(I2039="Male","Macho",IF(E2039&gt;=1,"Vaca seca",IF(I2039="Youngstock","Bezerra/recria","Novilha"))))</f>
        <v>Novilha</v>
      </c>
      <c r="X2039" s="0" t="str">
        <f aca="false">IF(AND(B2039&gt;=1,B2039&lt;=6),"Tanque",IF(B2039=10,"Descarte",""))</f>
        <v/>
      </c>
    </row>
    <row r="2040" customFormat="false" ht="15" hidden="false" customHeight="false" outlineLevel="0" collapsed="false">
      <c r="A2040" s="22" t="n">
        <v>46309</v>
      </c>
      <c r="B2040" s="0" t="n">
        <v>8</v>
      </c>
      <c r="C2040" s="0" t="n">
        <v>6433</v>
      </c>
      <c r="E2040" s="0" t="n">
        <v>0</v>
      </c>
      <c r="F2040" s="23" t="s">
        <v>1111</v>
      </c>
      <c r="I2040" s="23" t="s">
        <v>92</v>
      </c>
      <c r="L2040" s="0" t="n">
        <v>65</v>
      </c>
      <c r="U2040" s="0" t="n">
        <v>560</v>
      </c>
      <c r="V2040" s="0" t="n">
        <v>5</v>
      </c>
      <c r="W2040" s="0" t="str">
        <f aca="false">IF(OR(AND(B2040&gt;=1,B2040&lt;=6),B2040=10),"Vaca em lactação",IF(I2040="Male","Macho",IF(E2040&gt;=1,"Vaca seca",IF(I2040="Youngstock","Bezerra/recria","Novilha"))))</f>
        <v>Novilha</v>
      </c>
      <c r="X2040" s="0" t="str">
        <f aca="false">IF(AND(B2040&gt;=1,B2040&lt;=6),"Tanque",IF(B2040=10,"Descarte",""))</f>
        <v/>
      </c>
    </row>
    <row r="2041" customFormat="false" ht="15" hidden="false" customHeight="false" outlineLevel="0" collapsed="false">
      <c r="A2041" s="22" t="n">
        <v>46309</v>
      </c>
      <c r="B2041" s="0" t="n">
        <v>8</v>
      </c>
      <c r="C2041" s="0" t="n">
        <v>6432</v>
      </c>
      <c r="E2041" s="0" t="n">
        <v>0</v>
      </c>
      <c r="F2041" s="23" t="s">
        <v>1111</v>
      </c>
      <c r="I2041" s="23" t="s">
        <v>92</v>
      </c>
      <c r="L2041" s="0" t="n">
        <v>146</v>
      </c>
      <c r="U2041" s="0" t="n">
        <v>560</v>
      </c>
      <c r="V2041" s="0" t="n">
        <v>2</v>
      </c>
      <c r="W2041" s="0" t="str">
        <f aca="false">IF(OR(AND(B2041&gt;=1,B2041&lt;=6),B2041=10),"Vaca em lactação",IF(I2041="Male","Macho",IF(E2041&gt;=1,"Vaca seca",IF(I2041="Youngstock","Bezerra/recria","Novilha"))))</f>
        <v>Novilha</v>
      </c>
      <c r="X2041" s="0" t="str">
        <f aca="false">IF(AND(B2041&gt;=1,B2041&lt;=6),"Tanque",IF(B2041=10,"Descarte",""))</f>
        <v/>
      </c>
    </row>
    <row r="2042" customFormat="false" ht="15" hidden="false" customHeight="false" outlineLevel="0" collapsed="false">
      <c r="A2042" s="22" t="n">
        <v>46309</v>
      </c>
      <c r="B2042" s="0" t="n">
        <v>8</v>
      </c>
      <c r="C2042" s="0" t="n">
        <v>6431</v>
      </c>
      <c r="E2042" s="0" t="n">
        <v>0</v>
      </c>
      <c r="F2042" s="23" t="s">
        <v>1111</v>
      </c>
      <c r="I2042" s="23" t="s">
        <v>92</v>
      </c>
      <c r="L2042" s="0" t="n">
        <v>86</v>
      </c>
      <c r="U2042" s="0" t="n">
        <v>560</v>
      </c>
      <c r="V2042" s="0" t="n">
        <v>4</v>
      </c>
      <c r="W2042" s="0" t="str">
        <f aca="false">IF(OR(AND(B2042&gt;=1,B2042&lt;=6),B2042=10),"Vaca em lactação",IF(I2042="Male","Macho",IF(E2042&gt;=1,"Vaca seca",IF(I2042="Youngstock","Bezerra/recria","Novilha"))))</f>
        <v>Novilha</v>
      </c>
      <c r="X2042" s="0" t="str">
        <f aca="false">IF(AND(B2042&gt;=1,B2042&lt;=6),"Tanque",IF(B2042=10,"Descarte",""))</f>
        <v/>
      </c>
    </row>
    <row r="2043" customFormat="false" ht="15" hidden="false" customHeight="false" outlineLevel="0" collapsed="false">
      <c r="A2043" s="22" t="n">
        <v>46309</v>
      </c>
      <c r="B2043" s="0" t="n">
        <v>8</v>
      </c>
      <c r="C2043" s="0" t="n">
        <v>6439</v>
      </c>
      <c r="E2043" s="0" t="n">
        <v>0</v>
      </c>
      <c r="F2043" s="23" t="s">
        <v>1105</v>
      </c>
      <c r="I2043" s="23" t="s">
        <v>92</v>
      </c>
      <c r="L2043" s="0" t="n">
        <v>118</v>
      </c>
      <c r="U2043" s="0" t="n">
        <v>557</v>
      </c>
      <c r="V2043" s="0" t="n">
        <v>3</v>
      </c>
      <c r="W2043" s="0" t="str">
        <f aca="false">IF(OR(AND(B2043&gt;=1,B2043&lt;=6),B2043=10),"Vaca em lactação",IF(I2043="Male","Macho",IF(E2043&gt;=1,"Vaca seca",IF(I2043="Youngstock","Bezerra/recria","Novilha"))))</f>
        <v>Novilha</v>
      </c>
      <c r="X2043" s="0" t="str">
        <f aca="false">IF(AND(B2043&gt;=1,B2043&lt;=6),"Tanque",IF(B2043=10,"Descarte",""))</f>
        <v/>
      </c>
    </row>
    <row r="2044" customFormat="false" ht="15" hidden="false" customHeight="false" outlineLevel="0" collapsed="false">
      <c r="A2044" s="22" t="n">
        <v>46309</v>
      </c>
      <c r="B2044" s="0" t="n">
        <v>8</v>
      </c>
      <c r="C2044" s="0" t="n">
        <v>6440</v>
      </c>
      <c r="E2044" s="0" t="n">
        <v>0</v>
      </c>
      <c r="F2044" s="23" t="s">
        <v>1105</v>
      </c>
      <c r="I2044" s="23" t="s">
        <v>92</v>
      </c>
      <c r="L2044" s="0" t="n">
        <v>106</v>
      </c>
      <c r="U2044" s="0" t="n">
        <v>557</v>
      </c>
      <c r="V2044" s="0" t="n">
        <v>2</v>
      </c>
      <c r="W2044" s="0" t="str">
        <f aca="false">IF(OR(AND(B2044&gt;=1,B2044&lt;=6),B2044=10),"Vaca em lactação",IF(I2044="Male","Macho",IF(E2044&gt;=1,"Vaca seca",IF(I2044="Youngstock","Bezerra/recria","Novilha"))))</f>
        <v>Novilha</v>
      </c>
      <c r="X2044" s="0" t="str">
        <f aca="false">IF(AND(B2044&gt;=1,B2044&lt;=6),"Tanque",IF(B2044=10,"Descarte",""))</f>
        <v/>
      </c>
    </row>
    <row r="2045" customFormat="false" ht="15" hidden="false" customHeight="false" outlineLevel="0" collapsed="false">
      <c r="A2045" s="22" t="n">
        <v>46309</v>
      </c>
      <c r="B2045" s="0" t="n">
        <v>8</v>
      </c>
      <c r="C2045" s="0" t="n">
        <v>6441</v>
      </c>
      <c r="E2045" s="0" t="n">
        <v>0</v>
      </c>
      <c r="F2045" s="23" t="s">
        <v>1105</v>
      </c>
      <c r="I2045" s="23" t="s">
        <v>92</v>
      </c>
      <c r="L2045" s="0" t="n">
        <v>142</v>
      </c>
      <c r="U2045" s="0" t="n">
        <v>557</v>
      </c>
      <c r="V2045" s="0" t="n">
        <v>2</v>
      </c>
      <c r="W2045" s="0" t="str">
        <f aca="false">IF(OR(AND(B2045&gt;=1,B2045&lt;=6),B2045=10),"Vaca em lactação",IF(I2045="Male","Macho",IF(E2045&gt;=1,"Vaca seca",IF(I2045="Youngstock","Bezerra/recria","Novilha"))))</f>
        <v>Novilha</v>
      </c>
      <c r="X2045" s="0" t="str">
        <f aca="false">IF(AND(B2045&gt;=1,B2045&lt;=6),"Tanque",IF(B2045=10,"Descarte",""))</f>
        <v/>
      </c>
    </row>
    <row r="2046" customFormat="false" ht="15" hidden="false" customHeight="false" outlineLevel="0" collapsed="false">
      <c r="A2046" s="22" t="n">
        <v>46309</v>
      </c>
      <c r="B2046" s="0" t="n">
        <v>8</v>
      </c>
      <c r="C2046" s="0" t="n">
        <v>6436</v>
      </c>
      <c r="E2046" s="0" t="n">
        <v>0</v>
      </c>
      <c r="F2046" s="23" t="s">
        <v>1105</v>
      </c>
      <c r="I2046" s="23" t="s">
        <v>92</v>
      </c>
      <c r="L2046" s="0" t="n">
        <v>161</v>
      </c>
      <c r="U2046" s="0" t="n">
        <v>557</v>
      </c>
      <c r="V2046" s="0" t="n">
        <v>1</v>
      </c>
      <c r="W2046" s="0" t="str">
        <f aca="false">IF(OR(AND(B2046&gt;=1,B2046&lt;=6),B2046=10),"Vaca em lactação",IF(I2046="Male","Macho",IF(E2046&gt;=1,"Vaca seca",IF(I2046="Youngstock","Bezerra/recria","Novilha"))))</f>
        <v>Novilha</v>
      </c>
      <c r="X2046" s="0" t="str">
        <f aca="false">IF(AND(B2046&gt;=1,B2046&lt;=6),"Tanque",IF(B2046=10,"Descarte",""))</f>
        <v/>
      </c>
    </row>
    <row r="2047" customFormat="false" ht="15" hidden="false" customHeight="false" outlineLevel="0" collapsed="false">
      <c r="A2047" s="22" t="n">
        <v>46309</v>
      </c>
      <c r="B2047" s="0" t="n">
        <v>8</v>
      </c>
      <c r="C2047" s="0" t="n">
        <v>6437</v>
      </c>
      <c r="E2047" s="0" t="n">
        <v>0</v>
      </c>
      <c r="F2047" s="23" t="s">
        <v>1105</v>
      </c>
      <c r="I2047" s="23" t="s">
        <v>92</v>
      </c>
      <c r="L2047" s="0" t="n">
        <v>142</v>
      </c>
      <c r="U2047" s="0" t="n">
        <v>557</v>
      </c>
      <c r="V2047" s="0" t="n">
        <v>2</v>
      </c>
      <c r="W2047" s="0" t="str">
        <f aca="false">IF(OR(AND(B2047&gt;=1,B2047&lt;=6),B2047=10),"Vaca em lactação",IF(I2047="Male","Macho",IF(E2047&gt;=1,"Vaca seca",IF(I2047="Youngstock","Bezerra/recria","Novilha"))))</f>
        <v>Novilha</v>
      </c>
      <c r="X2047" s="0" t="str">
        <f aca="false">IF(AND(B2047&gt;=1,B2047&lt;=6),"Tanque",IF(B2047=10,"Descarte",""))</f>
        <v/>
      </c>
    </row>
    <row r="2048" customFormat="false" ht="15" hidden="false" customHeight="false" outlineLevel="0" collapsed="false">
      <c r="A2048" s="22" t="n">
        <v>46309</v>
      </c>
      <c r="B2048" s="0" t="n">
        <v>8</v>
      </c>
      <c r="C2048" s="0" t="n">
        <v>6438</v>
      </c>
      <c r="E2048" s="0" t="n">
        <v>0</v>
      </c>
      <c r="F2048" s="23" t="s">
        <v>1105</v>
      </c>
      <c r="I2048" s="23" t="s">
        <v>92</v>
      </c>
      <c r="L2048" s="0" t="n">
        <v>139</v>
      </c>
      <c r="U2048" s="0" t="n">
        <v>557</v>
      </c>
      <c r="V2048" s="0" t="n">
        <v>1</v>
      </c>
      <c r="W2048" s="0" t="str">
        <f aca="false">IF(OR(AND(B2048&gt;=1,B2048&lt;=6),B2048=10),"Vaca em lactação",IF(I2048="Male","Macho",IF(E2048&gt;=1,"Vaca seca",IF(I2048="Youngstock","Bezerra/recria","Novilha"))))</f>
        <v>Novilha</v>
      </c>
      <c r="X2048" s="0" t="str">
        <f aca="false">IF(AND(B2048&gt;=1,B2048&lt;=6),"Tanque",IF(B2048=10,"Descarte",""))</f>
        <v/>
      </c>
    </row>
    <row r="2049" customFormat="false" ht="15" hidden="false" customHeight="false" outlineLevel="0" collapsed="false">
      <c r="A2049" s="22" t="n">
        <v>46309</v>
      </c>
      <c r="B2049" s="0" t="n">
        <v>8</v>
      </c>
      <c r="C2049" s="0" t="n">
        <v>6546</v>
      </c>
      <c r="E2049" s="0" t="n">
        <v>0</v>
      </c>
      <c r="F2049" s="23" t="s">
        <v>1112</v>
      </c>
      <c r="I2049" s="23" t="s">
        <v>92</v>
      </c>
      <c r="L2049" s="0" t="n">
        <v>120</v>
      </c>
      <c r="U2049" s="0" t="n">
        <v>518</v>
      </c>
      <c r="V2049" s="0" t="n">
        <v>1</v>
      </c>
      <c r="W2049" s="0" t="str">
        <f aca="false">IF(OR(AND(B2049&gt;=1,B2049&lt;=6),B2049=10),"Vaca em lactação",IF(I2049="Male","Macho",IF(E2049&gt;=1,"Vaca seca",IF(I2049="Youngstock","Bezerra/recria","Novilha"))))</f>
        <v>Novilha</v>
      </c>
      <c r="X2049" s="0" t="str">
        <f aca="false">IF(AND(B2049&gt;=1,B2049&lt;=6),"Tanque",IF(B2049=10,"Descarte",""))</f>
        <v/>
      </c>
    </row>
    <row r="2050" customFormat="false" ht="15" hidden="false" customHeight="false" outlineLevel="0" collapsed="false">
      <c r="A2050" s="22" t="n">
        <v>46309</v>
      </c>
      <c r="B2050" s="0" t="n">
        <v>8</v>
      </c>
      <c r="C2050" s="0" t="n">
        <v>6545</v>
      </c>
      <c r="E2050" s="0" t="n">
        <v>0</v>
      </c>
      <c r="F2050" s="23" t="s">
        <v>1113</v>
      </c>
      <c r="I2050" s="23" t="s">
        <v>92</v>
      </c>
      <c r="L2050" s="0" t="n">
        <v>120</v>
      </c>
      <c r="U2050" s="0" t="n">
        <v>519</v>
      </c>
      <c r="V2050" s="0" t="n">
        <v>1</v>
      </c>
      <c r="W2050" s="0" t="str">
        <f aca="false">IF(OR(AND(B2050&gt;=1,B2050&lt;=6),B2050=10),"Vaca em lactação",IF(I2050="Male","Macho",IF(E2050&gt;=1,"Vaca seca",IF(I2050="Youngstock","Bezerra/recria","Novilha"))))</f>
        <v>Novilha</v>
      </c>
      <c r="X2050" s="0" t="str">
        <f aca="false">IF(AND(B2050&gt;=1,B2050&lt;=6),"Tanque",IF(B2050=10,"Descarte",""))</f>
        <v/>
      </c>
    </row>
    <row r="2051" customFormat="false" ht="15" hidden="false" customHeight="false" outlineLevel="0" collapsed="false">
      <c r="A2051" s="22" t="n">
        <v>46309</v>
      </c>
      <c r="B2051" s="0" t="n">
        <v>8</v>
      </c>
      <c r="C2051" s="0" t="n">
        <v>6544</v>
      </c>
      <c r="E2051" s="0" t="n">
        <v>0</v>
      </c>
      <c r="F2051" s="23" t="s">
        <v>1113</v>
      </c>
      <c r="I2051" s="23" t="s">
        <v>92</v>
      </c>
      <c r="L2051" s="0" t="n">
        <v>59</v>
      </c>
      <c r="U2051" s="0" t="n">
        <v>519</v>
      </c>
      <c r="V2051" s="0" t="n">
        <v>4</v>
      </c>
      <c r="W2051" s="0" t="str">
        <f aca="false">IF(OR(AND(B2051&gt;=1,B2051&lt;=6),B2051=10),"Vaca em lactação",IF(I2051="Male","Macho",IF(E2051&gt;=1,"Vaca seca",IF(I2051="Youngstock","Bezerra/recria","Novilha"))))</f>
        <v>Novilha</v>
      </c>
      <c r="X2051" s="0" t="str">
        <f aca="false">IF(AND(B2051&gt;=1,B2051&lt;=6),"Tanque",IF(B2051=10,"Descarte",""))</f>
        <v/>
      </c>
    </row>
    <row r="2052" customFormat="false" ht="15" hidden="false" customHeight="false" outlineLevel="0" collapsed="false">
      <c r="A2052" s="22" t="n">
        <v>46309</v>
      </c>
      <c r="B2052" s="0" t="n">
        <v>8</v>
      </c>
      <c r="C2052" s="0" t="n">
        <v>6542</v>
      </c>
      <c r="E2052" s="0" t="n">
        <v>0</v>
      </c>
      <c r="F2052" s="23" t="s">
        <v>1113</v>
      </c>
      <c r="I2052" s="23" t="s">
        <v>92</v>
      </c>
      <c r="L2052" s="0" t="n">
        <v>43</v>
      </c>
      <c r="U2052" s="0" t="n">
        <v>519</v>
      </c>
      <c r="V2052" s="0" t="n">
        <v>3</v>
      </c>
      <c r="W2052" s="0" t="str">
        <f aca="false">IF(OR(AND(B2052&gt;=1,B2052&lt;=6),B2052=10),"Vaca em lactação",IF(I2052="Male","Macho",IF(E2052&gt;=1,"Vaca seca",IF(I2052="Youngstock","Bezerra/recria","Novilha"))))</f>
        <v>Novilha</v>
      </c>
      <c r="X2052" s="0" t="str">
        <f aca="false">IF(AND(B2052&gt;=1,B2052&lt;=6),"Tanque",IF(B2052=10,"Descarte",""))</f>
        <v/>
      </c>
    </row>
    <row r="2053" customFormat="false" ht="15" hidden="false" customHeight="false" outlineLevel="0" collapsed="false">
      <c r="A2053" s="22" t="n">
        <v>46309</v>
      </c>
      <c r="B2053" s="0" t="n">
        <v>8</v>
      </c>
      <c r="C2053" s="0" t="n">
        <v>6541</v>
      </c>
      <c r="E2053" s="0" t="n">
        <v>0</v>
      </c>
      <c r="F2053" s="23" t="s">
        <v>1113</v>
      </c>
      <c r="I2053" s="23" t="s">
        <v>92</v>
      </c>
      <c r="L2053" s="0" t="n">
        <v>120</v>
      </c>
      <c r="U2053" s="0" t="n">
        <v>519</v>
      </c>
      <c r="V2053" s="0" t="n">
        <v>1</v>
      </c>
      <c r="W2053" s="0" t="str">
        <f aca="false">IF(OR(AND(B2053&gt;=1,B2053&lt;=6),B2053=10),"Vaca em lactação",IF(I2053="Male","Macho",IF(E2053&gt;=1,"Vaca seca",IF(I2053="Youngstock","Bezerra/recria","Novilha"))))</f>
        <v>Novilha</v>
      </c>
      <c r="X2053" s="0" t="str">
        <f aca="false">IF(AND(B2053&gt;=1,B2053&lt;=6),"Tanque",IF(B2053=10,"Descarte",""))</f>
        <v/>
      </c>
    </row>
    <row r="2054" customFormat="false" ht="15" hidden="false" customHeight="false" outlineLevel="0" collapsed="false">
      <c r="A2054" s="22" t="n">
        <v>46309</v>
      </c>
      <c r="B2054" s="0" t="n">
        <v>8</v>
      </c>
      <c r="C2054" s="0" t="n">
        <v>6540</v>
      </c>
      <c r="E2054" s="0" t="n">
        <v>0</v>
      </c>
      <c r="F2054" s="23" t="s">
        <v>1113</v>
      </c>
      <c r="I2054" s="23" t="s">
        <v>92</v>
      </c>
      <c r="L2054" s="0" t="n">
        <v>82</v>
      </c>
      <c r="U2054" s="0" t="n">
        <v>519</v>
      </c>
      <c r="V2054" s="0" t="n">
        <v>3</v>
      </c>
      <c r="W2054" s="0" t="str">
        <f aca="false">IF(OR(AND(B2054&gt;=1,B2054&lt;=6),B2054=10),"Vaca em lactação",IF(I2054="Male","Macho",IF(E2054&gt;=1,"Vaca seca",IF(I2054="Youngstock","Bezerra/recria","Novilha"))))</f>
        <v>Novilha</v>
      </c>
      <c r="X2054" s="0" t="str">
        <f aca="false">IF(AND(B2054&gt;=1,B2054&lt;=6),"Tanque",IF(B2054=10,"Descarte",""))</f>
        <v/>
      </c>
    </row>
    <row r="2055" customFormat="false" ht="15" hidden="false" customHeight="false" outlineLevel="0" collapsed="false">
      <c r="A2055" s="22" t="n">
        <v>46309</v>
      </c>
      <c r="B2055" s="0" t="n">
        <v>8</v>
      </c>
      <c r="C2055" s="0" t="n">
        <v>6539</v>
      </c>
      <c r="E2055" s="0" t="n">
        <v>0</v>
      </c>
      <c r="F2055" s="23" t="s">
        <v>1113</v>
      </c>
      <c r="I2055" s="23" t="s">
        <v>92</v>
      </c>
      <c r="L2055" s="0" t="n">
        <v>120</v>
      </c>
      <c r="U2055" s="0" t="n">
        <v>519</v>
      </c>
      <c r="V2055" s="0" t="n">
        <v>1</v>
      </c>
      <c r="W2055" s="0" t="str">
        <f aca="false">IF(OR(AND(B2055&gt;=1,B2055&lt;=6),B2055=10),"Vaca em lactação",IF(I2055="Male","Macho",IF(E2055&gt;=1,"Vaca seca",IF(I2055="Youngstock","Bezerra/recria","Novilha"))))</f>
        <v>Novilha</v>
      </c>
      <c r="X2055" s="0" t="str">
        <f aca="false">IF(AND(B2055&gt;=1,B2055&lt;=6),"Tanque",IF(B2055=10,"Descarte",""))</f>
        <v/>
      </c>
    </row>
    <row r="2056" customFormat="false" ht="15" hidden="false" customHeight="false" outlineLevel="0" collapsed="false">
      <c r="A2056" s="22" t="n">
        <v>46309</v>
      </c>
      <c r="B2056" s="0" t="n">
        <v>8</v>
      </c>
      <c r="C2056" s="0" t="n">
        <v>6538</v>
      </c>
      <c r="E2056" s="0" t="n">
        <v>0</v>
      </c>
      <c r="F2056" s="23" t="s">
        <v>1114</v>
      </c>
      <c r="I2056" s="23" t="s">
        <v>92</v>
      </c>
      <c r="L2056" s="0" t="n">
        <v>105</v>
      </c>
      <c r="U2056" s="0" t="n">
        <v>520</v>
      </c>
      <c r="V2056" s="0" t="n">
        <v>1</v>
      </c>
      <c r="W2056" s="0" t="str">
        <f aca="false">IF(OR(AND(B2056&gt;=1,B2056&lt;=6),B2056=10),"Vaca em lactação",IF(I2056="Male","Macho",IF(E2056&gt;=1,"Vaca seca",IF(I2056="Youngstock","Bezerra/recria","Novilha"))))</f>
        <v>Novilha</v>
      </c>
      <c r="X2056" s="0" t="str">
        <f aca="false">IF(AND(B2056&gt;=1,B2056&lt;=6),"Tanque",IF(B2056=10,"Descarte",""))</f>
        <v/>
      </c>
    </row>
    <row r="2057" customFormat="false" ht="15" hidden="false" customHeight="false" outlineLevel="0" collapsed="false">
      <c r="A2057" s="22" t="n">
        <v>46309</v>
      </c>
      <c r="B2057" s="0" t="n">
        <v>8</v>
      </c>
      <c r="C2057" s="0" t="n">
        <v>6531</v>
      </c>
      <c r="E2057" s="0" t="n">
        <v>0</v>
      </c>
      <c r="F2057" s="23" t="s">
        <v>1113</v>
      </c>
      <c r="I2057" s="23" t="s">
        <v>92</v>
      </c>
      <c r="L2057" s="0" t="n">
        <v>66</v>
      </c>
      <c r="U2057" s="0" t="n">
        <v>519</v>
      </c>
      <c r="V2057" s="0" t="n">
        <v>4</v>
      </c>
      <c r="W2057" s="0" t="str">
        <f aca="false">IF(OR(AND(B2057&gt;=1,B2057&lt;=6),B2057=10),"Vaca em lactação",IF(I2057="Male","Macho",IF(E2057&gt;=1,"Vaca seca",IF(I2057="Youngstock","Bezerra/recria","Novilha"))))</f>
        <v>Novilha</v>
      </c>
      <c r="X2057" s="0" t="str">
        <f aca="false">IF(AND(B2057&gt;=1,B2057&lt;=6),"Tanque",IF(B2057=10,"Descarte",""))</f>
        <v/>
      </c>
    </row>
    <row r="2058" customFormat="false" ht="15" hidden="false" customHeight="false" outlineLevel="0" collapsed="false">
      <c r="A2058" s="22" t="n">
        <v>46309</v>
      </c>
      <c r="B2058" s="0" t="n">
        <v>8</v>
      </c>
      <c r="C2058" s="0" t="n">
        <v>6548</v>
      </c>
      <c r="E2058" s="0" t="n">
        <v>0</v>
      </c>
      <c r="F2058" s="23" t="s">
        <v>1112</v>
      </c>
      <c r="I2058" s="23" t="s">
        <v>92</v>
      </c>
      <c r="L2058" s="0" t="n">
        <v>111</v>
      </c>
      <c r="U2058" s="0" t="n">
        <v>518</v>
      </c>
      <c r="V2058" s="0" t="n">
        <v>1</v>
      </c>
      <c r="W2058" s="0" t="str">
        <f aca="false">IF(OR(AND(B2058&gt;=1,B2058&lt;=6),B2058=10),"Vaca em lactação",IF(I2058="Male","Macho",IF(E2058&gt;=1,"Vaca seca",IF(I2058="Youngstock","Bezerra/recria","Novilha"))))</f>
        <v>Novilha</v>
      </c>
      <c r="X2058" s="0" t="str">
        <f aca="false">IF(AND(B2058&gt;=1,B2058&lt;=6),"Tanque",IF(B2058=10,"Descarte",""))</f>
        <v/>
      </c>
    </row>
    <row r="2059" customFormat="false" ht="15" hidden="false" customHeight="false" outlineLevel="0" collapsed="false">
      <c r="A2059" s="22" t="n">
        <v>46309</v>
      </c>
      <c r="B2059" s="0" t="n">
        <v>8</v>
      </c>
      <c r="C2059" s="0" t="n">
        <v>6547</v>
      </c>
      <c r="E2059" s="0" t="n">
        <v>0</v>
      </c>
      <c r="F2059" s="23" t="s">
        <v>1112</v>
      </c>
      <c r="I2059" s="23" t="s">
        <v>92</v>
      </c>
      <c r="L2059" s="0" t="n">
        <v>84</v>
      </c>
      <c r="U2059" s="0" t="n">
        <v>518</v>
      </c>
      <c r="V2059" s="0" t="n">
        <v>2</v>
      </c>
      <c r="W2059" s="0" t="str">
        <f aca="false">IF(OR(AND(B2059&gt;=1,B2059&lt;=6),B2059=10),"Vaca em lactação",IF(I2059="Male","Macho",IF(E2059&gt;=1,"Vaca seca",IF(I2059="Youngstock","Bezerra/recria","Novilha"))))</f>
        <v>Novilha</v>
      </c>
      <c r="X2059" s="0" t="str">
        <f aca="false">IF(AND(B2059&gt;=1,B2059&lt;=6),"Tanque",IF(B2059=10,"Descarte",""))</f>
        <v/>
      </c>
    </row>
    <row r="2060" customFormat="false" ht="15" hidden="false" customHeight="false" outlineLevel="0" collapsed="false">
      <c r="A2060" s="22" t="n">
        <v>46309</v>
      </c>
      <c r="B2060" s="0" t="n">
        <v>8</v>
      </c>
      <c r="C2060" s="0" t="n">
        <v>6551</v>
      </c>
      <c r="E2060" s="0" t="n">
        <v>0</v>
      </c>
      <c r="F2060" s="23" t="s">
        <v>1115</v>
      </c>
      <c r="I2060" s="23" t="s">
        <v>92</v>
      </c>
      <c r="L2060" s="0" t="n">
        <v>118</v>
      </c>
      <c r="U2060" s="0" t="n">
        <v>517</v>
      </c>
      <c r="V2060" s="0" t="n">
        <v>1</v>
      </c>
      <c r="W2060" s="0" t="str">
        <f aca="false">IF(OR(AND(B2060&gt;=1,B2060&lt;=6),B2060=10),"Vaca em lactação",IF(I2060="Male","Macho",IF(E2060&gt;=1,"Vaca seca",IF(I2060="Youngstock","Bezerra/recria","Novilha"))))</f>
        <v>Novilha</v>
      </c>
      <c r="X2060" s="0" t="str">
        <f aca="false">IF(AND(B2060&gt;=1,B2060&lt;=6),"Tanque",IF(B2060=10,"Descarte",""))</f>
        <v/>
      </c>
    </row>
    <row r="2061" customFormat="false" ht="15" hidden="false" customHeight="false" outlineLevel="0" collapsed="false">
      <c r="A2061" s="22" t="n">
        <v>46309</v>
      </c>
      <c r="B2061" s="0" t="n">
        <v>8</v>
      </c>
      <c r="C2061" s="0" t="n">
        <v>6550</v>
      </c>
      <c r="E2061" s="0" t="n">
        <v>0</v>
      </c>
      <c r="F2061" s="23" t="s">
        <v>1115</v>
      </c>
      <c r="I2061" s="23" t="s">
        <v>92</v>
      </c>
      <c r="L2061" s="0" t="n">
        <v>84</v>
      </c>
      <c r="U2061" s="0" t="n">
        <v>517</v>
      </c>
      <c r="V2061" s="0" t="n">
        <v>2</v>
      </c>
      <c r="W2061" s="0" t="str">
        <f aca="false">IF(OR(AND(B2061&gt;=1,B2061&lt;=6),B2061=10),"Vaca em lactação",IF(I2061="Male","Macho",IF(E2061&gt;=1,"Vaca seca",IF(I2061="Youngstock","Bezerra/recria","Novilha"))))</f>
        <v>Novilha</v>
      </c>
      <c r="X2061" s="0" t="str">
        <f aca="false">IF(AND(B2061&gt;=1,B2061&lt;=6),"Tanque",IF(B2061=10,"Descarte",""))</f>
        <v/>
      </c>
    </row>
    <row r="2062" customFormat="false" ht="15" hidden="false" customHeight="false" outlineLevel="0" collapsed="false">
      <c r="A2062" s="22" t="n">
        <v>46309</v>
      </c>
      <c r="B2062" s="0" t="n">
        <v>8</v>
      </c>
      <c r="C2062" s="0" t="n">
        <v>6549</v>
      </c>
      <c r="E2062" s="0" t="n">
        <v>0</v>
      </c>
      <c r="F2062" s="23" t="s">
        <v>1115</v>
      </c>
      <c r="I2062" s="23" t="s">
        <v>92</v>
      </c>
      <c r="L2062" s="0" t="n">
        <v>106</v>
      </c>
      <c r="U2062" s="0" t="n">
        <v>517</v>
      </c>
      <c r="V2062" s="0" t="n">
        <v>1</v>
      </c>
      <c r="W2062" s="0" t="str">
        <f aca="false">IF(OR(AND(B2062&gt;=1,B2062&lt;=6),B2062=10),"Vaca em lactação",IF(I2062="Male","Macho",IF(E2062&gt;=1,"Vaca seca",IF(I2062="Youngstock","Bezerra/recria","Novilha"))))</f>
        <v>Novilha</v>
      </c>
      <c r="X2062" s="0" t="str">
        <f aca="false">IF(AND(B2062&gt;=1,B2062&lt;=6),"Tanque",IF(B2062=10,"Descarte",""))</f>
        <v/>
      </c>
    </row>
    <row r="2063" customFormat="false" ht="15" hidden="false" customHeight="false" outlineLevel="0" collapsed="false">
      <c r="A2063" s="22" t="n">
        <v>46309</v>
      </c>
      <c r="B2063" s="0" t="n">
        <v>8</v>
      </c>
      <c r="C2063" s="0" t="n">
        <v>6553</v>
      </c>
      <c r="E2063" s="0" t="n">
        <v>0</v>
      </c>
      <c r="F2063" s="23" t="s">
        <v>1116</v>
      </c>
      <c r="I2063" s="23" t="s">
        <v>92</v>
      </c>
      <c r="L2063" s="0" t="n">
        <v>64</v>
      </c>
      <c r="U2063" s="0" t="n">
        <v>516</v>
      </c>
      <c r="V2063" s="0" t="n">
        <v>3</v>
      </c>
      <c r="W2063" s="0" t="str">
        <f aca="false">IF(OR(AND(B2063&gt;=1,B2063&lt;=6),B2063=10),"Vaca em lactação",IF(I2063="Male","Macho",IF(E2063&gt;=1,"Vaca seca",IF(I2063="Youngstock","Bezerra/recria","Novilha"))))</f>
        <v>Novilha</v>
      </c>
      <c r="X2063" s="0" t="str">
        <f aca="false">IF(AND(B2063&gt;=1,B2063&lt;=6),"Tanque",IF(B2063=10,"Descarte",""))</f>
        <v/>
      </c>
    </row>
    <row r="2064" customFormat="false" ht="15" hidden="false" customHeight="false" outlineLevel="0" collapsed="false">
      <c r="A2064" s="22" t="n">
        <v>46309</v>
      </c>
      <c r="B2064" s="0" t="n">
        <v>8</v>
      </c>
      <c r="C2064" s="0" t="n">
        <v>6552</v>
      </c>
      <c r="E2064" s="0" t="n">
        <v>0</v>
      </c>
      <c r="F2064" s="23" t="s">
        <v>1116</v>
      </c>
      <c r="I2064" s="23" t="s">
        <v>92</v>
      </c>
      <c r="L2064" s="0" t="n">
        <v>109</v>
      </c>
      <c r="U2064" s="0" t="n">
        <v>516</v>
      </c>
      <c r="V2064" s="0" t="n">
        <v>1</v>
      </c>
      <c r="W2064" s="0" t="str">
        <f aca="false">IF(OR(AND(B2064&gt;=1,B2064&lt;=6),B2064=10),"Vaca em lactação",IF(I2064="Male","Macho",IF(E2064&gt;=1,"Vaca seca",IF(I2064="Youngstock","Bezerra/recria","Novilha"))))</f>
        <v>Novilha</v>
      </c>
      <c r="X2064" s="0" t="str">
        <f aca="false">IF(AND(B2064&gt;=1,B2064&lt;=6),"Tanque",IF(B2064=10,"Descarte",""))</f>
        <v/>
      </c>
    </row>
    <row r="2065" customFormat="false" ht="15" hidden="false" customHeight="false" outlineLevel="0" collapsed="false">
      <c r="A2065" s="22" t="n">
        <v>46309</v>
      </c>
      <c r="B2065" s="0" t="n">
        <v>8</v>
      </c>
      <c r="C2065" s="0" t="n">
        <v>6557</v>
      </c>
      <c r="E2065" s="0" t="n">
        <v>0</v>
      </c>
      <c r="F2065" s="23" t="s">
        <v>1116</v>
      </c>
      <c r="I2065" s="23" t="s">
        <v>92</v>
      </c>
      <c r="L2065" s="0" t="n">
        <v>93</v>
      </c>
      <c r="U2065" s="0" t="n">
        <v>516</v>
      </c>
      <c r="V2065" s="0" t="n">
        <v>1</v>
      </c>
      <c r="W2065" s="0" t="str">
        <f aca="false">IF(OR(AND(B2065&gt;=1,B2065&lt;=6),B2065=10),"Vaca em lactação",IF(I2065="Male","Macho",IF(E2065&gt;=1,"Vaca seca",IF(I2065="Youngstock","Bezerra/recria","Novilha"))))</f>
        <v>Novilha</v>
      </c>
      <c r="X2065" s="0" t="str">
        <f aca="false">IF(AND(B2065&gt;=1,B2065&lt;=6),"Tanque",IF(B2065=10,"Descarte",""))</f>
        <v/>
      </c>
    </row>
    <row r="2066" customFormat="false" ht="15" hidden="false" customHeight="false" outlineLevel="0" collapsed="false">
      <c r="A2066" s="22" t="n">
        <v>46309</v>
      </c>
      <c r="B2066" s="0" t="n">
        <v>8</v>
      </c>
      <c r="C2066" s="0" t="n">
        <v>6555</v>
      </c>
      <c r="E2066" s="0" t="n">
        <v>0</v>
      </c>
      <c r="F2066" s="23" t="s">
        <v>1116</v>
      </c>
      <c r="I2066" s="23" t="s">
        <v>92</v>
      </c>
      <c r="L2066" s="0" t="n">
        <v>94</v>
      </c>
      <c r="U2066" s="0" t="n">
        <v>516</v>
      </c>
      <c r="V2066" s="0" t="n">
        <v>2</v>
      </c>
      <c r="W2066" s="0" t="str">
        <f aca="false">IF(OR(AND(B2066&gt;=1,B2066&lt;=6),B2066=10),"Vaca em lactação",IF(I2066="Male","Macho",IF(E2066&gt;=1,"Vaca seca",IF(I2066="Youngstock","Bezerra/recria","Novilha"))))</f>
        <v>Novilha</v>
      </c>
      <c r="X2066" s="0" t="str">
        <f aca="false">IF(AND(B2066&gt;=1,B2066&lt;=6),"Tanque",IF(B2066=10,"Descarte",""))</f>
        <v/>
      </c>
    </row>
    <row r="2067" customFormat="false" ht="15" hidden="false" customHeight="false" outlineLevel="0" collapsed="false">
      <c r="A2067" s="22" t="n">
        <v>46309</v>
      </c>
      <c r="B2067" s="0" t="n">
        <v>8</v>
      </c>
      <c r="C2067" s="0" t="n">
        <v>6558</v>
      </c>
      <c r="E2067" s="0" t="n">
        <v>0</v>
      </c>
      <c r="F2067" s="23" t="s">
        <v>1116</v>
      </c>
      <c r="I2067" s="23" t="s">
        <v>92</v>
      </c>
      <c r="L2067" s="0" t="n">
        <v>48</v>
      </c>
      <c r="U2067" s="0" t="n">
        <v>516</v>
      </c>
      <c r="V2067" s="0" t="n">
        <v>4</v>
      </c>
      <c r="W2067" s="0" t="str">
        <f aca="false">IF(OR(AND(B2067&gt;=1,B2067&lt;=6),B2067=10),"Vaca em lactação",IF(I2067="Male","Macho",IF(E2067&gt;=1,"Vaca seca",IF(I2067="Youngstock","Bezerra/recria","Novilha"))))</f>
        <v>Novilha</v>
      </c>
      <c r="X2067" s="0" t="str">
        <f aca="false">IF(AND(B2067&gt;=1,B2067&lt;=6),"Tanque",IF(B2067=10,"Descarte",""))</f>
        <v/>
      </c>
    </row>
    <row r="2068" customFormat="false" ht="15" hidden="false" customHeight="false" outlineLevel="0" collapsed="false">
      <c r="A2068" s="22" t="n">
        <v>46309</v>
      </c>
      <c r="B2068" s="0" t="n">
        <v>8</v>
      </c>
      <c r="C2068" s="0" t="n">
        <v>6561</v>
      </c>
      <c r="E2068" s="0" t="n">
        <v>0</v>
      </c>
      <c r="F2068" s="23" t="s">
        <v>1117</v>
      </c>
      <c r="I2068" s="23" t="s">
        <v>92</v>
      </c>
      <c r="L2068" s="0" t="n">
        <v>93</v>
      </c>
      <c r="U2068" s="0" t="n">
        <v>515</v>
      </c>
      <c r="V2068" s="0" t="n">
        <v>2</v>
      </c>
      <c r="W2068" s="0" t="str">
        <f aca="false">IF(OR(AND(B2068&gt;=1,B2068&lt;=6),B2068=10),"Vaca em lactação",IF(I2068="Male","Macho",IF(E2068&gt;=1,"Vaca seca",IF(I2068="Youngstock","Bezerra/recria","Novilha"))))</f>
        <v>Novilha</v>
      </c>
      <c r="X2068" s="0" t="str">
        <f aca="false">IF(AND(B2068&gt;=1,B2068&lt;=6),"Tanque",IF(B2068=10,"Descarte",""))</f>
        <v/>
      </c>
    </row>
    <row r="2069" customFormat="false" ht="15" hidden="false" customHeight="false" outlineLevel="0" collapsed="false">
      <c r="A2069" s="22" t="n">
        <v>46309</v>
      </c>
      <c r="B2069" s="0" t="n">
        <v>8</v>
      </c>
      <c r="C2069" s="0" t="n">
        <v>6560</v>
      </c>
      <c r="E2069" s="0" t="n">
        <v>0</v>
      </c>
      <c r="F2069" s="23" t="s">
        <v>1117</v>
      </c>
      <c r="I2069" s="23" t="s">
        <v>92</v>
      </c>
      <c r="L2069" s="0" t="n">
        <v>122</v>
      </c>
      <c r="U2069" s="0" t="n">
        <v>515</v>
      </c>
      <c r="V2069" s="0" t="n">
        <v>1</v>
      </c>
      <c r="W2069" s="0" t="str">
        <f aca="false">IF(OR(AND(B2069&gt;=1,B2069&lt;=6),B2069=10),"Vaca em lactação",IF(I2069="Male","Macho",IF(E2069&gt;=1,"Vaca seca",IF(I2069="Youngstock","Bezerra/recria","Novilha"))))</f>
        <v>Novilha</v>
      </c>
      <c r="X2069" s="0" t="str">
        <f aca="false">IF(AND(B2069&gt;=1,B2069&lt;=6),"Tanque",IF(B2069=10,"Descarte",""))</f>
        <v/>
      </c>
    </row>
    <row r="2070" customFormat="false" ht="15" hidden="false" customHeight="false" outlineLevel="0" collapsed="false">
      <c r="A2070" s="22" t="n">
        <v>46309</v>
      </c>
      <c r="B2070" s="0" t="n">
        <v>8</v>
      </c>
      <c r="C2070" s="0" t="n">
        <v>6559</v>
      </c>
      <c r="E2070" s="0" t="n">
        <v>0</v>
      </c>
      <c r="F2070" s="23" t="s">
        <v>1116</v>
      </c>
      <c r="I2070" s="23" t="s">
        <v>92</v>
      </c>
      <c r="L2070" s="0" t="n">
        <v>110</v>
      </c>
      <c r="U2070" s="0" t="n">
        <v>516</v>
      </c>
      <c r="V2070" s="0" t="n">
        <v>1</v>
      </c>
      <c r="W2070" s="0" t="str">
        <f aca="false">IF(OR(AND(B2070&gt;=1,B2070&lt;=6),B2070=10),"Vaca em lactação",IF(I2070="Male","Macho",IF(E2070&gt;=1,"Vaca seca",IF(I2070="Youngstock","Bezerra/recria","Novilha"))))</f>
        <v>Novilha</v>
      </c>
      <c r="X2070" s="0" t="str">
        <f aca="false">IF(AND(B2070&gt;=1,B2070&lt;=6),"Tanque",IF(B2070=10,"Descarte",""))</f>
        <v/>
      </c>
    </row>
    <row r="2071" customFormat="false" ht="15" hidden="false" customHeight="false" outlineLevel="0" collapsed="false">
      <c r="A2071" s="22" t="n">
        <v>46309</v>
      </c>
      <c r="B2071" s="0" t="n">
        <v>8</v>
      </c>
      <c r="C2071" s="0" t="n">
        <v>6564</v>
      </c>
      <c r="E2071" s="0" t="n">
        <v>0</v>
      </c>
      <c r="F2071" s="23" t="s">
        <v>1118</v>
      </c>
      <c r="I2071" s="23" t="s">
        <v>92</v>
      </c>
      <c r="L2071" s="0" t="n">
        <v>69</v>
      </c>
      <c r="U2071" s="0" t="n">
        <v>514</v>
      </c>
      <c r="V2071" s="0" t="n">
        <v>3</v>
      </c>
      <c r="W2071" s="0" t="str">
        <f aca="false">IF(OR(AND(B2071&gt;=1,B2071&lt;=6),B2071=10),"Vaca em lactação",IF(I2071="Male","Macho",IF(E2071&gt;=1,"Vaca seca",IF(I2071="Youngstock","Bezerra/recria","Novilha"))))</f>
        <v>Novilha</v>
      </c>
      <c r="X2071" s="0" t="str">
        <f aca="false">IF(AND(B2071&gt;=1,B2071&lt;=6),"Tanque",IF(B2071=10,"Descarte",""))</f>
        <v/>
      </c>
    </row>
    <row r="2072" customFormat="false" ht="15" hidden="false" customHeight="false" outlineLevel="0" collapsed="false">
      <c r="A2072" s="22" t="n">
        <v>46309</v>
      </c>
      <c r="B2072" s="0" t="n">
        <v>8</v>
      </c>
      <c r="C2072" s="0" t="n">
        <v>6563</v>
      </c>
      <c r="E2072" s="0" t="n">
        <v>0</v>
      </c>
      <c r="F2072" s="23" t="s">
        <v>1117</v>
      </c>
      <c r="I2072" s="23" t="s">
        <v>92</v>
      </c>
      <c r="L2072" s="0" t="n">
        <v>95</v>
      </c>
      <c r="U2072" s="0" t="n">
        <v>515</v>
      </c>
      <c r="V2072" s="0" t="n">
        <v>2</v>
      </c>
      <c r="W2072" s="0" t="str">
        <f aca="false">IF(OR(AND(B2072&gt;=1,B2072&lt;=6),B2072=10),"Vaca em lactação",IF(I2072="Male","Macho",IF(E2072&gt;=1,"Vaca seca",IF(I2072="Youngstock","Bezerra/recria","Novilha"))))</f>
        <v>Novilha</v>
      </c>
      <c r="X2072" s="0" t="str">
        <f aca="false">IF(AND(B2072&gt;=1,B2072&lt;=6),"Tanque",IF(B2072=10,"Descarte",""))</f>
        <v/>
      </c>
    </row>
    <row r="2073" customFormat="false" ht="15" hidden="false" customHeight="false" outlineLevel="0" collapsed="false">
      <c r="A2073" s="22" t="n">
        <v>46309</v>
      </c>
      <c r="B2073" s="0" t="n">
        <v>8</v>
      </c>
      <c r="C2073" s="0" t="n">
        <v>6571</v>
      </c>
      <c r="E2073" s="0" t="n">
        <v>0</v>
      </c>
      <c r="F2073" s="23" t="s">
        <v>1119</v>
      </c>
      <c r="I2073" s="23" t="s">
        <v>92</v>
      </c>
      <c r="L2073" s="0" t="n">
        <v>42</v>
      </c>
      <c r="U2073" s="0" t="n">
        <v>513</v>
      </c>
      <c r="V2073" s="0" t="n">
        <v>2</v>
      </c>
      <c r="W2073" s="0" t="str">
        <f aca="false">IF(OR(AND(B2073&gt;=1,B2073&lt;=6),B2073=10),"Vaca em lactação",IF(I2073="Male","Macho",IF(E2073&gt;=1,"Vaca seca",IF(I2073="Youngstock","Bezerra/recria","Novilha"))))</f>
        <v>Novilha</v>
      </c>
      <c r="X2073" s="0" t="str">
        <f aca="false">IF(AND(B2073&gt;=1,B2073&lt;=6),"Tanque",IF(B2073=10,"Descarte",""))</f>
        <v/>
      </c>
    </row>
    <row r="2074" customFormat="false" ht="15" hidden="false" customHeight="false" outlineLevel="0" collapsed="false">
      <c r="A2074" s="22" t="n">
        <v>46309</v>
      </c>
      <c r="B2074" s="0" t="n">
        <v>8</v>
      </c>
      <c r="C2074" s="0" t="n">
        <v>6572</v>
      </c>
      <c r="E2074" s="0" t="n">
        <v>0</v>
      </c>
      <c r="F2074" s="23" t="s">
        <v>1119</v>
      </c>
      <c r="I2074" s="23" t="s">
        <v>92</v>
      </c>
      <c r="L2074" s="0" t="n">
        <v>86</v>
      </c>
      <c r="U2074" s="0" t="n">
        <v>513</v>
      </c>
      <c r="V2074" s="0" t="n">
        <v>2</v>
      </c>
      <c r="W2074" s="0" t="str">
        <f aca="false">IF(OR(AND(B2074&gt;=1,B2074&lt;=6),B2074=10),"Vaca em lactação",IF(I2074="Male","Macho",IF(E2074&gt;=1,"Vaca seca",IF(I2074="Youngstock","Bezerra/recria","Novilha"))))</f>
        <v>Novilha</v>
      </c>
      <c r="X2074" s="0" t="str">
        <f aca="false">IF(AND(B2074&gt;=1,B2074&lt;=6),"Tanque",IF(B2074=10,"Descarte",""))</f>
        <v/>
      </c>
    </row>
    <row r="2075" customFormat="false" ht="15" hidden="false" customHeight="false" outlineLevel="0" collapsed="false">
      <c r="A2075" s="22" t="n">
        <v>46309</v>
      </c>
      <c r="B2075" s="0" t="n">
        <v>8</v>
      </c>
      <c r="C2075" s="0" t="n">
        <v>6573</v>
      </c>
      <c r="E2075" s="0" t="n">
        <v>0</v>
      </c>
      <c r="F2075" s="23" t="s">
        <v>1119</v>
      </c>
      <c r="I2075" s="23" t="s">
        <v>92</v>
      </c>
      <c r="L2075" s="0" t="n">
        <v>114</v>
      </c>
      <c r="U2075" s="0" t="n">
        <v>513</v>
      </c>
      <c r="V2075" s="0" t="n">
        <v>1</v>
      </c>
      <c r="W2075" s="0" t="str">
        <f aca="false">IF(OR(AND(B2075&gt;=1,B2075&lt;=6),B2075=10),"Vaca em lactação",IF(I2075="Male","Macho",IF(E2075&gt;=1,"Vaca seca",IF(I2075="Youngstock","Bezerra/recria","Novilha"))))</f>
        <v>Novilha</v>
      </c>
      <c r="X2075" s="0" t="str">
        <f aca="false">IF(AND(B2075&gt;=1,B2075&lt;=6),"Tanque",IF(B2075=10,"Descarte",""))</f>
        <v/>
      </c>
    </row>
    <row r="2076" customFormat="false" ht="15" hidden="false" customHeight="false" outlineLevel="0" collapsed="false">
      <c r="A2076" s="22" t="n">
        <v>46309</v>
      </c>
      <c r="B2076" s="0" t="n">
        <v>8</v>
      </c>
      <c r="C2076" s="0" t="n">
        <v>6575</v>
      </c>
      <c r="E2076" s="0" t="n">
        <v>0</v>
      </c>
      <c r="F2076" s="23" t="s">
        <v>1119</v>
      </c>
      <c r="I2076" s="23" t="s">
        <v>92</v>
      </c>
      <c r="L2076" s="0" t="n">
        <v>109</v>
      </c>
      <c r="U2076" s="0" t="n">
        <v>513</v>
      </c>
      <c r="V2076" s="0" t="n">
        <v>1</v>
      </c>
      <c r="W2076" s="0" t="str">
        <f aca="false">IF(OR(AND(B2076&gt;=1,B2076&lt;=6),B2076=10),"Vaca em lactação",IF(I2076="Male","Macho",IF(E2076&gt;=1,"Vaca seca",IF(I2076="Youngstock","Bezerra/recria","Novilha"))))</f>
        <v>Novilha</v>
      </c>
      <c r="X2076" s="0" t="str">
        <f aca="false">IF(AND(B2076&gt;=1,B2076&lt;=6),"Tanque",IF(B2076=10,"Descarte",""))</f>
        <v/>
      </c>
    </row>
    <row r="2077" customFormat="false" ht="15" hidden="false" customHeight="false" outlineLevel="0" collapsed="false">
      <c r="A2077" s="22" t="n">
        <v>46309</v>
      </c>
      <c r="B2077" s="0" t="n">
        <v>8</v>
      </c>
      <c r="C2077" s="0" t="n">
        <v>6568</v>
      </c>
      <c r="E2077" s="0" t="n">
        <v>0</v>
      </c>
      <c r="F2077" s="23" t="s">
        <v>1118</v>
      </c>
      <c r="I2077" s="23" t="s">
        <v>92</v>
      </c>
      <c r="L2077" s="0" t="n">
        <v>28</v>
      </c>
      <c r="U2077" s="0" t="n">
        <v>514</v>
      </c>
      <c r="V2077" s="0" t="n">
        <v>1</v>
      </c>
      <c r="W2077" s="0" t="str">
        <f aca="false">IF(OR(AND(B2077&gt;=1,B2077&lt;=6),B2077=10),"Vaca em lactação",IF(I2077="Male","Macho",IF(E2077&gt;=1,"Vaca seca",IF(I2077="Youngstock","Bezerra/recria","Novilha"))))</f>
        <v>Novilha</v>
      </c>
      <c r="X2077" s="0" t="str">
        <f aca="false">IF(AND(B2077&gt;=1,B2077&lt;=6),"Tanque",IF(B2077=10,"Descarte",""))</f>
        <v/>
      </c>
    </row>
    <row r="2078" customFormat="false" ht="15" hidden="false" customHeight="false" outlineLevel="0" collapsed="false">
      <c r="A2078" s="22" t="n">
        <v>46309</v>
      </c>
      <c r="B2078" s="0" t="n">
        <v>8</v>
      </c>
      <c r="C2078" s="0" t="n">
        <v>6567</v>
      </c>
      <c r="E2078" s="0" t="n">
        <v>0</v>
      </c>
      <c r="F2078" s="23" t="s">
        <v>1118</v>
      </c>
      <c r="I2078" s="23" t="s">
        <v>92</v>
      </c>
      <c r="L2078" s="0" t="n">
        <v>49</v>
      </c>
      <c r="U2078" s="0" t="n">
        <v>514</v>
      </c>
      <c r="V2078" s="0" t="n">
        <v>2</v>
      </c>
      <c r="W2078" s="0" t="str">
        <f aca="false">IF(OR(AND(B2078&gt;=1,B2078&lt;=6),B2078=10),"Vaca em lactação",IF(I2078="Male","Macho",IF(E2078&gt;=1,"Vaca seca",IF(I2078="Youngstock","Bezerra/recria","Novilha"))))</f>
        <v>Novilha</v>
      </c>
      <c r="X2078" s="0" t="str">
        <f aca="false">IF(AND(B2078&gt;=1,B2078&lt;=6),"Tanque",IF(B2078=10,"Descarte",""))</f>
        <v/>
      </c>
    </row>
    <row r="2079" customFormat="false" ht="15" hidden="false" customHeight="false" outlineLevel="0" collapsed="false">
      <c r="A2079" s="22" t="n">
        <v>46309</v>
      </c>
      <c r="B2079" s="0" t="n">
        <v>8</v>
      </c>
      <c r="C2079" s="0" t="n">
        <v>6566</v>
      </c>
      <c r="E2079" s="0" t="n">
        <v>0</v>
      </c>
      <c r="F2079" s="23" t="s">
        <v>1118</v>
      </c>
      <c r="I2079" s="23" t="s">
        <v>92</v>
      </c>
      <c r="L2079" s="0" t="n">
        <v>110</v>
      </c>
      <c r="U2079" s="0" t="n">
        <v>514</v>
      </c>
      <c r="V2079" s="0" t="n">
        <v>1</v>
      </c>
      <c r="W2079" s="0" t="str">
        <f aca="false">IF(OR(AND(B2079&gt;=1,B2079&lt;=6),B2079=10),"Vaca em lactação",IF(I2079="Male","Macho",IF(E2079&gt;=1,"Vaca seca",IF(I2079="Youngstock","Bezerra/recria","Novilha"))))</f>
        <v>Novilha</v>
      </c>
      <c r="X2079" s="0" t="str">
        <f aca="false">IF(AND(B2079&gt;=1,B2079&lt;=6),"Tanque",IF(B2079=10,"Descarte",""))</f>
        <v/>
      </c>
    </row>
    <row r="2080" customFormat="false" ht="15" hidden="false" customHeight="false" outlineLevel="0" collapsed="false">
      <c r="A2080" s="22" t="n">
        <v>46309</v>
      </c>
      <c r="B2080" s="0" t="n">
        <v>8</v>
      </c>
      <c r="C2080" s="0" t="n">
        <v>6530</v>
      </c>
      <c r="E2080" s="0" t="n">
        <v>0</v>
      </c>
      <c r="F2080" s="23" t="s">
        <v>1120</v>
      </c>
      <c r="I2080" s="23" t="s">
        <v>92</v>
      </c>
      <c r="L2080" s="0" t="n">
        <v>87</v>
      </c>
      <c r="U2080" s="0" t="n">
        <v>523</v>
      </c>
      <c r="V2080" s="0" t="n">
        <v>3</v>
      </c>
      <c r="W2080" s="0" t="str">
        <f aca="false">IF(OR(AND(B2080&gt;=1,B2080&lt;=6),B2080=10),"Vaca em lactação",IF(I2080="Male","Macho",IF(E2080&gt;=1,"Vaca seca",IF(I2080="Youngstock","Bezerra/recria","Novilha"))))</f>
        <v>Novilha</v>
      </c>
      <c r="X2080" s="0" t="str">
        <f aca="false">IF(AND(B2080&gt;=1,B2080&lt;=6),"Tanque",IF(B2080=10,"Descarte",""))</f>
        <v/>
      </c>
    </row>
    <row r="2081" customFormat="false" ht="15" hidden="false" customHeight="false" outlineLevel="0" collapsed="false">
      <c r="A2081" s="22" t="n">
        <v>46309</v>
      </c>
      <c r="B2081" s="0" t="n">
        <v>8</v>
      </c>
      <c r="C2081" s="0" t="n">
        <v>6529</v>
      </c>
      <c r="E2081" s="0" t="n">
        <v>0</v>
      </c>
      <c r="F2081" s="23" t="s">
        <v>1120</v>
      </c>
      <c r="I2081" s="23" t="s">
        <v>92</v>
      </c>
      <c r="L2081" s="0" t="n">
        <v>126</v>
      </c>
      <c r="U2081" s="0" t="n">
        <v>523</v>
      </c>
      <c r="V2081" s="0" t="n">
        <v>1</v>
      </c>
      <c r="W2081" s="0" t="str">
        <f aca="false">IF(OR(AND(B2081&gt;=1,B2081&lt;=6),B2081=10),"Vaca em lactação",IF(I2081="Male","Macho",IF(E2081&gt;=1,"Vaca seca",IF(I2081="Youngstock","Bezerra/recria","Novilha"))))</f>
        <v>Novilha</v>
      </c>
      <c r="X2081" s="0" t="str">
        <f aca="false">IF(AND(B2081&gt;=1,B2081&lt;=6),"Tanque",IF(B2081=10,"Descarte",""))</f>
        <v/>
      </c>
    </row>
    <row r="2082" customFormat="false" ht="15" hidden="false" customHeight="false" outlineLevel="0" collapsed="false">
      <c r="A2082" s="22" t="n">
        <v>46309</v>
      </c>
      <c r="B2082" s="0" t="n">
        <v>8</v>
      </c>
      <c r="C2082" s="0" t="n">
        <v>6533</v>
      </c>
      <c r="E2082" s="0" t="n">
        <v>0</v>
      </c>
      <c r="F2082" s="23" t="s">
        <v>1121</v>
      </c>
      <c r="I2082" s="23" t="s">
        <v>92</v>
      </c>
      <c r="L2082" s="0" t="n">
        <v>63</v>
      </c>
      <c r="U2082" s="0" t="n">
        <v>522</v>
      </c>
      <c r="V2082" s="0" t="n">
        <v>1</v>
      </c>
      <c r="W2082" s="0" t="str">
        <f aca="false">IF(OR(AND(B2082&gt;=1,B2082&lt;=6),B2082=10),"Vaca em lactação",IF(I2082="Male","Macho",IF(E2082&gt;=1,"Vaca seca",IF(I2082="Youngstock","Bezerra/recria","Novilha"))))</f>
        <v>Novilha</v>
      </c>
      <c r="X2082" s="0" t="str">
        <f aca="false">IF(AND(B2082&gt;=1,B2082&lt;=6),"Tanque",IF(B2082=10,"Descarte",""))</f>
        <v/>
      </c>
    </row>
    <row r="2083" customFormat="false" ht="15" hidden="false" customHeight="false" outlineLevel="0" collapsed="false">
      <c r="A2083" s="22" t="n">
        <v>46309</v>
      </c>
      <c r="B2083" s="0" t="n">
        <v>8</v>
      </c>
      <c r="C2083" s="0" t="n">
        <v>6537</v>
      </c>
      <c r="E2083" s="0" t="n">
        <v>0</v>
      </c>
      <c r="F2083" s="23" t="s">
        <v>1122</v>
      </c>
      <c r="I2083" s="23" t="s">
        <v>92</v>
      </c>
      <c r="L2083" s="0" t="n">
        <v>63</v>
      </c>
      <c r="U2083" s="0" t="n">
        <v>521</v>
      </c>
      <c r="V2083" s="0" t="n">
        <v>3</v>
      </c>
      <c r="W2083" s="0" t="str">
        <f aca="false">IF(OR(AND(B2083&gt;=1,B2083&lt;=6),B2083=10),"Vaca em lactação",IF(I2083="Male","Macho",IF(E2083&gt;=1,"Vaca seca",IF(I2083="Youngstock","Bezerra/recria","Novilha"))))</f>
        <v>Novilha</v>
      </c>
      <c r="X2083" s="0" t="str">
        <f aca="false">IF(AND(B2083&gt;=1,B2083&lt;=6),"Tanque",IF(B2083=10,"Descarte",""))</f>
        <v/>
      </c>
    </row>
    <row r="2084" customFormat="false" ht="15" hidden="false" customHeight="false" outlineLevel="0" collapsed="false">
      <c r="A2084" s="22" t="n">
        <v>46309</v>
      </c>
      <c r="B2084" s="0" t="n">
        <v>8</v>
      </c>
      <c r="C2084" s="0" t="n">
        <v>6536</v>
      </c>
      <c r="E2084" s="0" t="n">
        <v>0</v>
      </c>
      <c r="F2084" s="23" t="s">
        <v>1122</v>
      </c>
      <c r="I2084" s="23" t="s">
        <v>92</v>
      </c>
      <c r="L2084" s="0" t="n">
        <v>86</v>
      </c>
      <c r="U2084" s="0" t="n">
        <v>521</v>
      </c>
      <c r="V2084" s="0" t="n">
        <v>2</v>
      </c>
      <c r="W2084" s="0" t="str">
        <f aca="false">IF(OR(AND(B2084&gt;=1,B2084&lt;=6),B2084=10),"Vaca em lactação",IF(I2084="Male","Macho",IF(E2084&gt;=1,"Vaca seca",IF(I2084="Youngstock","Bezerra/recria","Novilha"))))</f>
        <v>Novilha</v>
      </c>
      <c r="X2084" s="0" t="str">
        <f aca="false">IF(AND(B2084&gt;=1,B2084&lt;=6),"Tanque",IF(B2084=10,"Descarte",""))</f>
        <v/>
      </c>
    </row>
    <row r="2085" customFormat="false" ht="15" hidden="false" customHeight="false" outlineLevel="0" collapsed="false">
      <c r="A2085" s="22" t="n">
        <v>46309</v>
      </c>
      <c r="B2085" s="0" t="n">
        <v>8</v>
      </c>
      <c r="C2085" s="0" t="n">
        <v>6535</v>
      </c>
      <c r="E2085" s="0" t="n">
        <v>0</v>
      </c>
      <c r="F2085" s="23" t="s">
        <v>1122</v>
      </c>
      <c r="I2085" s="23" t="s">
        <v>92</v>
      </c>
      <c r="L2085" s="0" t="n">
        <v>92</v>
      </c>
      <c r="U2085" s="0" t="n">
        <v>521</v>
      </c>
      <c r="V2085" s="0" t="n">
        <v>2</v>
      </c>
      <c r="W2085" s="0" t="str">
        <f aca="false">IF(OR(AND(B2085&gt;=1,B2085&lt;=6),B2085=10),"Vaca em lactação",IF(I2085="Male","Macho",IF(E2085&gt;=1,"Vaca seca",IF(I2085="Youngstock","Bezerra/recria","Novilha"))))</f>
        <v>Novilha</v>
      </c>
      <c r="X2085" s="0" t="str">
        <f aca="false">IF(AND(B2085&gt;=1,B2085&lt;=6),"Tanque",IF(B2085=10,"Descarte",""))</f>
        <v/>
      </c>
    </row>
    <row r="2086" customFormat="false" ht="15" hidden="false" customHeight="false" outlineLevel="0" collapsed="false">
      <c r="A2086" s="22" t="n">
        <v>46309</v>
      </c>
      <c r="B2086" s="0" t="n">
        <v>8</v>
      </c>
      <c r="C2086" s="0" t="n">
        <v>6532</v>
      </c>
      <c r="E2086" s="0" t="n">
        <v>0</v>
      </c>
      <c r="F2086" s="23" t="s">
        <v>1121</v>
      </c>
      <c r="I2086" s="23" t="s">
        <v>92</v>
      </c>
      <c r="L2086" s="0" t="n">
        <v>101</v>
      </c>
      <c r="U2086" s="0" t="n">
        <v>522</v>
      </c>
      <c r="V2086" s="0" t="n">
        <v>2</v>
      </c>
      <c r="W2086" s="0" t="str">
        <f aca="false">IF(OR(AND(B2086&gt;=1,B2086&lt;=6),B2086=10),"Vaca em lactação",IF(I2086="Male","Macho",IF(E2086&gt;=1,"Vaca seca",IF(I2086="Youngstock","Bezerra/recria","Novilha"))))</f>
        <v>Novilha</v>
      </c>
      <c r="X2086" s="0" t="str">
        <f aca="false">IF(AND(B2086&gt;=1,B2086&lt;=6),"Tanque",IF(B2086=10,"Descarte",""))</f>
        <v/>
      </c>
    </row>
    <row r="2087" customFormat="false" ht="15" hidden="false" customHeight="false" outlineLevel="0" collapsed="false">
      <c r="A2087" s="22" t="n">
        <v>46309</v>
      </c>
      <c r="B2087" s="0" t="n">
        <v>8</v>
      </c>
      <c r="C2087" s="0" t="n">
        <v>6534</v>
      </c>
      <c r="E2087" s="0" t="n">
        <v>0</v>
      </c>
      <c r="F2087" s="23" t="s">
        <v>1121</v>
      </c>
      <c r="I2087" s="23" t="s">
        <v>92</v>
      </c>
      <c r="L2087" s="0" t="n">
        <v>105</v>
      </c>
      <c r="U2087" s="0" t="n">
        <v>522</v>
      </c>
      <c r="V2087" s="0" t="n">
        <v>2</v>
      </c>
      <c r="W2087" s="0" t="str">
        <f aca="false">IF(OR(AND(B2087&gt;=1,B2087&lt;=6),B2087=10),"Vaca em lactação",IF(I2087="Male","Macho",IF(E2087&gt;=1,"Vaca seca",IF(I2087="Youngstock","Bezerra/recria","Novilha"))))</f>
        <v>Novilha</v>
      </c>
      <c r="X2087" s="0" t="str">
        <f aca="false">IF(AND(B2087&gt;=1,B2087&lt;=6),"Tanque",IF(B2087=10,"Descarte",""))</f>
        <v/>
      </c>
    </row>
    <row r="2088" customFormat="false" ht="15" hidden="false" customHeight="false" outlineLevel="0" collapsed="false">
      <c r="A2088" s="22" t="n">
        <v>46309</v>
      </c>
      <c r="B2088" s="0" t="n">
        <v>8</v>
      </c>
      <c r="C2088" s="0" t="n">
        <v>6506</v>
      </c>
      <c r="E2088" s="0" t="n">
        <v>0</v>
      </c>
      <c r="F2088" s="23" t="s">
        <v>1123</v>
      </c>
      <c r="I2088" s="23" t="s">
        <v>92</v>
      </c>
      <c r="L2088" s="0" t="n">
        <v>133</v>
      </c>
      <c r="U2088" s="0" t="n">
        <v>533</v>
      </c>
      <c r="V2088" s="0" t="n">
        <v>1</v>
      </c>
      <c r="W2088" s="0" t="str">
        <f aca="false">IF(OR(AND(B2088&gt;=1,B2088&lt;=6),B2088=10),"Vaca em lactação",IF(I2088="Male","Macho",IF(E2088&gt;=1,"Vaca seca",IF(I2088="Youngstock","Bezerra/recria","Novilha"))))</f>
        <v>Novilha</v>
      </c>
      <c r="X2088" s="0" t="str">
        <f aca="false">IF(AND(B2088&gt;=1,B2088&lt;=6),"Tanque",IF(B2088=10,"Descarte",""))</f>
        <v/>
      </c>
    </row>
    <row r="2089" customFormat="false" ht="15" hidden="false" customHeight="false" outlineLevel="0" collapsed="false">
      <c r="A2089" s="22" t="n">
        <v>46309</v>
      </c>
      <c r="B2089" s="0" t="n">
        <v>8</v>
      </c>
      <c r="C2089" s="0" t="n">
        <v>6507</v>
      </c>
      <c r="E2089" s="0" t="n">
        <v>0</v>
      </c>
      <c r="F2089" s="23" t="s">
        <v>1123</v>
      </c>
      <c r="I2089" s="23" t="s">
        <v>92</v>
      </c>
      <c r="L2089" s="0" t="n">
        <v>105</v>
      </c>
      <c r="U2089" s="0" t="n">
        <v>533</v>
      </c>
      <c r="V2089" s="0" t="n">
        <v>2</v>
      </c>
      <c r="W2089" s="0" t="str">
        <f aca="false">IF(OR(AND(B2089&gt;=1,B2089&lt;=6),B2089=10),"Vaca em lactação",IF(I2089="Male","Macho",IF(E2089&gt;=1,"Vaca seca",IF(I2089="Youngstock","Bezerra/recria","Novilha"))))</f>
        <v>Novilha</v>
      </c>
      <c r="X2089" s="0" t="str">
        <f aca="false">IF(AND(B2089&gt;=1,B2089&lt;=6),"Tanque",IF(B2089=10,"Descarte",""))</f>
        <v/>
      </c>
    </row>
    <row r="2090" customFormat="false" ht="15" hidden="false" customHeight="false" outlineLevel="0" collapsed="false">
      <c r="A2090" s="22" t="n">
        <v>46309</v>
      </c>
      <c r="B2090" s="0" t="n">
        <v>8</v>
      </c>
      <c r="C2090" s="0" t="n">
        <v>6508</v>
      </c>
      <c r="E2090" s="0" t="n">
        <v>0</v>
      </c>
      <c r="F2090" s="23" t="s">
        <v>1123</v>
      </c>
      <c r="I2090" s="23" t="s">
        <v>92</v>
      </c>
      <c r="L2090" s="0" t="n">
        <v>118</v>
      </c>
      <c r="U2090" s="0" t="n">
        <v>533</v>
      </c>
      <c r="V2090" s="0" t="n">
        <v>2</v>
      </c>
      <c r="W2090" s="0" t="str">
        <f aca="false">IF(OR(AND(B2090&gt;=1,B2090&lt;=6),B2090=10),"Vaca em lactação",IF(I2090="Male","Macho",IF(E2090&gt;=1,"Vaca seca",IF(I2090="Youngstock","Bezerra/recria","Novilha"))))</f>
        <v>Novilha</v>
      </c>
      <c r="X2090" s="0" t="str">
        <f aca="false">IF(AND(B2090&gt;=1,B2090&lt;=6),"Tanque",IF(B2090=10,"Descarte",""))</f>
        <v/>
      </c>
    </row>
    <row r="2091" customFormat="false" ht="15" hidden="false" customHeight="false" outlineLevel="0" collapsed="false">
      <c r="A2091" s="22" t="n">
        <v>46309</v>
      </c>
      <c r="B2091" s="0" t="n">
        <v>8</v>
      </c>
      <c r="C2091" s="0" t="n">
        <v>6509</v>
      </c>
      <c r="E2091" s="0" t="n">
        <v>0</v>
      </c>
      <c r="F2091" s="23" t="s">
        <v>1124</v>
      </c>
      <c r="I2091" s="23" t="s">
        <v>92</v>
      </c>
      <c r="L2091" s="0" t="n">
        <v>43</v>
      </c>
      <c r="U2091" s="0" t="n">
        <v>532</v>
      </c>
      <c r="V2091" s="0" t="n">
        <v>3</v>
      </c>
      <c r="W2091" s="0" t="str">
        <f aca="false">IF(OR(AND(B2091&gt;=1,B2091&lt;=6),B2091=10),"Vaca em lactação",IF(I2091="Male","Macho",IF(E2091&gt;=1,"Vaca seca",IF(I2091="Youngstock","Bezerra/recria","Novilha"))))</f>
        <v>Novilha</v>
      </c>
      <c r="X2091" s="0" t="str">
        <f aca="false">IF(AND(B2091&gt;=1,B2091&lt;=6),"Tanque",IF(B2091=10,"Descarte",""))</f>
        <v/>
      </c>
    </row>
    <row r="2092" customFormat="false" ht="15" hidden="false" customHeight="false" outlineLevel="0" collapsed="false">
      <c r="A2092" s="22" t="n">
        <v>46309</v>
      </c>
      <c r="B2092" s="0" t="n">
        <v>8</v>
      </c>
      <c r="C2092" s="0" t="n">
        <v>6515</v>
      </c>
      <c r="E2092" s="0" t="n">
        <v>0</v>
      </c>
      <c r="F2092" s="23" t="s">
        <v>1125</v>
      </c>
      <c r="I2092" s="23" t="s">
        <v>92</v>
      </c>
      <c r="L2092" s="0" t="n">
        <v>112</v>
      </c>
      <c r="U2092" s="0" t="n">
        <v>530</v>
      </c>
      <c r="V2092" s="0" t="n">
        <v>1</v>
      </c>
      <c r="W2092" s="0" t="str">
        <f aca="false">IF(OR(AND(B2092&gt;=1,B2092&lt;=6),B2092=10),"Vaca em lactação",IF(I2092="Male","Macho",IF(E2092&gt;=1,"Vaca seca",IF(I2092="Youngstock","Bezerra/recria","Novilha"))))</f>
        <v>Novilha</v>
      </c>
      <c r="X2092" s="0" t="str">
        <f aca="false">IF(AND(B2092&gt;=1,B2092&lt;=6),"Tanque",IF(B2092=10,"Descarte",""))</f>
        <v/>
      </c>
    </row>
    <row r="2093" customFormat="false" ht="15" hidden="false" customHeight="false" outlineLevel="0" collapsed="false">
      <c r="A2093" s="22" t="n">
        <v>46309</v>
      </c>
      <c r="B2093" s="0" t="n">
        <v>8</v>
      </c>
      <c r="C2093" s="0" t="n">
        <v>6514</v>
      </c>
      <c r="E2093" s="0" t="n">
        <v>0</v>
      </c>
      <c r="F2093" s="23" t="s">
        <v>1126</v>
      </c>
      <c r="I2093" s="23" t="s">
        <v>92</v>
      </c>
      <c r="L2093" s="0" t="n">
        <v>111</v>
      </c>
      <c r="U2093" s="0" t="n">
        <v>531</v>
      </c>
      <c r="V2093" s="0" t="n">
        <v>2</v>
      </c>
      <c r="W2093" s="0" t="str">
        <f aca="false">IF(OR(AND(B2093&gt;=1,B2093&lt;=6),B2093=10),"Vaca em lactação",IF(I2093="Male","Macho",IF(E2093&gt;=1,"Vaca seca",IF(I2093="Youngstock","Bezerra/recria","Novilha"))))</f>
        <v>Novilha</v>
      </c>
      <c r="X2093" s="0" t="str">
        <f aca="false">IF(AND(B2093&gt;=1,B2093&lt;=6),"Tanque",IF(B2093=10,"Descarte",""))</f>
        <v/>
      </c>
    </row>
    <row r="2094" customFormat="false" ht="15" hidden="false" customHeight="false" outlineLevel="0" collapsed="false">
      <c r="A2094" s="22" t="n">
        <v>46309</v>
      </c>
      <c r="B2094" s="0" t="n">
        <v>8</v>
      </c>
      <c r="C2094" s="0" t="n">
        <v>6513</v>
      </c>
      <c r="E2094" s="0" t="n">
        <v>0</v>
      </c>
      <c r="F2094" s="23" t="s">
        <v>1126</v>
      </c>
      <c r="I2094" s="23" t="s">
        <v>92</v>
      </c>
      <c r="L2094" s="0" t="n">
        <v>84</v>
      </c>
      <c r="U2094" s="0" t="n">
        <v>531</v>
      </c>
      <c r="V2094" s="0" t="n">
        <v>3</v>
      </c>
      <c r="W2094" s="0" t="str">
        <f aca="false">IF(OR(AND(B2094&gt;=1,B2094&lt;=6),B2094=10),"Vaca em lactação",IF(I2094="Male","Macho",IF(E2094&gt;=1,"Vaca seca",IF(I2094="Youngstock","Bezerra/recria","Novilha"))))</f>
        <v>Novilha</v>
      </c>
      <c r="X2094" s="0" t="str">
        <f aca="false">IF(AND(B2094&gt;=1,B2094&lt;=6),"Tanque",IF(B2094=10,"Descarte",""))</f>
        <v/>
      </c>
    </row>
    <row r="2095" customFormat="false" ht="15" hidden="false" customHeight="false" outlineLevel="0" collapsed="false">
      <c r="A2095" s="22" t="n">
        <v>46309</v>
      </c>
      <c r="B2095" s="0" t="n">
        <v>8</v>
      </c>
      <c r="C2095" s="0" t="n">
        <v>6512</v>
      </c>
      <c r="E2095" s="0" t="n">
        <v>0</v>
      </c>
      <c r="F2095" s="23" t="s">
        <v>1126</v>
      </c>
      <c r="I2095" s="23" t="s">
        <v>92</v>
      </c>
      <c r="L2095" s="0" t="n">
        <v>133</v>
      </c>
      <c r="U2095" s="0" t="n">
        <v>531</v>
      </c>
      <c r="V2095" s="0" t="n">
        <v>1</v>
      </c>
      <c r="W2095" s="0" t="str">
        <f aca="false">IF(OR(AND(B2095&gt;=1,B2095&lt;=6),B2095=10),"Vaca em lactação",IF(I2095="Male","Macho",IF(E2095&gt;=1,"Vaca seca",IF(I2095="Youngstock","Bezerra/recria","Novilha"))))</f>
        <v>Novilha</v>
      </c>
      <c r="X2095" s="0" t="str">
        <f aca="false">IF(AND(B2095&gt;=1,B2095&lt;=6),"Tanque",IF(B2095=10,"Descarte",""))</f>
        <v/>
      </c>
    </row>
    <row r="2096" customFormat="false" ht="15" hidden="false" customHeight="false" outlineLevel="0" collapsed="false">
      <c r="A2096" s="22" t="n">
        <v>46309</v>
      </c>
      <c r="B2096" s="0" t="n">
        <v>8</v>
      </c>
      <c r="C2096" s="0" t="n">
        <v>6511</v>
      </c>
      <c r="E2096" s="0" t="n">
        <v>0</v>
      </c>
      <c r="F2096" s="23" t="s">
        <v>1126</v>
      </c>
      <c r="I2096" s="23" t="s">
        <v>92</v>
      </c>
      <c r="L2096" s="0" t="n">
        <v>134</v>
      </c>
      <c r="U2096" s="0" t="n">
        <v>531</v>
      </c>
      <c r="V2096" s="0" t="n">
        <v>1</v>
      </c>
      <c r="W2096" s="0" t="str">
        <f aca="false">IF(OR(AND(B2096&gt;=1,B2096&lt;=6),B2096=10),"Vaca em lactação",IF(I2096="Male","Macho",IF(E2096&gt;=1,"Vaca seca",IF(I2096="Youngstock","Bezerra/recria","Novilha"))))</f>
        <v>Novilha</v>
      </c>
      <c r="X2096" s="0" t="str">
        <f aca="false">IF(AND(B2096&gt;=1,B2096&lt;=6),"Tanque",IF(B2096=10,"Descarte",""))</f>
        <v/>
      </c>
    </row>
    <row r="2097" customFormat="false" ht="15" hidden="false" customHeight="false" outlineLevel="0" collapsed="false">
      <c r="A2097" s="22" t="n">
        <v>46309</v>
      </c>
      <c r="B2097" s="0" t="n">
        <v>8</v>
      </c>
      <c r="C2097" s="0" t="n">
        <v>6510</v>
      </c>
      <c r="E2097" s="0" t="n">
        <v>0</v>
      </c>
      <c r="F2097" s="23" t="s">
        <v>1124</v>
      </c>
      <c r="I2097" s="23" t="s">
        <v>92</v>
      </c>
      <c r="L2097" s="0" t="n">
        <v>134</v>
      </c>
      <c r="U2097" s="0" t="n">
        <v>532</v>
      </c>
      <c r="V2097" s="0" t="n">
        <v>1</v>
      </c>
      <c r="W2097" s="0" t="str">
        <f aca="false">IF(OR(AND(B2097&gt;=1,B2097&lt;=6),B2097=10),"Vaca em lactação",IF(I2097="Male","Macho",IF(E2097&gt;=1,"Vaca seca",IF(I2097="Youngstock","Bezerra/recria","Novilha"))))</f>
        <v>Novilha</v>
      </c>
      <c r="X2097" s="0" t="str">
        <f aca="false">IF(AND(B2097&gt;=1,B2097&lt;=6),"Tanque",IF(B2097=10,"Descarte",""))</f>
        <v/>
      </c>
    </row>
    <row r="2098" customFormat="false" ht="15" hidden="false" customHeight="false" outlineLevel="0" collapsed="false">
      <c r="A2098" s="22" t="n">
        <v>46309</v>
      </c>
      <c r="B2098" s="0" t="n">
        <v>8</v>
      </c>
      <c r="C2098" s="0" t="n">
        <v>6517</v>
      </c>
      <c r="E2098" s="0" t="n">
        <v>0</v>
      </c>
      <c r="F2098" s="23" t="s">
        <v>1127</v>
      </c>
      <c r="I2098" s="23" t="s">
        <v>92</v>
      </c>
      <c r="L2098" s="0" t="n">
        <v>125</v>
      </c>
      <c r="U2098" s="0" t="n">
        <v>527</v>
      </c>
      <c r="V2098" s="0" t="n">
        <v>1</v>
      </c>
      <c r="W2098" s="0" t="str">
        <f aca="false">IF(OR(AND(B2098&gt;=1,B2098&lt;=6),B2098=10),"Vaca em lactação",IF(I2098="Male","Macho",IF(E2098&gt;=1,"Vaca seca",IF(I2098="Youngstock","Bezerra/recria","Novilha"))))</f>
        <v>Novilha</v>
      </c>
      <c r="X2098" s="0" t="str">
        <f aca="false">IF(AND(B2098&gt;=1,B2098&lt;=6),"Tanque",IF(B2098=10,"Descarte",""))</f>
        <v/>
      </c>
    </row>
    <row r="2099" customFormat="false" ht="15" hidden="false" customHeight="false" outlineLevel="0" collapsed="false">
      <c r="A2099" s="22" t="n">
        <v>46309</v>
      </c>
      <c r="B2099" s="0" t="n">
        <v>8</v>
      </c>
      <c r="C2099" s="0" t="n">
        <v>6516</v>
      </c>
      <c r="E2099" s="0" t="n">
        <v>0</v>
      </c>
      <c r="F2099" s="23" t="s">
        <v>1127</v>
      </c>
      <c r="I2099" s="23" t="s">
        <v>92</v>
      </c>
      <c r="L2099" s="0" t="n">
        <v>85</v>
      </c>
      <c r="U2099" s="0" t="n">
        <v>527</v>
      </c>
      <c r="V2099" s="0" t="n">
        <v>3</v>
      </c>
      <c r="W2099" s="0" t="str">
        <f aca="false">IF(OR(AND(B2099&gt;=1,B2099&lt;=6),B2099=10),"Vaca em lactação",IF(I2099="Male","Macho",IF(E2099&gt;=1,"Vaca seca",IF(I2099="Youngstock","Bezerra/recria","Novilha"))))</f>
        <v>Novilha</v>
      </c>
      <c r="X2099" s="0" t="str">
        <f aca="false">IF(AND(B2099&gt;=1,B2099&lt;=6),"Tanque",IF(B2099=10,"Descarte",""))</f>
        <v/>
      </c>
    </row>
    <row r="2100" customFormat="false" ht="15" hidden="false" customHeight="false" outlineLevel="0" collapsed="false">
      <c r="A2100" s="22" t="n">
        <v>46309</v>
      </c>
      <c r="B2100" s="0" t="n">
        <v>8</v>
      </c>
      <c r="C2100" s="0" t="n">
        <v>6523</v>
      </c>
      <c r="E2100" s="0" t="n">
        <v>0</v>
      </c>
      <c r="F2100" s="23" t="s">
        <v>1128</v>
      </c>
      <c r="I2100" s="23" t="s">
        <v>92</v>
      </c>
      <c r="L2100" s="0" t="n">
        <v>133</v>
      </c>
      <c r="U2100" s="0" t="n">
        <v>525</v>
      </c>
      <c r="V2100" s="0" t="n">
        <v>1</v>
      </c>
      <c r="W2100" s="0" t="str">
        <f aca="false">IF(OR(AND(B2100&gt;=1,B2100&lt;=6),B2100=10),"Vaca em lactação",IF(I2100="Male","Macho",IF(E2100&gt;=1,"Vaca seca",IF(I2100="Youngstock","Bezerra/recria","Novilha"))))</f>
        <v>Novilha</v>
      </c>
      <c r="X2100" s="0" t="str">
        <f aca="false">IF(AND(B2100&gt;=1,B2100&lt;=6),"Tanque",IF(B2100=10,"Descarte",""))</f>
        <v/>
      </c>
    </row>
    <row r="2101" customFormat="false" ht="15" hidden="false" customHeight="false" outlineLevel="0" collapsed="false">
      <c r="A2101" s="22" t="n">
        <v>46309</v>
      </c>
      <c r="B2101" s="0" t="n">
        <v>8</v>
      </c>
      <c r="C2101" s="0" t="n">
        <v>6522</v>
      </c>
      <c r="E2101" s="0" t="n">
        <v>0</v>
      </c>
      <c r="F2101" s="23" t="s">
        <v>1127</v>
      </c>
      <c r="I2101" s="23" t="s">
        <v>92</v>
      </c>
      <c r="L2101" s="0" t="n">
        <v>109</v>
      </c>
      <c r="U2101" s="0" t="n">
        <v>527</v>
      </c>
      <c r="V2101" s="0" t="n">
        <v>2</v>
      </c>
      <c r="W2101" s="0" t="str">
        <f aca="false">IF(OR(AND(B2101&gt;=1,B2101&lt;=6),B2101=10),"Vaca em lactação",IF(I2101="Male","Macho",IF(E2101&gt;=1,"Vaca seca",IF(I2101="Youngstock","Bezerra/recria","Novilha"))))</f>
        <v>Novilha</v>
      </c>
      <c r="X2101" s="0" t="str">
        <f aca="false">IF(AND(B2101&gt;=1,B2101&lt;=6),"Tanque",IF(B2101=10,"Descarte",""))</f>
        <v/>
      </c>
    </row>
    <row r="2102" customFormat="false" ht="15" hidden="false" customHeight="false" outlineLevel="0" collapsed="false">
      <c r="A2102" s="22" t="n">
        <v>46309</v>
      </c>
      <c r="B2102" s="0" t="n">
        <v>8</v>
      </c>
      <c r="C2102" s="0" t="n">
        <v>6520</v>
      </c>
      <c r="E2102" s="0" t="n">
        <v>0</v>
      </c>
      <c r="F2102" s="23" t="s">
        <v>1127</v>
      </c>
      <c r="I2102" s="23" t="s">
        <v>92</v>
      </c>
      <c r="L2102" s="0" t="n">
        <v>35</v>
      </c>
      <c r="U2102" s="0" t="n">
        <v>527</v>
      </c>
      <c r="V2102" s="0" t="n">
        <v>2</v>
      </c>
      <c r="W2102" s="0" t="str">
        <f aca="false">IF(OR(AND(B2102&gt;=1,B2102&lt;=6),B2102=10),"Vaca em lactação",IF(I2102="Male","Macho",IF(E2102&gt;=1,"Vaca seca",IF(I2102="Youngstock","Bezerra/recria","Novilha"))))</f>
        <v>Novilha</v>
      </c>
      <c r="X2102" s="0" t="str">
        <f aca="false">IF(AND(B2102&gt;=1,B2102&lt;=6),"Tanque",IF(B2102=10,"Descarte",""))</f>
        <v/>
      </c>
    </row>
    <row r="2103" customFormat="false" ht="15" hidden="false" customHeight="false" outlineLevel="0" collapsed="false">
      <c r="A2103" s="22" t="n">
        <v>46309</v>
      </c>
      <c r="B2103" s="0" t="n">
        <v>8</v>
      </c>
      <c r="C2103" s="0" t="n">
        <v>6524</v>
      </c>
      <c r="E2103" s="0" t="n">
        <v>0</v>
      </c>
      <c r="F2103" s="23" t="s">
        <v>1128</v>
      </c>
      <c r="I2103" s="23" t="s">
        <v>92</v>
      </c>
      <c r="L2103" s="0" t="n">
        <v>108</v>
      </c>
      <c r="U2103" s="0" t="n">
        <v>525</v>
      </c>
      <c r="V2103" s="0" t="n">
        <v>2</v>
      </c>
      <c r="W2103" s="0" t="str">
        <f aca="false">IF(OR(AND(B2103&gt;=1,B2103&lt;=6),B2103=10),"Vaca em lactação",IF(I2103="Male","Macho",IF(E2103&gt;=1,"Vaca seca",IF(I2103="Youngstock","Bezerra/recria","Novilha"))))</f>
        <v>Novilha</v>
      </c>
      <c r="X2103" s="0" t="str">
        <f aca="false">IF(AND(B2103&gt;=1,B2103&lt;=6),"Tanque",IF(B2103=10,"Descarte",""))</f>
        <v/>
      </c>
    </row>
    <row r="2104" customFormat="false" ht="15" hidden="false" customHeight="false" outlineLevel="0" collapsed="false">
      <c r="A2104" s="22" t="n">
        <v>46309</v>
      </c>
      <c r="B2104" s="0" t="n">
        <v>8</v>
      </c>
      <c r="C2104" s="0" t="n">
        <v>6525</v>
      </c>
      <c r="E2104" s="0" t="n">
        <v>0</v>
      </c>
      <c r="F2104" s="23" t="s">
        <v>1129</v>
      </c>
      <c r="I2104" s="23" t="s">
        <v>92</v>
      </c>
      <c r="L2104" s="0" t="n">
        <v>125</v>
      </c>
      <c r="U2104" s="0" t="n">
        <v>524</v>
      </c>
      <c r="V2104" s="0" t="n">
        <v>1</v>
      </c>
      <c r="W2104" s="0" t="str">
        <f aca="false">IF(OR(AND(B2104&gt;=1,B2104&lt;=6),B2104=10),"Vaca em lactação",IF(I2104="Male","Macho",IF(E2104&gt;=1,"Vaca seca",IF(I2104="Youngstock","Bezerra/recria","Novilha"))))</f>
        <v>Novilha</v>
      </c>
      <c r="X2104" s="0" t="str">
        <f aca="false">IF(AND(B2104&gt;=1,B2104&lt;=6),"Tanque",IF(B2104=10,"Descarte",""))</f>
        <v/>
      </c>
    </row>
    <row r="2105" customFormat="false" ht="15" hidden="false" customHeight="false" outlineLevel="0" collapsed="false">
      <c r="A2105" s="22" t="n">
        <v>46309</v>
      </c>
      <c r="B2105" s="0" t="n">
        <v>8</v>
      </c>
      <c r="C2105" s="0" t="n">
        <v>6526</v>
      </c>
      <c r="E2105" s="0" t="n">
        <v>0</v>
      </c>
      <c r="F2105" s="23" t="s">
        <v>1129</v>
      </c>
      <c r="I2105" s="23" t="s">
        <v>92</v>
      </c>
      <c r="L2105" s="0" t="n">
        <v>120</v>
      </c>
      <c r="U2105" s="0" t="n">
        <v>524</v>
      </c>
      <c r="V2105" s="0" t="n">
        <v>1</v>
      </c>
      <c r="W2105" s="0" t="str">
        <f aca="false">IF(OR(AND(B2105&gt;=1,B2105&lt;=6),B2105=10),"Vaca em lactação",IF(I2105="Male","Macho",IF(E2105&gt;=1,"Vaca seca",IF(I2105="Youngstock","Bezerra/recria","Novilha"))))</f>
        <v>Novilha</v>
      </c>
      <c r="X2105" s="0" t="str">
        <f aca="false">IF(AND(B2105&gt;=1,B2105&lt;=6),"Tanque",IF(B2105=10,"Descarte",""))</f>
        <v/>
      </c>
    </row>
    <row r="2106" customFormat="false" ht="15" hidden="false" customHeight="false" outlineLevel="0" collapsed="false">
      <c r="A2106" s="22" t="n">
        <v>46309</v>
      </c>
      <c r="B2106" s="0" t="n">
        <v>8</v>
      </c>
      <c r="C2106" s="0" t="n">
        <v>6527</v>
      </c>
      <c r="E2106" s="0" t="n">
        <v>0</v>
      </c>
      <c r="F2106" s="23" t="s">
        <v>1129</v>
      </c>
      <c r="I2106" s="23" t="s">
        <v>92</v>
      </c>
      <c r="L2106" s="0" t="n">
        <v>125</v>
      </c>
      <c r="U2106" s="0" t="n">
        <v>524</v>
      </c>
      <c r="V2106" s="0" t="n">
        <v>1</v>
      </c>
      <c r="W2106" s="0" t="str">
        <f aca="false">IF(OR(AND(B2106&gt;=1,B2106&lt;=6),B2106=10),"Vaca em lactação",IF(I2106="Male","Macho",IF(E2106&gt;=1,"Vaca seca",IF(I2106="Youngstock","Bezerra/recria","Novilha"))))</f>
        <v>Novilha</v>
      </c>
      <c r="X2106" s="0" t="str">
        <f aca="false">IF(AND(B2106&gt;=1,B2106&lt;=6),"Tanque",IF(B2106=10,"Descarte",""))</f>
        <v/>
      </c>
    </row>
    <row r="2107" customFormat="false" ht="15" hidden="false" customHeight="false" outlineLevel="0" collapsed="false">
      <c r="A2107" s="22" t="n">
        <v>46309</v>
      </c>
      <c r="B2107" s="0" t="n">
        <v>8</v>
      </c>
      <c r="C2107" s="0" t="n">
        <v>6496</v>
      </c>
      <c r="E2107" s="0" t="n">
        <v>0</v>
      </c>
      <c r="F2107" s="23" t="s">
        <v>1130</v>
      </c>
      <c r="I2107" s="23" t="s">
        <v>92</v>
      </c>
      <c r="L2107" s="0" t="n">
        <v>122</v>
      </c>
      <c r="U2107" s="0" t="n">
        <v>540</v>
      </c>
      <c r="V2107" s="0" t="n">
        <v>2</v>
      </c>
      <c r="W2107" s="0" t="str">
        <f aca="false">IF(OR(AND(B2107&gt;=1,B2107&lt;=6),B2107=10),"Vaca em lactação",IF(I2107="Male","Macho",IF(E2107&gt;=1,"Vaca seca",IF(I2107="Youngstock","Bezerra/recria","Novilha"))))</f>
        <v>Novilha</v>
      </c>
      <c r="X2107" s="0" t="str">
        <f aca="false">IF(AND(B2107&gt;=1,B2107&lt;=6),"Tanque",IF(B2107=10,"Descarte",""))</f>
        <v/>
      </c>
    </row>
    <row r="2108" customFormat="false" ht="15" hidden="false" customHeight="false" outlineLevel="0" collapsed="false">
      <c r="A2108" s="22" t="n">
        <v>46309</v>
      </c>
      <c r="B2108" s="0" t="n">
        <v>8</v>
      </c>
      <c r="C2108" s="0" t="n">
        <v>6497</v>
      </c>
      <c r="E2108" s="0" t="n">
        <v>0</v>
      </c>
      <c r="F2108" s="23" t="s">
        <v>1130</v>
      </c>
      <c r="I2108" s="23" t="s">
        <v>92</v>
      </c>
      <c r="L2108" s="0" t="n">
        <v>65</v>
      </c>
      <c r="U2108" s="0" t="n">
        <v>540</v>
      </c>
      <c r="V2108" s="0" t="n">
        <v>4</v>
      </c>
      <c r="W2108" s="0" t="str">
        <f aca="false">IF(OR(AND(B2108&gt;=1,B2108&lt;=6),B2108=10),"Vaca em lactação",IF(I2108="Male","Macho",IF(E2108&gt;=1,"Vaca seca",IF(I2108="Youngstock","Bezerra/recria","Novilha"))))</f>
        <v>Novilha</v>
      </c>
      <c r="X2108" s="0" t="str">
        <f aca="false">IF(AND(B2108&gt;=1,B2108&lt;=6),"Tanque",IF(B2108=10,"Descarte",""))</f>
        <v/>
      </c>
    </row>
    <row r="2109" customFormat="false" ht="15" hidden="false" customHeight="false" outlineLevel="0" collapsed="false">
      <c r="A2109" s="22" t="n">
        <v>46309</v>
      </c>
      <c r="B2109" s="0" t="n">
        <v>8</v>
      </c>
      <c r="C2109" s="0" t="n">
        <v>6490</v>
      </c>
      <c r="E2109" s="0" t="n">
        <v>0</v>
      </c>
      <c r="F2109" s="23" t="s">
        <v>1130</v>
      </c>
      <c r="I2109" s="23" t="s">
        <v>92</v>
      </c>
      <c r="L2109" s="0" t="n">
        <v>105</v>
      </c>
      <c r="U2109" s="0" t="n">
        <v>540</v>
      </c>
      <c r="V2109" s="0" t="n">
        <v>3</v>
      </c>
      <c r="W2109" s="0" t="str">
        <f aca="false">IF(OR(AND(B2109&gt;=1,B2109&lt;=6),B2109=10),"Vaca em lactação",IF(I2109="Male","Macho",IF(E2109&gt;=1,"Vaca seca",IF(I2109="Youngstock","Bezerra/recria","Novilha"))))</f>
        <v>Novilha</v>
      </c>
      <c r="X2109" s="0" t="str">
        <f aca="false">IF(AND(B2109&gt;=1,B2109&lt;=6),"Tanque",IF(B2109=10,"Descarte",""))</f>
        <v/>
      </c>
    </row>
    <row r="2110" customFormat="false" ht="15" hidden="false" customHeight="false" outlineLevel="0" collapsed="false">
      <c r="A2110" s="22" t="n">
        <v>46309</v>
      </c>
      <c r="B2110" s="0" t="n">
        <v>8</v>
      </c>
      <c r="C2110" s="0" t="n">
        <v>6491</v>
      </c>
      <c r="E2110" s="0" t="n">
        <v>0</v>
      </c>
      <c r="F2110" s="23" t="s">
        <v>1130</v>
      </c>
      <c r="I2110" s="23" t="s">
        <v>92</v>
      </c>
      <c r="L2110" s="0" t="n">
        <v>81</v>
      </c>
      <c r="U2110" s="0" t="n">
        <v>540</v>
      </c>
      <c r="V2110" s="0" t="n">
        <v>4</v>
      </c>
      <c r="W2110" s="0" t="str">
        <f aca="false">IF(OR(AND(B2110&gt;=1,B2110&lt;=6),B2110=10),"Vaca em lactação",IF(I2110="Male","Macho",IF(E2110&gt;=1,"Vaca seca",IF(I2110="Youngstock","Bezerra/recria","Novilha"))))</f>
        <v>Novilha</v>
      </c>
      <c r="X2110" s="0" t="str">
        <f aca="false">IF(AND(B2110&gt;=1,B2110&lt;=6),"Tanque",IF(B2110=10,"Descarte",""))</f>
        <v/>
      </c>
    </row>
    <row r="2111" customFormat="false" ht="15" hidden="false" customHeight="false" outlineLevel="0" collapsed="false">
      <c r="A2111" s="22" t="n">
        <v>46309</v>
      </c>
      <c r="B2111" s="0" t="n">
        <v>8</v>
      </c>
      <c r="C2111" s="0" t="n">
        <v>6493</v>
      </c>
      <c r="E2111" s="0" t="n">
        <v>0</v>
      </c>
      <c r="F2111" s="23" t="s">
        <v>1130</v>
      </c>
      <c r="I2111" s="23" t="s">
        <v>92</v>
      </c>
      <c r="L2111" s="0" t="n">
        <v>140</v>
      </c>
      <c r="U2111" s="0" t="n">
        <v>540</v>
      </c>
      <c r="V2111" s="0" t="n">
        <v>1</v>
      </c>
      <c r="W2111" s="0" t="str">
        <f aca="false">IF(OR(AND(B2111&gt;=1,B2111&lt;=6),B2111=10),"Vaca em lactação",IF(I2111="Male","Macho",IF(E2111&gt;=1,"Vaca seca",IF(I2111="Youngstock","Bezerra/recria","Novilha"))))</f>
        <v>Novilha</v>
      </c>
      <c r="X2111" s="0" t="str">
        <f aca="false">IF(AND(B2111&gt;=1,B2111&lt;=6),"Tanque",IF(B2111=10,"Descarte",""))</f>
        <v/>
      </c>
    </row>
    <row r="2112" customFormat="false" ht="15" hidden="false" customHeight="false" outlineLevel="0" collapsed="false">
      <c r="A2112" s="22" t="n">
        <v>46309</v>
      </c>
      <c r="B2112" s="0" t="n">
        <v>8</v>
      </c>
      <c r="C2112" s="0" t="n">
        <v>6494</v>
      </c>
      <c r="E2112" s="0" t="n">
        <v>0</v>
      </c>
      <c r="F2112" s="23" t="s">
        <v>1130</v>
      </c>
      <c r="I2112" s="23" t="s">
        <v>92</v>
      </c>
      <c r="L2112" s="0" t="n">
        <v>131</v>
      </c>
      <c r="U2112" s="0" t="n">
        <v>540</v>
      </c>
      <c r="V2112" s="0" t="n">
        <v>1</v>
      </c>
      <c r="W2112" s="0" t="str">
        <f aca="false">IF(OR(AND(B2112&gt;=1,B2112&lt;=6),B2112=10),"Vaca em lactação",IF(I2112="Male","Macho",IF(E2112&gt;=1,"Vaca seca",IF(I2112="Youngstock","Bezerra/recria","Novilha"))))</f>
        <v>Novilha</v>
      </c>
      <c r="X2112" s="0" t="str">
        <f aca="false">IF(AND(B2112&gt;=1,B2112&lt;=6),"Tanque",IF(B2112=10,"Descarte",""))</f>
        <v/>
      </c>
    </row>
    <row r="2113" customFormat="false" ht="15" hidden="false" customHeight="false" outlineLevel="0" collapsed="false">
      <c r="A2113" s="22" t="n">
        <v>46309</v>
      </c>
      <c r="B2113" s="0" t="n">
        <v>8</v>
      </c>
      <c r="C2113" s="0" t="n">
        <v>6495</v>
      </c>
      <c r="E2113" s="0" t="n">
        <v>0</v>
      </c>
      <c r="F2113" s="23" t="s">
        <v>1130</v>
      </c>
      <c r="I2113" s="23" t="s">
        <v>92</v>
      </c>
      <c r="L2113" s="0" t="n">
        <v>105</v>
      </c>
      <c r="U2113" s="0" t="n">
        <v>540</v>
      </c>
      <c r="V2113" s="0" t="n">
        <v>1</v>
      </c>
      <c r="W2113" s="0" t="str">
        <f aca="false">IF(OR(AND(B2113&gt;=1,B2113&lt;=6),B2113=10),"Vaca em lactação",IF(I2113="Male","Macho",IF(E2113&gt;=1,"Vaca seca",IF(I2113="Youngstock","Bezerra/recria","Novilha"))))</f>
        <v>Novilha</v>
      </c>
      <c r="X2113" s="0" t="str">
        <f aca="false">IF(AND(B2113&gt;=1,B2113&lt;=6),"Tanque",IF(B2113=10,"Descarte",""))</f>
        <v/>
      </c>
    </row>
    <row r="2114" customFormat="false" ht="15" hidden="false" customHeight="false" outlineLevel="0" collapsed="false">
      <c r="A2114" s="22" t="n">
        <v>46309</v>
      </c>
      <c r="B2114" s="0" t="n">
        <v>8</v>
      </c>
      <c r="C2114" s="0" t="n">
        <v>6500</v>
      </c>
      <c r="E2114" s="0" t="n">
        <v>0</v>
      </c>
      <c r="F2114" s="23" t="s">
        <v>1131</v>
      </c>
      <c r="I2114" s="23" t="s">
        <v>92</v>
      </c>
      <c r="L2114" s="0" t="n">
        <v>126</v>
      </c>
      <c r="U2114" s="0" t="n">
        <v>539</v>
      </c>
      <c r="V2114" s="0" t="n">
        <v>1</v>
      </c>
      <c r="W2114" s="0" t="str">
        <f aca="false">IF(OR(AND(B2114&gt;=1,B2114&lt;=6),B2114=10),"Vaca em lactação",IF(I2114="Male","Macho",IF(E2114&gt;=1,"Vaca seca",IF(I2114="Youngstock","Bezerra/recria","Novilha"))))</f>
        <v>Novilha</v>
      </c>
      <c r="X2114" s="0" t="str">
        <f aca="false">IF(AND(B2114&gt;=1,B2114&lt;=6),"Tanque",IF(B2114=10,"Descarte",""))</f>
        <v/>
      </c>
    </row>
    <row r="2115" customFormat="false" ht="15" hidden="false" customHeight="false" outlineLevel="0" collapsed="false">
      <c r="A2115" s="22" t="n">
        <v>46309</v>
      </c>
      <c r="B2115" s="0" t="n">
        <v>8</v>
      </c>
      <c r="C2115" s="0" t="n">
        <v>6501</v>
      </c>
      <c r="E2115" s="0" t="n">
        <v>0</v>
      </c>
      <c r="F2115" s="23" t="s">
        <v>1131</v>
      </c>
      <c r="I2115" s="23" t="s">
        <v>92</v>
      </c>
      <c r="L2115" s="0" t="n">
        <v>140</v>
      </c>
      <c r="U2115" s="0" t="n">
        <v>539</v>
      </c>
      <c r="V2115" s="0" t="n">
        <v>1</v>
      </c>
      <c r="W2115" s="0" t="str">
        <f aca="false">IF(OR(AND(B2115&gt;=1,B2115&lt;=6),B2115=10),"Vaca em lactação",IF(I2115="Male","Macho",IF(E2115&gt;=1,"Vaca seca",IF(I2115="Youngstock","Bezerra/recria","Novilha"))))</f>
        <v>Novilha</v>
      </c>
      <c r="X2115" s="0" t="str">
        <f aca="false">IF(AND(B2115&gt;=1,B2115&lt;=6),"Tanque",IF(B2115=10,"Descarte",""))</f>
        <v/>
      </c>
    </row>
    <row r="2116" customFormat="false" ht="15" hidden="false" customHeight="false" outlineLevel="0" collapsed="false">
      <c r="A2116" s="22" t="n">
        <v>46309</v>
      </c>
      <c r="B2116" s="0" t="n">
        <v>8</v>
      </c>
      <c r="C2116" s="0" t="n">
        <v>6502</v>
      </c>
      <c r="E2116" s="0" t="n">
        <v>0</v>
      </c>
      <c r="F2116" s="23" t="s">
        <v>1131</v>
      </c>
      <c r="I2116" s="23" t="s">
        <v>92</v>
      </c>
      <c r="L2116" s="0" t="n">
        <v>98</v>
      </c>
      <c r="U2116" s="0" t="n">
        <v>539</v>
      </c>
      <c r="V2116" s="0" t="n">
        <v>3</v>
      </c>
      <c r="W2116" s="0" t="str">
        <f aca="false">IF(OR(AND(B2116&gt;=1,B2116&lt;=6),B2116=10),"Vaca em lactação",IF(I2116="Male","Macho",IF(E2116&gt;=1,"Vaca seca",IF(I2116="Youngstock","Bezerra/recria","Novilha"))))</f>
        <v>Novilha</v>
      </c>
      <c r="X2116" s="0" t="str">
        <f aca="false">IF(AND(B2116&gt;=1,B2116&lt;=6),"Tanque",IF(B2116=10,"Descarte",""))</f>
        <v/>
      </c>
    </row>
    <row r="2117" customFormat="false" ht="15" hidden="false" customHeight="false" outlineLevel="0" collapsed="false">
      <c r="A2117" s="22" t="n">
        <v>46309</v>
      </c>
      <c r="B2117" s="0" t="n">
        <v>8</v>
      </c>
      <c r="C2117" s="0" t="n">
        <v>6498</v>
      </c>
      <c r="E2117" s="0" t="n">
        <v>0</v>
      </c>
      <c r="F2117" s="23" t="s">
        <v>1131</v>
      </c>
      <c r="I2117" s="23" t="s">
        <v>92</v>
      </c>
      <c r="L2117" s="0" t="n">
        <v>103</v>
      </c>
      <c r="U2117" s="0" t="n">
        <v>539</v>
      </c>
      <c r="V2117" s="0" t="n">
        <v>2</v>
      </c>
      <c r="W2117" s="0" t="str">
        <f aca="false">IF(OR(AND(B2117&gt;=1,B2117&lt;=6),B2117=10),"Vaca em lactação",IF(I2117="Male","Macho",IF(E2117&gt;=1,"Vaca seca",IF(I2117="Youngstock","Bezerra/recria","Novilha"))))</f>
        <v>Novilha</v>
      </c>
      <c r="X2117" s="0" t="str">
        <f aca="false">IF(AND(B2117&gt;=1,B2117&lt;=6),"Tanque",IF(B2117=10,"Descarte",""))</f>
        <v/>
      </c>
    </row>
    <row r="2118" customFormat="false" ht="15" hidden="false" customHeight="false" outlineLevel="0" collapsed="false">
      <c r="A2118" s="22" t="n">
        <v>46309</v>
      </c>
      <c r="B2118" s="0" t="n">
        <v>8</v>
      </c>
      <c r="C2118" s="0" t="n">
        <v>6499</v>
      </c>
      <c r="E2118" s="0" t="n">
        <v>0</v>
      </c>
      <c r="F2118" s="23" t="s">
        <v>1131</v>
      </c>
      <c r="I2118" s="23" t="s">
        <v>92</v>
      </c>
      <c r="L2118" s="0" t="n">
        <v>135</v>
      </c>
      <c r="U2118" s="0" t="n">
        <v>539</v>
      </c>
      <c r="V2118" s="0" t="n">
        <v>1</v>
      </c>
      <c r="W2118" s="0" t="str">
        <f aca="false">IF(OR(AND(B2118&gt;=1,B2118&lt;=6),B2118=10),"Vaca em lactação",IF(I2118="Male","Macho",IF(E2118&gt;=1,"Vaca seca",IF(I2118="Youngstock","Bezerra/recria","Novilha"))))</f>
        <v>Novilha</v>
      </c>
      <c r="X2118" s="0" t="str">
        <f aca="false">IF(AND(B2118&gt;=1,B2118&lt;=6),"Tanque",IF(B2118=10,"Descarte",""))</f>
        <v/>
      </c>
    </row>
    <row r="2119" customFormat="false" ht="15" hidden="false" customHeight="false" outlineLevel="0" collapsed="false">
      <c r="A2119" s="22" t="n">
        <v>46309</v>
      </c>
      <c r="B2119" s="0" t="n">
        <v>8</v>
      </c>
      <c r="C2119" s="0" t="n">
        <v>6503</v>
      </c>
      <c r="E2119" s="0" t="n">
        <v>0</v>
      </c>
      <c r="F2119" s="23" t="s">
        <v>1132</v>
      </c>
      <c r="I2119" s="23" t="s">
        <v>92</v>
      </c>
      <c r="L2119" s="0" t="n">
        <v>43</v>
      </c>
      <c r="U2119" s="0" t="n">
        <v>538</v>
      </c>
      <c r="V2119" s="0" t="n">
        <v>3</v>
      </c>
      <c r="W2119" s="0" t="str">
        <f aca="false">IF(OR(AND(B2119&gt;=1,B2119&lt;=6),B2119=10),"Vaca em lactação",IF(I2119="Male","Macho",IF(E2119&gt;=1,"Vaca seca",IF(I2119="Youngstock","Bezerra/recria","Novilha"))))</f>
        <v>Novilha</v>
      </c>
      <c r="X2119" s="0" t="str">
        <f aca="false">IF(AND(B2119&gt;=1,B2119&lt;=6),"Tanque",IF(B2119=10,"Descarte",""))</f>
        <v/>
      </c>
    </row>
    <row r="2120" customFormat="false" ht="15" hidden="false" customHeight="false" outlineLevel="0" collapsed="false">
      <c r="A2120" s="22" t="n">
        <v>46309</v>
      </c>
      <c r="B2120" s="0" t="n">
        <v>8</v>
      </c>
      <c r="C2120" s="0" t="n">
        <v>6505</v>
      </c>
      <c r="E2120" s="0" t="n">
        <v>0</v>
      </c>
      <c r="F2120" s="23" t="s">
        <v>1133</v>
      </c>
      <c r="I2120" s="23" t="s">
        <v>92</v>
      </c>
      <c r="L2120" s="0" t="n">
        <v>133</v>
      </c>
      <c r="U2120" s="0" t="n">
        <v>537</v>
      </c>
      <c r="V2120" s="0" t="n">
        <v>1</v>
      </c>
      <c r="W2120" s="0" t="str">
        <f aca="false">IF(OR(AND(B2120&gt;=1,B2120&lt;=6),B2120=10),"Vaca em lactação",IF(I2120="Male","Macho",IF(E2120&gt;=1,"Vaca seca",IF(I2120="Youngstock","Bezerra/recria","Novilha"))))</f>
        <v>Novilha</v>
      </c>
      <c r="X2120" s="0" t="str">
        <f aca="false">IF(AND(B2120&gt;=1,B2120&lt;=6),"Tanque",IF(B2120=10,"Descarte",""))</f>
        <v/>
      </c>
    </row>
    <row r="2121" customFormat="false" ht="15" hidden="false" customHeight="false" outlineLevel="0" collapsed="false">
      <c r="A2121" s="22" t="n">
        <v>46309</v>
      </c>
      <c r="B2121" s="0" t="n">
        <v>8</v>
      </c>
      <c r="C2121" s="0" t="n">
        <v>6504</v>
      </c>
      <c r="E2121" s="0" t="n">
        <v>0</v>
      </c>
      <c r="F2121" s="23" t="s">
        <v>1133</v>
      </c>
      <c r="I2121" s="23" t="s">
        <v>92</v>
      </c>
      <c r="L2121" s="0" t="n">
        <v>55</v>
      </c>
      <c r="U2121" s="0" t="n">
        <v>537</v>
      </c>
      <c r="V2121" s="0" t="n">
        <v>2</v>
      </c>
      <c r="W2121" s="0" t="str">
        <f aca="false">IF(OR(AND(B2121&gt;=1,B2121&lt;=6),B2121=10),"Vaca em lactação",IF(I2121="Male","Macho",IF(E2121&gt;=1,"Vaca seca",IF(I2121="Youngstock","Bezerra/recria","Novilha"))))</f>
        <v>Novilha</v>
      </c>
      <c r="X2121" s="0" t="str">
        <f aca="false">IF(AND(B2121&gt;=1,B2121&lt;=6),"Tanque",IF(B2121=10,"Descarte",""))</f>
        <v/>
      </c>
    </row>
    <row r="2122" customFormat="false" ht="15" hidden="false" customHeight="false" outlineLevel="0" collapsed="false">
      <c r="A2122" s="22" t="n">
        <v>46309</v>
      </c>
      <c r="B2122" s="0" t="n">
        <v>8</v>
      </c>
      <c r="C2122" s="0" t="n">
        <v>6638</v>
      </c>
      <c r="E2122" s="0" t="n">
        <v>0</v>
      </c>
      <c r="F2122" s="23" t="s">
        <v>1134</v>
      </c>
      <c r="I2122" s="23" t="s">
        <v>92</v>
      </c>
      <c r="L2122" s="0" t="n">
        <v>77</v>
      </c>
      <c r="U2122" s="0" t="n">
        <v>492</v>
      </c>
      <c r="V2122" s="0" t="n">
        <v>1</v>
      </c>
      <c r="W2122" s="0" t="str">
        <f aca="false">IF(OR(AND(B2122&gt;=1,B2122&lt;=6),B2122=10),"Vaca em lactação",IF(I2122="Male","Macho",IF(E2122&gt;=1,"Vaca seca",IF(I2122="Youngstock","Bezerra/recria","Novilha"))))</f>
        <v>Novilha</v>
      </c>
      <c r="X2122" s="0" t="str">
        <f aca="false">IF(AND(B2122&gt;=1,B2122&lt;=6),"Tanque",IF(B2122=10,"Descarte",""))</f>
        <v/>
      </c>
    </row>
    <row r="2123" customFormat="false" ht="15" hidden="false" customHeight="false" outlineLevel="0" collapsed="false">
      <c r="A2123" s="22" t="n">
        <v>46309</v>
      </c>
      <c r="B2123" s="0" t="n">
        <v>8</v>
      </c>
      <c r="C2123" s="0" t="n">
        <v>6640</v>
      </c>
      <c r="E2123" s="0" t="n">
        <v>0</v>
      </c>
      <c r="F2123" s="23" t="s">
        <v>1135</v>
      </c>
      <c r="I2123" s="23" t="s">
        <v>92</v>
      </c>
      <c r="L2123" s="0" t="n">
        <v>93</v>
      </c>
      <c r="U2123" s="0" t="n">
        <v>491</v>
      </c>
      <c r="V2123" s="0" t="n">
        <v>1</v>
      </c>
      <c r="W2123" s="0" t="str">
        <f aca="false">IF(OR(AND(B2123&gt;=1,B2123&lt;=6),B2123=10),"Vaca em lactação",IF(I2123="Male","Macho",IF(E2123&gt;=1,"Vaca seca",IF(I2123="Youngstock","Bezerra/recria","Novilha"))))</f>
        <v>Novilha</v>
      </c>
      <c r="X2123" s="0" t="str">
        <f aca="false">IF(AND(B2123&gt;=1,B2123&lt;=6),"Tanque",IF(B2123=10,"Descarte",""))</f>
        <v/>
      </c>
    </row>
    <row r="2124" customFormat="false" ht="15" hidden="false" customHeight="false" outlineLevel="0" collapsed="false">
      <c r="A2124" s="22" t="n">
        <v>46309</v>
      </c>
      <c r="B2124" s="0" t="n">
        <v>8</v>
      </c>
      <c r="C2124" s="0" t="n">
        <v>6639</v>
      </c>
      <c r="E2124" s="0" t="n">
        <v>0</v>
      </c>
      <c r="F2124" s="23" t="s">
        <v>1134</v>
      </c>
      <c r="I2124" s="23" t="s">
        <v>92</v>
      </c>
      <c r="L2124" s="0" t="n">
        <v>44</v>
      </c>
      <c r="U2124" s="0" t="n">
        <v>492</v>
      </c>
      <c r="V2124" s="0" t="n">
        <v>3</v>
      </c>
      <c r="W2124" s="0" t="str">
        <f aca="false">IF(OR(AND(B2124&gt;=1,B2124&lt;=6),B2124=10),"Vaca em lactação",IF(I2124="Male","Macho",IF(E2124&gt;=1,"Vaca seca",IF(I2124="Youngstock","Bezerra/recria","Novilha"))))</f>
        <v>Novilha</v>
      </c>
      <c r="X2124" s="0" t="str">
        <f aca="false">IF(AND(B2124&gt;=1,B2124&lt;=6),"Tanque",IF(B2124=10,"Descarte",""))</f>
        <v/>
      </c>
    </row>
    <row r="2125" customFormat="false" ht="15" hidden="false" customHeight="false" outlineLevel="0" collapsed="false">
      <c r="A2125" s="22" t="n">
        <v>46309</v>
      </c>
      <c r="B2125" s="0" t="n">
        <v>8</v>
      </c>
      <c r="C2125" s="0" t="n">
        <v>6646</v>
      </c>
      <c r="E2125" s="0" t="n">
        <v>0</v>
      </c>
      <c r="F2125" s="23" t="s">
        <v>1136</v>
      </c>
      <c r="I2125" s="23" t="s">
        <v>92</v>
      </c>
      <c r="L2125" s="0" t="n">
        <v>44</v>
      </c>
      <c r="U2125" s="0" t="n">
        <v>488</v>
      </c>
      <c r="V2125" s="0" t="n">
        <v>2</v>
      </c>
      <c r="W2125" s="0" t="str">
        <f aca="false">IF(OR(AND(B2125&gt;=1,B2125&lt;=6),B2125=10),"Vaca em lactação",IF(I2125="Male","Macho",IF(E2125&gt;=1,"Vaca seca",IF(I2125="Youngstock","Bezerra/recria","Novilha"))))</f>
        <v>Novilha</v>
      </c>
      <c r="X2125" s="0" t="str">
        <f aca="false">IF(AND(B2125&gt;=1,B2125&lt;=6),"Tanque",IF(B2125=10,"Descarte",""))</f>
        <v/>
      </c>
    </row>
    <row r="2126" customFormat="false" ht="15" hidden="false" customHeight="false" outlineLevel="0" collapsed="false">
      <c r="A2126" s="22" t="n">
        <v>46309</v>
      </c>
      <c r="B2126" s="0" t="n">
        <v>8</v>
      </c>
      <c r="C2126" s="0" t="n">
        <v>6645</v>
      </c>
      <c r="E2126" s="0" t="n">
        <v>0</v>
      </c>
      <c r="F2126" s="23" t="s">
        <v>1137</v>
      </c>
      <c r="I2126" s="23" t="s">
        <v>92</v>
      </c>
      <c r="L2126" s="0" t="n">
        <v>69</v>
      </c>
      <c r="U2126" s="0" t="n">
        <v>489</v>
      </c>
      <c r="V2126" s="0" t="n">
        <v>2</v>
      </c>
      <c r="W2126" s="0" t="str">
        <f aca="false">IF(OR(AND(B2126&gt;=1,B2126&lt;=6),B2126=10),"Vaca em lactação",IF(I2126="Male","Macho",IF(E2126&gt;=1,"Vaca seca",IF(I2126="Youngstock","Bezerra/recria","Novilha"))))</f>
        <v>Novilha</v>
      </c>
      <c r="X2126" s="0" t="str">
        <f aca="false">IF(AND(B2126&gt;=1,B2126&lt;=6),"Tanque",IF(B2126=10,"Descarte",""))</f>
        <v/>
      </c>
    </row>
    <row r="2127" customFormat="false" ht="15" hidden="false" customHeight="false" outlineLevel="0" collapsed="false">
      <c r="A2127" s="22" t="n">
        <v>46309</v>
      </c>
      <c r="B2127" s="0" t="n">
        <v>8</v>
      </c>
      <c r="C2127" s="0" t="n">
        <v>6644</v>
      </c>
      <c r="E2127" s="0" t="n">
        <v>0</v>
      </c>
      <c r="F2127" s="23" t="s">
        <v>1138</v>
      </c>
      <c r="I2127" s="23" t="s">
        <v>92</v>
      </c>
      <c r="L2127" s="0" t="n">
        <v>71</v>
      </c>
      <c r="U2127" s="0" t="n">
        <v>490</v>
      </c>
      <c r="V2127" s="0" t="n">
        <v>2</v>
      </c>
      <c r="W2127" s="0" t="str">
        <f aca="false">IF(OR(AND(B2127&gt;=1,B2127&lt;=6),B2127=10),"Vaca em lactação",IF(I2127="Male","Macho",IF(E2127&gt;=1,"Vaca seca",IF(I2127="Youngstock","Bezerra/recria","Novilha"))))</f>
        <v>Novilha</v>
      </c>
      <c r="X2127" s="0" t="str">
        <f aca="false">IF(AND(B2127&gt;=1,B2127&lt;=6),"Tanque",IF(B2127=10,"Descarte",""))</f>
        <v/>
      </c>
    </row>
    <row r="2128" customFormat="false" ht="15" hidden="false" customHeight="false" outlineLevel="0" collapsed="false">
      <c r="A2128" s="22" t="n">
        <v>46309</v>
      </c>
      <c r="B2128" s="0" t="n">
        <v>8</v>
      </c>
      <c r="C2128" s="0" t="n">
        <v>6643</v>
      </c>
      <c r="E2128" s="0" t="n">
        <v>0</v>
      </c>
      <c r="F2128" s="23" t="s">
        <v>1138</v>
      </c>
      <c r="I2128" s="23" t="s">
        <v>92</v>
      </c>
      <c r="L2128" s="0" t="n">
        <v>84</v>
      </c>
      <c r="U2128" s="0" t="n">
        <v>490</v>
      </c>
      <c r="V2128" s="0" t="n">
        <v>1</v>
      </c>
      <c r="W2128" s="0" t="str">
        <f aca="false">IF(OR(AND(B2128&gt;=1,B2128&lt;=6),B2128=10),"Vaca em lactação",IF(I2128="Male","Macho",IF(E2128&gt;=1,"Vaca seca",IF(I2128="Youngstock","Bezerra/recria","Novilha"))))</f>
        <v>Novilha</v>
      </c>
      <c r="X2128" s="0" t="str">
        <f aca="false">IF(AND(B2128&gt;=1,B2128&lt;=6),"Tanque",IF(B2128=10,"Descarte",""))</f>
        <v/>
      </c>
    </row>
    <row r="2129" customFormat="false" ht="15" hidden="false" customHeight="false" outlineLevel="0" collapsed="false">
      <c r="A2129" s="22" t="n">
        <v>46309</v>
      </c>
      <c r="B2129" s="0" t="n">
        <v>8</v>
      </c>
      <c r="C2129" s="0" t="n">
        <v>6642</v>
      </c>
      <c r="E2129" s="0" t="n">
        <v>0</v>
      </c>
      <c r="F2129" s="23" t="s">
        <v>1138</v>
      </c>
      <c r="I2129" s="23" t="s">
        <v>92</v>
      </c>
      <c r="L2129" s="0" t="n">
        <v>71</v>
      </c>
      <c r="U2129" s="0" t="n">
        <v>490</v>
      </c>
      <c r="V2129" s="0" t="n">
        <v>2</v>
      </c>
      <c r="W2129" s="0" t="str">
        <f aca="false">IF(OR(AND(B2129&gt;=1,B2129&lt;=6),B2129=10),"Vaca em lactação",IF(I2129="Male","Macho",IF(E2129&gt;=1,"Vaca seca",IF(I2129="Youngstock","Bezerra/recria","Novilha"))))</f>
        <v>Novilha</v>
      </c>
      <c r="X2129" s="0" t="str">
        <f aca="false">IF(AND(B2129&gt;=1,B2129&lt;=6),"Tanque",IF(B2129=10,"Descarte",""))</f>
        <v/>
      </c>
    </row>
    <row r="2130" customFormat="false" ht="15" hidden="false" customHeight="false" outlineLevel="0" collapsed="false">
      <c r="A2130" s="22" t="n">
        <v>46309</v>
      </c>
      <c r="B2130" s="0" t="n">
        <v>8</v>
      </c>
      <c r="C2130" s="0" t="n">
        <v>6653</v>
      </c>
      <c r="E2130" s="0" t="n">
        <v>0</v>
      </c>
      <c r="F2130" s="23" t="s">
        <v>1139</v>
      </c>
      <c r="I2130" s="23" t="s">
        <v>92</v>
      </c>
      <c r="L2130" s="0" t="n">
        <v>85</v>
      </c>
      <c r="U2130" s="0" t="n">
        <v>486</v>
      </c>
      <c r="V2130" s="0" t="n">
        <v>1</v>
      </c>
      <c r="W2130" s="0" t="str">
        <f aca="false">IF(OR(AND(B2130&gt;=1,B2130&lt;=6),B2130=10),"Vaca em lactação",IF(I2130="Male","Macho",IF(E2130&gt;=1,"Vaca seca",IF(I2130="Youngstock","Bezerra/recria","Novilha"))))</f>
        <v>Novilha</v>
      </c>
      <c r="X2130" s="0" t="str">
        <f aca="false">IF(AND(B2130&gt;=1,B2130&lt;=6),"Tanque",IF(B2130=10,"Descarte",""))</f>
        <v/>
      </c>
    </row>
    <row r="2131" customFormat="false" ht="15" hidden="false" customHeight="false" outlineLevel="0" collapsed="false">
      <c r="A2131" s="22" t="n">
        <v>46309</v>
      </c>
      <c r="B2131" s="0" t="n">
        <v>8</v>
      </c>
      <c r="C2131" s="0" t="n">
        <v>6648</v>
      </c>
      <c r="E2131" s="0" t="n">
        <v>0</v>
      </c>
      <c r="F2131" s="23" t="s">
        <v>1139</v>
      </c>
      <c r="I2131" s="23" t="s">
        <v>92</v>
      </c>
      <c r="L2131" s="0" t="n">
        <v>85</v>
      </c>
      <c r="U2131" s="0" t="n">
        <v>486</v>
      </c>
      <c r="V2131" s="0" t="n">
        <v>1</v>
      </c>
      <c r="W2131" s="0" t="str">
        <f aca="false">IF(OR(AND(B2131&gt;=1,B2131&lt;=6),B2131=10),"Vaca em lactação",IF(I2131="Male","Macho",IF(E2131&gt;=1,"Vaca seca",IF(I2131="Youngstock","Bezerra/recria","Novilha"))))</f>
        <v>Novilha</v>
      </c>
      <c r="X2131" s="0" t="str">
        <f aca="false">IF(AND(B2131&gt;=1,B2131&lt;=6),"Tanque",IF(B2131=10,"Descarte",""))</f>
        <v/>
      </c>
    </row>
    <row r="2132" customFormat="false" ht="15" hidden="false" customHeight="false" outlineLevel="0" collapsed="false">
      <c r="A2132" s="22" t="n">
        <v>46309</v>
      </c>
      <c r="B2132" s="0" t="n">
        <v>8</v>
      </c>
      <c r="C2132" s="0" t="n">
        <v>6654</v>
      </c>
      <c r="E2132" s="0" t="n">
        <v>0</v>
      </c>
      <c r="F2132" s="23" t="s">
        <v>1140</v>
      </c>
      <c r="I2132" s="23" t="s">
        <v>92</v>
      </c>
      <c r="L2132" s="0" t="n">
        <v>49</v>
      </c>
      <c r="U2132" s="0" t="n">
        <v>485</v>
      </c>
      <c r="V2132" s="0" t="n">
        <v>1</v>
      </c>
      <c r="W2132" s="0" t="str">
        <f aca="false">IF(OR(AND(B2132&gt;=1,B2132&lt;=6),B2132=10),"Vaca em lactação",IF(I2132="Male","Macho",IF(E2132&gt;=1,"Vaca seca",IF(I2132="Youngstock","Bezerra/recria","Novilha"))))</f>
        <v>Novilha</v>
      </c>
      <c r="X2132" s="0" t="str">
        <f aca="false">IF(AND(B2132&gt;=1,B2132&lt;=6),"Tanque",IF(B2132=10,"Descarte",""))</f>
        <v/>
      </c>
    </row>
    <row r="2133" customFormat="false" ht="15" hidden="false" customHeight="false" outlineLevel="0" collapsed="false">
      <c r="A2133" s="22" t="n">
        <v>46309</v>
      </c>
      <c r="B2133" s="0" t="n">
        <v>8</v>
      </c>
      <c r="C2133" s="0" t="n">
        <v>6655</v>
      </c>
      <c r="E2133" s="0" t="n">
        <v>0</v>
      </c>
      <c r="F2133" s="23" t="s">
        <v>1140</v>
      </c>
      <c r="I2133" s="23" t="s">
        <v>92</v>
      </c>
      <c r="L2133" s="0" t="n">
        <v>56</v>
      </c>
      <c r="U2133" s="0" t="n">
        <v>485</v>
      </c>
      <c r="V2133" s="0" t="n">
        <v>3</v>
      </c>
      <c r="W2133" s="0" t="str">
        <f aca="false">IF(OR(AND(B2133&gt;=1,B2133&lt;=6),B2133=10),"Vaca em lactação",IF(I2133="Male","Macho",IF(E2133&gt;=1,"Vaca seca",IF(I2133="Youngstock","Bezerra/recria","Novilha"))))</f>
        <v>Novilha</v>
      </c>
      <c r="X2133" s="0" t="str">
        <f aca="false">IF(AND(B2133&gt;=1,B2133&lt;=6),"Tanque",IF(B2133=10,"Descarte",""))</f>
        <v/>
      </c>
    </row>
    <row r="2134" customFormat="false" ht="15" hidden="false" customHeight="false" outlineLevel="0" collapsed="false">
      <c r="A2134" s="22" t="n">
        <v>46309</v>
      </c>
      <c r="B2134" s="0" t="n">
        <v>8</v>
      </c>
      <c r="C2134" s="0" t="n">
        <v>6647</v>
      </c>
      <c r="E2134" s="0" t="n">
        <v>0</v>
      </c>
      <c r="F2134" s="23" t="s">
        <v>1136</v>
      </c>
      <c r="I2134" s="23" t="s">
        <v>92</v>
      </c>
      <c r="L2134" s="0" t="n">
        <v>62</v>
      </c>
      <c r="U2134" s="0" t="n">
        <v>488</v>
      </c>
      <c r="V2134" s="0" t="n">
        <v>2</v>
      </c>
      <c r="W2134" s="0" t="str">
        <f aca="false">IF(OR(AND(B2134&gt;=1,B2134&lt;=6),B2134=10),"Vaca em lactação",IF(I2134="Male","Macho",IF(E2134&gt;=1,"Vaca seca",IF(I2134="Youngstock","Bezerra/recria","Novilha"))))</f>
        <v>Novilha</v>
      </c>
      <c r="X2134" s="0" t="str">
        <f aca="false">IF(AND(B2134&gt;=1,B2134&lt;=6),"Tanque",IF(B2134=10,"Descarte",""))</f>
        <v/>
      </c>
    </row>
    <row r="2135" customFormat="false" ht="15" hidden="false" customHeight="false" outlineLevel="0" collapsed="false">
      <c r="A2135" s="22" t="n">
        <v>46309</v>
      </c>
      <c r="B2135" s="0" t="n">
        <v>8</v>
      </c>
      <c r="C2135" s="0" t="n">
        <v>6660</v>
      </c>
      <c r="E2135" s="0" t="n">
        <v>0</v>
      </c>
      <c r="F2135" s="23" t="s">
        <v>1140</v>
      </c>
      <c r="I2135" s="23" t="s">
        <v>92</v>
      </c>
      <c r="L2135" s="0" t="n">
        <v>88</v>
      </c>
      <c r="U2135" s="0" t="n">
        <v>485</v>
      </c>
      <c r="V2135" s="0" t="n">
        <v>1</v>
      </c>
      <c r="W2135" s="0" t="str">
        <f aca="false">IF(OR(AND(B2135&gt;=1,B2135&lt;=6),B2135=10),"Vaca em lactação",IF(I2135="Male","Macho",IF(E2135&gt;=1,"Vaca seca",IF(I2135="Youngstock","Bezerra/recria","Novilha"))))</f>
        <v>Novilha</v>
      </c>
      <c r="X2135" s="0" t="str">
        <f aca="false">IF(AND(B2135&gt;=1,B2135&lt;=6),"Tanque",IF(B2135=10,"Descarte",""))</f>
        <v/>
      </c>
    </row>
    <row r="2136" customFormat="false" ht="15" hidden="false" customHeight="false" outlineLevel="0" collapsed="false">
      <c r="A2136" s="22" t="n">
        <v>46309</v>
      </c>
      <c r="B2136" s="0" t="n">
        <v>8</v>
      </c>
      <c r="C2136" s="0" t="n">
        <v>6659</v>
      </c>
      <c r="E2136" s="0" t="n">
        <v>0</v>
      </c>
      <c r="F2136" s="23" t="s">
        <v>1140</v>
      </c>
      <c r="I2136" s="23" t="s">
        <v>92</v>
      </c>
      <c r="L2136" s="0" t="n">
        <v>29</v>
      </c>
      <c r="U2136" s="0" t="n">
        <v>485</v>
      </c>
      <c r="V2136" s="0" t="n">
        <v>3</v>
      </c>
      <c r="W2136" s="0" t="str">
        <f aca="false">IF(OR(AND(B2136&gt;=1,B2136&lt;=6),B2136=10),"Vaca em lactação",IF(I2136="Male","Macho",IF(E2136&gt;=1,"Vaca seca",IF(I2136="Youngstock","Bezerra/recria","Novilha"))))</f>
        <v>Novilha</v>
      </c>
      <c r="X2136" s="0" t="str">
        <f aca="false">IF(AND(B2136&gt;=1,B2136&lt;=6),"Tanque",IF(B2136=10,"Descarte",""))</f>
        <v/>
      </c>
    </row>
    <row r="2137" customFormat="false" ht="15" hidden="false" customHeight="false" outlineLevel="0" collapsed="false">
      <c r="A2137" s="22" t="n">
        <v>46309</v>
      </c>
      <c r="B2137" s="0" t="n">
        <v>8</v>
      </c>
      <c r="C2137" s="0" t="n">
        <v>6658</v>
      </c>
      <c r="E2137" s="0" t="n">
        <v>0</v>
      </c>
      <c r="F2137" s="23" t="s">
        <v>1140</v>
      </c>
      <c r="I2137" s="23" t="s">
        <v>92</v>
      </c>
      <c r="L2137" s="0" t="n">
        <v>27</v>
      </c>
      <c r="U2137" s="0" t="n">
        <v>485</v>
      </c>
      <c r="V2137" s="0" t="n">
        <v>4</v>
      </c>
      <c r="W2137" s="0" t="str">
        <f aca="false">IF(OR(AND(B2137&gt;=1,B2137&lt;=6),B2137=10),"Vaca em lactação",IF(I2137="Male","Macho",IF(E2137&gt;=1,"Vaca seca",IF(I2137="Youngstock","Bezerra/recria","Novilha"))))</f>
        <v>Novilha</v>
      </c>
      <c r="X2137" s="0" t="str">
        <f aca="false">IF(AND(B2137&gt;=1,B2137&lt;=6),"Tanque",IF(B2137=10,"Descarte",""))</f>
        <v/>
      </c>
    </row>
    <row r="2138" customFormat="false" ht="15" hidden="false" customHeight="false" outlineLevel="0" collapsed="false">
      <c r="A2138" s="22" t="n">
        <v>46309</v>
      </c>
      <c r="B2138" s="0" t="n">
        <v>8</v>
      </c>
      <c r="C2138" s="0" t="n">
        <v>6657</v>
      </c>
      <c r="E2138" s="0" t="n">
        <v>0</v>
      </c>
      <c r="F2138" s="23" t="s">
        <v>1140</v>
      </c>
      <c r="I2138" s="23" t="s">
        <v>92</v>
      </c>
      <c r="L2138" s="0" t="n">
        <v>94</v>
      </c>
      <c r="U2138" s="0" t="n">
        <v>485</v>
      </c>
      <c r="V2138" s="0" t="n">
        <v>1</v>
      </c>
      <c r="W2138" s="0" t="str">
        <f aca="false">IF(OR(AND(B2138&gt;=1,B2138&lt;=6),B2138=10),"Vaca em lactação",IF(I2138="Male","Macho",IF(E2138&gt;=1,"Vaca seca",IF(I2138="Youngstock","Bezerra/recria","Novilha"))))</f>
        <v>Novilha</v>
      </c>
      <c r="X2138" s="0" t="str">
        <f aca="false">IF(AND(B2138&gt;=1,B2138&lt;=6),"Tanque",IF(B2138=10,"Descarte",""))</f>
        <v/>
      </c>
    </row>
    <row r="2139" customFormat="false" ht="15" hidden="false" customHeight="false" outlineLevel="0" collapsed="false">
      <c r="A2139" s="22" t="n">
        <v>46309</v>
      </c>
      <c r="B2139" s="0" t="n">
        <v>8</v>
      </c>
      <c r="C2139" s="0" t="n">
        <v>6656</v>
      </c>
      <c r="E2139" s="0" t="n">
        <v>0</v>
      </c>
      <c r="F2139" s="23" t="s">
        <v>1140</v>
      </c>
      <c r="I2139" s="23" t="s">
        <v>92</v>
      </c>
      <c r="L2139" s="0" t="n">
        <v>86</v>
      </c>
      <c r="U2139" s="0" t="n">
        <v>485</v>
      </c>
      <c r="V2139" s="0" t="n">
        <v>1</v>
      </c>
      <c r="W2139" s="0" t="str">
        <f aca="false">IF(OR(AND(B2139&gt;=1,B2139&lt;=6),B2139=10),"Vaca em lactação",IF(I2139="Male","Macho",IF(E2139&gt;=1,"Vaca seca",IF(I2139="Youngstock","Bezerra/recria","Novilha"))))</f>
        <v>Novilha</v>
      </c>
      <c r="X2139" s="0" t="str">
        <f aca="false">IF(AND(B2139&gt;=1,B2139&lt;=6),"Tanque",IF(B2139=10,"Descarte",""))</f>
        <v/>
      </c>
    </row>
    <row r="2140" customFormat="false" ht="15" hidden="false" customHeight="false" outlineLevel="0" collapsed="false">
      <c r="A2140" s="22" t="n">
        <v>46309</v>
      </c>
      <c r="B2140" s="0" t="n">
        <v>8</v>
      </c>
      <c r="C2140" s="0" t="n">
        <v>6661</v>
      </c>
      <c r="E2140" s="0" t="n">
        <v>0</v>
      </c>
      <c r="F2140" s="23" t="s">
        <v>1141</v>
      </c>
      <c r="I2140" s="23" t="s">
        <v>92</v>
      </c>
      <c r="L2140" s="0" t="n">
        <v>63</v>
      </c>
      <c r="U2140" s="0" t="n">
        <v>483</v>
      </c>
      <c r="V2140" s="0" t="n">
        <v>1</v>
      </c>
      <c r="W2140" s="0" t="str">
        <f aca="false">IF(OR(AND(B2140&gt;=1,B2140&lt;=6),B2140=10),"Vaca em lactação",IF(I2140="Male","Macho",IF(E2140&gt;=1,"Vaca seca",IF(I2140="Youngstock","Bezerra/recria","Novilha"))))</f>
        <v>Novilha</v>
      </c>
      <c r="X2140" s="0" t="str">
        <f aca="false">IF(AND(B2140&gt;=1,B2140&lt;=6),"Tanque",IF(B2140=10,"Descarte",""))</f>
        <v/>
      </c>
    </row>
    <row r="2141" customFormat="false" ht="15" hidden="false" customHeight="false" outlineLevel="0" collapsed="false">
      <c r="A2141" s="22" t="n">
        <v>46309</v>
      </c>
      <c r="B2141" s="0" t="n">
        <v>8</v>
      </c>
      <c r="C2141" s="0" t="n">
        <v>6663</v>
      </c>
      <c r="E2141" s="0" t="n">
        <v>0</v>
      </c>
      <c r="F2141" s="23" t="s">
        <v>1142</v>
      </c>
      <c r="I2141" s="23" t="s">
        <v>92</v>
      </c>
      <c r="L2141" s="0" t="n">
        <v>73</v>
      </c>
      <c r="U2141" s="0" t="n">
        <v>482</v>
      </c>
      <c r="V2141" s="0" t="n">
        <v>1</v>
      </c>
      <c r="W2141" s="0" t="str">
        <f aca="false">IF(OR(AND(B2141&gt;=1,B2141&lt;=6),B2141=10),"Vaca em lactação",IF(I2141="Male","Macho",IF(E2141&gt;=1,"Vaca seca",IF(I2141="Youngstock","Bezerra/recria","Novilha"))))</f>
        <v>Novilha</v>
      </c>
      <c r="X2141" s="0" t="str">
        <f aca="false">IF(AND(B2141&gt;=1,B2141&lt;=6),"Tanque",IF(B2141=10,"Descarte",""))</f>
        <v/>
      </c>
    </row>
    <row r="2142" customFormat="false" ht="15" hidden="false" customHeight="false" outlineLevel="0" collapsed="false">
      <c r="A2142" s="22" t="n">
        <v>46309</v>
      </c>
      <c r="B2142" s="0" t="n">
        <v>8</v>
      </c>
      <c r="C2142" s="0" t="n">
        <v>6665</v>
      </c>
      <c r="E2142" s="0" t="n">
        <v>0</v>
      </c>
      <c r="F2142" s="23" t="s">
        <v>1142</v>
      </c>
      <c r="I2142" s="23" t="s">
        <v>92</v>
      </c>
      <c r="L2142" s="0" t="n">
        <v>78</v>
      </c>
      <c r="U2142" s="0" t="n">
        <v>482</v>
      </c>
      <c r="V2142" s="0" t="n">
        <v>1</v>
      </c>
      <c r="W2142" s="0" t="str">
        <f aca="false">IF(OR(AND(B2142&gt;=1,B2142&lt;=6),B2142=10),"Vaca em lactação",IF(I2142="Male","Macho",IF(E2142&gt;=1,"Vaca seca",IF(I2142="Youngstock","Bezerra/recria","Novilha"))))</f>
        <v>Novilha</v>
      </c>
      <c r="X2142" s="0" t="str">
        <f aca="false">IF(AND(B2142&gt;=1,B2142&lt;=6),"Tanque",IF(B2142=10,"Descarte",""))</f>
        <v/>
      </c>
    </row>
    <row r="2143" customFormat="false" ht="15" hidden="false" customHeight="false" outlineLevel="0" collapsed="false">
      <c r="A2143" s="22" t="n">
        <v>46309</v>
      </c>
      <c r="B2143" s="0" t="n">
        <v>8</v>
      </c>
      <c r="C2143" s="0" t="n">
        <v>6613</v>
      </c>
      <c r="E2143" s="0" t="n">
        <v>0</v>
      </c>
      <c r="F2143" s="23" t="s">
        <v>1143</v>
      </c>
      <c r="I2143" s="23" t="s">
        <v>92</v>
      </c>
      <c r="L2143" s="0" t="n">
        <v>63</v>
      </c>
      <c r="U2143" s="0" t="n">
        <v>499</v>
      </c>
      <c r="V2143" s="0" t="n">
        <v>1</v>
      </c>
      <c r="W2143" s="0" t="str">
        <f aca="false">IF(OR(AND(B2143&gt;=1,B2143&lt;=6),B2143=10),"Vaca em lactação",IF(I2143="Male","Macho",IF(E2143&gt;=1,"Vaca seca",IF(I2143="Youngstock","Bezerra/recria","Novilha"))))</f>
        <v>Novilha</v>
      </c>
      <c r="X2143" s="0" t="str">
        <f aca="false">IF(AND(B2143&gt;=1,B2143&lt;=6),"Tanque",IF(B2143=10,"Descarte",""))</f>
        <v/>
      </c>
    </row>
    <row r="2144" customFormat="false" ht="15" hidden="false" customHeight="false" outlineLevel="0" collapsed="false">
      <c r="A2144" s="22" t="n">
        <v>46309</v>
      </c>
      <c r="B2144" s="0" t="n">
        <v>8</v>
      </c>
      <c r="C2144" s="0" t="n">
        <v>6614</v>
      </c>
      <c r="E2144" s="0" t="n">
        <v>0</v>
      </c>
      <c r="F2144" s="23" t="s">
        <v>1143</v>
      </c>
      <c r="I2144" s="23" t="s">
        <v>92</v>
      </c>
      <c r="L2144" s="0" t="n">
        <v>84</v>
      </c>
      <c r="U2144" s="0" t="n">
        <v>499</v>
      </c>
      <c r="V2144" s="0" t="n">
        <v>1</v>
      </c>
      <c r="W2144" s="0" t="str">
        <f aca="false">IF(OR(AND(B2144&gt;=1,B2144&lt;=6),B2144=10),"Vaca em lactação",IF(I2144="Male","Macho",IF(E2144&gt;=1,"Vaca seca",IF(I2144="Youngstock","Bezerra/recria","Novilha"))))</f>
        <v>Novilha</v>
      </c>
      <c r="X2144" s="0" t="str">
        <f aca="false">IF(AND(B2144&gt;=1,B2144&lt;=6),"Tanque",IF(B2144=10,"Descarte",""))</f>
        <v/>
      </c>
    </row>
    <row r="2145" customFormat="false" ht="15" hidden="false" customHeight="false" outlineLevel="0" collapsed="false">
      <c r="A2145" s="22" t="n">
        <v>46309</v>
      </c>
      <c r="B2145" s="0" t="n">
        <v>8</v>
      </c>
      <c r="C2145" s="0" t="n">
        <v>6618</v>
      </c>
      <c r="E2145" s="0" t="n">
        <v>0</v>
      </c>
      <c r="F2145" s="23" t="s">
        <v>1144</v>
      </c>
      <c r="I2145" s="23" t="s">
        <v>92</v>
      </c>
      <c r="L2145" s="0" t="n">
        <v>96</v>
      </c>
      <c r="U2145" s="0" t="n">
        <v>498</v>
      </c>
      <c r="V2145" s="0" t="n">
        <v>1</v>
      </c>
      <c r="W2145" s="0" t="str">
        <f aca="false">IF(OR(AND(B2145&gt;=1,B2145&lt;=6),B2145=10),"Vaca em lactação",IF(I2145="Male","Macho",IF(E2145&gt;=1,"Vaca seca",IF(I2145="Youngstock","Bezerra/recria","Novilha"))))</f>
        <v>Novilha</v>
      </c>
      <c r="X2145" s="0" t="str">
        <f aca="false">IF(AND(B2145&gt;=1,B2145&lt;=6),"Tanque",IF(B2145=10,"Descarte",""))</f>
        <v/>
      </c>
    </row>
    <row r="2146" customFormat="false" ht="15" hidden="false" customHeight="false" outlineLevel="0" collapsed="false">
      <c r="A2146" s="22" t="n">
        <v>46309</v>
      </c>
      <c r="B2146" s="0" t="n">
        <v>8</v>
      </c>
      <c r="C2146" s="0" t="n">
        <v>6617</v>
      </c>
      <c r="E2146" s="0" t="n">
        <v>0</v>
      </c>
      <c r="F2146" s="23" t="s">
        <v>1144</v>
      </c>
      <c r="I2146" s="23" t="s">
        <v>92</v>
      </c>
      <c r="L2146" s="0" t="n">
        <v>98</v>
      </c>
      <c r="U2146" s="0" t="n">
        <v>498</v>
      </c>
      <c r="V2146" s="0" t="n">
        <v>1</v>
      </c>
      <c r="W2146" s="0" t="str">
        <f aca="false">IF(OR(AND(B2146&gt;=1,B2146&lt;=6),B2146=10),"Vaca em lactação",IF(I2146="Male","Macho",IF(E2146&gt;=1,"Vaca seca",IF(I2146="Youngstock","Bezerra/recria","Novilha"))))</f>
        <v>Novilha</v>
      </c>
      <c r="X2146" s="0" t="str">
        <f aca="false">IF(AND(B2146&gt;=1,B2146&lt;=6),"Tanque",IF(B2146=10,"Descarte",""))</f>
        <v/>
      </c>
    </row>
    <row r="2147" customFormat="false" ht="15" hidden="false" customHeight="false" outlineLevel="0" collapsed="false">
      <c r="A2147" s="22" t="n">
        <v>46309</v>
      </c>
      <c r="B2147" s="0" t="n">
        <v>8</v>
      </c>
      <c r="C2147" s="0" t="n">
        <v>6616</v>
      </c>
      <c r="E2147" s="0" t="n">
        <v>0</v>
      </c>
      <c r="F2147" s="23" t="s">
        <v>1144</v>
      </c>
      <c r="I2147" s="23" t="s">
        <v>92</v>
      </c>
      <c r="L2147" s="0" t="n">
        <v>77</v>
      </c>
      <c r="U2147" s="0" t="n">
        <v>498</v>
      </c>
      <c r="V2147" s="0" t="n">
        <v>1</v>
      </c>
      <c r="W2147" s="0" t="str">
        <f aca="false">IF(OR(AND(B2147&gt;=1,B2147&lt;=6),B2147=10),"Vaca em lactação",IF(I2147="Male","Macho",IF(E2147&gt;=1,"Vaca seca",IF(I2147="Youngstock","Bezerra/recria","Novilha"))))</f>
        <v>Novilha</v>
      </c>
      <c r="X2147" s="0" t="str">
        <f aca="false">IF(AND(B2147&gt;=1,B2147&lt;=6),"Tanque",IF(B2147=10,"Descarte",""))</f>
        <v/>
      </c>
    </row>
    <row r="2148" customFormat="false" ht="15" hidden="false" customHeight="false" outlineLevel="0" collapsed="false">
      <c r="A2148" s="22" t="n">
        <v>46309</v>
      </c>
      <c r="B2148" s="0" t="n">
        <v>8</v>
      </c>
      <c r="C2148" s="0" t="n">
        <v>6615</v>
      </c>
      <c r="E2148" s="0" t="n">
        <v>0</v>
      </c>
      <c r="F2148" s="23" t="s">
        <v>1144</v>
      </c>
      <c r="I2148" s="23" t="s">
        <v>92</v>
      </c>
      <c r="L2148" s="0" t="n">
        <v>62</v>
      </c>
      <c r="U2148" s="0" t="n">
        <v>498</v>
      </c>
      <c r="V2148" s="0" t="n">
        <v>1</v>
      </c>
      <c r="W2148" s="0" t="str">
        <f aca="false">IF(OR(AND(B2148&gt;=1,B2148&lt;=6),B2148=10),"Vaca em lactação",IF(I2148="Male","Macho",IF(E2148&gt;=1,"Vaca seca",IF(I2148="Youngstock","Bezerra/recria","Novilha"))))</f>
        <v>Novilha</v>
      </c>
      <c r="X2148" s="0" t="str">
        <f aca="false">IF(AND(B2148&gt;=1,B2148&lt;=6),"Tanque",IF(B2148=10,"Descarte",""))</f>
        <v/>
      </c>
    </row>
    <row r="2149" customFormat="false" ht="15" hidden="false" customHeight="false" outlineLevel="0" collapsed="false">
      <c r="A2149" s="22" t="n">
        <v>46309</v>
      </c>
      <c r="B2149" s="0" t="n">
        <v>8</v>
      </c>
      <c r="C2149" s="0" t="n">
        <v>6623</v>
      </c>
      <c r="E2149" s="0" t="n">
        <v>0</v>
      </c>
      <c r="F2149" s="23" t="s">
        <v>1145</v>
      </c>
      <c r="I2149" s="23" t="s">
        <v>92</v>
      </c>
      <c r="L2149" s="0" t="n">
        <v>96</v>
      </c>
      <c r="U2149" s="0" t="n">
        <v>496</v>
      </c>
      <c r="V2149" s="0" t="n">
        <v>1</v>
      </c>
      <c r="W2149" s="0" t="str">
        <f aca="false">IF(OR(AND(B2149&gt;=1,B2149&lt;=6),B2149=10),"Vaca em lactação",IF(I2149="Male","Macho",IF(E2149&gt;=1,"Vaca seca",IF(I2149="Youngstock","Bezerra/recria","Novilha"))))</f>
        <v>Novilha</v>
      </c>
      <c r="X2149" s="0" t="str">
        <f aca="false">IF(AND(B2149&gt;=1,B2149&lt;=6),"Tanque",IF(B2149=10,"Descarte",""))</f>
        <v/>
      </c>
    </row>
    <row r="2150" customFormat="false" ht="15" hidden="false" customHeight="false" outlineLevel="0" collapsed="false">
      <c r="A2150" s="22" t="n">
        <v>46309</v>
      </c>
      <c r="B2150" s="0" t="n">
        <v>8</v>
      </c>
      <c r="C2150" s="0" t="n">
        <v>6619</v>
      </c>
      <c r="E2150" s="0" t="n">
        <v>0</v>
      </c>
      <c r="F2150" s="23" t="s">
        <v>1145</v>
      </c>
      <c r="I2150" s="23" t="s">
        <v>92</v>
      </c>
      <c r="L2150" s="0" t="n">
        <v>92</v>
      </c>
      <c r="U2150" s="0" t="n">
        <v>496</v>
      </c>
      <c r="V2150" s="0" t="n">
        <v>1</v>
      </c>
      <c r="W2150" s="0" t="str">
        <f aca="false">IF(OR(AND(B2150&gt;=1,B2150&lt;=6),B2150=10),"Vaca em lactação",IF(I2150="Male","Macho",IF(E2150&gt;=1,"Vaca seca",IF(I2150="Youngstock","Bezerra/recria","Novilha"))))</f>
        <v>Novilha</v>
      </c>
      <c r="X2150" s="0" t="str">
        <f aca="false">IF(AND(B2150&gt;=1,B2150&lt;=6),"Tanque",IF(B2150=10,"Descarte",""))</f>
        <v/>
      </c>
    </row>
    <row r="2151" customFormat="false" ht="15" hidden="false" customHeight="false" outlineLevel="0" collapsed="false">
      <c r="A2151" s="22" t="n">
        <v>46309</v>
      </c>
      <c r="B2151" s="0" t="n">
        <v>8</v>
      </c>
      <c r="C2151" s="0" t="n">
        <v>6620</v>
      </c>
      <c r="E2151" s="0" t="n">
        <v>0</v>
      </c>
      <c r="F2151" s="23" t="s">
        <v>1145</v>
      </c>
      <c r="I2151" s="23" t="s">
        <v>92</v>
      </c>
      <c r="L2151" s="0" t="n">
        <v>85</v>
      </c>
      <c r="U2151" s="0" t="n">
        <v>496</v>
      </c>
      <c r="V2151" s="0" t="n">
        <v>2</v>
      </c>
      <c r="W2151" s="0" t="str">
        <f aca="false">IF(OR(AND(B2151&gt;=1,B2151&lt;=6),B2151=10),"Vaca em lactação",IF(I2151="Male","Macho",IF(E2151&gt;=1,"Vaca seca",IF(I2151="Youngstock","Bezerra/recria","Novilha"))))</f>
        <v>Novilha</v>
      </c>
      <c r="X2151" s="0" t="str">
        <f aca="false">IF(AND(B2151&gt;=1,B2151&lt;=6),"Tanque",IF(B2151=10,"Descarte",""))</f>
        <v/>
      </c>
    </row>
    <row r="2152" customFormat="false" ht="15" hidden="false" customHeight="false" outlineLevel="0" collapsed="false">
      <c r="A2152" s="22" t="n">
        <v>46309</v>
      </c>
      <c r="B2152" s="0" t="n">
        <v>8</v>
      </c>
      <c r="C2152" s="0" t="n">
        <v>6622</v>
      </c>
      <c r="E2152" s="0" t="n">
        <v>0</v>
      </c>
      <c r="F2152" s="23" t="s">
        <v>1145</v>
      </c>
      <c r="I2152" s="23" t="s">
        <v>92</v>
      </c>
      <c r="L2152" s="0" t="n">
        <v>55</v>
      </c>
      <c r="U2152" s="0" t="n">
        <v>496</v>
      </c>
      <c r="V2152" s="0" t="n">
        <v>2</v>
      </c>
      <c r="W2152" s="0" t="str">
        <f aca="false">IF(OR(AND(B2152&gt;=1,B2152&lt;=6),B2152=10),"Vaca em lactação",IF(I2152="Male","Macho",IF(E2152&gt;=1,"Vaca seca",IF(I2152="Youngstock","Bezerra/recria","Novilha"))))</f>
        <v>Novilha</v>
      </c>
      <c r="X2152" s="0" t="str">
        <f aca="false">IF(AND(B2152&gt;=1,B2152&lt;=6),"Tanque",IF(B2152=10,"Descarte",""))</f>
        <v/>
      </c>
    </row>
    <row r="2153" customFormat="false" ht="15" hidden="false" customHeight="false" outlineLevel="0" collapsed="false">
      <c r="A2153" s="22" t="n">
        <v>46309</v>
      </c>
      <c r="B2153" s="0" t="n">
        <v>8</v>
      </c>
      <c r="C2153" s="0" t="n">
        <v>6625</v>
      </c>
      <c r="E2153" s="0" t="n">
        <v>0</v>
      </c>
      <c r="F2153" s="23" t="s">
        <v>1145</v>
      </c>
      <c r="I2153" s="23" t="s">
        <v>92</v>
      </c>
      <c r="L2153" s="0" t="n">
        <v>92</v>
      </c>
      <c r="U2153" s="0" t="n">
        <v>496</v>
      </c>
      <c r="V2153" s="0" t="n">
        <v>1</v>
      </c>
      <c r="W2153" s="0" t="str">
        <f aca="false">IF(OR(AND(B2153&gt;=1,B2153&lt;=6),B2153=10),"Vaca em lactação",IF(I2153="Male","Macho",IF(E2153&gt;=1,"Vaca seca",IF(I2153="Youngstock","Bezerra/recria","Novilha"))))</f>
        <v>Novilha</v>
      </c>
      <c r="X2153" s="0" t="str">
        <f aca="false">IF(AND(B2153&gt;=1,B2153&lt;=6),"Tanque",IF(B2153=10,"Descarte",""))</f>
        <v/>
      </c>
    </row>
    <row r="2154" customFormat="false" ht="15" hidden="false" customHeight="false" outlineLevel="0" collapsed="false">
      <c r="A2154" s="22" t="n">
        <v>46309</v>
      </c>
      <c r="B2154" s="0" t="n">
        <v>8</v>
      </c>
      <c r="C2154" s="0" t="n">
        <v>6627</v>
      </c>
      <c r="E2154" s="0" t="n">
        <v>0</v>
      </c>
      <c r="F2154" s="23" t="s">
        <v>1146</v>
      </c>
      <c r="I2154" s="23" t="s">
        <v>92</v>
      </c>
      <c r="L2154" s="0" t="n">
        <v>71</v>
      </c>
      <c r="U2154" s="0" t="n">
        <v>495</v>
      </c>
      <c r="V2154" s="0" t="n">
        <v>2</v>
      </c>
      <c r="W2154" s="0" t="str">
        <f aca="false">IF(OR(AND(B2154&gt;=1,B2154&lt;=6),B2154=10),"Vaca em lactação",IF(I2154="Male","Macho",IF(E2154&gt;=1,"Vaca seca",IF(I2154="Youngstock","Bezerra/recria","Novilha"))))</f>
        <v>Novilha</v>
      </c>
      <c r="X2154" s="0" t="str">
        <f aca="false">IF(AND(B2154&gt;=1,B2154&lt;=6),"Tanque",IF(B2154=10,"Descarte",""))</f>
        <v/>
      </c>
    </row>
    <row r="2155" customFormat="false" ht="15" hidden="false" customHeight="false" outlineLevel="0" collapsed="false">
      <c r="A2155" s="22" t="n">
        <v>46309</v>
      </c>
      <c r="B2155" s="0" t="n">
        <v>8</v>
      </c>
      <c r="C2155" s="0" t="n">
        <v>6626</v>
      </c>
      <c r="E2155" s="0" t="n">
        <v>0</v>
      </c>
      <c r="F2155" s="23" t="s">
        <v>1146</v>
      </c>
      <c r="I2155" s="23" t="s">
        <v>92</v>
      </c>
      <c r="L2155" s="0" t="n">
        <v>72</v>
      </c>
      <c r="U2155" s="0" t="n">
        <v>495</v>
      </c>
      <c r="V2155" s="0" t="n">
        <v>2</v>
      </c>
      <c r="W2155" s="0" t="str">
        <f aca="false">IF(OR(AND(B2155&gt;=1,B2155&lt;=6),B2155=10),"Vaca em lactação",IF(I2155="Male","Macho",IF(E2155&gt;=1,"Vaca seca",IF(I2155="Youngstock","Bezerra/recria","Novilha"))))</f>
        <v>Novilha</v>
      </c>
      <c r="X2155" s="0" t="str">
        <f aca="false">IF(AND(B2155&gt;=1,B2155&lt;=6),"Tanque",IF(B2155=10,"Descarte",""))</f>
        <v/>
      </c>
    </row>
    <row r="2156" customFormat="false" ht="15" hidden="false" customHeight="false" outlineLevel="0" collapsed="false">
      <c r="A2156" s="22" t="n">
        <v>46309</v>
      </c>
      <c r="B2156" s="0" t="n">
        <v>8</v>
      </c>
      <c r="C2156" s="0" t="n">
        <v>6630</v>
      </c>
      <c r="E2156" s="0" t="n">
        <v>0</v>
      </c>
      <c r="F2156" s="23" t="s">
        <v>1146</v>
      </c>
      <c r="I2156" s="23" t="s">
        <v>92</v>
      </c>
      <c r="L2156" s="0" t="n">
        <v>91</v>
      </c>
      <c r="U2156" s="0" t="n">
        <v>495</v>
      </c>
      <c r="V2156" s="0" t="n">
        <v>1</v>
      </c>
      <c r="W2156" s="0" t="str">
        <f aca="false">IF(OR(AND(B2156&gt;=1,B2156&lt;=6),B2156=10),"Vaca em lactação",IF(I2156="Male","Macho",IF(E2156&gt;=1,"Vaca seca",IF(I2156="Youngstock","Bezerra/recria","Novilha"))))</f>
        <v>Novilha</v>
      </c>
      <c r="X2156" s="0" t="str">
        <f aca="false">IF(AND(B2156&gt;=1,B2156&lt;=6),"Tanque",IF(B2156=10,"Descarte",""))</f>
        <v/>
      </c>
    </row>
    <row r="2157" customFormat="false" ht="15" hidden="false" customHeight="false" outlineLevel="0" collapsed="false">
      <c r="A2157" s="22" t="n">
        <v>46309</v>
      </c>
      <c r="B2157" s="0" t="n">
        <v>8</v>
      </c>
      <c r="C2157" s="0" t="n">
        <v>6635</v>
      </c>
      <c r="E2157" s="0" t="n">
        <v>0</v>
      </c>
      <c r="F2157" s="23" t="s">
        <v>1147</v>
      </c>
      <c r="I2157" s="23" t="s">
        <v>92</v>
      </c>
      <c r="L2157" s="0" t="n">
        <v>55</v>
      </c>
      <c r="U2157" s="0" t="n">
        <v>494</v>
      </c>
      <c r="V2157" s="0" t="n">
        <v>2</v>
      </c>
      <c r="W2157" s="0" t="str">
        <f aca="false">IF(OR(AND(B2157&gt;=1,B2157&lt;=6),B2157=10),"Vaca em lactação",IF(I2157="Male","Macho",IF(E2157&gt;=1,"Vaca seca",IF(I2157="Youngstock","Bezerra/recria","Novilha"))))</f>
        <v>Novilha</v>
      </c>
      <c r="X2157" s="0" t="str">
        <f aca="false">IF(AND(B2157&gt;=1,B2157&lt;=6),"Tanque",IF(B2157=10,"Descarte",""))</f>
        <v/>
      </c>
    </row>
    <row r="2158" customFormat="false" ht="15" hidden="false" customHeight="false" outlineLevel="0" collapsed="false">
      <c r="A2158" s="22" t="n">
        <v>46309</v>
      </c>
      <c r="B2158" s="0" t="n">
        <v>8</v>
      </c>
      <c r="C2158" s="0" t="n">
        <v>6633</v>
      </c>
      <c r="E2158" s="0" t="n">
        <v>0</v>
      </c>
      <c r="F2158" s="23" t="s">
        <v>1147</v>
      </c>
      <c r="I2158" s="23" t="s">
        <v>92</v>
      </c>
      <c r="L2158" s="0" t="n">
        <v>71</v>
      </c>
      <c r="U2158" s="0" t="n">
        <v>494</v>
      </c>
      <c r="V2158" s="0" t="n">
        <v>2</v>
      </c>
      <c r="W2158" s="0" t="str">
        <f aca="false">IF(OR(AND(B2158&gt;=1,B2158&lt;=6),B2158=10),"Vaca em lactação",IF(I2158="Male","Macho",IF(E2158&gt;=1,"Vaca seca",IF(I2158="Youngstock","Bezerra/recria","Novilha"))))</f>
        <v>Novilha</v>
      </c>
      <c r="X2158" s="0" t="str">
        <f aca="false">IF(AND(B2158&gt;=1,B2158&lt;=6),"Tanque",IF(B2158=10,"Descarte",""))</f>
        <v/>
      </c>
    </row>
    <row r="2159" customFormat="false" ht="15" hidden="false" customHeight="false" outlineLevel="0" collapsed="false">
      <c r="A2159" s="22" t="n">
        <v>46309</v>
      </c>
      <c r="B2159" s="0" t="n">
        <v>8</v>
      </c>
      <c r="C2159" s="0" t="n">
        <v>6637</v>
      </c>
      <c r="E2159" s="0" t="n">
        <v>0</v>
      </c>
      <c r="F2159" s="23" t="s">
        <v>1147</v>
      </c>
      <c r="I2159" s="23" t="s">
        <v>92</v>
      </c>
      <c r="L2159" s="0" t="n">
        <v>89</v>
      </c>
      <c r="U2159" s="0" t="n">
        <v>494</v>
      </c>
      <c r="V2159" s="0" t="n">
        <v>1</v>
      </c>
      <c r="W2159" s="0" t="str">
        <f aca="false">IF(OR(AND(B2159&gt;=1,B2159&lt;=6),B2159=10),"Vaca em lactação",IF(I2159="Male","Macho",IF(E2159&gt;=1,"Vaca seca",IF(I2159="Youngstock","Bezerra/recria","Novilha"))))</f>
        <v>Novilha</v>
      </c>
      <c r="X2159" s="0" t="str">
        <f aca="false">IF(AND(B2159&gt;=1,B2159&lt;=6),"Tanque",IF(B2159=10,"Descarte",""))</f>
        <v/>
      </c>
    </row>
    <row r="2160" customFormat="false" ht="15" hidden="false" customHeight="false" outlineLevel="0" collapsed="false">
      <c r="A2160" s="22" t="n">
        <v>46309</v>
      </c>
      <c r="B2160" s="0" t="n">
        <v>8</v>
      </c>
      <c r="C2160" s="0" t="n">
        <v>6636</v>
      </c>
      <c r="E2160" s="0" t="n">
        <v>0</v>
      </c>
      <c r="F2160" s="23" t="s">
        <v>1147</v>
      </c>
      <c r="I2160" s="23" t="s">
        <v>92</v>
      </c>
      <c r="L2160" s="0" t="n">
        <v>70</v>
      </c>
      <c r="U2160" s="0" t="n">
        <v>494</v>
      </c>
      <c r="V2160" s="0" t="n">
        <v>1</v>
      </c>
      <c r="W2160" s="0" t="str">
        <f aca="false">IF(OR(AND(B2160&gt;=1,B2160&lt;=6),B2160=10),"Vaca em lactação",IF(I2160="Male","Macho",IF(E2160&gt;=1,"Vaca seca",IF(I2160="Youngstock","Bezerra/recria","Novilha"))))</f>
        <v>Novilha</v>
      </c>
      <c r="X2160" s="0" t="str">
        <f aca="false">IF(AND(B2160&gt;=1,B2160&lt;=6),"Tanque",IF(B2160=10,"Descarte",""))</f>
        <v/>
      </c>
    </row>
    <row r="2161" customFormat="false" ht="15" hidden="false" customHeight="false" outlineLevel="0" collapsed="false">
      <c r="A2161" s="22" t="n">
        <v>46309</v>
      </c>
      <c r="B2161" s="0" t="n">
        <v>8</v>
      </c>
      <c r="C2161" s="0" t="n">
        <v>6596</v>
      </c>
      <c r="E2161" s="0" t="n">
        <v>0</v>
      </c>
      <c r="F2161" s="23" t="s">
        <v>1148</v>
      </c>
      <c r="I2161" s="23" t="s">
        <v>92</v>
      </c>
      <c r="L2161" s="0" t="n">
        <v>105</v>
      </c>
      <c r="U2161" s="0" t="n">
        <v>505</v>
      </c>
      <c r="V2161" s="0" t="n">
        <v>1</v>
      </c>
      <c r="W2161" s="0" t="str">
        <f aca="false">IF(OR(AND(B2161&gt;=1,B2161&lt;=6),B2161=10),"Vaca em lactação",IF(I2161="Male","Macho",IF(E2161&gt;=1,"Vaca seca",IF(I2161="Youngstock","Bezerra/recria","Novilha"))))</f>
        <v>Novilha</v>
      </c>
      <c r="X2161" s="0" t="str">
        <f aca="false">IF(AND(B2161&gt;=1,B2161&lt;=6),"Tanque",IF(B2161=10,"Descarte",""))</f>
        <v/>
      </c>
    </row>
    <row r="2162" customFormat="false" ht="15" hidden="false" customHeight="false" outlineLevel="0" collapsed="false">
      <c r="A2162" s="22" t="n">
        <v>46309</v>
      </c>
      <c r="B2162" s="0" t="n">
        <v>8</v>
      </c>
      <c r="C2162" s="0" t="n">
        <v>6592</v>
      </c>
      <c r="E2162" s="0" t="n">
        <v>0</v>
      </c>
      <c r="F2162" s="23" t="s">
        <v>1149</v>
      </c>
      <c r="I2162" s="23" t="s">
        <v>92</v>
      </c>
      <c r="L2162" s="0" t="n">
        <v>97</v>
      </c>
      <c r="U2162" s="0" t="n">
        <v>507</v>
      </c>
      <c r="V2162" s="0" t="n">
        <v>1</v>
      </c>
      <c r="W2162" s="0" t="str">
        <f aca="false">IF(OR(AND(B2162&gt;=1,B2162&lt;=6),B2162=10),"Vaca em lactação",IF(I2162="Male","Macho",IF(E2162&gt;=1,"Vaca seca",IF(I2162="Youngstock","Bezerra/recria","Novilha"))))</f>
        <v>Novilha</v>
      </c>
      <c r="X2162" s="0" t="str">
        <f aca="false">IF(AND(B2162&gt;=1,B2162&lt;=6),"Tanque",IF(B2162=10,"Descarte",""))</f>
        <v/>
      </c>
    </row>
    <row r="2163" customFormat="false" ht="15" hidden="false" customHeight="false" outlineLevel="0" collapsed="false">
      <c r="A2163" s="22" t="n">
        <v>46309</v>
      </c>
      <c r="B2163" s="0" t="n">
        <v>8</v>
      </c>
      <c r="C2163" s="0" t="n">
        <v>6598</v>
      </c>
      <c r="E2163" s="0" t="n">
        <v>0</v>
      </c>
      <c r="F2163" s="23" t="s">
        <v>1150</v>
      </c>
      <c r="I2163" s="23" t="s">
        <v>92</v>
      </c>
      <c r="L2163" s="0" t="n">
        <v>88</v>
      </c>
      <c r="U2163" s="0" t="n">
        <v>503</v>
      </c>
      <c r="V2163" s="0" t="n">
        <v>2</v>
      </c>
      <c r="W2163" s="0" t="str">
        <f aca="false">IF(OR(AND(B2163&gt;=1,B2163&lt;=6),B2163=10),"Vaca em lactação",IF(I2163="Male","Macho",IF(E2163&gt;=1,"Vaca seca",IF(I2163="Youngstock","Bezerra/recria","Novilha"))))</f>
        <v>Novilha</v>
      </c>
      <c r="X2163" s="0" t="str">
        <f aca="false">IF(AND(B2163&gt;=1,B2163&lt;=6),"Tanque",IF(B2163=10,"Descarte",""))</f>
        <v/>
      </c>
    </row>
    <row r="2164" customFormat="false" ht="15" hidden="false" customHeight="false" outlineLevel="0" collapsed="false">
      <c r="A2164" s="22" t="n">
        <v>46309</v>
      </c>
      <c r="B2164" s="0" t="n">
        <v>8</v>
      </c>
      <c r="C2164" s="0" t="n">
        <v>6600</v>
      </c>
      <c r="E2164" s="0" t="n">
        <v>0</v>
      </c>
      <c r="F2164" s="23" t="s">
        <v>1151</v>
      </c>
      <c r="I2164" s="23" t="s">
        <v>92</v>
      </c>
      <c r="L2164" s="0" t="n">
        <v>70</v>
      </c>
      <c r="U2164" s="0" t="n">
        <v>502</v>
      </c>
      <c r="V2164" s="0" t="n">
        <v>2</v>
      </c>
      <c r="W2164" s="0" t="str">
        <f aca="false">IF(OR(AND(B2164&gt;=1,B2164&lt;=6),B2164=10),"Vaca em lactação",IF(I2164="Male","Macho",IF(E2164&gt;=1,"Vaca seca",IF(I2164="Youngstock","Bezerra/recria","Novilha"))))</f>
        <v>Novilha</v>
      </c>
      <c r="X2164" s="0" t="str">
        <f aca="false">IF(AND(B2164&gt;=1,B2164&lt;=6),"Tanque",IF(B2164=10,"Descarte",""))</f>
        <v/>
      </c>
    </row>
    <row r="2165" customFormat="false" ht="15" hidden="false" customHeight="false" outlineLevel="0" collapsed="false">
      <c r="A2165" s="22" t="n">
        <v>46309</v>
      </c>
      <c r="B2165" s="0" t="n">
        <v>8</v>
      </c>
      <c r="C2165" s="0" t="n">
        <v>6601</v>
      </c>
      <c r="E2165" s="0" t="n">
        <v>0</v>
      </c>
      <c r="F2165" s="23" t="s">
        <v>1151</v>
      </c>
      <c r="I2165" s="23" t="s">
        <v>92</v>
      </c>
      <c r="L2165" s="0" t="n">
        <v>103</v>
      </c>
      <c r="U2165" s="0" t="n">
        <v>502</v>
      </c>
      <c r="V2165" s="0" t="n">
        <v>1</v>
      </c>
      <c r="W2165" s="0" t="str">
        <f aca="false">IF(OR(AND(B2165&gt;=1,B2165&lt;=6),B2165=10),"Vaca em lactação",IF(I2165="Male","Macho",IF(E2165&gt;=1,"Vaca seca",IF(I2165="Youngstock","Bezerra/recria","Novilha"))))</f>
        <v>Novilha</v>
      </c>
      <c r="X2165" s="0" t="str">
        <f aca="false">IF(AND(B2165&gt;=1,B2165&lt;=6),"Tanque",IF(B2165=10,"Descarte",""))</f>
        <v/>
      </c>
    </row>
    <row r="2166" customFormat="false" ht="15" hidden="false" customHeight="false" outlineLevel="0" collapsed="false">
      <c r="A2166" s="22" t="n">
        <v>46309</v>
      </c>
      <c r="B2166" s="0" t="n">
        <v>8</v>
      </c>
      <c r="C2166" s="0" t="n">
        <v>6602</v>
      </c>
      <c r="E2166" s="0" t="n">
        <v>0</v>
      </c>
      <c r="F2166" s="23" t="s">
        <v>1151</v>
      </c>
      <c r="I2166" s="23" t="s">
        <v>92</v>
      </c>
      <c r="L2166" s="0" t="n">
        <v>89</v>
      </c>
      <c r="U2166" s="0" t="n">
        <v>502</v>
      </c>
      <c r="V2166" s="0" t="n">
        <v>1</v>
      </c>
      <c r="W2166" s="0" t="str">
        <f aca="false">IF(OR(AND(B2166&gt;=1,B2166&lt;=6),B2166=10),"Vaca em lactação",IF(I2166="Male","Macho",IF(E2166&gt;=1,"Vaca seca",IF(I2166="Youngstock","Bezerra/recria","Novilha"))))</f>
        <v>Novilha</v>
      </c>
      <c r="X2166" s="0" t="str">
        <f aca="false">IF(AND(B2166&gt;=1,B2166&lt;=6),"Tanque",IF(B2166=10,"Descarte",""))</f>
        <v/>
      </c>
    </row>
    <row r="2167" customFormat="false" ht="15" hidden="false" customHeight="false" outlineLevel="0" collapsed="false">
      <c r="A2167" s="22" t="n">
        <v>46309</v>
      </c>
      <c r="B2167" s="0" t="n">
        <v>8</v>
      </c>
      <c r="C2167" s="0" t="n">
        <v>6607</v>
      </c>
      <c r="E2167" s="0" t="n">
        <v>0</v>
      </c>
      <c r="F2167" s="23" t="s">
        <v>1152</v>
      </c>
      <c r="I2167" s="23" t="s">
        <v>92</v>
      </c>
      <c r="L2167" s="0" t="n">
        <v>106</v>
      </c>
      <c r="U2167" s="0" t="n">
        <v>501</v>
      </c>
      <c r="V2167" s="0" t="n">
        <v>1</v>
      </c>
      <c r="W2167" s="0" t="str">
        <f aca="false">IF(OR(AND(B2167&gt;=1,B2167&lt;=6),B2167=10),"Vaca em lactação",IF(I2167="Male","Macho",IF(E2167&gt;=1,"Vaca seca",IF(I2167="Youngstock","Bezerra/recria","Novilha"))))</f>
        <v>Novilha</v>
      </c>
      <c r="X2167" s="0" t="str">
        <f aca="false">IF(AND(B2167&gt;=1,B2167&lt;=6),"Tanque",IF(B2167=10,"Descarte",""))</f>
        <v/>
      </c>
    </row>
    <row r="2168" customFormat="false" ht="15" hidden="false" customHeight="false" outlineLevel="0" collapsed="false">
      <c r="A2168" s="22" t="n">
        <v>46309</v>
      </c>
      <c r="B2168" s="0" t="n">
        <v>8</v>
      </c>
      <c r="C2168" s="0" t="n">
        <v>6608</v>
      </c>
      <c r="E2168" s="0" t="n">
        <v>0</v>
      </c>
      <c r="F2168" s="23" t="s">
        <v>1153</v>
      </c>
      <c r="I2168" s="23" t="s">
        <v>92</v>
      </c>
      <c r="L2168" s="0" t="n">
        <v>72</v>
      </c>
      <c r="U2168" s="0" t="n">
        <v>500</v>
      </c>
      <c r="V2168" s="0" t="n">
        <v>1</v>
      </c>
      <c r="W2168" s="0" t="str">
        <f aca="false">IF(OR(AND(B2168&gt;=1,B2168&lt;=6),B2168=10),"Vaca em lactação",IF(I2168="Male","Macho",IF(E2168&gt;=1,"Vaca seca",IF(I2168="Youngstock","Bezerra/recria","Novilha"))))</f>
        <v>Novilha</v>
      </c>
      <c r="X2168" s="0" t="str">
        <f aca="false">IF(AND(B2168&gt;=1,B2168&lt;=6),"Tanque",IF(B2168=10,"Descarte",""))</f>
        <v/>
      </c>
    </row>
    <row r="2169" customFormat="false" ht="15" hidden="false" customHeight="false" outlineLevel="0" collapsed="false">
      <c r="A2169" s="22" t="n">
        <v>46309</v>
      </c>
      <c r="B2169" s="0" t="n">
        <v>8</v>
      </c>
      <c r="C2169" s="0" t="n">
        <v>6611</v>
      </c>
      <c r="E2169" s="0" t="n">
        <v>0</v>
      </c>
      <c r="F2169" s="23" t="s">
        <v>1152</v>
      </c>
      <c r="I2169" s="23" t="s">
        <v>92</v>
      </c>
      <c r="L2169" s="0" t="n">
        <v>72</v>
      </c>
      <c r="U2169" s="0" t="n">
        <v>501</v>
      </c>
      <c r="V2169" s="0" t="n">
        <v>2</v>
      </c>
      <c r="W2169" s="0" t="str">
        <f aca="false">IF(OR(AND(B2169&gt;=1,B2169&lt;=6),B2169=10),"Vaca em lactação",IF(I2169="Male","Macho",IF(E2169&gt;=1,"Vaca seca",IF(I2169="Youngstock","Bezerra/recria","Novilha"))))</f>
        <v>Novilha</v>
      </c>
      <c r="X2169" s="0" t="str">
        <f aca="false">IF(AND(B2169&gt;=1,B2169&lt;=6),"Tanque",IF(B2169=10,"Descarte",""))</f>
        <v/>
      </c>
    </row>
    <row r="2170" customFormat="false" ht="15" hidden="false" customHeight="false" outlineLevel="0" collapsed="false">
      <c r="A2170" s="22" t="n">
        <v>46309</v>
      </c>
      <c r="B2170" s="0" t="n">
        <v>8</v>
      </c>
      <c r="C2170" s="0" t="n">
        <v>6609</v>
      </c>
      <c r="E2170" s="0" t="n">
        <v>0</v>
      </c>
      <c r="F2170" s="23" t="s">
        <v>1152</v>
      </c>
      <c r="I2170" s="23" t="s">
        <v>92</v>
      </c>
      <c r="L2170" s="0" t="n">
        <v>103</v>
      </c>
      <c r="U2170" s="0" t="n">
        <v>501</v>
      </c>
      <c r="V2170" s="0" t="n">
        <v>1</v>
      </c>
      <c r="W2170" s="0" t="str">
        <f aca="false">IF(OR(AND(B2170&gt;=1,B2170&lt;=6),B2170=10),"Vaca em lactação",IF(I2170="Male","Macho",IF(E2170&gt;=1,"Vaca seca",IF(I2170="Youngstock","Bezerra/recria","Novilha"))))</f>
        <v>Novilha</v>
      </c>
      <c r="X2170" s="0" t="str">
        <f aca="false">IF(AND(B2170&gt;=1,B2170&lt;=6),"Tanque",IF(B2170=10,"Descarte",""))</f>
        <v/>
      </c>
    </row>
    <row r="2171" customFormat="false" ht="15" hidden="false" customHeight="false" outlineLevel="0" collapsed="false">
      <c r="A2171" s="22" t="n">
        <v>46309</v>
      </c>
      <c r="B2171" s="0" t="n">
        <v>8</v>
      </c>
      <c r="C2171" s="0" t="n">
        <v>6604</v>
      </c>
      <c r="E2171" s="0" t="n">
        <v>0</v>
      </c>
      <c r="F2171" s="23" t="s">
        <v>1151</v>
      </c>
      <c r="I2171" s="23" t="s">
        <v>92</v>
      </c>
      <c r="L2171" s="0" t="n">
        <v>70</v>
      </c>
      <c r="U2171" s="0" t="n">
        <v>502</v>
      </c>
      <c r="V2171" s="0" t="n">
        <v>1</v>
      </c>
      <c r="W2171" s="0" t="str">
        <f aca="false">IF(OR(AND(B2171&gt;=1,B2171&lt;=6),B2171=10),"Vaca em lactação",IF(I2171="Male","Macho",IF(E2171&gt;=1,"Vaca seca",IF(I2171="Youngstock","Bezerra/recria","Novilha"))))</f>
        <v>Novilha</v>
      </c>
      <c r="X2171" s="0" t="str">
        <f aca="false">IF(AND(B2171&gt;=1,B2171&lt;=6),"Tanque",IF(B2171=10,"Descarte",""))</f>
        <v/>
      </c>
    </row>
    <row r="2172" customFormat="false" ht="15" hidden="false" customHeight="false" outlineLevel="0" collapsed="false">
      <c r="A2172" s="22" t="n">
        <v>46309</v>
      </c>
      <c r="B2172" s="0" t="n">
        <v>8</v>
      </c>
      <c r="C2172" s="0" t="n">
        <v>6603</v>
      </c>
      <c r="E2172" s="0" t="n">
        <v>0</v>
      </c>
      <c r="F2172" s="23" t="s">
        <v>1151</v>
      </c>
      <c r="I2172" s="23" t="s">
        <v>92</v>
      </c>
      <c r="L2172" s="0" t="n">
        <v>104</v>
      </c>
      <c r="U2172" s="0" t="n">
        <v>502</v>
      </c>
      <c r="V2172" s="0" t="n">
        <v>1</v>
      </c>
      <c r="W2172" s="0" t="str">
        <f aca="false">IF(OR(AND(B2172&gt;=1,B2172&lt;=6),B2172=10),"Vaca em lactação",IF(I2172="Male","Macho",IF(E2172&gt;=1,"Vaca seca",IF(I2172="Youngstock","Bezerra/recria","Novilha"))))</f>
        <v>Novilha</v>
      </c>
      <c r="X2172" s="0" t="str">
        <f aca="false">IF(AND(B2172&gt;=1,B2172&lt;=6),"Tanque",IF(B2172=10,"Descarte",""))</f>
        <v/>
      </c>
    </row>
    <row r="2173" customFormat="false" ht="15" hidden="false" customHeight="false" outlineLevel="0" collapsed="false">
      <c r="A2173" s="22" t="n">
        <v>46309</v>
      </c>
      <c r="B2173" s="0" t="n">
        <v>8</v>
      </c>
      <c r="C2173" s="0" t="n">
        <v>6605</v>
      </c>
      <c r="E2173" s="0" t="n">
        <v>0</v>
      </c>
      <c r="F2173" s="23" t="s">
        <v>1151</v>
      </c>
      <c r="I2173" s="23" t="s">
        <v>92</v>
      </c>
      <c r="L2173" s="0" t="n">
        <v>81</v>
      </c>
      <c r="U2173" s="0" t="n">
        <v>502</v>
      </c>
      <c r="V2173" s="0" t="n">
        <v>2</v>
      </c>
      <c r="W2173" s="0" t="str">
        <f aca="false">IF(OR(AND(B2173&gt;=1,B2173&lt;=6),B2173=10),"Vaca em lactação",IF(I2173="Male","Macho",IF(E2173&gt;=1,"Vaca seca",IF(I2173="Youngstock","Bezerra/recria","Novilha"))))</f>
        <v>Novilha</v>
      </c>
      <c r="X2173" s="0" t="str">
        <f aca="false">IF(AND(B2173&gt;=1,B2173&lt;=6),"Tanque",IF(B2173=10,"Descarte",""))</f>
        <v/>
      </c>
    </row>
    <row r="2174" customFormat="false" ht="15" hidden="false" customHeight="false" outlineLevel="0" collapsed="false">
      <c r="A2174" s="22" t="n">
        <v>46309</v>
      </c>
      <c r="B2174" s="0" t="n">
        <v>8</v>
      </c>
      <c r="C2174" s="0" t="n">
        <v>6576</v>
      </c>
      <c r="E2174" s="0" t="n">
        <v>0</v>
      </c>
      <c r="F2174" s="23" t="s">
        <v>1154</v>
      </c>
      <c r="I2174" s="23" t="s">
        <v>92</v>
      </c>
      <c r="L2174" s="0" t="n">
        <v>91</v>
      </c>
      <c r="U2174" s="0" t="n">
        <v>511</v>
      </c>
      <c r="V2174" s="0" t="n">
        <v>1</v>
      </c>
      <c r="W2174" s="0" t="str">
        <f aca="false">IF(OR(AND(B2174&gt;=1,B2174&lt;=6),B2174=10),"Vaca em lactação",IF(I2174="Male","Macho",IF(E2174&gt;=1,"Vaca seca",IF(I2174="Youngstock","Bezerra/recria","Novilha"))))</f>
        <v>Novilha</v>
      </c>
      <c r="X2174" s="0" t="str">
        <f aca="false">IF(AND(B2174&gt;=1,B2174&lt;=6),"Tanque",IF(B2174=10,"Descarte",""))</f>
        <v/>
      </c>
    </row>
    <row r="2175" customFormat="false" ht="15" hidden="false" customHeight="false" outlineLevel="0" collapsed="false">
      <c r="A2175" s="22" t="n">
        <v>46309</v>
      </c>
      <c r="B2175" s="0" t="n">
        <v>8</v>
      </c>
      <c r="C2175" s="0" t="n">
        <v>6579</v>
      </c>
      <c r="E2175" s="0" t="n">
        <v>0</v>
      </c>
      <c r="F2175" s="23" t="s">
        <v>1155</v>
      </c>
      <c r="I2175" s="23" t="s">
        <v>92</v>
      </c>
      <c r="L2175" s="0" t="n">
        <v>111</v>
      </c>
      <c r="U2175" s="0" t="n">
        <v>510</v>
      </c>
      <c r="V2175" s="0" t="n">
        <v>1</v>
      </c>
      <c r="W2175" s="0" t="str">
        <f aca="false">IF(OR(AND(B2175&gt;=1,B2175&lt;=6),B2175=10),"Vaca em lactação",IF(I2175="Male","Macho",IF(E2175&gt;=1,"Vaca seca",IF(I2175="Youngstock","Bezerra/recria","Novilha"))))</f>
        <v>Novilha</v>
      </c>
      <c r="X2175" s="0" t="str">
        <f aca="false">IF(AND(B2175&gt;=1,B2175&lt;=6),"Tanque",IF(B2175=10,"Descarte",""))</f>
        <v/>
      </c>
    </row>
    <row r="2176" customFormat="false" ht="15" hidden="false" customHeight="false" outlineLevel="0" collapsed="false">
      <c r="A2176" s="22" t="n">
        <v>46309</v>
      </c>
      <c r="B2176" s="0" t="n">
        <v>8</v>
      </c>
      <c r="C2176" s="0" t="n">
        <v>6580</v>
      </c>
      <c r="E2176" s="0" t="n">
        <v>0</v>
      </c>
      <c r="F2176" s="23" t="s">
        <v>1155</v>
      </c>
      <c r="I2176" s="23" t="s">
        <v>92</v>
      </c>
      <c r="L2176" s="0" t="n">
        <v>63</v>
      </c>
      <c r="U2176" s="0" t="n">
        <v>510</v>
      </c>
      <c r="V2176" s="0" t="n">
        <v>1</v>
      </c>
      <c r="W2176" s="0" t="str">
        <f aca="false">IF(OR(AND(B2176&gt;=1,B2176&lt;=6),B2176=10),"Vaca em lactação",IF(I2176="Male","Macho",IF(E2176&gt;=1,"Vaca seca",IF(I2176="Youngstock","Bezerra/recria","Novilha"))))</f>
        <v>Novilha</v>
      </c>
      <c r="X2176" s="0" t="str">
        <f aca="false">IF(AND(B2176&gt;=1,B2176&lt;=6),"Tanque",IF(B2176=10,"Descarte",""))</f>
        <v/>
      </c>
    </row>
    <row r="2177" customFormat="false" ht="15" hidden="false" customHeight="false" outlineLevel="0" collapsed="false">
      <c r="A2177" s="22" t="n">
        <v>46309</v>
      </c>
      <c r="B2177" s="0" t="n">
        <v>8</v>
      </c>
      <c r="C2177" s="0" t="n">
        <v>6581</v>
      </c>
      <c r="E2177" s="0" t="n">
        <v>0</v>
      </c>
      <c r="F2177" s="23" t="s">
        <v>1155</v>
      </c>
      <c r="I2177" s="23" t="s">
        <v>92</v>
      </c>
      <c r="L2177" s="0" t="n">
        <v>91</v>
      </c>
      <c r="U2177" s="0" t="n">
        <v>510</v>
      </c>
      <c r="V2177" s="0" t="n">
        <v>2</v>
      </c>
      <c r="W2177" s="0" t="str">
        <f aca="false">IF(OR(AND(B2177&gt;=1,B2177&lt;=6),B2177=10),"Vaca em lactação",IF(I2177="Male","Macho",IF(E2177&gt;=1,"Vaca seca",IF(I2177="Youngstock","Bezerra/recria","Novilha"))))</f>
        <v>Novilha</v>
      </c>
      <c r="X2177" s="0" t="str">
        <f aca="false">IF(AND(B2177&gt;=1,B2177&lt;=6),"Tanque",IF(B2177=10,"Descarte",""))</f>
        <v/>
      </c>
    </row>
    <row r="2178" customFormat="false" ht="15" hidden="false" customHeight="false" outlineLevel="0" collapsed="false">
      <c r="A2178" s="22" t="n">
        <v>46309</v>
      </c>
      <c r="B2178" s="0" t="n">
        <v>8</v>
      </c>
      <c r="C2178" s="0" t="n">
        <v>6578</v>
      </c>
      <c r="E2178" s="0" t="n">
        <v>0</v>
      </c>
      <c r="F2178" s="23" t="s">
        <v>1155</v>
      </c>
      <c r="I2178" s="23" t="s">
        <v>92</v>
      </c>
      <c r="L2178" s="0" t="n">
        <v>73</v>
      </c>
      <c r="U2178" s="0" t="n">
        <v>510</v>
      </c>
      <c r="V2178" s="0" t="n">
        <v>3</v>
      </c>
      <c r="W2178" s="0" t="str">
        <f aca="false">IF(OR(AND(B2178&gt;=1,B2178&lt;=6),B2178=10),"Vaca em lactação",IF(I2178="Male","Macho",IF(E2178&gt;=1,"Vaca seca",IF(I2178="Youngstock","Bezerra/recria","Novilha"))))</f>
        <v>Novilha</v>
      </c>
      <c r="X2178" s="0" t="str">
        <f aca="false">IF(AND(B2178&gt;=1,B2178&lt;=6),"Tanque",IF(B2178=10,"Descarte",""))</f>
        <v/>
      </c>
    </row>
    <row r="2179" customFormat="false" ht="15" hidden="false" customHeight="false" outlineLevel="0" collapsed="false">
      <c r="A2179" s="22" t="n">
        <v>46309</v>
      </c>
      <c r="B2179" s="0" t="n">
        <v>8</v>
      </c>
      <c r="C2179" s="0" t="n">
        <v>6590</v>
      </c>
      <c r="E2179" s="0" t="n">
        <v>0</v>
      </c>
      <c r="F2179" s="23" t="s">
        <v>1149</v>
      </c>
      <c r="I2179" s="23" t="s">
        <v>92</v>
      </c>
      <c r="L2179" s="0" t="n">
        <v>105</v>
      </c>
      <c r="U2179" s="0" t="n">
        <v>507</v>
      </c>
      <c r="V2179" s="0" t="n">
        <v>1</v>
      </c>
      <c r="W2179" s="0" t="str">
        <f aca="false">IF(OR(AND(B2179&gt;=1,B2179&lt;=6),B2179=10),"Vaca em lactação",IF(I2179="Male","Macho",IF(E2179&gt;=1,"Vaca seca",IF(I2179="Youngstock","Bezerra/recria","Novilha"))))</f>
        <v>Novilha</v>
      </c>
      <c r="X2179" s="0" t="str">
        <f aca="false">IF(AND(B2179&gt;=1,B2179&lt;=6),"Tanque",IF(B2179=10,"Descarte",""))</f>
        <v/>
      </c>
    </row>
    <row r="2180" customFormat="false" ht="15" hidden="false" customHeight="false" outlineLevel="0" collapsed="false">
      <c r="A2180" s="22" t="n">
        <v>46309</v>
      </c>
      <c r="B2180" s="0" t="n">
        <v>8</v>
      </c>
      <c r="C2180" s="0" t="n">
        <v>6591</v>
      </c>
      <c r="E2180" s="0" t="n">
        <v>0</v>
      </c>
      <c r="F2180" s="23" t="s">
        <v>1149</v>
      </c>
      <c r="I2180" s="23" t="s">
        <v>92</v>
      </c>
      <c r="L2180" s="0" t="n">
        <v>105</v>
      </c>
      <c r="U2180" s="0" t="n">
        <v>507</v>
      </c>
      <c r="V2180" s="0" t="n">
        <v>1</v>
      </c>
      <c r="W2180" s="0" t="str">
        <f aca="false">IF(OR(AND(B2180&gt;=1,B2180&lt;=6),B2180=10),"Vaca em lactação",IF(I2180="Male","Macho",IF(E2180&gt;=1,"Vaca seca",IF(I2180="Youngstock","Bezerra/recria","Novilha"))))</f>
        <v>Novilha</v>
      </c>
      <c r="X2180" s="0" t="str">
        <f aca="false">IF(AND(B2180&gt;=1,B2180&lt;=6),"Tanque",IF(B2180=10,"Descarte",""))</f>
        <v/>
      </c>
    </row>
    <row r="2181" customFormat="false" ht="15" hidden="false" customHeight="false" outlineLevel="0" collapsed="false">
      <c r="A2181" s="22" t="n">
        <v>46309</v>
      </c>
      <c r="B2181" s="0" t="n">
        <v>8</v>
      </c>
      <c r="C2181" s="0" t="n">
        <v>6584</v>
      </c>
      <c r="E2181" s="0" t="n">
        <v>0</v>
      </c>
      <c r="F2181" s="23" t="s">
        <v>1149</v>
      </c>
      <c r="I2181" s="23" t="s">
        <v>92</v>
      </c>
      <c r="L2181" s="0" t="n">
        <v>105</v>
      </c>
      <c r="U2181" s="0" t="n">
        <v>507</v>
      </c>
      <c r="V2181" s="0" t="n">
        <v>1</v>
      </c>
      <c r="W2181" s="0" t="str">
        <f aca="false">IF(OR(AND(B2181&gt;=1,B2181&lt;=6),B2181=10),"Vaca em lactação",IF(I2181="Male","Macho",IF(E2181&gt;=1,"Vaca seca",IF(I2181="Youngstock","Bezerra/recria","Novilha"))))</f>
        <v>Novilha</v>
      </c>
      <c r="X2181" s="0" t="str">
        <f aca="false">IF(AND(B2181&gt;=1,B2181&lt;=6),"Tanque",IF(B2181=10,"Descarte",""))</f>
        <v/>
      </c>
    </row>
    <row r="2182" customFormat="false" ht="15" hidden="false" customHeight="false" outlineLevel="0" collapsed="false">
      <c r="A2182" s="22" t="n">
        <v>46309</v>
      </c>
      <c r="B2182" s="0" t="n">
        <v>8</v>
      </c>
      <c r="C2182" s="0" t="n">
        <v>6586</v>
      </c>
      <c r="E2182" s="0" t="n">
        <v>0</v>
      </c>
      <c r="F2182" s="23" t="s">
        <v>1149</v>
      </c>
      <c r="I2182" s="23" t="s">
        <v>92</v>
      </c>
      <c r="L2182" s="0" t="n">
        <v>87</v>
      </c>
      <c r="U2182" s="0" t="n">
        <v>507</v>
      </c>
      <c r="V2182" s="0" t="n">
        <v>2</v>
      </c>
      <c r="W2182" s="0" t="str">
        <f aca="false">IF(OR(AND(B2182&gt;=1,B2182&lt;=6),B2182=10),"Vaca em lactação",IF(I2182="Male","Macho",IF(E2182&gt;=1,"Vaca seca",IF(I2182="Youngstock","Bezerra/recria","Novilha"))))</f>
        <v>Novilha</v>
      </c>
      <c r="X2182" s="0" t="str">
        <f aca="false">IF(AND(B2182&gt;=1,B2182&lt;=6),"Tanque",IF(B2182=10,"Descarte",""))</f>
        <v/>
      </c>
    </row>
    <row r="2183" customFormat="false" ht="15" hidden="false" customHeight="false" outlineLevel="0" collapsed="false">
      <c r="A2183" s="22" t="n">
        <v>46309</v>
      </c>
      <c r="B2183" s="0" t="n">
        <v>8</v>
      </c>
      <c r="C2183" s="0" t="n">
        <v>6587</v>
      </c>
      <c r="E2183" s="0" t="n">
        <v>0</v>
      </c>
      <c r="F2183" s="23" t="s">
        <v>1149</v>
      </c>
      <c r="I2183" s="23" t="s">
        <v>92</v>
      </c>
      <c r="L2183" s="0" t="n">
        <v>95</v>
      </c>
      <c r="U2183" s="0" t="n">
        <v>507</v>
      </c>
      <c r="V2183" s="0" t="n">
        <v>1</v>
      </c>
      <c r="W2183" s="0" t="str">
        <f aca="false">IF(OR(AND(B2183&gt;=1,B2183&lt;=6),B2183=10),"Vaca em lactação",IF(I2183="Male","Macho",IF(E2183&gt;=1,"Vaca seca",IF(I2183="Youngstock","Bezerra/recria","Novilha"))))</f>
        <v>Novilha</v>
      </c>
      <c r="X2183" s="0" t="str">
        <f aca="false">IF(AND(B2183&gt;=1,B2183&lt;=6),"Tanque",IF(B2183=10,"Descarte",""))</f>
        <v/>
      </c>
    </row>
    <row r="2184" customFormat="false" ht="15" hidden="false" customHeight="false" outlineLevel="0" collapsed="false">
      <c r="A2184" s="22" t="n">
        <v>46309</v>
      </c>
      <c r="B2184" s="0" t="n">
        <v>8</v>
      </c>
      <c r="C2184" s="0" t="n">
        <v>103</v>
      </c>
      <c r="E2184" s="0" t="n">
        <v>0</v>
      </c>
      <c r="F2184" s="23" t="s">
        <v>1030</v>
      </c>
      <c r="I2184" s="23" t="s">
        <v>92</v>
      </c>
      <c r="L2184" s="0" t="n">
        <v>93</v>
      </c>
      <c r="U2184" s="0" t="n">
        <v>629</v>
      </c>
      <c r="V2184" s="0" t="n">
        <v>1</v>
      </c>
      <c r="W2184" s="0" t="str">
        <f aca="false">IF(OR(AND(B2184&gt;=1,B2184&lt;=6),B2184=10),"Vaca em lactação",IF(I2184="Male","Macho",IF(E2184&gt;=1,"Vaca seca",IF(I2184="Youngstock","Bezerra/recria","Novilha"))))</f>
        <v>Novilha</v>
      </c>
      <c r="X2184" s="0" t="str">
        <f aca="false">IF(AND(B2184&gt;=1,B2184&lt;=6),"Tanque",IF(B2184=10,"Descarte",""))</f>
        <v/>
      </c>
    </row>
    <row r="2185" customFormat="false" ht="15" hidden="false" customHeight="false" outlineLevel="0" collapsed="false">
      <c r="A2185" s="22" t="n">
        <v>46309</v>
      </c>
      <c r="B2185" s="0" t="n">
        <v>8</v>
      </c>
      <c r="C2185" s="0" t="n">
        <v>102</v>
      </c>
      <c r="E2185" s="0" t="n">
        <v>0</v>
      </c>
      <c r="F2185" s="23" t="s">
        <v>136</v>
      </c>
      <c r="I2185" s="23" t="s">
        <v>92</v>
      </c>
      <c r="L2185" s="0" t="n">
        <v>132</v>
      </c>
      <c r="U2185" s="0" t="n">
        <v>757</v>
      </c>
      <c r="V2185" s="0" t="n">
        <v>4</v>
      </c>
      <c r="W2185" s="0" t="str">
        <f aca="false">IF(OR(AND(B2185&gt;=1,B2185&lt;=6),B2185=10),"Vaca em lactação",IF(I2185="Male","Macho",IF(E2185&gt;=1,"Vaca seca",IF(I2185="Youngstock","Bezerra/recria","Novilha"))))</f>
        <v>Novilha</v>
      </c>
      <c r="X2185" s="0" t="str">
        <f aca="false">IF(AND(B2185&gt;=1,B2185&lt;=6),"Tanque",IF(B2185=10,"Descarte",""))</f>
        <v/>
      </c>
    </row>
    <row r="2186" customFormat="false" ht="15" hidden="false" customHeight="false" outlineLevel="0" collapsed="false">
      <c r="A2186" s="22" t="n">
        <v>46309</v>
      </c>
      <c r="B2186" s="0" t="n">
        <v>8</v>
      </c>
      <c r="C2186" s="0" t="n">
        <v>6707</v>
      </c>
      <c r="E2186" s="0" t="n">
        <v>0</v>
      </c>
      <c r="F2186" s="23" t="s">
        <v>1156</v>
      </c>
      <c r="I2186" s="23" t="s">
        <v>92</v>
      </c>
      <c r="L2186" s="0" t="n">
        <v>48</v>
      </c>
      <c r="U2186" s="0" t="n">
        <v>467</v>
      </c>
      <c r="V2186" s="0" t="n">
        <v>2</v>
      </c>
      <c r="W2186" s="0" t="str">
        <f aca="false">IF(OR(AND(B2186&gt;=1,B2186&lt;=6),B2186=10),"Vaca em lactação",IF(I2186="Male","Macho",IF(E2186&gt;=1,"Vaca seca",IF(I2186="Youngstock","Bezerra/recria","Novilha"))))</f>
        <v>Novilha</v>
      </c>
      <c r="X2186" s="0" t="str">
        <f aca="false">IF(AND(B2186&gt;=1,B2186&lt;=6),"Tanque",IF(B2186=10,"Descarte",""))</f>
        <v/>
      </c>
    </row>
    <row r="2187" customFormat="false" ht="15" hidden="false" customHeight="false" outlineLevel="0" collapsed="false">
      <c r="A2187" s="22" t="n">
        <v>46309</v>
      </c>
      <c r="B2187" s="0" t="n">
        <v>8</v>
      </c>
      <c r="C2187" s="0" t="n">
        <v>6712</v>
      </c>
      <c r="E2187" s="0" t="n">
        <v>0</v>
      </c>
      <c r="F2187" s="23" t="s">
        <v>1156</v>
      </c>
      <c r="I2187" s="23" t="s">
        <v>92</v>
      </c>
      <c r="L2187" s="0" t="n">
        <v>38</v>
      </c>
      <c r="U2187" s="0" t="n">
        <v>467</v>
      </c>
      <c r="V2187" s="0" t="n">
        <v>2</v>
      </c>
      <c r="W2187" s="0" t="str">
        <f aca="false">IF(OR(AND(B2187&gt;=1,B2187&lt;=6),B2187=10),"Vaca em lactação",IF(I2187="Male","Macho",IF(E2187&gt;=1,"Vaca seca",IF(I2187="Youngstock","Bezerra/recria","Novilha"))))</f>
        <v>Novilha</v>
      </c>
      <c r="X2187" s="0" t="str">
        <f aca="false">IF(AND(B2187&gt;=1,B2187&lt;=6),"Tanque",IF(B2187=10,"Descarte",""))</f>
        <v/>
      </c>
    </row>
    <row r="2188" customFormat="false" ht="15" hidden="false" customHeight="false" outlineLevel="0" collapsed="false">
      <c r="A2188" s="22" t="n">
        <v>46309</v>
      </c>
      <c r="B2188" s="0" t="n">
        <v>8</v>
      </c>
      <c r="C2188" s="0" t="n">
        <v>6689</v>
      </c>
      <c r="E2188" s="0" t="n">
        <v>0</v>
      </c>
      <c r="F2188" s="23" t="s">
        <v>1157</v>
      </c>
      <c r="I2188" s="23" t="s">
        <v>92</v>
      </c>
      <c r="L2188" s="0" t="n">
        <v>81</v>
      </c>
      <c r="U2188" s="0" t="n">
        <v>474</v>
      </c>
      <c r="V2188" s="0" t="n">
        <v>1</v>
      </c>
      <c r="W2188" s="0" t="str">
        <f aca="false">IF(OR(AND(B2188&gt;=1,B2188&lt;=6),B2188=10),"Vaca em lactação",IF(I2188="Male","Macho",IF(E2188&gt;=1,"Vaca seca",IF(I2188="Youngstock","Bezerra/recria","Novilha"))))</f>
        <v>Novilha</v>
      </c>
      <c r="X2188" s="0" t="str">
        <f aca="false">IF(AND(B2188&gt;=1,B2188&lt;=6),"Tanque",IF(B2188=10,"Descarte",""))</f>
        <v/>
      </c>
    </row>
    <row r="2189" customFormat="false" ht="15" hidden="false" customHeight="false" outlineLevel="0" collapsed="false">
      <c r="A2189" s="22" t="n">
        <v>46309</v>
      </c>
      <c r="B2189" s="0" t="n">
        <v>8</v>
      </c>
      <c r="C2189" s="0" t="n">
        <v>6717</v>
      </c>
      <c r="E2189" s="0" t="n">
        <v>0</v>
      </c>
      <c r="F2189" s="23" t="s">
        <v>1158</v>
      </c>
      <c r="I2189" s="23" t="s">
        <v>92</v>
      </c>
      <c r="L2189" s="0" t="n">
        <v>73</v>
      </c>
      <c r="U2189" s="0" t="n">
        <v>465</v>
      </c>
      <c r="V2189" s="0" t="n">
        <v>1</v>
      </c>
      <c r="W2189" s="0" t="str">
        <f aca="false">IF(OR(AND(B2189&gt;=1,B2189&lt;=6),B2189=10),"Vaca em lactação",IF(I2189="Male","Macho",IF(E2189&gt;=1,"Vaca seca",IF(I2189="Youngstock","Bezerra/recria","Novilha"))))</f>
        <v>Novilha</v>
      </c>
      <c r="X2189" s="0" t="str">
        <f aca="false">IF(AND(B2189&gt;=1,B2189&lt;=6),"Tanque",IF(B2189=10,"Descarte",""))</f>
        <v/>
      </c>
    </row>
    <row r="2190" customFormat="false" ht="15" hidden="false" customHeight="false" outlineLevel="0" collapsed="false">
      <c r="A2190" s="22" t="n">
        <v>46309</v>
      </c>
      <c r="B2190" s="0" t="n">
        <v>8</v>
      </c>
      <c r="C2190" s="0" t="n">
        <v>6718</v>
      </c>
      <c r="E2190" s="0" t="n">
        <v>0</v>
      </c>
      <c r="F2190" s="23" t="s">
        <v>1158</v>
      </c>
      <c r="I2190" s="23" t="s">
        <v>92</v>
      </c>
      <c r="L2190" s="0" t="n">
        <v>61</v>
      </c>
      <c r="U2190" s="0" t="n">
        <v>465</v>
      </c>
      <c r="V2190" s="0" t="n">
        <v>1</v>
      </c>
      <c r="W2190" s="0" t="str">
        <f aca="false">IF(OR(AND(B2190&gt;=1,B2190&lt;=6),B2190=10),"Vaca em lactação",IF(I2190="Male","Macho",IF(E2190&gt;=1,"Vaca seca",IF(I2190="Youngstock","Bezerra/recria","Novilha"))))</f>
        <v>Novilha</v>
      </c>
      <c r="X2190" s="0" t="str">
        <f aca="false">IF(AND(B2190&gt;=1,B2190&lt;=6),"Tanque",IF(B2190=10,"Descarte",""))</f>
        <v/>
      </c>
    </row>
    <row r="2191" customFormat="false" ht="15" hidden="false" customHeight="false" outlineLevel="0" collapsed="false">
      <c r="A2191" s="22" t="n">
        <v>46309</v>
      </c>
      <c r="B2191" s="0" t="n">
        <v>8</v>
      </c>
      <c r="C2191" s="0" t="n">
        <v>6720</v>
      </c>
      <c r="E2191" s="0" t="n">
        <v>0</v>
      </c>
      <c r="F2191" s="23" t="s">
        <v>1158</v>
      </c>
      <c r="I2191" s="23" t="s">
        <v>92</v>
      </c>
      <c r="L2191" s="0" t="n">
        <v>63</v>
      </c>
      <c r="U2191" s="0" t="n">
        <v>465</v>
      </c>
      <c r="V2191" s="0" t="n">
        <v>1</v>
      </c>
      <c r="W2191" s="0" t="str">
        <f aca="false">IF(OR(AND(B2191&gt;=1,B2191&lt;=6),B2191=10),"Vaca em lactação",IF(I2191="Male","Macho",IF(E2191&gt;=1,"Vaca seca",IF(I2191="Youngstock","Bezerra/recria","Novilha"))))</f>
        <v>Novilha</v>
      </c>
      <c r="X2191" s="0" t="str">
        <f aca="false">IF(AND(B2191&gt;=1,B2191&lt;=6),"Tanque",IF(B2191=10,"Descarte",""))</f>
        <v/>
      </c>
    </row>
    <row r="2192" customFormat="false" ht="15" hidden="false" customHeight="false" outlineLevel="0" collapsed="false">
      <c r="A2192" s="22" t="n">
        <v>46309</v>
      </c>
      <c r="B2192" s="0" t="n">
        <v>8</v>
      </c>
      <c r="C2192" s="0" t="n">
        <v>6721</v>
      </c>
      <c r="E2192" s="0" t="n">
        <v>0</v>
      </c>
      <c r="F2192" s="23" t="s">
        <v>1158</v>
      </c>
      <c r="I2192" s="23" t="s">
        <v>92</v>
      </c>
      <c r="L2192" s="0" t="n">
        <v>53</v>
      </c>
      <c r="U2192" s="0" t="n">
        <v>465</v>
      </c>
      <c r="V2192" s="0" t="n">
        <v>1</v>
      </c>
      <c r="W2192" s="0" t="str">
        <f aca="false">IF(OR(AND(B2192&gt;=1,B2192&lt;=6),B2192=10),"Vaca em lactação",IF(I2192="Male","Macho",IF(E2192&gt;=1,"Vaca seca",IF(I2192="Youngstock","Bezerra/recria","Novilha"))))</f>
        <v>Novilha</v>
      </c>
      <c r="X2192" s="0" t="str">
        <f aca="false">IF(AND(B2192&gt;=1,B2192&lt;=6),"Tanque",IF(B2192=10,"Descarte",""))</f>
        <v/>
      </c>
    </row>
    <row r="2193" customFormat="false" ht="15" hidden="false" customHeight="false" outlineLevel="0" collapsed="false">
      <c r="A2193" s="22" t="n">
        <v>46309</v>
      </c>
      <c r="B2193" s="0" t="n">
        <v>8</v>
      </c>
      <c r="C2193" s="0" t="n">
        <v>6722</v>
      </c>
      <c r="E2193" s="0" t="n">
        <v>0</v>
      </c>
      <c r="F2193" s="23" t="s">
        <v>1158</v>
      </c>
      <c r="I2193" s="23" t="s">
        <v>92</v>
      </c>
      <c r="L2193" s="0" t="n">
        <v>71</v>
      </c>
      <c r="U2193" s="0" t="n">
        <v>465</v>
      </c>
      <c r="V2193" s="0" t="n">
        <v>1</v>
      </c>
      <c r="W2193" s="0" t="str">
        <f aca="false">IF(OR(AND(B2193&gt;=1,B2193&lt;=6),B2193=10),"Vaca em lactação",IF(I2193="Male","Macho",IF(E2193&gt;=1,"Vaca seca",IF(I2193="Youngstock","Bezerra/recria","Novilha"))))</f>
        <v>Novilha</v>
      </c>
      <c r="X2193" s="0" t="str">
        <f aca="false">IF(AND(B2193&gt;=1,B2193&lt;=6),"Tanque",IF(B2193=10,"Descarte",""))</f>
        <v/>
      </c>
    </row>
    <row r="2194" customFormat="false" ht="15" hidden="false" customHeight="false" outlineLevel="0" collapsed="false">
      <c r="A2194" s="22" t="n">
        <v>46309</v>
      </c>
      <c r="B2194" s="0" t="n">
        <v>8</v>
      </c>
      <c r="C2194" s="0" t="n">
        <v>6723</v>
      </c>
      <c r="E2194" s="0" t="n">
        <v>0</v>
      </c>
      <c r="F2194" s="23" t="s">
        <v>1158</v>
      </c>
      <c r="I2194" s="23" t="s">
        <v>92</v>
      </c>
      <c r="L2194" s="0" t="n">
        <v>55</v>
      </c>
      <c r="U2194" s="0" t="n">
        <v>465</v>
      </c>
      <c r="V2194" s="0" t="n">
        <v>1</v>
      </c>
      <c r="W2194" s="0" t="str">
        <f aca="false">IF(OR(AND(B2194&gt;=1,B2194&lt;=6),B2194=10),"Vaca em lactação",IF(I2194="Male","Macho",IF(E2194&gt;=1,"Vaca seca",IF(I2194="Youngstock","Bezerra/recria","Novilha"))))</f>
        <v>Novilha</v>
      </c>
      <c r="X2194" s="0" t="str">
        <f aca="false">IF(AND(B2194&gt;=1,B2194&lt;=6),"Tanque",IF(B2194=10,"Descarte",""))</f>
        <v/>
      </c>
    </row>
    <row r="2195" customFormat="false" ht="15" hidden="false" customHeight="false" outlineLevel="0" collapsed="false">
      <c r="A2195" s="22" t="n">
        <v>46309</v>
      </c>
      <c r="B2195" s="0" t="n">
        <v>8</v>
      </c>
      <c r="C2195" s="0" t="n">
        <v>6715</v>
      </c>
      <c r="E2195" s="0" t="n">
        <v>0</v>
      </c>
      <c r="F2195" s="23" t="s">
        <v>1158</v>
      </c>
      <c r="I2195" s="23" t="s">
        <v>92</v>
      </c>
      <c r="L2195" s="0" t="n">
        <v>39</v>
      </c>
      <c r="U2195" s="0" t="n">
        <v>465</v>
      </c>
      <c r="V2195" s="0" t="n">
        <v>2</v>
      </c>
      <c r="W2195" s="0" t="str">
        <f aca="false">IF(OR(AND(B2195&gt;=1,B2195&lt;=6),B2195=10),"Vaca em lactação",IF(I2195="Male","Macho",IF(E2195&gt;=1,"Vaca seca",IF(I2195="Youngstock","Bezerra/recria","Novilha"))))</f>
        <v>Novilha</v>
      </c>
      <c r="X2195" s="0" t="str">
        <f aca="false">IF(AND(B2195&gt;=1,B2195&lt;=6),"Tanque",IF(B2195=10,"Descarte",""))</f>
        <v/>
      </c>
    </row>
    <row r="2196" customFormat="false" ht="15" hidden="false" customHeight="false" outlineLevel="0" collapsed="false">
      <c r="A2196" s="22" t="n">
        <v>46309</v>
      </c>
      <c r="B2196" s="0" t="n">
        <v>8</v>
      </c>
      <c r="C2196" s="0" t="n">
        <v>6716</v>
      </c>
      <c r="E2196" s="0" t="n">
        <v>0</v>
      </c>
      <c r="F2196" s="23" t="s">
        <v>1158</v>
      </c>
      <c r="I2196" s="23" t="s">
        <v>92</v>
      </c>
      <c r="L2196" s="0" t="n">
        <v>70</v>
      </c>
      <c r="U2196" s="0" t="n">
        <v>465</v>
      </c>
      <c r="V2196" s="0" t="n">
        <v>1</v>
      </c>
      <c r="W2196" s="0" t="str">
        <f aca="false">IF(OR(AND(B2196&gt;=1,B2196&lt;=6),B2196=10),"Vaca em lactação",IF(I2196="Male","Macho",IF(E2196&gt;=1,"Vaca seca",IF(I2196="Youngstock","Bezerra/recria","Novilha"))))</f>
        <v>Novilha</v>
      </c>
      <c r="X2196" s="0" t="str">
        <f aca="false">IF(AND(B2196&gt;=1,B2196&lt;=6),"Tanque",IF(B2196=10,"Descarte",""))</f>
        <v/>
      </c>
    </row>
    <row r="2197" customFormat="false" ht="15" hidden="false" customHeight="false" outlineLevel="0" collapsed="false">
      <c r="A2197" s="22" t="n">
        <v>46309</v>
      </c>
      <c r="B2197" s="0" t="n">
        <v>8</v>
      </c>
      <c r="C2197" s="0" t="n">
        <v>6695</v>
      </c>
      <c r="E2197" s="0" t="n">
        <v>0</v>
      </c>
      <c r="F2197" s="23" t="s">
        <v>1159</v>
      </c>
      <c r="I2197" s="23" t="s">
        <v>92</v>
      </c>
      <c r="L2197" s="0" t="n">
        <v>55</v>
      </c>
      <c r="U2197" s="0" t="n">
        <v>472</v>
      </c>
      <c r="V2197" s="0" t="n">
        <v>1</v>
      </c>
      <c r="W2197" s="0" t="str">
        <f aca="false">IF(OR(AND(B2197&gt;=1,B2197&lt;=6),B2197=10),"Vaca em lactação",IF(I2197="Male","Macho",IF(E2197&gt;=1,"Vaca seca",IF(I2197="Youngstock","Bezerra/recria","Novilha"))))</f>
        <v>Novilha</v>
      </c>
      <c r="X2197" s="0" t="str">
        <f aca="false">IF(AND(B2197&gt;=1,B2197&lt;=6),"Tanque",IF(B2197=10,"Descarte",""))</f>
        <v/>
      </c>
    </row>
    <row r="2198" customFormat="false" ht="15" hidden="false" customHeight="false" outlineLevel="0" collapsed="false">
      <c r="A2198" s="22" t="n">
        <v>46309</v>
      </c>
      <c r="B2198" s="0" t="n">
        <v>8</v>
      </c>
      <c r="C2198" s="0" t="n">
        <v>6696</v>
      </c>
      <c r="E2198" s="0" t="n">
        <v>0</v>
      </c>
      <c r="F2198" s="23" t="s">
        <v>1159</v>
      </c>
      <c r="I2198" s="23" t="s">
        <v>92</v>
      </c>
      <c r="L2198" s="0" t="n">
        <v>81</v>
      </c>
      <c r="U2198" s="0" t="n">
        <v>472</v>
      </c>
      <c r="V2198" s="0" t="n">
        <v>1</v>
      </c>
      <c r="W2198" s="0" t="str">
        <f aca="false">IF(OR(AND(B2198&gt;=1,B2198&lt;=6),B2198=10),"Vaca em lactação",IF(I2198="Male","Macho",IF(E2198&gt;=1,"Vaca seca",IF(I2198="Youngstock","Bezerra/recria","Novilha"))))</f>
        <v>Novilha</v>
      </c>
      <c r="X2198" s="0" t="str">
        <f aca="false">IF(AND(B2198&gt;=1,B2198&lt;=6),"Tanque",IF(B2198=10,"Descarte",""))</f>
        <v/>
      </c>
    </row>
    <row r="2199" customFormat="false" ht="15" hidden="false" customHeight="false" outlineLevel="0" collapsed="false">
      <c r="A2199" s="22" t="n">
        <v>46309</v>
      </c>
      <c r="B2199" s="0" t="n">
        <v>8</v>
      </c>
      <c r="C2199" s="0" t="n">
        <v>6692</v>
      </c>
      <c r="E2199" s="0" t="n">
        <v>0</v>
      </c>
      <c r="F2199" s="23" t="s">
        <v>1159</v>
      </c>
      <c r="I2199" s="23" t="s">
        <v>92</v>
      </c>
      <c r="L2199" s="0" t="n">
        <v>70</v>
      </c>
      <c r="U2199" s="0" t="n">
        <v>472</v>
      </c>
      <c r="V2199" s="0" t="n">
        <v>1</v>
      </c>
      <c r="W2199" s="0" t="str">
        <f aca="false">IF(OR(AND(B2199&gt;=1,B2199&lt;=6),B2199=10),"Vaca em lactação",IF(I2199="Male","Macho",IF(E2199&gt;=1,"Vaca seca",IF(I2199="Youngstock","Bezerra/recria","Novilha"))))</f>
        <v>Novilha</v>
      </c>
      <c r="X2199" s="0" t="str">
        <f aca="false">IF(AND(B2199&gt;=1,B2199&lt;=6),"Tanque",IF(B2199=10,"Descarte",""))</f>
        <v/>
      </c>
    </row>
    <row r="2200" customFormat="false" ht="15" hidden="false" customHeight="false" outlineLevel="0" collapsed="false">
      <c r="A2200" s="22" t="n">
        <v>46309</v>
      </c>
      <c r="B2200" s="0" t="n">
        <v>8</v>
      </c>
      <c r="C2200" s="0" t="n">
        <v>6693</v>
      </c>
      <c r="E2200" s="0" t="n">
        <v>0</v>
      </c>
      <c r="F2200" s="23" t="s">
        <v>1159</v>
      </c>
      <c r="I2200" s="23" t="s">
        <v>92</v>
      </c>
      <c r="L2200" s="0" t="n">
        <v>76</v>
      </c>
      <c r="U2200" s="0" t="n">
        <v>472</v>
      </c>
      <c r="V2200" s="0" t="n">
        <v>1</v>
      </c>
      <c r="W2200" s="0" t="str">
        <f aca="false">IF(OR(AND(B2200&gt;=1,B2200&lt;=6),B2200=10),"Vaca em lactação",IF(I2200="Male","Macho",IF(E2200&gt;=1,"Vaca seca",IF(I2200="Youngstock","Bezerra/recria","Novilha"))))</f>
        <v>Novilha</v>
      </c>
      <c r="X2200" s="0" t="str">
        <f aca="false">IF(AND(B2200&gt;=1,B2200&lt;=6),"Tanque",IF(B2200=10,"Descarte",""))</f>
        <v/>
      </c>
    </row>
    <row r="2201" customFormat="false" ht="15" hidden="false" customHeight="false" outlineLevel="0" collapsed="false">
      <c r="A2201" s="22" t="n">
        <v>46309</v>
      </c>
      <c r="B2201" s="0" t="n">
        <v>8</v>
      </c>
      <c r="C2201" s="0" t="n">
        <v>6694</v>
      </c>
      <c r="E2201" s="0" t="n">
        <v>0</v>
      </c>
      <c r="F2201" s="23" t="s">
        <v>1159</v>
      </c>
      <c r="I2201" s="23" t="s">
        <v>92</v>
      </c>
      <c r="L2201" s="0" t="n">
        <v>64</v>
      </c>
      <c r="U2201" s="0" t="n">
        <v>472</v>
      </c>
      <c r="V2201" s="0" t="n">
        <v>1</v>
      </c>
      <c r="W2201" s="0" t="str">
        <f aca="false">IF(OR(AND(B2201&gt;=1,B2201&lt;=6),B2201=10),"Vaca em lactação",IF(I2201="Male","Macho",IF(E2201&gt;=1,"Vaca seca",IF(I2201="Youngstock","Bezerra/recria","Novilha"))))</f>
        <v>Novilha</v>
      </c>
      <c r="X2201" s="0" t="str">
        <f aca="false">IF(AND(B2201&gt;=1,B2201&lt;=6),"Tanque",IF(B2201=10,"Descarte",""))</f>
        <v/>
      </c>
    </row>
    <row r="2202" customFormat="false" ht="15" hidden="false" customHeight="false" outlineLevel="0" collapsed="false">
      <c r="A2202" s="22" t="n">
        <v>46309</v>
      </c>
      <c r="B2202" s="0" t="n">
        <v>8</v>
      </c>
      <c r="C2202" s="0" t="n">
        <v>6690</v>
      </c>
      <c r="E2202" s="0" t="n">
        <v>0</v>
      </c>
      <c r="F2202" s="23" t="s">
        <v>1159</v>
      </c>
      <c r="I2202" s="23" t="s">
        <v>92</v>
      </c>
      <c r="L2202" s="0" t="n">
        <v>50</v>
      </c>
      <c r="U2202" s="0" t="n">
        <v>472</v>
      </c>
      <c r="V2202" s="0" t="n">
        <v>1</v>
      </c>
      <c r="W2202" s="0" t="str">
        <f aca="false">IF(OR(AND(B2202&gt;=1,B2202&lt;=6),B2202=10),"Vaca em lactação",IF(I2202="Male","Macho",IF(E2202&gt;=1,"Vaca seca",IF(I2202="Youngstock","Bezerra/recria","Novilha"))))</f>
        <v>Novilha</v>
      </c>
      <c r="X2202" s="0" t="str">
        <f aca="false">IF(AND(B2202&gt;=1,B2202&lt;=6),"Tanque",IF(B2202=10,"Descarte",""))</f>
        <v/>
      </c>
    </row>
    <row r="2203" customFormat="false" ht="15" hidden="false" customHeight="false" outlineLevel="0" collapsed="false">
      <c r="A2203" s="22" t="n">
        <v>46309</v>
      </c>
      <c r="B2203" s="0" t="n">
        <v>8</v>
      </c>
      <c r="C2203" s="0" t="n">
        <v>6701</v>
      </c>
      <c r="E2203" s="0" t="n">
        <v>0</v>
      </c>
      <c r="F2203" s="23" t="s">
        <v>1160</v>
      </c>
      <c r="I2203" s="23" t="s">
        <v>92</v>
      </c>
      <c r="L2203" s="0" t="n">
        <v>63</v>
      </c>
      <c r="U2203" s="0" t="n">
        <v>470</v>
      </c>
      <c r="V2203" s="0" t="n">
        <v>1</v>
      </c>
      <c r="W2203" s="0" t="str">
        <f aca="false">IF(OR(AND(B2203&gt;=1,B2203&lt;=6),B2203=10),"Vaca em lactação",IF(I2203="Male","Macho",IF(E2203&gt;=1,"Vaca seca",IF(I2203="Youngstock","Bezerra/recria","Novilha"))))</f>
        <v>Novilha</v>
      </c>
      <c r="X2203" s="0" t="str">
        <f aca="false">IF(AND(B2203&gt;=1,B2203&lt;=6),"Tanque",IF(B2203=10,"Descarte",""))</f>
        <v/>
      </c>
    </row>
    <row r="2204" customFormat="false" ht="15" hidden="false" customHeight="false" outlineLevel="0" collapsed="false">
      <c r="A2204" s="22" t="n">
        <v>46309</v>
      </c>
      <c r="B2204" s="0" t="n">
        <v>8</v>
      </c>
      <c r="C2204" s="0" t="n">
        <v>6704</v>
      </c>
      <c r="E2204" s="0" t="n">
        <v>0</v>
      </c>
      <c r="F2204" s="23" t="s">
        <v>1161</v>
      </c>
      <c r="I2204" s="23" t="s">
        <v>109</v>
      </c>
      <c r="U2204" s="0" t="n">
        <v>469</v>
      </c>
      <c r="V2204" s="0" t="n">
        <v>1</v>
      </c>
      <c r="W2204" s="0" t="str">
        <f aca="false">IF(OR(AND(B2204&gt;=1,B2204&lt;=6),B2204=10),"Vaca em lactação",IF(I2204="Male","Macho",IF(E2204&gt;=1,"Vaca seca",IF(I2204="Youngstock","Bezerra/recria","Novilha"))))</f>
        <v>Novilha</v>
      </c>
      <c r="X2204" s="0" t="str">
        <f aca="false">IF(AND(B2204&gt;=1,B2204&lt;=6),"Tanque",IF(B2204=10,"Descarte",""))</f>
        <v/>
      </c>
    </row>
    <row r="2205" customFormat="false" ht="15" hidden="false" customHeight="false" outlineLevel="0" collapsed="false">
      <c r="A2205" s="22" t="n">
        <v>46309</v>
      </c>
      <c r="B2205" s="0" t="n">
        <v>8</v>
      </c>
      <c r="C2205" s="0" t="n">
        <v>6669</v>
      </c>
      <c r="E2205" s="0" t="n">
        <v>0</v>
      </c>
      <c r="F2205" s="23" t="s">
        <v>1142</v>
      </c>
      <c r="I2205" s="23" t="s">
        <v>92</v>
      </c>
      <c r="L2205" s="0" t="n">
        <v>65</v>
      </c>
      <c r="U2205" s="0" t="n">
        <v>482</v>
      </c>
      <c r="V2205" s="0" t="n">
        <v>1</v>
      </c>
      <c r="W2205" s="0" t="str">
        <f aca="false">IF(OR(AND(B2205&gt;=1,B2205&lt;=6),B2205=10),"Vaca em lactação",IF(I2205="Male","Macho",IF(E2205&gt;=1,"Vaca seca",IF(I2205="Youngstock","Bezerra/recria","Novilha"))))</f>
        <v>Novilha</v>
      </c>
      <c r="X2205" s="0" t="str">
        <f aca="false">IF(AND(B2205&gt;=1,B2205&lt;=6),"Tanque",IF(B2205=10,"Descarte",""))</f>
        <v/>
      </c>
    </row>
    <row r="2206" customFormat="false" ht="15" hidden="false" customHeight="false" outlineLevel="0" collapsed="false">
      <c r="A2206" s="22" t="n">
        <v>46309</v>
      </c>
      <c r="B2206" s="0" t="n">
        <v>8</v>
      </c>
      <c r="C2206" s="0" t="n">
        <v>6675</v>
      </c>
      <c r="E2206" s="0" t="n">
        <v>0</v>
      </c>
      <c r="F2206" s="23" t="s">
        <v>1162</v>
      </c>
      <c r="I2206" s="23" t="s">
        <v>92</v>
      </c>
      <c r="L2206" s="0" t="n">
        <v>87</v>
      </c>
      <c r="U2206" s="0" t="n">
        <v>479</v>
      </c>
      <c r="V2206" s="0" t="n">
        <v>1</v>
      </c>
      <c r="W2206" s="0" t="str">
        <f aca="false">IF(OR(AND(B2206&gt;=1,B2206&lt;=6),B2206=10),"Vaca em lactação",IF(I2206="Male","Macho",IF(E2206&gt;=1,"Vaca seca",IF(I2206="Youngstock","Bezerra/recria","Novilha"))))</f>
        <v>Novilha</v>
      </c>
      <c r="X2206" s="0" t="str">
        <f aca="false">IF(AND(B2206&gt;=1,B2206&lt;=6),"Tanque",IF(B2206=10,"Descarte",""))</f>
        <v/>
      </c>
    </row>
    <row r="2207" customFormat="false" ht="15" hidden="false" customHeight="false" outlineLevel="0" collapsed="false">
      <c r="A2207" s="22" t="n">
        <v>46309</v>
      </c>
      <c r="B2207" s="0" t="n">
        <v>8</v>
      </c>
      <c r="C2207" s="0" t="n">
        <v>6674</v>
      </c>
      <c r="E2207" s="0" t="n">
        <v>0</v>
      </c>
      <c r="F2207" s="23" t="s">
        <v>1162</v>
      </c>
      <c r="I2207" s="23" t="s">
        <v>92</v>
      </c>
      <c r="L2207" s="0" t="n">
        <v>63</v>
      </c>
      <c r="U2207" s="0" t="n">
        <v>479</v>
      </c>
      <c r="V2207" s="0" t="n">
        <v>1</v>
      </c>
      <c r="W2207" s="0" t="str">
        <f aca="false">IF(OR(AND(B2207&gt;=1,B2207&lt;=6),B2207=10),"Vaca em lactação",IF(I2207="Male","Macho",IF(E2207&gt;=1,"Vaca seca",IF(I2207="Youngstock","Bezerra/recria","Novilha"))))</f>
        <v>Novilha</v>
      </c>
      <c r="X2207" s="0" t="str">
        <f aca="false">IF(AND(B2207&gt;=1,B2207&lt;=6),"Tanque",IF(B2207=10,"Descarte",""))</f>
        <v/>
      </c>
    </row>
    <row r="2208" customFormat="false" ht="15" hidden="false" customHeight="false" outlineLevel="0" collapsed="false">
      <c r="A2208" s="22" t="n">
        <v>46309</v>
      </c>
      <c r="B2208" s="0" t="n">
        <v>8</v>
      </c>
      <c r="C2208" s="0" t="n">
        <v>6671</v>
      </c>
      <c r="E2208" s="0" t="n">
        <v>0</v>
      </c>
      <c r="F2208" s="23" t="s">
        <v>1163</v>
      </c>
      <c r="I2208" s="23" t="s">
        <v>92</v>
      </c>
      <c r="L2208" s="0" t="n">
        <v>77</v>
      </c>
      <c r="U2208" s="0" t="n">
        <v>481</v>
      </c>
      <c r="V2208" s="0" t="n">
        <v>1</v>
      </c>
      <c r="W2208" s="0" t="str">
        <f aca="false">IF(OR(AND(B2208&gt;=1,B2208&lt;=6),B2208=10),"Vaca em lactação",IF(I2208="Male","Macho",IF(E2208&gt;=1,"Vaca seca",IF(I2208="Youngstock","Bezerra/recria","Novilha"))))</f>
        <v>Novilha</v>
      </c>
      <c r="X2208" s="0" t="str">
        <f aca="false">IF(AND(B2208&gt;=1,B2208&lt;=6),"Tanque",IF(B2208=10,"Descarte",""))</f>
        <v/>
      </c>
    </row>
    <row r="2209" customFormat="false" ht="15" hidden="false" customHeight="false" outlineLevel="0" collapsed="false">
      <c r="A2209" s="22" t="n">
        <v>46309</v>
      </c>
      <c r="B2209" s="0" t="n">
        <v>8</v>
      </c>
      <c r="C2209" s="0" t="n">
        <v>6670</v>
      </c>
      <c r="E2209" s="0" t="n">
        <v>0</v>
      </c>
      <c r="F2209" s="23" t="s">
        <v>1163</v>
      </c>
      <c r="I2209" s="23" t="s">
        <v>92</v>
      </c>
      <c r="L2209" s="0" t="n">
        <v>84</v>
      </c>
      <c r="U2209" s="0" t="n">
        <v>481</v>
      </c>
      <c r="V2209" s="0" t="n">
        <v>1</v>
      </c>
      <c r="W2209" s="0" t="str">
        <f aca="false">IF(OR(AND(B2209&gt;=1,B2209&lt;=6),B2209=10),"Vaca em lactação",IF(I2209="Male","Macho",IF(E2209&gt;=1,"Vaca seca",IF(I2209="Youngstock","Bezerra/recria","Novilha"))))</f>
        <v>Novilha</v>
      </c>
      <c r="X2209" s="0" t="str">
        <f aca="false">IF(AND(B2209&gt;=1,B2209&lt;=6),"Tanque",IF(B2209=10,"Descarte",""))</f>
        <v/>
      </c>
    </row>
    <row r="2210" customFormat="false" ht="15" hidden="false" customHeight="false" outlineLevel="0" collapsed="false">
      <c r="A2210" s="22" t="n">
        <v>46309</v>
      </c>
      <c r="B2210" s="0" t="n">
        <v>8</v>
      </c>
      <c r="C2210" s="0" t="n">
        <v>6676</v>
      </c>
      <c r="E2210" s="0" t="n">
        <v>0</v>
      </c>
      <c r="F2210" s="23" t="s">
        <v>1162</v>
      </c>
      <c r="I2210" s="23" t="s">
        <v>92</v>
      </c>
      <c r="L2210" s="0" t="n">
        <v>76</v>
      </c>
      <c r="U2210" s="0" t="n">
        <v>479</v>
      </c>
      <c r="V2210" s="0" t="n">
        <v>1</v>
      </c>
      <c r="W2210" s="0" t="str">
        <f aca="false">IF(OR(AND(B2210&gt;=1,B2210&lt;=6),B2210=10),"Vaca em lactação",IF(I2210="Male","Macho",IF(E2210&gt;=1,"Vaca seca",IF(I2210="Youngstock","Bezerra/recria","Novilha"))))</f>
        <v>Novilha</v>
      </c>
      <c r="X2210" s="0" t="str">
        <f aca="false">IF(AND(B2210&gt;=1,B2210&lt;=6),"Tanque",IF(B2210=10,"Descarte",""))</f>
        <v/>
      </c>
    </row>
    <row r="2211" customFormat="false" ht="15" hidden="false" customHeight="false" outlineLevel="0" collapsed="false">
      <c r="A2211" s="22" t="n">
        <v>46309</v>
      </c>
      <c r="B2211" s="0" t="n">
        <v>8</v>
      </c>
      <c r="C2211" s="0" t="n">
        <v>6681</v>
      </c>
      <c r="E2211" s="0" t="n">
        <v>0</v>
      </c>
      <c r="F2211" s="23" t="s">
        <v>1164</v>
      </c>
      <c r="I2211" s="23" t="s">
        <v>92</v>
      </c>
      <c r="L2211" s="0" t="n">
        <v>77</v>
      </c>
      <c r="U2211" s="0" t="n">
        <v>476</v>
      </c>
      <c r="V2211" s="0" t="n">
        <v>1</v>
      </c>
      <c r="W2211" s="0" t="str">
        <f aca="false">IF(OR(AND(B2211&gt;=1,B2211&lt;=6),B2211=10),"Vaca em lactação",IF(I2211="Male","Macho",IF(E2211&gt;=1,"Vaca seca",IF(I2211="Youngstock","Bezerra/recria","Novilha"))))</f>
        <v>Novilha</v>
      </c>
      <c r="X2211" s="0" t="str">
        <f aca="false">IF(AND(B2211&gt;=1,B2211&lt;=6),"Tanque",IF(B2211=10,"Descarte",""))</f>
        <v/>
      </c>
    </row>
    <row r="2212" customFormat="false" ht="15" hidden="false" customHeight="false" outlineLevel="0" collapsed="false">
      <c r="A2212" s="22" t="n">
        <v>46309</v>
      </c>
      <c r="B2212" s="0" t="n">
        <v>8</v>
      </c>
      <c r="C2212" s="0" t="n">
        <v>6680</v>
      </c>
      <c r="E2212" s="0" t="n">
        <v>0</v>
      </c>
      <c r="F2212" s="23" t="s">
        <v>1165</v>
      </c>
      <c r="I2212" s="23" t="s">
        <v>92</v>
      </c>
      <c r="L2212" s="0" t="n">
        <v>45</v>
      </c>
      <c r="U2212" s="0" t="n">
        <v>477</v>
      </c>
      <c r="V2212" s="0" t="n">
        <v>2</v>
      </c>
      <c r="W2212" s="0" t="str">
        <f aca="false">IF(OR(AND(B2212&gt;=1,B2212&lt;=6),B2212=10),"Vaca em lactação",IF(I2212="Male","Macho",IF(E2212&gt;=1,"Vaca seca",IF(I2212="Youngstock","Bezerra/recria","Novilha"))))</f>
        <v>Novilha</v>
      </c>
      <c r="X2212" s="0" t="str">
        <f aca="false">IF(AND(B2212&gt;=1,B2212&lt;=6),"Tanque",IF(B2212=10,"Descarte",""))</f>
        <v/>
      </c>
    </row>
    <row r="2213" customFormat="false" ht="15" hidden="false" customHeight="false" outlineLevel="0" collapsed="false">
      <c r="A2213" s="22" t="n">
        <v>46309</v>
      </c>
      <c r="B2213" s="0" t="n">
        <v>8</v>
      </c>
      <c r="C2213" s="0" t="n">
        <v>6679</v>
      </c>
      <c r="E2213" s="0" t="n">
        <v>0</v>
      </c>
      <c r="F2213" s="23" t="s">
        <v>1166</v>
      </c>
      <c r="I2213" s="23" t="s">
        <v>92</v>
      </c>
      <c r="L2213" s="0" t="n">
        <v>62</v>
      </c>
      <c r="U2213" s="0" t="n">
        <v>478</v>
      </c>
      <c r="V2213" s="0" t="n">
        <v>2</v>
      </c>
      <c r="W2213" s="0" t="str">
        <f aca="false">IF(OR(AND(B2213&gt;=1,B2213&lt;=6),B2213=10),"Vaca em lactação",IF(I2213="Male","Macho",IF(E2213&gt;=1,"Vaca seca",IF(I2213="Youngstock","Bezerra/recria","Novilha"))))</f>
        <v>Novilha</v>
      </c>
      <c r="X2213" s="0" t="str">
        <f aca="false">IF(AND(B2213&gt;=1,B2213&lt;=6),"Tanque",IF(B2213=10,"Descarte",""))</f>
        <v/>
      </c>
    </row>
    <row r="2214" customFormat="false" ht="15" hidden="false" customHeight="false" outlineLevel="0" collapsed="false">
      <c r="A2214" s="22" t="n">
        <v>46309</v>
      </c>
      <c r="B2214" s="0" t="n">
        <v>8</v>
      </c>
      <c r="C2214" s="0" t="n">
        <v>6682</v>
      </c>
      <c r="E2214" s="0" t="n">
        <v>0</v>
      </c>
      <c r="F2214" s="23" t="s">
        <v>1164</v>
      </c>
      <c r="I2214" s="23" t="s">
        <v>92</v>
      </c>
      <c r="L2214" s="0" t="n">
        <v>63</v>
      </c>
      <c r="U2214" s="0" t="n">
        <v>476</v>
      </c>
      <c r="V2214" s="0" t="n">
        <v>1</v>
      </c>
      <c r="W2214" s="0" t="str">
        <f aca="false">IF(OR(AND(B2214&gt;=1,B2214&lt;=6),B2214=10),"Vaca em lactação",IF(I2214="Male","Macho",IF(E2214&gt;=1,"Vaca seca",IF(I2214="Youngstock","Bezerra/recria","Novilha"))))</f>
        <v>Novilha</v>
      </c>
      <c r="X2214" s="0" t="str">
        <f aca="false">IF(AND(B2214&gt;=1,B2214&lt;=6),"Tanque",IF(B2214=10,"Descarte",""))</f>
        <v/>
      </c>
    </row>
    <row r="2215" customFormat="false" ht="15" hidden="false" customHeight="false" outlineLevel="0" collapsed="false">
      <c r="A2215" s="22" t="n">
        <v>46309</v>
      </c>
      <c r="B2215" s="0" t="n">
        <v>8</v>
      </c>
      <c r="C2215" s="0" t="n">
        <v>6684</v>
      </c>
      <c r="E2215" s="0" t="n">
        <v>0</v>
      </c>
      <c r="F2215" s="23" t="s">
        <v>1167</v>
      </c>
      <c r="I2215" s="23" t="s">
        <v>92</v>
      </c>
      <c r="L2215" s="0" t="n">
        <v>73</v>
      </c>
      <c r="U2215" s="0" t="n">
        <v>475</v>
      </c>
      <c r="V2215" s="0" t="n">
        <v>1</v>
      </c>
      <c r="W2215" s="0" t="str">
        <f aca="false">IF(OR(AND(B2215&gt;=1,B2215&lt;=6),B2215=10),"Vaca em lactação",IF(I2215="Male","Macho",IF(E2215&gt;=1,"Vaca seca",IF(I2215="Youngstock","Bezerra/recria","Novilha"))))</f>
        <v>Novilha</v>
      </c>
      <c r="X2215" s="0" t="str">
        <f aca="false">IF(AND(B2215&gt;=1,B2215&lt;=6),"Tanque",IF(B2215=10,"Descarte",""))</f>
        <v/>
      </c>
    </row>
    <row r="2216" customFormat="false" ht="15" hidden="false" customHeight="false" outlineLevel="0" collapsed="false">
      <c r="A2216" s="22" t="n">
        <v>46309</v>
      </c>
      <c r="B2216" s="0" t="n">
        <v>8</v>
      </c>
      <c r="C2216" s="0" t="n">
        <v>6688</v>
      </c>
      <c r="E2216" s="0" t="n">
        <v>0</v>
      </c>
      <c r="F2216" s="23" t="s">
        <v>1167</v>
      </c>
      <c r="I2216" s="23" t="s">
        <v>92</v>
      </c>
      <c r="L2216" s="0" t="n">
        <v>53</v>
      </c>
      <c r="U2216" s="0" t="n">
        <v>475</v>
      </c>
      <c r="V2216" s="0" t="n">
        <v>2</v>
      </c>
      <c r="W2216" s="0" t="str">
        <f aca="false">IF(OR(AND(B2216&gt;=1,B2216&lt;=6),B2216=10),"Vaca em lactação",IF(I2216="Male","Macho",IF(E2216&gt;=1,"Vaca seca",IF(I2216="Youngstock","Bezerra/recria","Novilha"))))</f>
        <v>Novilha</v>
      </c>
      <c r="X2216" s="0" t="str">
        <f aca="false">IF(AND(B2216&gt;=1,B2216&lt;=6),"Tanque",IF(B2216=10,"Descarte",""))</f>
        <v/>
      </c>
    </row>
    <row r="2217" customFormat="false" ht="15" hidden="false" customHeight="false" outlineLevel="0" collapsed="false">
      <c r="A2217" s="22" t="n">
        <v>46309</v>
      </c>
      <c r="B2217" s="0" t="n">
        <v>8</v>
      </c>
      <c r="C2217" s="0" t="n">
        <v>6687</v>
      </c>
      <c r="E2217" s="0" t="n">
        <v>0</v>
      </c>
      <c r="F2217" s="23" t="s">
        <v>1167</v>
      </c>
      <c r="I2217" s="23" t="s">
        <v>92</v>
      </c>
      <c r="L2217" s="0" t="n">
        <v>55</v>
      </c>
      <c r="U2217" s="0" t="n">
        <v>475</v>
      </c>
      <c r="V2217" s="0" t="n">
        <v>1</v>
      </c>
      <c r="W2217" s="0" t="str">
        <f aca="false">IF(OR(AND(B2217&gt;=1,B2217&lt;=6),B2217=10),"Vaca em lactação",IF(I2217="Male","Macho",IF(E2217&gt;=1,"Vaca seca",IF(I2217="Youngstock","Bezerra/recria","Novilha"))))</f>
        <v>Novilha</v>
      </c>
      <c r="X2217" s="0" t="str">
        <f aca="false">IF(AND(B2217&gt;=1,B2217&lt;=6),"Tanque",IF(B2217=10,"Descarte",""))</f>
        <v/>
      </c>
    </row>
    <row r="2218" customFormat="false" ht="15" hidden="false" customHeight="false" outlineLevel="0" collapsed="false">
      <c r="A2218" s="22" t="n">
        <v>46309</v>
      </c>
      <c r="B2218" s="0" t="n">
        <v>8</v>
      </c>
      <c r="C2218" s="0" t="n">
        <v>6775</v>
      </c>
      <c r="E2218" s="0" t="n">
        <v>0</v>
      </c>
      <c r="F2218" s="23" t="s">
        <v>1168</v>
      </c>
      <c r="I2218" s="23" t="s">
        <v>92</v>
      </c>
      <c r="L2218" s="0" t="n">
        <v>48</v>
      </c>
      <c r="U2218" s="0" t="n">
        <v>446</v>
      </c>
      <c r="V2218" s="0" t="n">
        <v>1</v>
      </c>
      <c r="W2218" s="0" t="str">
        <f aca="false">IF(OR(AND(B2218&gt;=1,B2218&lt;=6),B2218=10),"Vaca em lactação",IF(I2218="Male","Macho",IF(E2218&gt;=1,"Vaca seca",IF(I2218="Youngstock","Bezerra/recria","Novilha"))))</f>
        <v>Novilha</v>
      </c>
      <c r="X2218" s="0" t="str">
        <f aca="false">IF(AND(B2218&gt;=1,B2218&lt;=6),"Tanque",IF(B2218=10,"Descarte",""))</f>
        <v/>
      </c>
    </row>
    <row r="2219" customFormat="false" ht="15" hidden="false" customHeight="false" outlineLevel="0" collapsed="false">
      <c r="A2219" s="22" t="n">
        <v>46309</v>
      </c>
      <c r="B2219" s="0" t="n">
        <v>8</v>
      </c>
      <c r="C2219" s="0" t="n">
        <v>6770</v>
      </c>
      <c r="E2219" s="0" t="n">
        <v>0</v>
      </c>
      <c r="F2219" s="23" t="s">
        <v>1168</v>
      </c>
      <c r="I2219" s="23" t="s">
        <v>92</v>
      </c>
      <c r="L2219" s="0" t="n">
        <v>28</v>
      </c>
      <c r="U2219" s="0" t="n">
        <v>446</v>
      </c>
      <c r="V2219" s="0" t="n">
        <v>1</v>
      </c>
      <c r="W2219" s="0" t="str">
        <f aca="false">IF(OR(AND(B2219&gt;=1,B2219&lt;=6),B2219=10),"Vaca em lactação",IF(I2219="Male","Macho",IF(E2219&gt;=1,"Vaca seca",IF(I2219="Youngstock","Bezerra/recria","Novilha"))))</f>
        <v>Novilha</v>
      </c>
      <c r="X2219" s="0" t="str">
        <f aca="false">IF(AND(B2219&gt;=1,B2219&lt;=6),"Tanque",IF(B2219=10,"Descarte",""))</f>
        <v/>
      </c>
    </row>
    <row r="2220" customFormat="false" ht="15" hidden="false" customHeight="false" outlineLevel="0" collapsed="false">
      <c r="A2220" s="22" t="n">
        <v>46309</v>
      </c>
      <c r="B2220" s="0" t="n">
        <v>8</v>
      </c>
      <c r="C2220" s="0" t="n">
        <v>6771</v>
      </c>
      <c r="E2220" s="0" t="n">
        <v>0</v>
      </c>
      <c r="F2220" s="23" t="s">
        <v>1168</v>
      </c>
      <c r="I2220" s="23" t="s">
        <v>92</v>
      </c>
      <c r="L2220" s="0" t="n">
        <v>42</v>
      </c>
      <c r="U2220" s="0" t="n">
        <v>446</v>
      </c>
      <c r="V2220" s="0" t="n">
        <v>1</v>
      </c>
      <c r="W2220" s="0" t="str">
        <f aca="false">IF(OR(AND(B2220&gt;=1,B2220&lt;=6),B2220=10),"Vaca em lactação",IF(I2220="Male","Macho",IF(E2220&gt;=1,"Vaca seca",IF(I2220="Youngstock","Bezerra/recria","Novilha"))))</f>
        <v>Novilha</v>
      </c>
      <c r="X2220" s="0" t="str">
        <f aca="false">IF(AND(B2220&gt;=1,B2220&lt;=6),"Tanque",IF(B2220=10,"Descarte",""))</f>
        <v/>
      </c>
    </row>
    <row r="2221" customFormat="false" ht="15" hidden="false" customHeight="false" outlineLevel="0" collapsed="false">
      <c r="A2221" s="22" t="n">
        <v>46309</v>
      </c>
      <c r="B2221" s="0" t="n">
        <v>8</v>
      </c>
      <c r="C2221" s="0" t="n">
        <v>6773</v>
      </c>
      <c r="E2221" s="0" t="n">
        <v>0</v>
      </c>
      <c r="F2221" s="23" t="s">
        <v>1168</v>
      </c>
      <c r="I2221" s="23" t="s">
        <v>92</v>
      </c>
      <c r="L2221" s="0" t="n">
        <v>43</v>
      </c>
      <c r="U2221" s="0" t="n">
        <v>446</v>
      </c>
      <c r="V2221" s="0" t="n">
        <v>1</v>
      </c>
      <c r="W2221" s="0" t="str">
        <f aca="false">IF(OR(AND(B2221&gt;=1,B2221&lt;=6),B2221=10),"Vaca em lactação",IF(I2221="Male","Macho",IF(E2221&gt;=1,"Vaca seca",IF(I2221="Youngstock","Bezerra/recria","Novilha"))))</f>
        <v>Novilha</v>
      </c>
      <c r="X2221" s="0" t="str">
        <f aca="false">IF(AND(B2221&gt;=1,B2221&lt;=6),"Tanque",IF(B2221=10,"Descarte",""))</f>
        <v/>
      </c>
    </row>
    <row r="2222" customFormat="false" ht="15" hidden="false" customHeight="false" outlineLevel="0" collapsed="false">
      <c r="A2222" s="22" t="n">
        <v>46309</v>
      </c>
      <c r="B2222" s="0" t="n">
        <v>8</v>
      </c>
      <c r="C2222" s="0" t="n">
        <v>6774</v>
      </c>
      <c r="E2222" s="0" t="n">
        <v>0</v>
      </c>
      <c r="F2222" s="23" t="s">
        <v>1168</v>
      </c>
      <c r="I2222" s="23" t="s">
        <v>92</v>
      </c>
      <c r="L2222" s="0" t="n">
        <v>42</v>
      </c>
      <c r="U2222" s="0" t="n">
        <v>446</v>
      </c>
      <c r="V2222" s="0" t="n">
        <v>1</v>
      </c>
      <c r="W2222" s="0" t="str">
        <f aca="false">IF(OR(AND(B2222&gt;=1,B2222&lt;=6),B2222=10),"Vaca em lactação",IF(I2222="Male","Macho",IF(E2222&gt;=1,"Vaca seca",IF(I2222="Youngstock","Bezerra/recria","Novilha"))))</f>
        <v>Novilha</v>
      </c>
      <c r="X2222" s="0" t="str">
        <f aca="false">IF(AND(B2222&gt;=1,B2222&lt;=6),"Tanque",IF(B2222=10,"Descarte",""))</f>
        <v/>
      </c>
    </row>
    <row r="2223" customFormat="false" ht="15" hidden="false" customHeight="false" outlineLevel="0" collapsed="false">
      <c r="A2223" s="22" t="n">
        <v>46309</v>
      </c>
      <c r="B2223" s="0" t="n">
        <v>8</v>
      </c>
      <c r="C2223" s="0" t="n">
        <v>6778</v>
      </c>
      <c r="E2223" s="0" t="n">
        <v>0</v>
      </c>
      <c r="F2223" s="23" t="s">
        <v>1169</v>
      </c>
      <c r="I2223" s="23" t="s">
        <v>92</v>
      </c>
      <c r="L2223" s="0" t="n">
        <v>51</v>
      </c>
      <c r="U2223" s="0" t="n">
        <v>445</v>
      </c>
      <c r="V2223" s="0" t="n">
        <v>1</v>
      </c>
      <c r="W2223" s="0" t="str">
        <f aca="false">IF(OR(AND(B2223&gt;=1,B2223&lt;=6),B2223=10),"Vaca em lactação",IF(I2223="Male","Macho",IF(E2223&gt;=1,"Vaca seca",IF(I2223="Youngstock","Bezerra/recria","Novilha"))))</f>
        <v>Novilha</v>
      </c>
      <c r="X2223" s="0" t="str">
        <f aca="false">IF(AND(B2223&gt;=1,B2223&lt;=6),"Tanque",IF(B2223=10,"Descarte",""))</f>
        <v/>
      </c>
    </row>
    <row r="2224" customFormat="false" ht="15" hidden="false" customHeight="false" outlineLevel="0" collapsed="false">
      <c r="A2224" s="22" t="n">
        <v>46309</v>
      </c>
      <c r="B2224" s="0" t="n">
        <v>8</v>
      </c>
      <c r="C2224" s="0" t="n">
        <v>6783</v>
      </c>
      <c r="E2224" s="0" t="n">
        <v>0</v>
      </c>
      <c r="F2224" s="23" t="s">
        <v>1170</v>
      </c>
      <c r="I2224" s="23" t="s">
        <v>92</v>
      </c>
      <c r="L2224" s="0" t="n">
        <v>42</v>
      </c>
      <c r="U2224" s="0" t="n">
        <v>444</v>
      </c>
      <c r="V2224" s="0" t="n">
        <v>1</v>
      </c>
      <c r="W2224" s="0" t="str">
        <f aca="false">IF(OR(AND(B2224&gt;=1,B2224&lt;=6),B2224=10),"Vaca em lactação",IF(I2224="Male","Macho",IF(E2224&gt;=1,"Vaca seca",IF(I2224="Youngstock","Bezerra/recria","Novilha"))))</f>
        <v>Novilha</v>
      </c>
      <c r="X2224" s="0" t="str">
        <f aca="false">IF(AND(B2224&gt;=1,B2224&lt;=6),"Tanque",IF(B2224=10,"Descarte",""))</f>
        <v/>
      </c>
    </row>
    <row r="2225" customFormat="false" ht="15" hidden="false" customHeight="false" outlineLevel="0" collapsed="false">
      <c r="A2225" s="22" t="n">
        <v>46309</v>
      </c>
      <c r="B2225" s="0" t="n">
        <v>8</v>
      </c>
      <c r="C2225" s="0" t="n">
        <v>6790</v>
      </c>
      <c r="E2225" s="0" t="n">
        <v>0</v>
      </c>
      <c r="F2225" s="23" t="s">
        <v>1171</v>
      </c>
      <c r="I2225" s="23" t="s">
        <v>92</v>
      </c>
      <c r="L2225" s="0" t="n">
        <v>47</v>
      </c>
      <c r="U2225" s="0" t="n">
        <v>442</v>
      </c>
      <c r="V2225" s="0" t="n">
        <v>1</v>
      </c>
      <c r="W2225" s="0" t="str">
        <f aca="false">IF(OR(AND(B2225&gt;=1,B2225&lt;=6),B2225=10),"Vaca em lactação",IF(I2225="Male","Macho",IF(E2225&gt;=1,"Vaca seca",IF(I2225="Youngstock","Bezerra/recria","Novilha"))))</f>
        <v>Novilha</v>
      </c>
      <c r="X2225" s="0" t="str">
        <f aca="false">IF(AND(B2225&gt;=1,B2225&lt;=6),"Tanque",IF(B2225=10,"Descarte",""))</f>
        <v/>
      </c>
    </row>
    <row r="2226" customFormat="false" ht="15" hidden="false" customHeight="false" outlineLevel="0" collapsed="false">
      <c r="A2226" s="22" t="n">
        <v>46309</v>
      </c>
      <c r="B2226" s="0" t="n">
        <v>8</v>
      </c>
      <c r="C2226" s="0" t="n">
        <v>6789</v>
      </c>
      <c r="E2226" s="0" t="n">
        <v>0</v>
      </c>
      <c r="F2226" s="23" t="s">
        <v>1171</v>
      </c>
      <c r="I2226" s="23" t="s">
        <v>92</v>
      </c>
      <c r="L2226" s="0" t="n">
        <v>43</v>
      </c>
      <c r="U2226" s="0" t="n">
        <v>442</v>
      </c>
      <c r="V2226" s="0" t="n">
        <v>1</v>
      </c>
      <c r="W2226" s="0" t="str">
        <f aca="false">IF(OR(AND(B2226&gt;=1,B2226&lt;=6),B2226=10),"Vaca em lactação",IF(I2226="Male","Macho",IF(E2226&gt;=1,"Vaca seca",IF(I2226="Youngstock","Bezerra/recria","Novilha"))))</f>
        <v>Novilha</v>
      </c>
      <c r="X2226" s="0" t="str">
        <f aca="false">IF(AND(B2226&gt;=1,B2226&lt;=6),"Tanque",IF(B2226=10,"Descarte",""))</f>
        <v/>
      </c>
    </row>
    <row r="2227" customFormat="false" ht="15" hidden="false" customHeight="false" outlineLevel="0" collapsed="false">
      <c r="A2227" s="22" t="n">
        <v>46309</v>
      </c>
      <c r="B2227" s="0" t="n">
        <v>8</v>
      </c>
      <c r="C2227" s="0" t="n">
        <v>6793</v>
      </c>
      <c r="E2227" s="0" t="n">
        <v>0</v>
      </c>
      <c r="F2227" s="23" t="s">
        <v>1172</v>
      </c>
      <c r="I2227" s="23" t="s">
        <v>92</v>
      </c>
      <c r="L2227" s="0" t="n">
        <v>52</v>
      </c>
      <c r="U2227" s="0" t="n">
        <v>441</v>
      </c>
      <c r="V2227" s="0" t="n">
        <v>1</v>
      </c>
      <c r="W2227" s="0" t="str">
        <f aca="false">IF(OR(AND(B2227&gt;=1,B2227&lt;=6),B2227=10),"Vaca em lactação",IF(I2227="Male","Macho",IF(E2227&gt;=1,"Vaca seca",IF(I2227="Youngstock","Bezerra/recria","Novilha"))))</f>
        <v>Novilha</v>
      </c>
      <c r="X2227" s="0" t="str">
        <f aca="false">IF(AND(B2227&gt;=1,B2227&lt;=6),"Tanque",IF(B2227=10,"Descarte",""))</f>
        <v/>
      </c>
    </row>
    <row r="2228" customFormat="false" ht="15" hidden="false" customHeight="false" outlineLevel="0" collapsed="false">
      <c r="A2228" s="22" t="n">
        <v>46309</v>
      </c>
      <c r="B2228" s="0" t="n">
        <v>8</v>
      </c>
      <c r="C2228" s="0" t="n">
        <v>6792</v>
      </c>
      <c r="E2228" s="0" t="n">
        <v>0</v>
      </c>
      <c r="F2228" s="23" t="s">
        <v>1171</v>
      </c>
      <c r="I2228" s="23" t="s">
        <v>92</v>
      </c>
      <c r="L2228" s="0" t="n">
        <v>41</v>
      </c>
      <c r="U2228" s="0" t="n">
        <v>442</v>
      </c>
      <c r="V2228" s="0" t="n">
        <v>1</v>
      </c>
      <c r="W2228" s="0" t="str">
        <f aca="false">IF(OR(AND(B2228&gt;=1,B2228&lt;=6),B2228=10),"Vaca em lactação",IF(I2228="Male","Macho",IF(E2228&gt;=1,"Vaca seca",IF(I2228="Youngstock","Bezerra/recria","Novilha"))))</f>
        <v>Novilha</v>
      </c>
      <c r="X2228" s="0" t="str">
        <f aca="false">IF(AND(B2228&gt;=1,B2228&lt;=6),"Tanque",IF(B2228=10,"Descarte",""))</f>
        <v/>
      </c>
    </row>
    <row r="2229" customFormat="false" ht="15" hidden="false" customHeight="false" outlineLevel="0" collapsed="false">
      <c r="A2229" s="22" t="n">
        <v>46309</v>
      </c>
      <c r="B2229" s="0" t="n">
        <v>8</v>
      </c>
      <c r="C2229" s="0" t="n">
        <v>6764</v>
      </c>
      <c r="E2229" s="0" t="n">
        <v>0</v>
      </c>
      <c r="F2229" s="23" t="s">
        <v>1173</v>
      </c>
      <c r="I2229" s="23" t="s">
        <v>92</v>
      </c>
      <c r="L2229" s="0" t="n">
        <v>57</v>
      </c>
      <c r="U2229" s="0" t="n">
        <v>450</v>
      </c>
      <c r="V2229" s="0" t="n">
        <v>1</v>
      </c>
      <c r="W2229" s="0" t="str">
        <f aca="false">IF(OR(AND(B2229&gt;=1,B2229&lt;=6),B2229=10),"Vaca em lactação",IF(I2229="Male","Macho",IF(E2229&gt;=1,"Vaca seca",IF(I2229="Youngstock","Bezerra/recria","Novilha"))))</f>
        <v>Novilha</v>
      </c>
      <c r="X2229" s="0" t="str">
        <f aca="false">IF(AND(B2229&gt;=1,B2229&lt;=6),"Tanque",IF(B2229=10,"Descarte",""))</f>
        <v/>
      </c>
    </row>
    <row r="2230" customFormat="false" ht="15" hidden="false" customHeight="false" outlineLevel="0" collapsed="false">
      <c r="A2230" s="22" t="n">
        <v>46309</v>
      </c>
      <c r="B2230" s="0" t="n">
        <v>8</v>
      </c>
      <c r="C2230" s="0" t="n">
        <v>6765</v>
      </c>
      <c r="E2230" s="0" t="n">
        <v>0</v>
      </c>
      <c r="F2230" s="23" t="s">
        <v>1174</v>
      </c>
      <c r="I2230" s="23" t="s">
        <v>92</v>
      </c>
      <c r="L2230" s="0" t="n">
        <v>37</v>
      </c>
      <c r="U2230" s="0" t="n">
        <v>448</v>
      </c>
      <c r="V2230" s="0" t="n">
        <v>2</v>
      </c>
      <c r="W2230" s="0" t="str">
        <f aca="false">IF(OR(AND(B2230&gt;=1,B2230&lt;=6),B2230=10),"Vaca em lactação",IF(I2230="Male","Macho",IF(E2230&gt;=1,"Vaca seca",IF(I2230="Youngstock","Bezerra/recria","Novilha"))))</f>
        <v>Novilha</v>
      </c>
      <c r="X2230" s="0" t="str">
        <f aca="false">IF(AND(B2230&gt;=1,B2230&lt;=6),"Tanque",IF(B2230=10,"Descarte",""))</f>
        <v/>
      </c>
    </row>
    <row r="2231" customFormat="false" ht="15" hidden="false" customHeight="false" outlineLevel="0" collapsed="false">
      <c r="A2231" s="22" t="n">
        <v>46309</v>
      </c>
      <c r="B2231" s="0" t="n">
        <v>8</v>
      </c>
      <c r="C2231" s="0" t="n">
        <v>6768</v>
      </c>
      <c r="E2231" s="0" t="n">
        <v>0</v>
      </c>
      <c r="F2231" s="23" t="s">
        <v>1174</v>
      </c>
      <c r="I2231" s="23" t="s">
        <v>92</v>
      </c>
      <c r="L2231" s="0" t="n">
        <v>27</v>
      </c>
      <c r="U2231" s="0" t="n">
        <v>448</v>
      </c>
      <c r="V2231" s="0" t="n">
        <v>2</v>
      </c>
      <c r="W2231" s="0" t="str">
        <f aca="false">IF(OR(AND(B2231&gt;=1,B2231&lt;=6),B2231=10),"Vaca em lactação",IF(I2231="Male","Macho",IF(E2231&gt;=1,"Vaca seca",IF(I2231="Youngstock","Bezerra/recria","Novilha"))))</f>
        <v>Novilha</v>
      </c>
      <c r="X2231" s="0" t="str">
        <f aca="false">IF(AND(B2231&gt;=1,B2231&lt;=6),"Tanque",IF(B2231=10,"Descarte",""))</f>
        <v/>
      </c>
    </row>
    <row r="2232" customFormat="false" ht="15" hidden="false" customHeight="false" outlineLevel="0" collapsed="false">
      <c r="A2232" s="22" t="n">
        <v>46309</v>
      </c>
      <c r="B2232" s="0" t="n">
        <v>8</v>
      </c>
      <c r="C2232" s="0" t="n">
        <v>6749</v>
      </c>
      <c r="E2232" s="0" t="n">
        <v>0</v>
      </c>
      <c r="F2232" s="23" t="s">
        <v>1175</v>
      </c>
      <c r="I2232" s="23" t="s">
        <v>92</v>
      </c>
      <c r="L2232" s="0" t="n">
        <v>55</v>
      </c>
      <c r="U2232" s="0" t="n">
        <v>455</v>
      </c>
      <c r="V2232" s="0" t="n">
        <v>1</v>
      </c>
      <c r="W2232" s="0" t="str">
        <f aca="false">IF(OR(AND(B2232&gt;=1,B2232&lt;=6),B2232=10),"Vaca em lactação",IF(I2232="Male","Macho",IF(E2232&gt;=1,"Vaca seca",IF(I2232="Youngstock","Bezerra/recria","Novilha"))))</f>
        <v>Novilha</v>
      </c>
      <c r="X2232" s="0" t="str">
        <f aca="false">IF(AND(B2232&gt;=1,B2232&lt;=6),"Tanque",IF(B2232=10,"Descarte",""))</f>
        <v/>
      </c>
    </row>
    <row r="2233" customFormat="false" ht="15" hidden="false" customHeight="false" outlineLevel="0" collapsed="false">
      <c r="A2233" s="22" t="n">
        <v>46309</v>
      </c>
      <c r="B2233" s="0" t="n">
        <v>8</v>
      </c>
      <c r="C2233" s="0" t="n">
        <v>6750</v>
      </c>
      <c r="E2233" s="0" t="n">
        <v>0</v>
      </c>
      <c r="F2233" s="23" t="s">
        <v>1175</v>
      </c>
      <c r="I2233" s="23" t="s">
        <v>92</v>
      </c>
      <c r="L2233" s="0" t="n">
        <v>56</v>
      </c>
      <c r="U2233" s="0" t="n">
        <v>455</v>
      </c>
      <c r="V2233" s="0" t="n">
        <v>1</v>
      </c>
      <c r="W2233" s="0" t="str">
        <f aca="false">IF(OR(AND(B2233&gt;=1,B2233&lt;=6),B2233=10),"Vaca em lactação",IF(I2233="Male","Macho",IF(E2233&gt;=1,"Vaca seca",IF(I2233="Youngstock","Bezerra/recria","Novilha"))))</f>
        <v>Novilha</v>
      </c>
      <c r="X2233" s="0" t="str">
        <f aca="false">IF(AND(B2233&gt;=1,B2233&lt;=6),"Tanque",IF(B2233=10,"Descarte",""))</f>
        <v/>
      </c>
    </row>
    <row r="2234" customFormat="false" ht="15" hidden="false" customHeight="false" outlineLevel="0" collapsed="false">
      <c r="A2234" s="22" t="n">
        <v>46309</v>
      </c>
      <c r="B2234" s="0" t="n">
        <v>8</v>
      </c>
      <c r="C2234" s="0" t="n">
        <v>6752</v>
      </c>
      <c r="E2234" s="0" t="n">
        <v>0</v>
      </c>
      <c r="F2234" s="23" t="s">
        <v>1175</v>
      </c>
      <c r="I2234" s="23" t="s">
        <v>92</v>
      </c>
      <c r="L2234" s="0" t="n">
        <v>57</v>
      </c>
      <c r="U2234" s="0" t="n">
        <v>455</v>
      </c>
      <c r="V2234" s="0" t="n">
        <v>1</v>
      </c>
      <c r="W2234" s="0" t="str">
        <f aca="false">IF(OR(AND(B2234&gt;=1,B2234&lt;=6),B2234=10),"Vaca em lactação",IF(I2234="Male","Macho",IF(E2234&gt;=1,"Vaca seca",IF(I2234="Youngstock","Bezerra/recria","Novilha"))))</f>
        <v>Novilha</v>
      </c>
      <c r="X2234" s="0" t="str">
        <f aca="false">IF(AND(B2234&gt;=1,B2234&lt;=6),"Tanque",IF(B2234=10,"Descarte",""))</f>
        <v/>
      </c>
    </row>
    <row r="2235" customFormat="false" ht="15" hidden="false" customHeight="false" outlineLevel="0" collapsed="false">
      <c r="A2235" s="22" t="n">
        <v>46309</v>
      </c>
      <c r="B2235" s="0" t="n">
        <v>8</v>
      </c>
      <c r="C2235" s="0" t="n">
        <v>6753</v>
      </c>
      <c r="E2235" s="0" t="n">
        <v>0</v>
      </c>
      <c r="F2235" s="23" t="s">
        <v>1176</v>
      </c>
      <c r="I2235" s="23" t="s">
        <v>92</v>
      </c>
      <c r="L2235" s="0" t="n">
        <v>52</v>
      </c>
      <c r="U2235" s="0" t="n">
        <v>454</v>
      </c>
      <c r="V2235" s="0" t="n">
        <v>1</v>
      </c>
      <c r="W2235" s="0" t="str">
        <f aca="false">IF(OR(AND(B2235&gt;=1,B2235&lt;=6),B2235=10),"Vaca em lactação",IF(I2235="Male","Macho",IF(E2235&gt;=1,"Vaca seca",IF(I2235="Youngstock","Bezerra/recria","Novilha"))))</f>
        <v>Novilha</v>
      </c>
      <c r="X2235" s="0" t="str">
        <f aca="false">IF(AND(B2235&gt;=1,B2235&lt;=6),"Tanque",IF(B2235=10,"Descarte",""))</f>
        <v/>
      </c>
    </row>
    <row r="2236" customFormat="false" ht="15" hidden="false" customHeight="false" outlineLevel="0" collapsed="false">
      <c r="A2236" s="22" t="n">
        <v>46309</v>
      </c>
      <c r="B2236" s="0" t="n">
        <v>8</v>
      </c>
      <c r="C2236" s="0" t="n">
        <v>6760</v>
      </c>
      <c r="E2236" s="0" t="n">
        <v>0</v>
      </c>
      <c r="F2236" s="23" t="s">
        <v>1177</v>
      </c>
      <c r="I2236" s="23" t="s">
        <v>92</v>
      </c>
      <c r="L2236" s="0" t="n">
        <v>57</v>
      </c>
      <c r="U2236" s="0" t="n">
        <v>452</v>
      </c>
      <c r="V2236" s="0" t="n">
        <v>1</v>
      </c>
      <c r="W2236" s="0" t="str">
        <f aca="false">IF(OR(AND(B2236&gt;=1,B2236&lt;=6),B2236=10),"Vaca em lactação",IF(I2236="Male","Macho",IF(E2236&gt;=1,"Vaca seca",IF(I2236="Youngstock","Bezerra/recria","Novilha"))))</f>
        <v>Novilha</v>
      </c>
      <c r="X2236" s="0" t="str">
        <f aca="false">IF(AND(B2236&gt;=1,B2236&lt;=6),"Tanque",IF(B2236=10,"Descarte",""))</f>
        <v/>
      </c>
    </row>
    <row r="2237" customFormat="false" ht="15" hidden="false" customHeight="false" outlineLevel="0" collapsed="false">
      <c r="A2237" s="22" t="n">
        <v>46309</v>
      </c>
      <c r="B2237" s="0" t="n">
        <v>8</v>
      </c>
      <c r="C2237" s="0" t="n">
        <v>6761</v>
      </c>
      <c r="E2237" s="0" t="n">
        <v>0</v>
      </c>
      <c r="F2237" s="23" t="s">
        <v>1177</v>
      </c>
      <c r="I2237" s="23" t="s">
        <v>92</v>
      </c>
      <c r="L2237" s="0" t="n">
        <v>50</v>
      </c>
      <c r="U2237" s="0" t="n">
        <v>452</v>
      </c>
      <c r="V2237" s="0" t="n">
        <v>1</v>
      </c>
      <c r="W2237" s="0" t="str">
        <f aca="false">IF(OR(AND(B2237&gt;=1,B2237&lt;=6),B2237=10),"Vaca em lactação",IF(I2237="Male","Macho",IF(E2237&gt;=1,"Vaca seca",IF(I2237="Youngstock","Bezerra/recria","Novilha"))))</f>
        <v>Novilha</v>
      </c>
      <c r="X2237" s="0" t="str">
        <f aca="false">IF(AND(B2237&gt;=1,B2237&lt;=6),"Tanque",IF(B2237=10,"Descarte",""))</f>
        <v/>
      </c>
    </row>
    <row r="2238" customFormat="false" ht="15" hidden="false" customHeight="false" outlineLevel="0" collapsed="false">
      <c r="A2238" s="22" t="n">
        <v>46309</v>
      </c>
      <c r="B2238" s="0" t="n">
        <v>8</v>
      </c>
      <c r="C2238" s="0" t="n">
        <v>6755</v>
      </c>
      <c r="E2238" s="0" t="n">
        <v>0</v>
      </c>
      <c r="F2238" s="23" t="s">
        <v>1177</v>
      </c>
      <c r="I2238" s="23" t="s">
        <v>92</v>
      </c>
      <c r="L2238" s="0" t="n">
        <v>49</v>
      </c>
      <c r="U2238" s="0" t="n">
        <v>452</v>
      </c>
      <c r="V2238" s="0" t="n">
        <v>1</v>
      </c>
      <c r="W2238" s="0" t="str">
        <f aca="false">IF(OR(AND(B2238&gt;=1,B2238&lt;=6),B2238=10),"Vaca em lactação",IF(I2238="Male","Macho",IF(E2238&gt;=1,"Vaca seca",IF(I2238="Youngstock","Bezerra/recria","Novilha"))))</f>
        <v>Novilha</v>
      </c>
      <c r="X2238" s="0" t="str">
        <f aca="false">IF(AND(B2238&gt;=1,B2238&lt;=6),"Tanque",IF(B2238=10,"Descarte",""))</f>
        <v/>
      </c>
    </row>
    <row r="2239" customFormat="false" ht="15" hidden="false" customHeight="false" outlineLevel="0" collapsed="false">
      <c r="A2239" s="22" t="n">
        <v>46309</v>
      </c>
      <c r="B2239" s="0" t="n">
        <v>8</v>
      </c>
      <c r="C2239" s="0" t="n">
        <v>6756</v>
      </c>
      <c r="E2239" s="0" t="n">
        <v>0</v>
      </c>
      <c r="F2239" s="23" t="s">
        <v>1177</v>
      </c>
      <c r="I2239" s="23" t="s">
        <v>92</v>
      </c>
      <c r="L2239" s="0" t="n">
        <v>50</v>
      </c>
      <c r="U2239" s="0" t="n">
        <v>452</v>
      </c>
      <c r="V2239" s="0" t="n">
        <v>1</v>
      </c>
      <c r="W2239" s="0" t="str">
        <f aca="false">IF(OR(AND(B2239&gt;=1,B2239&lt;=6),B2239=10),"Vaca em lactação",IF(I2239="Male","Macho",IF(E2239&gt;=1,"Vaca seca",IF(I2239="Youngstock","Bezerra/recria","Novilha"))))</f>
        <v>Novilha</v>
      </c>
      <c r="X2239" s="0" t="str">
        <f aca="false">IF(AND(B2239&gt;=1,B2239&lt;=6),"Tanque",IF(B2239=10,"Descarte",""))</f>
        <v/>
      </c>
    </row>
    <row r="2240" customFormat="false" ht="15" hidden="false" customHeight="false" outlineLevel="0" collapsed="false">
      <c r="A2240" s="22" t="n">
        <v>46309</v>
      </c>
      <c r="B2240" s="0" t="n">
        <v>8</v>
      </c>
      <c r="C2240" s="0" t="n">
        <v>6757</v>
      </c>
      <c r="E2240" s="0" t="n">
        <v>0</v>
      </c>
      <c r="F2240" s="23" t="s">
        <v>1177</v>
      </c>
      <c r="I2240" s="23" t="s">
        <v>92</v>
      </c>
      <c r="L2240" s="0" t="n">
        <v>57</v>
      </c>
      <c r="U2240" s="0" t="n">
        <v>452</v>
      </c>
      <c r="V2240" s="0" t="n">
        <v>1</v>
      </c>
      <c r="W2240" s="0" t="str">
        <f aca="false">IF(OR(AND(B2240&gt;=1,B2240&lt;=6),B2240=10),"Vaca em lactação",IF(I2240="Male","Macho",IF(E2240&gt;=1,"Vaca seca",IF(I2240="Youngstock","Bezerra/recria","Novilha"))))</f>
        <v>Novilha</v>
      </c>
      <c r="X2240" s="0" t="str">
        <f aca="false">IF(AND(B2240&gt;=1,B2240&lt;=6),"Tanque",IF(B2240=10,"Descarte",""))</f>
        <v/>
      </c>
    </row>
    <row r="2241" customFormat="false" ht="15" hidden="false" customHeight="false" outlineLevel="0" collapsed="false">
      <c r="A2241" s="22" t="n">
        <v>46309</v>
      </c>
      <c r="B2241" s="0" t="n">
        <v>8</v>
      </c>
      <c r="C2241" s="0" t="n">
        <v>6730</v>
      </c>
      <c r="E2241" s="0" t="n">
        <v>0</v>
      </c>
      <c r="F2241" s="23" t="s">
        <v>1178</v>
      </c>
      <c r="I2241" s="23" t="s">
        <v>92</v>
      </c>
      <c r="L2241" s="0" t="n">
        <v>43</v>
      </c>
      <c r="U2241" s="0" t="n">
        <v>463</v>
      </c>
      <c r="V2241" s="0" t="n">
        <v>1</v>
      </c>
      <c r="W2241" s="0" t="str">
        <f aca="false">IF(OR(AND(B2241&gt;=1,B2241&lt;=6),B2241=10),"Vaca em lactação",IF(I2241="Male","Macho",IF(E2241&gt;=1,"Vaca seca",IF(I2241="Youngstock","Bezerra/recria","Novilha"))))</f>
        <v>Novilha</v>
      </c>
      <c r="X2241" s="0" t="str">
        <f aca="false">IF(AND(B2241&gt;=1,B2241&lt;=6),"Tanque",IF(B2241=10,"Descarte",""))</f>
        <v/>
      </c>
    </row>
    <row r="2242" customFormat="false" ht="15" hidden="false" customHeight="false" outlineLevel="0" collapsed="false">
      <c r="A2242" s="22" t="n">
        <v>46309</v>
      </c>
      <c r="B2242" s="0" t="n">
        <v>8</v>
      </c>
      <c r="C2242" s="0" t="n">
        <v>6728</v>
      </c>
      <c r="E2242" s="0" t="n">
        <v>0</v>
      </c>
      <c r="F2242" s="23" t="s">
        <v>1178</v>
      </c>
      <c r="I2242" s="23" t="s">
        <v>92</v>
      </c>
      <c r="L2242" s="0" t="n">
        <v>68</v>
      </c>
      <c r="U2242" s="0" t="n">
        <v>463</v>
      </c>
      <c r="V2242" s="0" t="n">
        <v>1</v>
      </c>
      <c r="W2242" s="0" t="str">
        <f aca="false">IF(OR(AND(B2242&gt;=1,B2242&lt;=6),B2242=10),"Vaca em lactação",IF(I2242="Male","Macho",IF(E2242&gt;=1,"Vaca seca",IF(I2242="Youngstock","Bezerra/recria","Novilha"))))</f>
        <v>Novilha</v>
      </c>
      <c r="X2242" s="0" t="str">
        <f aca="false">IF(AND(B2242&gt;=1,B2242&lt;=6),"Tanque",IF(B2242=10,"Descarte",""))</f>
        <v/>
      </c>
    </row>
    <row r="2243" customFormat="false" ht="15" hidden="false" customHeight="false" outlineLevel="0" collapsed="false">
      <c r="A2243" s="22" t="n">
        <v>46309</v>
      </c>
      <c r="B2243" s="0" t="n">
        <v>8</v>
      </c>
      <c r="C2243" s="0" t="n">
        <v>6736</v>
      </c>
      <c r="E2243" s="0" t="n">
        <v>0</v>
      </c>
      <c r="F2243" s="23" t="s">
        <v>1179</v>
      </c>
      <c r="I2243" s="23" t="s">
        <v>92</v>
      </c>
      <c r="L2243" s="0" t="n">
        <v>66</v>
      </c>
      <c r="U2243" s="0" t="n">
        <v>460</v>
      </c>
      <c r="V2243" s="0" t="n">
        <v>1</v>
      </c>
      <c r="W2243" s="0" t="str">
        <f aca="false">IF(OR(AND(B2243&gt;=1,B2243&lt;=6),B2243=10),"Vaca em lactação",IF(I2243="Male","Macho",IF(E2243&gt;=1,"Vaca seca",IF(I2243="Youngstock","Bezerra/recria","Novilha"))))</f>
        <v>Novilha</v>
      </c>
      <c r="X2243" s="0" t="str">
        <f aca="false">IF(AND(B2243&gt;=1,B2243&lt;=6),"Tanque",IF(B2243=10,"Descarte",""))</f>
        <v/>
      </c>
    </row>
    <row r="2244" customFormat="false" ht="15" hidden="false" customHeight="false" outlineLevel="0" collapsed="false">
      <c r="A2244" s="22" t="n">
        <v>46309</v>
      </c>
      <c r="B2244" s="0" t="n">
        <v>8</v>
      </c>
      <c r="C2244" s="0" t="n">
        <v>6735</v>
      </c>
      <c r="E2244" s="0" t="n">
        <v>0</v>
      </c>
      <c r="F2244" s="23" t="s">
        <v>1179</v>
      </c>
      <c r="I2244" s="23" t="s">
        <v>92</v>
      </c>
      <c r="L2244" s="0" t="n">
        <v>63</v>
      </c>
      <c r="U2244" s="0" t="n">
        <v>460</v>
      </c>
      <c r="V2244" s="0" t="n">
        <v>1</v>
      </c>
      <c r="W2244" s="0" t="str">
        <f aca="false">IF(OR(AND(B2244&gt;=1,B2244&lt;=6),B2244=10),"Vaca em lactação",IF(I2244="Male","Macho",IF(E2244&gt;=1,"Vaca seca",IF(I2244="Youngstock","Bezerra/recria","Novilha"))))</f>
        <v>Novilha</v>
      </c>
      <c r="X2244" s="0" t="str">
        <f aca="false">IF(AND(B2244&gt;=1,B2244&lt;=6),"Tanque",IF(B2244=10,"Descarte",""))</f>
        <v/>
      </c>
    </row>
    <row r="2245" customFormat="false" ht="15" hidden="false" customHeight="false" outlineLevel="0" collapsed="false">
      <c r="A2245" s="22" t="n">
        <v>46309</v>
      </c>
      <c r="B2245" s="0" t="n">
        <v>8</v>
      </c>
      <c r="C2245" s="0" t="n">
        <v>6734</v>
      </c>
      <c r="E2245" s="0" t="n">
        <v>0</v>
      </c>
      <c r="F2245" s="23" t="s">
        <v>1180</v>
      </c>
      <c r="I2245" s="23" t="s">
        <v>92</v>
      </c>
      <c r="L2245" s="0" t="n">
        <v>28</v>
      </c>
      <c r="U2245" s="0" t="n">
        <v>461</v>
      </c>
      <c r="V2245" s="0" t="n">
        <v>2</v>
      </c>
      <c r="W2245" s="0" t="str">
        <f aca="false">IF(OR(AND(B2245&gt;=1,B2245&lt;=6),B2245=10),"Vaca em lactação",IF(I2245="Male","Macho",IF(E2245&gt;=1,"Vaca seca",IF(I2245="Youngstock","Bezerra/recria","Novilha"))))</f>
        <v>Novilha</v>
      </c>
      <c r="X2245" s="0" t="str">
        <f aca="false">IF(AND(B2245&gt;=1,B2245&lt;=6),"Tanque",IF(B2245=10,"Descarte",""))</f>
        <v/>
      </c>
    </row>
    <row r="2246" customFormat="false" ht="15" hidden="false" customHeight="false" outlineLevel="0" collapsed="false">
      <c r="A2246" s="22" t="n">
        <v>46309</v>
      </c>
      <c r="B2246" s="0" t="n">
        <v>8</v>
      </c>
      <c r="C2246" s="0" t="n">
        <v>6733</v>
      </c>
      <c r="E2246" s="0" t="n">
        <v>0</v>
      </c>
      <c r="F2246" s="23" t="s">
        <v>1181</v>
      </c>
      <c r="I2246" s="23" t="s">
        <v>92</v>
      </c>
      <c r="L2246" s="0" t="n">
        <v>62</v>
      </c>
      <c r="U2246" s="0" t="n">
        <v>462</v>
      </c>
      <c r="V2246" s="0" t="n">
        <v>1</v>
      </c>
      <c r="W2246" s="0" t="str">
        <f aca="false">IF(OR(AND(B2246&gt;=1,B2246&lt;=6),B2246=10),"Vaca em lactação",IF(I2246="Male","Macho",IF(E2246&gt;=1,"Vaca seca",IF(I2246="Youngstock","Bezerra/recria","Novilha"))))</f>
        <v>Novilha</v>
      </c>
      <c r="X2246" s="0" t="str">
        <f aca="false">IF(AND(B2246&gt;=1,B2246&lt;=6),"Tanque",IF(B2246=10,"Descarte",""))</f>
        <v/>
      </c>
    </row>
    <row r="2247" customFormat="false" ht="15" hidden="false" customHeight="false" outlineLevel="0" collapsed="false">
      <c r="A2247" s="22" t="n">
        <v>46309</v>
      </c>
      <c r="B2247" s="0" t="n">
        <v>8</v>
      </c>
      <c r="C2247" s="0" t="n">
        <v>6738</v>
      </c>
      <c r="E2247" s="0" t="n">
        <v>0</v>
      </c>
      <c r="F2247" s="23" t="s">
        <v>1179</v>
      </c>
      <c r="I2247" s="23" t="s">
        <v>92</v>
      </c>
      <c r="L2247" s="0" t="n">
        <v>58</v>
      </c>
      <c r="U2247" s="0" t="n">
        <v>460</v>
      </c>
      <c r="V2247" s="0" t="n">
        <v>1</v>
      </c>
      <c r="W2247" s="0" t="str">
        <f aca="false">IF(OR(AND(B2247&gt;=1,B2247&lt;=6),B2247=10),"Vaca em lactação",IF(I2247="Male","Macho",IF(E2247&gt;=1,"Vaca seca",IF(I2247="Youngstock","Bezerra/recria","Novilha"))))</f>
        <v>Novilha</v>
      </c>
      <c r="X2247" s="0" t="str">
        <f aca="false">IF(AND(B2247&gt;=1,B2247&lt;=6),"Tanque",IF(B2247=10,"Descarte",""))</f>
        <v/>
      </c>
    </row>
    <row r="2248" customFormat="false" ht="15" hidden="false" customHeight="false" outlineLevel="0" collapsed="false">
      <c r="A2248" s="22" t="n">
        <v>46309</v>
      </c>
      <c r="B2248" s="0" t="n">
        <v>8</v>
      </c>
      <c r="C2248" s="0" t="n">
        <v>6741</v>
      </c>
      <c r="E2248" s="0" t="n">
        <v>0</v>
      </c>
      <c r="F2248" s="23" t="s">
        <v>1182</v>
      </c>
      <c r="I2248" s="23" t="s">
        <v>92</v>
      </c>
      <c r="L2248" s="0" t="n">
        <v>65</v>
      </c>
      <c r="U2248" s="0" t="n">
        <v>458</v>
      </c>
      <c r="V2248" s="0" t="n">
        <v>1</v>
      </c>
      <c r="W2248" s="0" t="str">
        <f aca="false">IF(OR(AND(B2248&gt;=1,B2248&lt;=6),B2248=10),"Vaca em lactação",IF(I2248="Male","Macho",IF(E2248&gt;=1,"Vaca seca",IF(I2248="Youngstock","Bezerra/recria","Novilha"))))</f>
        <v>Novilha</v>
      </c>
      <c r="X2248" s="0" t="str">
        <f aca="false">IF(AND(B2248&gt;=1,B2248&lt;=6),"Tanque",IF(B2248=10,"Descarte",""))</f>
        <v/>
      </c>
    </row>
    <row r="2249" customFormat="false" ht="15" hidden="false" customHeight="false" outlineLevel="0" collapsed="false">
      <c r="A2249" s="22" t="n">
        <v>46309</v>
      </c>
      <c r="B2249" s="0" t="n">
        <v>8</v>
      </c>
      <c r="C2249" s="0" t="n">
        <v>6742</v>
      </c>
      <c r="E2249" s="0" t="n">
        <v>0</v>
      </c>
      <c r="F2249" s="23" t="s">
        <v>1182</v>
      </c>
      <c r="I2249" s="23" t="s">
        <v>92</v>
      </c>
      <c r="L2249" s="0" t="n">
        <v>55</v>
      </c>
      <c r="U2249" s="0" t="n">
        <v>458</v>
      </c>
      <c r="V2249" s="0" t="n">
        <v>1</v>
      </c>
      <c r="W2249" s="0" t="str">
        <f aca="false">IF(OR(AND(B2249&gt;=1,B2249&lt;=6),B2249=10),"Vaca em lactação",IF(I2249="Male","Macho",IF(E2249&gt;=1,"Vaca seca",IF(I2249="Youngstock","Bezerra/recria","Novilha"))))</f>
        <v>Novilha</v>
      </c>
      <c r="X2249" s="0" t="str">
        <f aca="false">IF(AND(B2249&gt;=1,B2249&lt;=6),"Tanque",IF(B2249=10,"Descarte",""))</f>
        <v/>
      </c>
    </row>
    <row r="2250" customFormat="false" ht="15" hidden="false" customHeight="false" outlineLevel="0" collapsed="false">
      <c r="A2250" s="22" t="n">
        <v>46309</v>
      </c>
      <c r="B2250" s="0" t="n">
        <v>8</v>
      </c>
      <c r="C2250" s="0" t="n">
        <v>6837</v>
      </c>
      <c r="E2250" s="0" t="n">
        <v>0</v>
      </c>
      <c r="F2250" s="23" t="s">
        <v>1183</v>
      </c>
      <c r="I2250" s="23" t="s">
        <v>92</v>
      </c>
      <c r="L2250" s="0" t="n">
        <v>36</v>
      </c>
      <c r="U2250" s="0" t="n">
        <v>429</v>
      </c>
      <c r="V2250" s="0" t="n">
        <v>1</v>
      </c>
      <c r="W2250" s="0" t="str">
        <f aca="false">IF(OR(AND(B2250&gt;=1,B2250&lt;=6),B2250=10),"Vaca em lactação",IF(I2250="Male","Macho",IF(E2250&gt;=1,"Vaca seca",IF(I2250="Youngstock","Bezerra/recria","Novilha"))))</f>
        <v>Novilha</v>
      </c>
      <c r="X2250" s="0" t="str">
        <f aca="false">IF(AND(B2250&gt;=1,B2250&lt;=6),"Tanque",IF(B2250=10,"Descarte",""))</f>
        <v/>
      </c>
    </row>
    <row r="2251" customFormat="false" ht="15" hidden="false" customHeight="false" outlineLevel="0" collapsed="false">
      <c r="A2251" s="22" t="n">
        <v>46309</v>
      </c>
      <c r="B2251" s="0" t="n">
        <v>8</v>
      </c>
      <c r="C2251" s="0" t="n">
        <v>6849</v>
      </c>
      <c r="E2251" s="0" t="n">
        <v>0</v>
      </c>
      <c r="F2251" s="23" t="s">
        <v>1184</v>
      </c>
      <c r="I2251" s="23" t="s">
        <v>92</v>
      </c>
      <c r="L2251" s="0" t="n">
        <v>29</v>
      </c>
      <c r="U2251" s="0" t="n">
        <v>424</v>
      </c>
      <c r="V2251" s="0" t="n">
        <v>1</v>
      </c>
      <c r="W2251" s="0" t="str">
        <f aca="false">IF(OR(AND(B2251&gt;=1,B2251&lt;=6),B2251=10),"Vaca em lactação",IF(I2251="Male","Macho",IF(E2251&gt;=1,"Vaca seca",IF(I2251="Youngstock","Bezerra/recria","Novilha"))))</f>
        <v>Novilha</v>
      </c>
      <c r="X2251" s="0" t="str">
        <f aca="false">IF(AND(B2251&gt;=1,B2251&lt;=6),"Tanque",IF(B2251=10,"Descarte",""))</f>
        <v/>
      </c>
    </row>
    <row r="2252" customFormat="false" ht="15" hidden="false" customHeight="false" outlineLevel="0" collapsed="false">
      <c r="A2252" s="22" t="n">
        <v>46309</v>
      </c>
      <c r="B2252" s="0" t="n">
        <v>8</v>
      </c>
      <c r="C2252" s="0" t="n">
        <v>6847</v>
      </c>
      <c r="E2252" s="0" t="n">
        <v>0</v>
      </c>
      <c r="F2252" s="23" t="s">
        <v>1185</v>
      </c>
      <c r="I2252" s="23" t="s">
        <v>92</v>
      </c>
      <c r="L2252" s="0" t="n">
        <v>33</v>
      </c>
      <c r="U2252" s="0" t="n">
        <v>425</v>
      </c>
      <c r="V2252" s="0" t="n">
        <v>1</v>
      </c>
      <c r="W2252" s="0" t="str">
        <f aca="false">IF(OR(AND(B2252&gt;=1,B2252&lt;=6),B2252=10),"Vaca em lactação",IF(I2252="Male","Macho",IF(E2252&gt;=1,"Vaca seca",IF(I2252="Youngstock","Bezerra/recria","Novilha"))))</f>
        <v>Novilha</v>
      </c>
      <c r="X2252" s="0" t="str">
        <f aca="false">IF(AND(B2252&gt;=1,B2252&lt;=6),"Tanque",IF(B2252=10,"Descarte",""))</f>
        <v/>
      </c>
    </row>
    <row r="2253" customFormat="false" ht="15" hidden="false" customHeight="false" outlineLevel="0" collapsed="false">
      <c r="A2253" s="22" t="n">
        <v>46309</v>
      </c>
      <c r="B2253" s="0" t="n">
        <v>8</v>
      </c>
      <c r="C2253" s="0" t="n">
        <v>6848</v>
      </c>
      <c r="E2253" s="0" t="n">
        <v>0</v>
      </c>
      <c r="F2253" s="23" t="s">
        <v>1184</v>
      </c>
      <c r="I2253" s="23" t="s">
        <v>92</v>
      </c>
      <c r="L2253" s="0" t="n">
        <v>28</v>
      </c>
      <c r="U2253" s="0" t="n">
        <v>424</v>
      </c>
      <c r="V2253" s="0" t="n">
        <v>1</v>
      </c>
      <c r="W2253" s="0" t="str">
        <f aca="false">IF(OR(AND(B2253&gt;=1,B2253&lt;=6),B2253=10),"Vaca em lactação",IF(I2253="Male","Macho",IF(E2253&gt;=1,"Vaca seca",IF(I2253="Youngstock","Bezerra/recria","Novilha"))))</f>
        <v>Novilha</v>
      </c>
      <c r="X2253" s="0" t="str">
        <f aca="false">IF(AND(B2253&gt;=1,B2253&lt;=6),"Tanque",IF(B2253=10,"Descarte",""))</f>
        <v/>
      </c>
    </row>
    <row r="2254" customFormat="false" ht="15" hidden="false" customHeight="false" outlineLevel="0" collapsed="false">
      <c r="A2254" s="22" t="n">
        <v>46309</v>
      </c>
      <c r="B2254" s="0" t="n">
        <v>8</v>
      </c>
      <c r="C2254" s="0" t="n">
        <v>6835</v>
      </c>
      <c r="E2254" s="0" t="n">
        <v>0</v>
      </c>
      <c r="F2254" s="23" t="s">
        <v>1186</v>
      </c>
      <c r="I2254" s="23" t="s">
        <v>92</v>
      </c>
      <c r="L2254" s="0" t="n">
        <v>28</v>
      </c>
      <c r="U2254" s="0" t="n">
        <v>430</v>
      </c>
      <c r="V2254" s="0" t="n">
        <v>1</v>
      </c>
      <c r="W2254" s="0" t="str">
        <f aca="false">IF(OR(AND(B2254&gt;=1,B2254&lt;=6),B2254=10),"Vaca em lactação",IF(I2254="Male","Macho",IF(E2254&gt;=1,"Vaca seca",IF(I2254="Youngstock","Bezerra/recria","Novilha"))))</f>
        <v>Novilha</v>
      </c>
      <c r="X2254" s="0" t="str">
        <f aca="false">IF(AND(B2254&gt;=1,B2254&lt;=6),"Tanque",IF(B2254=10,"Descarte",""))</f>
        <v/>
      </c>
    </row>
    <row r="2255" customFormat="false" ht="15" hidden="false" customHeight="false" outlineLevel="0" collapsed="false">
      <c r="A2255" s="22" t="n">
        <v>46309</v>
      </c>
      <c r="B2255" s="0" t="n">
        <v>8</v>
      </c>
      <c r="C2255" s="0" t="n">
        <v>6798</v>
      </c>
      <c r="E2255" s="0" t="n">
        <v>0</v>
      </c>
      <c r="F2255" s="23" t="s">
        <v>1187</v>
      </c>
      <c r="I2255" s="23" t="s">
        <v>92</v>
      </c>
      <c r="L2255" s="0" t="n">
        <v>38</v>
      </c>
      <c r="U2255" s="0" t="n">
        <v>440</v>
      </c>
      <c r="V2255" s="0" t="n">
        <v>1</v>
      </c>
      <c r="W2255" s="0" t="str">
        <f aca="false">IF(OR(AND(B2255&gt;=1,B2255&lt;=6),B2255=10),"Vaca em lactação",IF(I2255="Male","Macho",IF(E2255&gt;=1,"Vaca seca",IF(I2255="Youngstock","Bezerra/recria","Novilha"))))</f>
        <v>Novilha</v>
      </c>
      <c r="X2255" s="0" t="str">
        <f aca="false">IF(AND(B2255&gt;=1,B2255&lt;=6),"Tanque",IF(B2255=10,"Descarte",""))</f>
        <v/>
      </c>
    </row>
    <row r="2256" customFormat="false" ht="15" hidden="false" customHeight="false" outlineLevel="0" collapsed="false">
      <c r="A2256" s="22" t="n">
        <v>46309</v>
      </c>
      <c r="B2256" s="0" t="n">
        <v>8</v>
      </c>
      <c r="C2256" s="0" t="n">
        <v>6810</v>
      </c>
      <c r="E2256" s="0" t="n">
        <v>0</v>
      </c>
      <c r="F2256" s="23" t="s">
        <v>1188</v>
      </c>
      <c r="I2256" s="23" t="s">
        <v>92</v>
      </c>
      <c r="L2256" s="0" t="n">
        <v>36</v>
      </c>
      <c r="U2256" s="0" t="n">
        <v>438</v>
      </c>
      <c r="V2256" s="0" t="n">
        <v>1</v>
      </c>
      <c r="W2256" s="0" t="str">
        <f aca="false">IF(OR(AND(B2256&gt;=1,B2256&lt;=6),B2256=10),"Vaca em lactação",IF(I2256="Male","Macho",IF(E2256&gt;=1,"Vaca seca",IF(I2256="Youngstock","Bezerra/recria","Novilha"))))</f>
        <v>Novilha</v>
      </c>
      <c r="X2256" s="0" t="str">
        <f aca="false">IF(AND(B2256&gt;=1,B2256&lt;=6),"Tanque",IF(B2256=10,"Descarte",""))</f>
        <v/>
      </c>
    </row>
    <row r="2257" customFormat="false" ht="15" hidden="false" customHeight="false" outlineLevel="0" collapsed="false">
      <c r="A2257" s="22" t="n">
        <v>46309</v>
      </c>
      <c r="B2257" s="0" t="n">
        <v>8</v>
      </c>
      <c r="C2257" s="0" t="n">
        <v>6800</v>
      </c>
      <c r="E2257" s="0" t="n">
        <v>0</v>
      </c>
      <c r="F2257" s="23" t="s">
        <v>1187</v>
      </c>
      <c r="I2257" s="23" t="s">
        <v>92</v>
      </c>
      <c r="L2257" s="0" t="n">
        <v>44</v>
      </c>
      <c r="U2257" s="0" t="n">
        <v>440</v>
      </c>
      <c r="V2257" s="0" t="n">
        <v>1</v>
      </c>
      <c r="W2257" s="0" t="str">
        <f aca="false">IF(OR(AND(B2257&gt;=1,B2257&lt;=6),B2257=10),"Vaca em lactação",IF(I2257="Male","Macho",IF(E2257&gt;=1,"Vaca seca",IF(I2257="Youngstock","Bezerra/recria","Novilha"))))</f>
        <v>Novilha</v>
      </c>
      <c r="X2257" s="0" t="str">
        <f aca="false">IF(AND(B2257&gt;=1,B2257&lt;=6),"Tanque",IF(B2257=10,"Descarte",""))</f>
        <v/>
      </c>
    </row>
    <row r="2258" customFormat="false" ht="15" hidden="false" customHeight="false" outlineLevel="0" collapsed="false">
      <c r="A2258" s="22" t="n">
        <v>46309</v>
      </c>
      <c r="B2258" s="0" t="n">
        <v>8</v>
      </c>
      <c r="C2258" s="0" t="n">
        <v>6697</v>
      </c>
      <c r="E2258" s="0" t="n">
        <v>0</v>
      </c>
      <c r="F2258" s="23" t="s">
        <v>1189</v>
      </c>
      <c r="I2258" s="23" t="s">
        <v>92</v>
      </c>
      <c r="L2258" s="0" t="n">
        <v>72</v>
      </c>
      <c r="U2258" s="0" t="n">
        <v>471</v>
      </c>
      <c r="V2258" s="0" t="n">
        <v>1</v>
      </c>
      <c r="W2258" s="0" t="str">
        <f aca="false">IF(OR(AND(B2258&gt;=1,B2258&lt;=6),B2258=10),"Vaca em lactação",IF(I2258="Male","Macho",IF(E2258&gt;=1,"Vaca seca",IF(I2258="Youngstock","Bezerra/recria","Novilha"))))</f>
        <v>Novilha</v>
      </c>
      <c r="X2258" s="0" t="str">
        <f aca="false">IF(AND(B2258&gt;=1,B2258&lt;=6),"Tanque",IF(B2258=10,"Descarte",""))</f>
        <v/>
      </c>
    </row>
    <row r="2259" customFormat="false" ht="15" hidden="false" customHeight="false" outlineLevel="0" collapsed="false">
      <c r="A2259" s="22" t="n">
        <v>46309</v>
      </c>
      <c r="B2259" s="0" t="n">
        <v>8</v>
      </c>
      <c r="C2259" s="0" t="n">
        <v>6816</v>
      </c>
      <c r="E2259" s="0" t="n">
        <v>0</v>
      </c>
      <c r="F2259" s="23" t="s">
        <v>1190</v>
      </c>
      <c r="I2259" s="23" t="s">
        <v>92</v>
      </c>
      <c r="L2259" s="0" t="n">
        <v>36</v>
      </c>
      <c r="U2259" s="0" t="n">
        <v>433</v>
      </c>
      <c r="V2259" s="0" t="n">
        <v>1</v>
      </c>
      <c r="W2259" s="0" t="str">
        <f aca="false">IF(OR(AND(B2259&gt;=1,B2259&lt;=6),B2259=10),"Vaca em lactação",IF(I2259="Male","Macho",IF(E2259&gt;=1,"Vaca seca",IF(I2259="Youngstock","Bezerra/recria","Novilha"))))</f>
        <v>Novilha</v>
      </c>
      <c r="X2259" s="0" t="str">
        <f aca="false">IF(AND(B2259&gt;=1,B2259&lt;=6),"Tanque",IF(B2259=10,"Descarte",""))</f>
        <v/>
      </c>
    </row>
    <row r="2260" customFormat="false" ht="15" hidden="false" customHeight="false" outlineLevel="0" collapsed="false">
      <c r="A2260" s="22" t="n">
        <v>46309</v>
      </c>
      <c r="B2260" s="0" t="n">
        <v>8</v>
      </c>
      <c r="C2260" s="0" t="n">
        <v>6814</v>
      </c>
      <c r="E2260" s="0" t="n">
        <v>0</v>
      </c>
      <c r="F2260" s="23" t="s">
        <v>1190</v>
      </c>
      <c r="I2260" s="23" t="s">
        <v>92</v>
      </c>
      <c r="L2260" s="0" t="n">
        <v>35</v>
      </c>
      <c r="U2260" s="0" t="n">
        <v>433</v>
      </c>
      <c r="V2260" s="0" t="n">
        <v>1</v>
      </c>
      <c r="W2260" s="0" t="str">
        <f aca="false">IF(OR(AND(B2260&gt;=1,B2260&lt;=6),B2260=10),"Vaca em lactação",IF(I2260="Male","Macho",IF(E2260&gt;=1,"Vaca seca",IF(I2260="Youngstock","Bezerra/recria","Novilha"))))</f>
        <v>Novilha</v>
      </c>
      <c r="X2260" s="0" t="str">
        <f aca="false">IF(AND(B2260&gt;=1,B2260&lt;=6),"Tanque",IF(B2260=10,"Descarte",""))</f>
        <v/>
      </c>
    </row>
    <row r="2261" customFormat="false" ht="15" hidden="false" customHeight="false" outlineLevel="0" collapsed="false">
      <c r="A2261" s="22" t="n">
        <v>46309</v>
      </c>
      <c r="B2261" s="0" t="n">
        <v>8</v>
      </c>
      <c r="C2261" s="0" t="n">
        <v>6819</v>
      </c>
      <c r="E2261" s="0" t="n">
        <v>0</v>
      </c>
      <c r="F2261" s="23" t="s">
        <v>1190</v>
      </c>
      <c r="I2261" s="23" t="s">
        <v>92</v>
      </c>
      <c r="L2261" s="0" t="n">
        <v>37</v>
      </c>
      <c r="U2261" s="0" t="n">
        <v>433</v>
      </c>
      <c r="V2261" s="0" t="n">
        <v>1</v>
      </c>
      <c r="W2261" s="0" t="str">
        <f aca="false">IF(OR(AND(B2261&gt;=1,B2261&lt;=6),B2261=10),"Vaca em lactação",IF(I2261="Male","Macho",IF(E2261&gt;=1,"Vaca seca",IF(I2261="Youngstock","Bezerra/recria","Novilha"))))</f>
        <v>Novilha</v>
      </c>
      <c r="X2261" s="0" t="str">
        <f aca="false">IF(AND(B2261&gt;=1,B2261&lt;=6),"Tanque",IF(B2261=10,"Descarte",""))</f>
        <v/>
      </c>
    </row>
    <row r="2262" customFormat="false" ht="15" hidden="false" customHeight="false" outlineLevel="0" collapsed="false">
      <c r="A2262" s="22" t="n">
        <v>46309</v>
      </c>
      <c r="B2262" s="0" t="n">
        <v>8</v>
      </c>
      <c r="C2262" s="0" t="n">
        <v>6821</v>
      </c>
      <c r="E2262" s="0" t="n">
        <v>0</v>
      </c>
      <c r="F2262" s="23" t="s">
        <v>1190</v>
      </c>
      <c r="I2262" s="23" t="s">
        <v>92</v>
      </c>
      <c r="L2262" s="0" t="n">
        <v>28</v>
      </c>
      <c r="U2262" s="0" t="n">
        <v>433</v>
      </c>
      <c r="V2262" s="0" t="n">
        <v>1</v>
      </c>
      <c r="W2262" s="0" t="str">
        <f aca="false">IF(OR(AND(B2262&gt;=1,B2262&lt;=6),B2262=10),"Vaca em lactação",IF(I2262="Male","Macho",IF(E2262&gt;=1,"Vaca seca",IF(I2262="Youngstock","Bezerra/recria","Novilha"))))</f>
        <v>Novilha</v>
      </c>
      <c r="X2262" s="0" t="str">
        <f aca="false">IF(AND(B2262&gt;=1,B2262&lt;=6),"Tanque",IF(B2262=10,"Descarte",""))</f>
        <v/>
      </c>
    </row>
    <row r="2263" customFormat="false" ht="15" hidden="false" customHeight="false" outlineLevel="0" collapsed="false">
      <c r="A2263" s="22" t="n">
        <v>46309</v>
      </c>
      <c r="B2263" s="0" t="n">
        <v>8</v>
      </c>
      <c r="C2263" s="0" t="n">
        <v>6820</v>
      </c>
      <c r="E2263" s="0" t="n">
        <v>0</v>
      </c>
      <c r="F2263" s="23" t="s">
        <v>1190</v>
      </c>
      <c r="I2263" s="23" t="s">
        <v>92</v>
      </c>
      <c r="L2263" s="0" t="n">
        <v>35</v>
      </c>
      <c r="U2263" s="0" t="n">
        <v>433</v>
      </c>
      <c r="V2263" s="0" t="n">
        <v>1</v>
      </c>
      <c r="W2263" s="0" t="str">
        <f aca="false">IF(OR(AND(B2263&gt;=1,B2263&lt;=6),B2263=10),"Vaca em lactação",IF(I2263="Male","Macho",IF(E2263&gt;=1,"Vaca seca",IF(I2263="Youngstock","Bezerra/recria","Novilha"))))</f>
        <v>Novilha</v>
      </c>
      <c r="X2263" s="0" t="str">
        <f aca="false">IF(AND(B2263&gt;=1,B2263&lt;=6),"Tanque",IF(B2263=10,"Descarte",""))</f>
        <v/>
      </c>
    </row>
    <row r="2264" customFormat="false" ht="15" hidden="false" customHeight="false" outlineLevel="0" collapsed="false">
      <c r="A2264" s="22" t="n">
        <v>46309</v>
      </c>
      <c r="B2264" s="0" t="n">
        <v>8</v>
      </c>
      <c r="C2264" s="0" t="n">
        <v>6822</v>
      </c>
      <c r="E2264" s="0" t="n">
        <v>0</v>
      </c>
      <c r="F2264" s="23" t="s">
        <v>1190</v>
      </c>
      <c r="I2264" s="23" t="s">
        <v>92</v>
      </c>
      <c r="L2264" s="0" t="n">
        <v>28</v>
      </c>
      <c r="U2264" s="0" t="n">
        <v>433</v>
      </c>
      <c r="V2264" s="0" t="n">
        <v>1</v>
      </c>
      <c r="W2264" s="0" t="str">
        <f aca="false">IF(OR(AND(B2264&gt;=1,B2264&lt;=6),B2264=10),"Vaca em lactação",IF(I2264="Male","Macho",IF(E2264&gt;=1,"Vaca seca",IF(I2264="Youngstock","Bezerra/recria","Novilha"))))</f>
        <v>Novilha</v>
      </c>
      <c r="X2264" s="0" t="str">
        <f aca="false">IF(AND(B2264&gt;=1,B2264&lt;=6),"Tanque",IF(B2264=10,"Descarte",""))</f>
        <v/>
      </c>
    </row>
    <row r="2265" customFormat="false" ht="15" hidden="false" customHeight="false" outlineLevel="0" collapsed="false">
      <c r="A2265" s="22" t="n">
        <v>46309</v>
      </c>
      <c r="B2265" s="0" t="n">
        <v>9</v>
      </c>
      <c r="C2265" s="0" t="n">
        <v>3693</v>
      </c>
      <c r="D2265" s="0" t="n">
        <v>286</v>
      </c>
      <c r="E2265" s="0" t="n">
        <v>3</v>
      </c>
      <c r="F2265" s="23" t="s">
        <v>1191</v>
      </c>
      <c r="I2265" s="23" t="s">
        <v>357</v>
      </c>
      <c r="J2265" s="0" t="n">
        <v>63</v>
      </c>
      <c r="K2265" s="0" t="n">
        <v>63</v>
      </c>
      <c r="L2265" s="0" t="n">
        <v>266</v>
      </c>
      <c r="M2265" s="0" t="n">
        <v>865.38</v>
      </c>
      <c r="N2265" s="0" t="n">
        <v>54.27</v>
      </c>
      <c r="O2265" s="0" t="n">
        <v>36.74</v>
      </c>
      <c r="P2265" s="0" t="n">
        <v>4.98</v>
      </c>
      <c r="Q2265" s="0" t="n">
        <v>3.39</v>
      </c>
      <c r="R2265" s="0" t="n">
        <v>5712</v>
      </c>
      <c r="S2265" s="0" t="n">
        <v>11761</v>
      </c>
      <c r="T2265" s="0" t="n">
        <v>59.45</v>
      </c>
      <c r="U2265" s="0" t="n">
        <v>1813</v>
      </c>
      <c r="V2265" s="0" t="n">
        <v>1</v>
      </c>
      <c r="W2265" s="0" t="str">
        <f aca="false">IF(OR(AND(B2265&gt;=1,B2265&lt;=6),B2265=10),"Vaca em lactação",IF(I2265="Male","Macho",IF(E2265&gt;=1,"Vaca seca",IF(I2265="Youngstock","Bezerra/recria","Novilha"))))</f>
        <v>Vaca seca</v>
      </c>
      <c r="X2265" s="0" t="str">
        <f aca="false">IF(AND(B2265&gt;=1,B2265&lt;=6),"Tanque",IF(B2265=10,"Descarte",""))</f>
        <v/>
      </c>
    </row>
    <row r="2266" customFormat="false" ht="15" hidden="false" customHeight="false" outlineLevel="0" collapsed="false">
      <c r="A2266" s="22" t="n">
        <v>46309</v>
      </c>
      <c r="B2266" s="0" t="n">
        <v>9</v>
      </c>
      <c r="C2266" s="0" t="n">
        <v>4055</v>
      </c>
      <c r="D2266" s="0" t="n">
        <v>325</v>
      </c>
      <c r="E2266" s="0" t="n">
        <v>3</v>
      </c>
      <c r="F2266" s="23" t="s">
        <v>1192</v>
      </c>
      <c r="I2266" s="23" t="s">
        <v>357</v>
      </c>
      <c r="J2266" s="0" t="n">
        <v>102</v>
      </c>
      <c r="K2266" s="0" t="n">
        <v>67</v>
      </c>
      <c r="L2266" s="0" t="n">
        <v>273</v>
      </c>
      <c r="M2266" s="0" t="n">
        <v>568.16</v>
      </c>
      <c r="N2266" s="0" t="n">
        <v>24.72</v>
      </c>
      <c r="O2266" s="0" t="n">
        <v>25.38</v>
      </c>
      <c r="P2266" s="0" t="n">
        <v>4.22</v>
      </c>
      <c r="Q2266" s="0" t="n">
        <v>3.57</v>
      </c>
      <c r="R2266" s="0" t="n">
        <v>5335</v>
      </c>
      <c r="S2266" s="0" t="n">
        <v>10716</v>
      </c>
      <c r="T2266" s="0" t="n">
        <v>58</v>
      </c>
      <c r="U2266" s="0" t="n">
        <v>1572</v>
      </c>
      <c r="V2266" s="0" t="n">
        <v>2</v>
      </c>
      <c r="W2266" s="0" t="str">
        <f aca="false">IF(OR(AND(B2266&gt;=1,B2266&lt;=6),B2266=10),"Vaca em lactação",IF(I2266="Male","Macho",IF(E2266&gt;=1,"Vaca seca",IF(I2266="Youngstock","Bezerra/recria","Novilha"))))</f>
        <v>Vaca seca</v>
      </c>
      <c r="X2266" s="0" t="str">
        <f aca="false">IF(AND(B2266&gt;=1,B2266&lt;=6),"Tanque",IF(B2266=10,"Descarte",""))</f>
        <v/>
      </c>
    </row>
    <row r="2267" customFormat="false" ht="15" hidden="false" customHeight="false" outlineLevel="0" collapsed="false">
      <c r="A2267" s="22" t="n">
        <v>46309</v>
      </c>
      <c r="B2267" s="0" t="n">
        <v>9</v>
      </c>
      <c r="C2267" s="0" t="n">
        <v>3028</v>
      </c>
      <c r="D2267" s="0" t="n">
        <v>389</v>
      </c>
      <c r="E2267" s="0" t="n">
        <v>3</v>
      </c>
      <c r="F2267" s="23" t="s">
        <v>1193</v>
      </c>
      <c r="I2267" s="23" t="s">
        <v>357</v>
      </c>
      <c r="J2267" s="0" t="n">
        <v>166</v>
      </c>
      <c r="K2267" s="0" t="n">
        <v>61</v>
      </c>
      <c r="L2267" s="0" t="n">
        <v>273</v>
      </c>
      <c r="M2267" s="0" t="n">
        <v>636.34</v>
      </c>
      <c r="N2267" s="0" t="n">
        <v>9.91</v>
      </c>
      <c r="O2267" s="0" t="n">
        <v>15.38</v>
      </c>
      <c r="P2267" s="0" t="n">
        <v>4.11</v>
      </c>
      <c r="Q2267" s="0" t="n">
        <v>3.56</v>
      </c>
      <c r="R2267" s="0" t="n">
        <v>5884</v>
      </c>
      <c r="S2267" s="0" t="n">
        <v>12367</v>
      </c>
      <c r="T2267" s="0" t="n">
        <v>67.7</v>
      </c>
      <c r="U2267" s="0" t="n">
        <v>2244</v>
      </c>
      <c r="V2267" s="0" t="n">
        <v>4</v>
      </c>
      <c r="W2267" s="0" t="str">
        <f aca="false">IF(OR(AND(B2267&gt;=1,B2267&lt;=6),B2267=10),"Vaca em lactação",IF(I2267="Male","Macho",IF(E2267&gt;=1,"Vaca seca",IF(I2267="Youngstock","Bezerra/recria","Novilha"))))</f>
        <v>Vaca seca</v>
      </c>
      <c r="X2267" s="0" t="str">
        <f aca="false">IF(AND(B2267&gt;=1,B2267&lt;=6),"Tanque",IF(B2267=10,"Descarte",""))</f>
        <v/>
      </c>
    </row>
    <row r="2268" customFormat="false" ht="15" hidden="false" customHeight="false" outlineLevel="0" collapsed="false">
      <c r="A2268" s="22" t="n">
        <v>46309</v>
      </c>
      <c r="B2268" s="0" t="n">
        <v>9</v>
      </c>
      <c r="C2268" s="0" t="n">
        <v>5337</v>
      </c>
      <c r="D2268" s="0" t="n">
        <v>294</v>
      </c>
      <c r="E2268" s="0" t="n">
        <v>1</v>
      </c>
      <c r="F2268" s="23" t="s">
        <v>91</v>
      </c>
      <c r="I2268" s="23" t="s">
        <v>357</v>
      </c>
      <c r="J2268" s="0" t="n">
        <v>71</v>
      </c>
      <c r="K2268" s="0" t="n">
        <v>71</v>
      </c>
      <c r="L2268" s="0" t="n">
        <v>273</v>
      </c>
      <c r="M2268" s="0" t="n">
        <v>1058.39</v>
      </c>
      <c r="N2268" s="0" t="n">
        <v>60.65</v>
      </c>
      <c r="O2268" s="0" t="n">
        <v>44.09</v>
      </c>
      <c r="P2268" s="0" t="n">
        <v>3.13</v>
      </c>
      <c r="Q2268" s="0" t="n">
        <v>3.59</v>
      </c>
      <c r="R2268" s="0" t="n">
        <v>4717</v>
      </c>
      <c r="S2268" s="0" t="n">
        <v>10567</v>
      </c>
      <c r="T2268" s="0" t="n">
        <v>50.45</v>
      </c>
      <c r="U2268" s="0" t="n">
        <v>968</v>
      </c>
      <c r="V2268" s="0" t="n">
        <v>1</v>
      </c>
      <c r="W2268" s="0" t="str">
        <f aca="false">IF(OR(AND(B2268&gt;=1,B2268&lt;=6),B2268=10),"Vaca em lactação",IF(I2268="Male","Macho",IF(E2268&gt;=1,"Vaca seca",IF(I2268="Youngstock","Bezerra/recria","Novilha"))))</f>
        <v>Vaca seca</v>
      </c>
      <c r="X2268" s="0" t="str">
        <f aca="false">IF(AND(B2268&gt;=1,B2268&lt;=6),"Tanque",IF(B2268=10,"Descarte",""))</f>
        <v/>
      </c>
    </row>
    <row r="2269" customFormat="false" ht="15" hidden="false" customHeight="false" outlineLevel="0" collapsed="false">
      <c r="A2269" s="22" t="n">
        <v>46309</v>
      </c>
      <c r="B2269" s="0" t="n">
        <v>9</v>
      </c>
      <c r="C2269" s="0" t="n">
        <v>5945</v>
      </c>
      <c r="E2269" s="0" t="n">
        <v>0</v>
      </c>
      <c r="F2269" s="23" t="s">
        <v>153</v>
      </c>
      <c r="I2269" s="23" t="s">
        <v>92</v>
      </c>
      <c r="L2269" s="0" t="n">
        <v>258</v>
      </c>
      <c r="U2269" s="0" t="n">
        <v>737</v>
      </c>
      <c r="V2269" s="0" t="n">
        <v>4</v>
      </c>
      <c r="W2269" s="0" t="str">
        <f aca="false">IF(OR(AND(B2269&gt;=1,B2269&lt;=6),B2269=10),"Vaca em lactação",IF(I2269="Male","Macho",IF(E2269&gt;=1,"Vaca seca",IF(I2269="Youngstock","Bezerra/recria","Novilha"))))</f>
        <v>Novilha</v>
      </c>
      <c r="X2269" s="0" t="str">
        <f aca="false">IF(AND(B2269&gt;=1,B2269&lt;=6),"Tanque",IF(B2269=10,"Descarte",""))</f>
        <v/>
      </c>
    </row>
    <row r="2270" customFormat="false" ht="15" hidden="false" customHeight="false" outlineLevel="0" collapsed="false">
      <c r="A2270" s="22" t="n">
        <v>46309</v>
      </c>
      <c r="B2270" s="0" t="n">
        <v>9</v>
      </c>
      <c r="C2270" s="0" t="n">
        <v>5906</v>
      </c>
      <c r="E2270" s="0" t="n">
        <v>0</v>
      </c>
      <c r="F2270" s="23" t="s">
        <v>169</v>
      </c>
      <c r="I2270" s="23" t="s">
        <v>92</v>
      </c>
      <c r="L2270" s="0" t="n">
        <v>273</v>
      </c>
      <c r="U2270" s="0" t="n">
        <v>754</v>
      </c>
      <c r="V2270" s="0" t="n">
        <v>4</v>
      </c>
      <c r="W2270" s="0" t="str">
        <f aca="false">IF(OR(AND(B2270&gt;=1,B2270&lt;=6),B2270=10),"Vaca em lactação",IF(I2270="Male","Macho",IF(E2270&gt;=1,"Vaca seca",IF(I2270="Youngstock","Bezerra/recria","Novilha"))))</f>
        <v>Novilha</v>
      </c>
      <c r="X2270" s="0" t="str">
        <f aca="false">IF(AND(B2270&gt;=1,B2270&lt;=6),"Tanque",IF(B2270=10,"Descarte",""))</f>
        <v/>
      </c>
    </row>
    <row r="2271" customFormat="false" ht="15" hidden="false" customHeight="false" outlineLevel="0" collapsed="false">
      <c r="A2271" s="22" t="n">
        <v>46309</v>
      </c>
      <c r="B2271" s="0" t="n">
        <v>10</v>
      </c>
      <c r="C2271" s="0" t="n">
        <v>5469</v>
      </c>
      <c r="D2271" s="0" t="n">
        <v>237</v>
      </c>
      <c r="E2271" s="0" t="n">
        <v>1</v>
      </c>
      <c r="F2271" s="23" t="s">
        <v>1194</v>
      </c>
      <c r="G2271" s="0" t="n">
        <v>12.7</v>
      </c>
      <c r="H2271" s="0" t="n">
        <v>30</v>
      </c>
      <c r="I2271" s="23" t="s">
        <v>92</v>
      </c>
      <c r="J2271" s="0" t="n">
        <v>104</v>
      </c>
      <c r="K2271" s="0" t="n">
        <v>69</v>
      </c>
      <c r="L2271" s="0" t="n">
        <v>133</v>
      </c>
      <c r="M2271" s="0" t="n">
        <v>371.46</v>
      </c>
      <c r="N2271" s="0" t="n">
        <v>41.58</v>
      </c>
      <c r="O2271" s="0" t="n">
        <v>26.89</v>
      </c>
      <c r="P2271" s="0" t="n">
        <v>5.05</v>
      </c>
      <c r="Q2271" s="0" t="n">
        <v>3.61</v>
      </c>
      <c r="R2271" s="0" t="n">
        <v>3927</v>
      </c>
      <c r="S2271" s="0" t="n">
        <v>8776</v>
      </c>
      <c r="T2271" s="0" t="n">
        <v>46</v>
      </c>
      <c r="U2271" s="0" t="n">
        <v>914</v>
      </c>
      <c r="V2271" s="0" t="n">
        <v>2</v>
      </c>
      <c r="W2271" s="0" t="str">
        <f aca="false">IF(OR(AND(B2271&gt;=1,B2271&lt;=6),B2271=10),"Vaca em lactação",IF(I2271="Male","Macho",IF(E2271&gt;=1,"Vaca seca",IF(I2271="Youngstock","Bezerra/recria","Novilha"))))</f>
        <v>Vaca em lactação</v>
      </c>
      <c r="X2271" s="0" t="str">
        <f aca="false">IF(AND(B2271&gt;=1,B2271&lt;=6),"Tanque",IF(B2271=10,"Descarte",""))</f>
        <v>Descarte</v>
      </c>
    </row>
    <row r="2272" customFormat="false" ht="15" hidden="false" customHeight="false" outlineLevel="0" collapsed="false">
      <c r="A2272" s="22" t="n">
        <v>46309</v>
      </c>
      <c r="B2272" s="0" t="n">
        <v>10</v>
      </c>
      <c r="C2272" s="0" t="n">
        <v>3711</v>
      </c>
      <c r="D2272" s="0" t="n">
        <v>364</v>
      </c>
      <c r="E2272" s="0" t="n">
        <v>3</v>
      </c>
      <c r="F2272" s="23" t="s">
        <v>692</v>
      </c>
      <c r="G2272" s="0" t="n">
        <v>28.7</v>
      </c>
      <c r="H2272" s="0" t="n">
        <v>30</v>
      </c>
      <c r="I2272" s="23" t="s">
        <v>92</v>
      </c>
      <c r="J2272" s="0" t="n">
        <v>147</v>
      </c>
      <c r="K2272" s="0" t="n">
        <v>71</v>
      </c>
      <c r="L2272" s="0" t="n">
        <v>217</v>
      </c>
      <c r="M2272" s="0" t="n">
        <v>851.1</v>
      </c>
      <c r="N2272" s="0" t="n">
        <v>35.57</v>
      </c>
      <c r="O2272" s="0" t="n">
        <v>30.14</v>
      </c>
      <c r="P2272" s="0" t="n">
        <v>4.91</v>
      </c>
      <c r="Q2272" s="0" t="n">
        <v>3.68</v>
      </c>
      <c r="R2272" s="0" t="n">
        <v>6099</v>
      </c>
      <c r="S2272" s="0" t="n">
        <v>11836</v>
      </c>
      <c r="T2272" s="0" t="n">
        <v>70.4</v>
      </c>
      <c r="U2272" s="0" t="n">
        <v>1805</v>
      </c>
      <c r="V2272" s="0" t="n">
        <v>2</v>
      </c>
      <c r="W2272" s="0" t="str">
        <f aca="false">IF(OR(AND(B2272&gt;=1,B2272&lt;=6),B2272=10),"Vaca em lactação",IF(I2272="Male","Macho",IF(E2272&gt;=1,"Vaca seca",IF(I2272="Youngstock","Bezerra/recria","Novilha"))))</f>
        <v>Vaca em lactação</v>
      </c>
      <c r="X2272" s="0" t="str">
        <f aca="false">IF(AND(B2272&gt;=1,B2272&lt;=6),"Tanque",IF(B2272=10,"Descarte",""))</f>
        <v>Descarte</v>
      </c>
    </row>
    <row r="2273" customFormat="false" ht="15" hidden="false" customHeight="false" outlineLevel="0" collapsed="false">
      <c r="A2273" s="22" t="n">
        <v>46309</v>
      </c>
      <c r="B2273" s="0" t="n">
        <v>10</v>
      </c>
      <c r="C2273" s="0" t="n">
        <v>3721</v>
      </c>
      <c r="D2273" s="0" t="n">
        <v>118</v>
      </c>
      <c r="E2273" s="0" t="n">
        <v>4</v>
      </c>
      <c r="F2273" s="23" t="s">
        <v>410</v>
      </c>
      <c r="G2273" s="0" t="n">
        <v>21.4</v>
      </c>
      <c r="H2273" s="0" t="n">
        <v>33</v>
      </c>
      <c r="I2273" s="23" t="s">
        <v>97</v>
      </c>
      <c r="J2273" s="0" t="n">
        <v>118</v>
      </c>
      <c r="K2273" s="0" t="n">
        <v>70</v>
      </c>
      <c r="M2273" s="0" t="n">
        <v>377.02</v>
      </c>
      <c r="N2273" s="0" t="n">
        <v>15.76</v>
      </c>
      <c r="O2273" s="0" t="n">
        <v>22.3</v>
      </c>
      <c r="P2273" s="0" t="n">
        <v>0</v>
      </c>
      <c r="Q2273" s="0" t="n">
        <v>0</v>
      </c>
      <c r="R2273" s="0" t="n">
        <v>5877</v>
      </c>
      <c r="S2273" s="0" t="n">
        <v>11584</v>
      </c>
      <c r="T2273" s="0" t="n">
        <v>63.45</v>
      </c>
      <c r="U2273" s="0" t="n">
        <v>1796</v>
      </c>
      <c r="V2273" s="0" t="n">
        <v>2</v>
      </c>
      <c r="W2273" s="0" t="str">
        <f aca="false">IF(OR(AND(B2273&gt;=1,B2273&lt;=6),B2273=10),"Vaca em lactação",IF(I2273="Male","Macho",IF(E2273&gt;=1,"Vaca seca",IF(I2273="Youngstock","Bezerra/recria","Novilha"))))</f>
        <v>Vaca em lactação</v>
      </c>
      <c r="X2273" s="0" t="str">
        <f aca="false">IF(AND(B2273&gt;=1,B2273&lt;=6),"Tanque",IF(B2273=10,"Descarte",""))</f>
        <v>Descarte</v>
      </c>
    </row>
    <row r="2274" customFormat="false" ht="15" hidden="false" customHeight="false" outlineLevel="0" collapsed="false">
      <c r="A2274" s="22" t="n">
        <v>46309</v>
      </c>
      <c r="B2274" s="0" t="n">
        <v>10</v>
      </c>
      <c r="C2274" s="0" t="n">
        <v>3825</v>
      </c>
      <c r="D2274" s="0" t="n">
        <v>226</v>
      </c>
      <c r="E2274" s="0" t="n">
        <v>3</v>
      </c>
      <c r="F2274" s="23" t="s">
        <v>227</v>
      </c>
      <c r="H2274" s="0" t="n">
        <v>14</v>
      </c>
      <c r="I2274" s="23" t="s">
        <v>109</v>
      </c>
      <c r="J2274" s="0" t="n">
        <v>226</v>
      </c>
      <c r="K2274" s="0" t="n">
        <v>72</v>
      </c>
      <c r="M2274" s="0" t="n">
        <v>125.1</v>
      </c>
      <c r="N2274" s="0" t="n">
        <v>40.96</v>
      </c>
      <c r="O2274" s="0" t="n">
        <v>19.72</v>
      </c>
      <c r="P2274" s="0" t="n">
        <v>4.04</v>
      </c>
      <c r="Q2274" s="0" t="n">
        <v>3.61</v>
      </c>
      <c r="R2274" s="0" t="n">
        <v>4983</v>
      </c>
      <c r="S2274" s="0" t="n">
        <v>10428</v>
      </c>
      <c r="T2274" s="0" t="n">
        <v>59.4</v>
      </c>
      <c r="U2274" s="0" t="n">
        <v>1710</v>
      </c>
      <c r="V2274" s="0" t="n">
        <v>2</v>
      </c>
      <c r="W2274" s="0" t="str">
        <f aca="false">IF(OR(AND(B2274&gt;=1,B2274&lt;=6),B2274=10),"Vaca em lactação",IF(I2274="Male","Macho",IF(E2274&gt;=1,"Vaca seca",IF(I2274="Youngstock","Bezerra/recria","Novilha"))))</f>
        <v>Vaca em lactação</v>
      </c>
      <c r="X2274" s="0" t="str">
        <f aca="false">IF(AND(B2274&gt;=1,B2274&lt;=6),"Tanque",IF(B2274=10,"Descarte",""))</f>
        <v>Descarte</v>
      </c>
    </row>
    <row r="2275" customFormat="false" ht="15" hidden="false" customHeight="false" outlineLevel="0" collapsed="false">
      <c r="A2275" s="22" t="n">
        <v>46309</v>
      </c>
      <c r="B2275" s="0" t="n">
        <v>10</v>
      </c>
      <c r="C2275" s="0" t="n">
        <v>3627</v>
      </c>
      <c r="D2275" s="0" t="n">
        <v>75</v>
      </c>
      <c r="E2275" s="0" t="n">
        <v>4</v>
      </c>
      <c r="F2275" s="23" t="s">
        <v>415</v>
      </c>
      <c r="G2275" s="0" t="n">
        <v>28.1</v>
      </c>
      <c r="H2275" s="0" t="n">
        <v>36</v>
      </c>
      <c r="I2275" s="23" t="s">
        <v>109</v>
      </c>
      <c r="J2275" s="0" t="n">
        <v>75</v>
      </c>
      <c r="M2275" s="0" t="n">
        <v>359.93</v>
      </c>
      <c r="N2275" s="0" t="n">
        <v>29.88</v>
      </c>
      <c r="O2275" s="0" t="n">
        <v>25.57</v>
      </c>
      <c r="P2275" s="0" t="n">
        <v>4.74</v>
      </c>
      <c r="Q2275" s="0" t="n">
        <v>2.72</v>
      </c>
      <c r="R2275" s="0" t="n">
        <v>4662</v>
      </c>
      <c r="S2275" s="0" t="n">
        <v>9371</v>
      </c>
      <c r="U2275" s="0" t="n">
        <v>1859</v>
      </c>
      <c r="V2275" s="0" t="n">
        <v>0</v>
      </c>
      <c r="W2275" s="0" t="str">
        <f aca="false">IF(OR(AND(B2275&gt;=1,B2275&lt;=6),B2275=10),"Vaca em lactação",IF(I2275="Male","Macho",IF(E2275&gt;=1,"Vaca seca",IF(I2275="Youngstock","Bezerra/recria","Novilha"))))</f>
        <v>Vaca em lactação</v>
      </c>
      <c r="X2275" s="0" t="str">
        <f aca="false">IF(AND(B2275&gt;=1,B2275&lt;=6),"Tanque",IF(B2275=10,"Descarte",""))</f>
        <v>Descarte</v>
      </c>
    </row>
    <row r="2276" customFormat="false" ht="15" hidden="false" customHeight="false" outlineLevel="0" collapsed="false">
      <c r="A2276" s="22" t="n">
        <v>46309</v>
      </c>
      <c r="B2276" s="0" t="n">
        <v>10</v>
      </c>
      <c r="C2276" s="0" t="n">
        <v>3967</v>
      </c>
      <c r="D2276" s="0" t="n">
        <v>285</v>
      </c>
      <c r="E2276" s="0" t="n">
        <v>3</v>
      </c>
      <c r="F2276" s="23" t="s">
        <v>1195</v>
      </c>
      <c r="G2276" s="0" t="n">
        <v>17.6</v>
      </c>
      <c r="H2276" s="0" t="n">
        <v>15</v>
      </c>
      <c r="I2276" s="23" t="s">
        <v>92</v>
      </c>
      <c r="J2276" s="0" t="n">
        <v>111</v>
      </c>
      <c r="K2276" s="0" t="n">
        <v>67</v>
      </c>
      <c r="L2276" s="0" t="n">
        <v>174</v>
      </c>
      <c r="M2276" s="0" t="n">
        <v>206.89</v>
      </c>
      <c r="N2276" s="0" t="n">
        <v>72.22</v>
      </c>
      <c r="O2276" s="0" t="n">
        <v>18.03</v>
      </c>
      <c r="P2276" s="0" t="n">
        <v>5.28</v>
      </c>
      <c r="Q2276" s="0" t="n">
        <v>3.83</v>
      </c>
      <c r="R2276" s="0" t="n">
        <v>2219</v>
      </c>
      <c r="S2276" s="0" t="n">
        <v>5091</v>
      </c>
      <c r="T2276" s="0" t="n">
        <v>23.7</v>
      </c>
      <c r="U2276" s="0" t="n">
        <v>1643</v>
      </c>
      <c r="V2276" s="0" t="n">
        <v>3</v>
      </c>
      <c r="W2276" s="0" t="str">
        <f aca="false">IF(OR(AND(B2276&gt;=1,B2276&lt;=6),B2276=10),"Vaca em lactação",IF(I2276="Male","Macho",IF(E2276&gt;=1,"Vaca seca",IF(I2276="Youngstock","Bezerra/recria","Novilha"))))</f>
        <v>Vaca em lactação</v>
      </c>
      <c r="X2276" s="0" t="str">
        <f aca="false">IF(AND(B2276&gt;=1,B2276&lt;=6),"Tanque",IF(B2276=10,"Descarte",""))</f>
        <v>Descarte</v>
      </c>
    </row>
    <row r="2277" customFormat="false" ht="15" hidden="false" customHeight="false" outlineLevel="0" collapsed="false">
      <c r="A2277" s="22" t="n">
        <v>46309</v>
      </c>
      <c r="B2277" s="0" t="n">
        <v>10</v>
      </c>
      <c r="C2277" s="0" t="n">
        <v>4064</v>
      </c>
      <c r="D2277" s="0" t="n">
        <v>244</v>
      </c>
      <c r="E2277" s="0" t="n">
        <v>3</v>
      </c>
      <c r="F2277" s="23" t="s">
        <v>904</v>
      </c>
      <c r="H2277" s="0" t="n">
        <v>26</v>
      </c>
      <c r="I2277" s="23" t="s">
        <v>92</v>
      </c>
      <c r="J2277" s="0" t="n">
        <v>104</v>
      </c>
      <c r="K2277" s="0" t="n">
        <v>69</v>
      </c>
      <c r="L2277" s="0" t="n">
        <v>140</v>
      </c>
      <c r="M2277" s="0" t="n">
        <v>593.5</v>
      </c>
      <c r="N2277" s="0" t="n">
        <v>43.1</v>
      </c>
      <c r="O2277" s="0" t="n">
        <v>23.29</v>
      </c>
      <c r="P2277" s="0" t="n">
        <v>4.36</v>
      </c>
      <c r="Q2277" s="0" t="n">
        <v>3.76</v>
      </c>
      <c r="R2277" s="0" t="n">
        <v>5014</v>
      </c>
      <c r="S2277" s="0" t="n">
        <v>10953</v>
      </c>
      <c r="T2277" s="0" t="n">
        <v>54.65</v>
      </c>
      <c r="U2277" s="0" t="n">
        <v>1567</v>
      </c>
      <c r="V2277" s="0" t="n">
        <v>2</v>
      </c>
      <c r="W2277" s="0" t="str">
        <f aca="false">IF(OR(AND(B2277&gt;=1,B2277&lt;=6),B2277=10),"Vaca em lactação",IF(I2277="Male","Macho",IF(E2277&gt;=1,"Vaca seca",IF(I2277="Youngstock","Bezerra/recria","Novilha"))))</f>
        <v>Vaca em lactação</v>
      </c>
      <c r="X2277" s="0" t="str">
        <f aca="false">IF(AND(B2277&gt;=1,B2277&lt;=6),"Tanque",IF(B2277=10,"Descarte",""))</f>
        <v>Descarte</v>
      </c>
    </row>
    <row r="2278" customFormat="false" ht="15" hidden="false" customHeight="false" outlineLevel="0" collapsed="false">
      <c r="A2278" s="22" t="n">
        <v>46309</v>
      </c>
      <c r="B2278" s="0" t="n">
        <v>10</v>
      </c>
      <c r="C2278" s="0" t="n">
        <v>4075</v>
      </c>
      <c r="D2278" s="0" t="n">
        <v>10</v>
      </c>
      <c r="E2278" s="0" t="n">
        <v>3</v>
      </c>
      <c r="F2278" s="23" t="s">
        <v>905</v>
      </c>
      <c r="G2278" s="0" t="n">
        <v>33.8</v>
      </c>
      <c r="H2278" s="0" t="n">
        <v>22</v>
      </c>
      <c r="I2278" s="23" t="s">
        <v>94</v>
      </c>
      <c r="J2278" s="0" t="n">
        <v>10</v>
      </c>
      <c r="M2278" s="0" t="n">
        <v>804.73</v>
      </c>
      <c r="N2278" s="0" t="n">
        <v>42.67</v>
      </c>
      <c r="O2278" s="0" t="n">
        <v>27.35</v>
      </c>
      <c r="R2278" s="0" t="n">
        <v>1889</v>
      </c>
      <c r="S2278" s="0" t="n">
        <v>3797</v>
      </c>
      <c r="U2278" s="0" t="n">
        <v>1562</v>
      </c>
      <c r="V2278" s="0" t="n">
        <v>0</v>
      </c>
      <c r="W2278" s="0" t="str">
        <f aca="false">IF(OR(AND(B2278&gt;=1,B2278&lt;=6),B2278=10),"Vaca em lactação",IF(I2278="Male","Macho",IF(E2278&gt;=1,"Vaca seca",IF(I2278="Youngstock","Bezerra/recria","Novilha"))))</f>
        <v>Vaca em lactação</v>
      </c>
      <c r="X2278" s="0" t="str">
        <f aca="false">IF(AND(B2278&gt;=1,B2278&lt;=6),"Tanque",IF(B2278=10,"Descarte",""))</f>
        <v>Descarte</v>
      </c>
    </row>
    <row r="2279" customFormat="false" ht="15" hidden="false" customHeight="false" outlineLevel="0" collapsed="false">
      <c r="A2279" s="22" t="n">
        <v>46309</v>
      </c>
      <c r="B2279" s="0" t="n">
        <v>10</v>
      </c>
      <c r="C2279" s="0" t="n">
        <v>3832</v>
      </c>
      <c r="D2279" s="0" t="n">
        <v>131</v>
      </c>
      <c r="E2279" s="0" t="n">
        <v>3</v>
      </c>
      <c r="F2279" s="23" t="s">
        <v>733</v>
      </c>
      <c r="G2279" s="0" t="n">
        <v>26.5</v>
      </c>
      <c r="H2279" s="0" t="n">
        <v>25</v>
      </c>
      <c r="I2279" s="23" t="s">
        <v>97</v>
      </c>
      <c r="J2279" s="0" t="n">
        <v>131</v>
      </c>
      <c r="K2279" s="0" t="n">
        <v>68</v>
      </c>
      <c r="M2279" s="0" t="n">
        <v>663.06</v>
      </c>
      <c r="N2279" s="0" t="n">
        <v>61.85</v>
      </c>
      <c r="O2279" s="0" t="n">
        <v>24.79</v>
      </c>
      <c r="P2279" s="0" t="n">
        <v>5.28</v>
      </c>
      <c r="Q2279" s="0" t="n">
        <v>3.08</v>
      </c>
      <c r="R2279" s="0" t="n">
        <v>6024</v>
      </c>
      <c r="S2279" s="0" t="n">
        <v>11319</v>
      </c>
      <c r="T2279" s="0" t="n">
        <v>62</v>
      </c>
      <c r="U2279" s="0" t="n">
        <v>1704</v>
      </c>
      <c r="V2279" s="0" t="n">
        <v>2</v>
      </c>
      <c r="W2279" s="0" t="str">
        <f aca="false">IF(OR(AND(B2279&gt;=1,B2279&lt;=6),B2279=10),"Vaca em lactação",IF(I2279="Male","Macho",IF(E2279&gt;=1,"Vaca seca",IF(I2279="Youngstock","Bezerra/recria","Novilha"))))</f>
        <v>Vaca em lactação</v>
      </c>
      <c r="X2279" s="0" t="str">
        <f aca="false">IF(AND(B2279&gt;=1,B2279&lt;=6),"Tanque",IF(B2279=10,"Descarte",""))</f>
        <v>Descarte</v>
      </c>
    </row>
    <row r="2280" customFormat="false" ht="15" hidden="false" customHeight="false" outlineLevel="0" collapsed="false">
      <c r="A2280" s="22" t="n">
        <v>46309</v>
      </c>
      <c r="B2280" s="0" t="n">
        <v>10</v>
      </c>
      <c r="C2280" s="0" t="n">
        <v>3851</v>
      </c>
      <c r="D2280" s="0" t="n">
        <v>211</v>
      </c>
      <c r="E2280" s="0" t="n">
        <v>3</v>
      </c>
      <c r="F2280" s="23" t="s">
        <v>1196</v>
      </c>
      <c r="H2280" s="0" t="n">
        <v>18</v>
      </c>
      <c r="I2280" s="23" t="s">
        <v>506</v>
      </c>
      <c r="J2280" s="0" t="n">
        <v>211</v>
      </c>
      <c r="K2280" s="0" t="n">
        <v>78</v>
      </c>
      <c r="M2280" s="0" t="n">
        <v>233.01</v>
      </c>
      <c r="N2280" s="0" t="n">
        <v>49.07</v>
      </c>
      <c r="O2280" s="0" t="n">
        <v>11.9</v>
      </c>
      <c r="P2280" s="0" t="n">
        <v>5.73</v>
      </c>
      <c r="Q2280" s="0" t="n">
        <v>3.44</v>
      </c>
      <c r="R2280" s="0" t="n">
        <v>3725</v>
      </c>
      <c r="S2280" s="0" t="n">
        <v>7274</v>
      </c>
      <c r="T2280" s="0" t="n">
        <v>42.9</v>
      </c>
      <c r="U2280" s="0" t="n">
        <v>1694</v>
      </c>
      <c r="V2280" s="0" t="n">
        <v>2</v>
      </c>
      <c r="W2280" s="0" t="str">
        <f aca="false">IF(OR(AND(B2280&gt;=1,B2280&lt;=6),B2280=10),"Vaca em lactação",IF(I2280="Male","Macho",IF(E2280&gt;=1,"Vaca seca",IF(I2280="Youngstock","Bezerra/recria","Novilha"))))</f>
        <v>Vaca em lactação</v>
      </c>
      <c r="X2280" s="0" t="str">
        <f aca="false">IF(AND(B2280&gt;=1,B2280&lt;=6),"Tanque",IF(B2280=10,"Descarte",""))</f>
        <v>Descarte</v>
      </c>
    </row>
    <row r="2281" customFormat="false" ht="15" hidden="false" customHeight="false" outlineLevel="0" collapsed="false">
      <c r="A2281" s="22" t="n">
        <v>46309</v>
      </c>
      <c r="B2281" s="0" t="n">
        <v>10</v>
      </c>
      <c r="C2281" s="0" t="n">
        <v>3929</v>
      </c>
      <c r="D2281" s="0" t="n">
        <v>243</v>
      </c>
      <c r="E2281" s="0" t="n">
        <v>3</v>
      </c>
      <c r="F2281" s="23" t="s">
        <v>430</v>
      </c>
      <c r="G2281" s="0" t="n">
        <v>9.8</v>
      </c>
      <c r="H2281" s="0" t="n">
        <v>7</v>
      </c>
      <c r="I2281" s="23" t="s">
        <v>92</v>
      </c>
      <c r="J2281" s="0" t="n">
        <v>103</v>
      </c>
      <c r="K2281" s="0" t="n">
        <v>68</v>
      </c>
      <c r="L2281" s="0" t="n">
        <v>140</v>
      </c>
      <c r="M2281" s="0" t="n">
        <v>175.67</v>
      </c>
      <c r="N2281" s="0" t="n">
        <v>55.94</v>
      </c>
      <c r="O2281" s="0" t="n">
        <v>26.66</v>
      </c>
      <c r="P2281" s="0" t="n">
        <v>5.94</v>
      </c>
      <c r="Q2281" s="0" t="n">
        <v>4.02</v>
      </c>
      <c r="R2281" s="0" t="n">
        <v>5598</v>
      </c>
      <c r="S2281" s="0" t="n">
        <v>10562</v>
      </c>
      <c r="T2281" s="0" t="n">
        <v>63.5</v>
      </c>
      <c r="U2281" s="0" t="n">
        <v>1658</v>
      </c>
      <c r="V2281" s="0" t="n">
        <v>2</v>
      </c>
      <c r="W2281" s="0" t="str">
        <f aca="false">IF(OR(AND(B2281&gt;=1,B2281&lt;=6),B2281=10),"Vaca em lactação",IF(I2281="Male","Macho",IF(E2281&gt;=1,"Vaca seca",IF(I2281="Youngstock","Bezerra/recria","Novilha"))))</f>
        <v>Vaca em lactação</v>
      </c>
      <c r="X2281" s="0" t="str">
        <f aca="false">IF(AND(B2281&gt;=1,B2281&lt;=6),"Tanque",IF(B2281=10,"Descarte",""))</f>
        <v>Descarte</v>
      </c>
    </row>
    <row r="2282" customFormat="false" ht="15" hidden="false" customHeight="false" outlineLevel="0" collapsed="false">
      <c r="A2282" s="22" t="n">
        <v>46309</v>
      </c>
      <c r="B2282" s="0" t="n">
        <v>10</v>
      </c>
      <c r="C2282" s="0" t="n">
        <v>3506</v>
      </c>
      <c r="D2282" s="0" t="n">
        <v>268</v>
      </c>
      <c r="E2282" s="0" t="n">
        <v>2</v>
      </c>
      <c r="F2282" s="23" t="s">
        <v>1197</v>
      </c>
      <c r="H2282" s="0" t="n">
        <v>15</v>
      </c>
      <c r="I2282" s="23" t="s">
        <v>506</v>
      </c>
      <c r="J2282" s="0" t="n">
        <v>268</v>
      </c>
      <c r="K2282" s="0" t="n">
        <v>72</v>
      </c>
      <c r="M2282" s="0" t="n">
        <v>1333.7</v>
      </c>
      <c r="N2282" s="0" t="n">
        <v>21.81</v>
      </c>
      <c r="O2282" s="0" t="n">
        <v>38.31</v>
      </c>
      <c r="P2282" s="0" t="n">
        <v>4.83</v>
      </c>
      <c r="Q2282" s="0" t="n">
        <v>3.61</v>
      </c>
      <c r="R2282" s="0" t="n">
        <v>5646</v>
      </c>
      <c r="S2282" s="0" t="n">
        <v>12072</v>
      </c>
      <c r="T2282" s="0" t="n">
        <v>63.1</v>
      </c>
      <c r="U2282" s="0" t="n">
        <v>1928</v>
      </c>
      <c r="V2282" s="0" t="n">
        <v>4</v>
      </c>
      <c r="W2282" s="0" t="str">
        <f aca="false">IF(OR(AND(B2282&gt;=1,B2282&lt;=6),B2282=10),"Vaca em lactação",IF(I2282="Male","Macho",IF(E2282&gt;=1,"Vaca seca",IF(I2282="Youngstock","Bezerra/recria","Novilha"))))</f>
        <v>Vaca em lactação</v>
      </c>
      <c r="X2282" s="0" t="str">
        <f aca="false">IF(AND(B2282&gt;=1,B2282&lt;=6),"Tanque",IF(B2282=10,"Descarte",""))</f>
        <v>Descarte</v>
      </c>
    </row>
    <row r="2283" customFormat="false" ht="15" hidden="false" customHeight="false" outlineLevel="0" collapsed="false">
      <c r="A2283" s="22" t="n">
        <v>46309</v>
      </c>
      <c r="B2283" s="0" t="n">
        <v>10</v>
      </c>
      <c r="C2283" s="0" t="n">
        <v>3331</v>
      </c>
      <c r="D2283" s="0" t="n">
        <v>154</v>
      </c>
      <c r="E2283" s="0" t="n">
        <v>4</v>
      </c>
      <c r="F2283" s="23" t="s">
        <v>1198</v>
      </c>
      <c r="H2283" s="0" t="n">
        <v>12</v>
      </c>
      <c r="I2283" s="23" t="s">
        <v>97</v>
      </c>
      <c r="J2283" s="0" t="n">
        <v>154</v>
      </c>
      <c r="K2283" s="0" t="n">
        <v>71</v>
      </c>
      <c r="M2283" s="0" t="n">
        <v>-410.96</v>
      </c>
      <c r="N2283" s="0" t="n">
        <v>14.39</v>
      </c>
      <c r="O2283" s="0" t="n">
        <v>4.3</v>
      </c>
      <c r="P2283" s="0" t="n">
        <v>3.84</v>
      </c>
      <c r="Q2283" s="0" t="n">
        <v>3.49</v>
      </c>
      <c r="R2283" s="0" t="n">
        <v>4374</v>
      </c>
      <c r="S2283" s="0" t="n">
        <v>8147</v>
      </c>
      <c r="T2283" s="0" t="n">
        <v>48.3</v>
      </c>
      <c r="U2283" s="0" t="n">
        <v>2052</v>
      </c>
      <c r="V2283" s="0" t="n">
        <v>2</v>
      </c>
      <c r="W2283" s="0" t="str">
        <f aca="false">IF(OR(AND(B2283&gt;=1,B2283&lt;=6),B2283=10),"Vaca em lactação",IF(I2283="Male","Macho",IF(E2283&gt;=1,"Vaca seca",IF(I2283="Youngstock","Bezerra/recria","Novilha"))))</f>
        <v>Vaca em lactação</v>
      </c>
      <c r="X2283" s="0" t="str">
        <f aca="false">IF(AND(B2283&gt;=1,B2283&lt;=6),"Tanque",IF(B2283=10,"Descarte",""))</f>
        <v>Descarte</v>
      </c>
    </row>
    <row r="2284" customFormat="false" ht="15" hidden="false" customHeight="false" outlineLevel="0" collapsed="false">
      <c r="A2284" s="22" t="n">
        <v>46309</v>
      </c>
      <c r="B2284" s="0" t="n">
        <v>10</v>
      </c>
      <c r="C2284" s="0" t="n">
        <v>2279</v>
      </c>
      <c r="D2284" s="0" t="n">
        <v>328</v>
      </c>
      <c r="E2284" s="0" t="n">
        <v>5</v>
      </c>
      <c r="F2284" s="23" t="s">
        <v>1199</v>
      </c>
      <c r="G2284" s="0" t="n">
        <v>10.3</v>
      </c>
      <c r="H2284" s="0" t="n">
        <v>20</v>
      </c>
      <c r="I2284" s="23" t="s">
        <v>92</v>
      </c>
      <c r="J2284" s="0" t="n">
        <v>265</v>
      </c>
      <c r="K2284" s="0" t="n">
        <v>62</v>
      </c>
      <c r="L2284" s="0" t="n">
        <v>63</v>
      </c>
      <c r="P2284" s="0" t="n">
        <v>3.38</v>
      </c>
      <c r="Q2284" s="0" t="n">
        <v>3.34</v>
      </c>
      <c r="R2284" s="0" t="n">
        <v>5792</v>
      </c>
      <c r="S2284" s="0" t="n">
        <v>10758</v>
      </c>
      <c r="T2284" s="0" t="n">
        <v>61.9</v>
      </c>
      <c r="U2284" s="0" t="n">
        <v>2898</v>
      </c>
      <c r="V2284" s="0" t="n">
        <v>6</v>
      </c>
      <c r="W2284" s="0" t="str">
        <f aca="false">IF(OR(AND(B2284&gt;=1,B2284&lt;=6),B2284=10),"Vaca em lactação",IF(I2284="Male","Macho",IF(E2284&gt;=1,"Vaca seca",IF(I2284="Youngstock","Bezerra/recria","Novilha"))))</f>
        <v>Vaca em lactação</v>
      </c>
      <c r="X2284" s="0" t="str">
        <f aca="false">IF(AND(B2284&gt;=1,B2284&lt;=6),"Tanque",IF(B2284=10,"Descarte",""))</f>
        <v>Descarte</v>
      </c>
    </row>
    <row r="2285" customFormat="false" ht="15" hidden="false" customHeight="false" outlineLevel="0" collapsed="false">
      <c r="A2285" s="22" t="n">
        <v>46309</v>
      </c>
      <c r="B2285" s="0" t="n">
        <v>10</v>
      </c>
      <c r="C2285" s="0" t="n">
        <v>2688</v>
      </c>
      <c r="D2285" s="0" t="n">
        <v>177</v>
      </c>
      <c r="E2285" s="0" t="n">
        <v>5</v>
      </c>
      <c r="F2285" s="23" t="s">
        <v>1200</v>
      </c>
      <c r="G2285" s="0" t="n">
        <v>23.8</v>
      </c>
      <c r="H2285" s="0" t="n">
        <v>32</v>
      </c>
      <c r="I2285" s="23" t="s">
        <v>92</v>
      </c>
      <c r="J2285" s="0" t="n">
        <v>66</v>
      </c>
      <c r="K2285" s="0" t="n">
        <v>73</v>
      </c>
      <c r="L2285" s="0" t="n">
        <v>111</v>
      </c>
      <c r="M2285" s="0" t="n">
        <v>964.16</v>
      </c>
      <c r="N2285" s="0" t="n">
        <v>24.95</v>
      </c>
      <c r="O2285" s="0" t="n">
        <v>14.39</v>
      </c>
      <c r="P2285" s="0" t="n">
        <v>3.17</v>
      </c>
      <c r="Q2285" s="0" t="n">
        <v>3.19</v>
      </c>
      <c r="R2285" s="0" t="n">
        <v>4822</v>
      </c>
      <c r="S2285" s="0" t="n">
        <v>10195</v>
      </c>
      <c r="T2285" s="0" t="n">
        <v>55</v>
      </c>
      <c r="U2285" s="0" t="n">
        <v>2536</v>
      </c>
      <c r="V2285" s="0" t="n">
        <v>1</v>
      </c>
      <c r="W2285" s="0" t="str">
        <f aca="false">IF(OR(AND(B2285&gt;=1,B2285&lt;=6),B2285=10),"Vaca em lactação",IF(I2285="Male","Macho",IF(E2285&gt;=1,"Vaca seca",IF(I2285="Youngstock","Bezerra/recria","Novilha"))))</f>
        <v>Vaca em lactação</v>
      </c>
      <c r="X2285" s="0" t="str">
        <f aca="false">IF(AND(B2285&gt;=1,B2285&lt;=6),"Tanque",IF(B2285=10,"Descarte",""))</f>
        <v>Descarte</v>
      </c>
    </row>
    <row r="2286" customFormat="false" ht="15" hidden="false" customHeight="false" outlineLevel="0" collapsed="false">
      <c r="A2286" s="22" t="n">
        <v>46309</v>
      </c>
      <c r="B2286" s="0" t="n">
        <v>10</v>
      </c>
      <c r="C2286" s="0" t="n">
        <v>5381</v>
      </c>
      <c r="D2286" s="0" t="n">
        <v>284</v>
      </c>
      <c r="E2286" s="0" t="n">
        <v>1</v>
      </c>
      <c r="F2286" s="23" t="s">
        <v>1201</v>
      </c>
      <c r="G2286" s="0" t="n">
        <v>14.6</v>
      </c>
      <c r="H2286" s="0" t="n">
        <v>16</v>
      </c>
      <c r="I2286" s="23" t="s">
        <v>92</v>
      </c>
      <c r="J2286" s="0" t="n">
        <v>249</v>
      </c>
      <c r="K2286" s="0" t="n">
        <v>67</v>
      </c>
      <c r="L2286" s="0" t="n">
        <v>35</v>
      </c>
      <c r="M2286" s="0" t="n">
        <v>734.06</v>
      </c>
      <c r="N2286" s="0" t="n">
        <v>30.46</v>
      </c>
      <c r="O2286" s="0" t="n">
        <v>32.97</v>
      </c>
      <c r="P2286" s="0" t="n">
        <v>3.63</v>
      </c>
      <c r="Q2286" s="0" t="n">
        <v>3.53</v>
      </c>
      <c r="R2286" s="0" t="n">
        <v>3899</v>
      </c>
      <c r="S2286" s="0" t="n">
        <v>9350</v>
      </c>
      <c r="T2286" s="0" t="n">
        <v>40</v>
      </c>
      <c r="U2286" s="0" t="n">
        <v>950</v>
      </c>
      <c r="V2286" s="0" t="n">
        <v>7</v>
      </c>
      <c r="W2286" s="0" t="str">
        <f aca="false">IF(OR(AND(B2286&gt;=1,B2286&lt;=6),B2286=10),"Vaca em lactação",IF(I2286="Male","Macho",IF(E2286&gt;=1,"Vaca seca",IF(I2286="Youngstock","Bezerra/recria","Novilha"))))</f>
        <v>Vaca em lactação</v>
      </c>
      <c r="X2286" s="0" t="str">
        <f aca="false">IF(AND(B2286&gt;=1,B2286&lt;=6),"Tanque",IF(B2286=10,"Descarte",""))</f>
        <v>Descarte</v>
      </c>
    </row>
    <row r="2287" customFormat="false" ht="15" hidden="false" customHeight="false" outlineLevel="0" collapsed="false">
      <c r="A2287" s="22" t="n">
        <v>46309</v>
      </c>
      <c r="B2287" s="0" t="n">
        <v>10</v>
      </c>
      <c r="C2287" s="0" t="n">
        <v>5284</v>
      </c>
      <c r="D2287" s="0" t="n">
        <v>352</v>
      </c>
      <c r="E2287" s="0" t="n">
        <v>1</v>
      </c>
      <c r="F2287" s="23" t="s">
        <v>575</v>
      </c>
      <c r="H2287" s="0" t="n">
        <v>14</v>
      </c>
      <c r="I2287" s="23" t="s">
        <v>92</v>
      </c>
      <c r="J2287" s="0" t="n">
        <v>170</v>
      </c>
      <c r="K2287" s="0" t="n">
        <v>66</v>
      </c>
      <c r="L2287" s="0" t="n">
        <v>182</v>
      </c>
      <c r="M2287" s="0" t="n">
        <v>1144.07</v>
      </c>
      <c r="N2287" s="0" t="n">
        <v>21.03</v>
      </c>
      <c r="O2287" s="0" t="n">
        <v>35.15</v>
      </c>
      <c r="P2287" s="0" t="n">
        <v>4.05</v>
      </c>
      <c r="Q2287" s="0" t="n">
        <v>3.94</v>
      </c>
      <c r="R2287" s="0" t="n">
        <v>3597</v>
      </c>
      <c r="S2287" s="0" t="n">
        <v>8227</v>
      </c>
      <c r="T2287" s="0" t="n">
        <v>42.9</v>
      </c>
      <c r="U2287" s="0" t="n">
        <v>983</v>
      </c>
      <c r="V2287" s="0" t="n">
        <v>3</v>
      </c>
      <c r="W2287" s="0" t="str">
        <f aca="false">IF(OR(AND(B2287&gt;=1,B2287&lt;=6),B2287=10),"Vaca em lactação",IF(I2287="Male","Macho",IF(E2287&gt;=1,"Vaca seca",IF(I2287="Youngstock","Bezerra/recria","Novilha"))))</f>
        <v>Vaca em lactação</v>
      </c>
      <c r="X2287" s="0" t="str">
        <f aca="false">IF(AND(B2287&gt;=1,B2287&lt;=6),"Tanque",IF(B2287=10,"Descarte",""))</f>
        <v>Descarte</v>
      </c>
    </row>
    <row r="2288" customFormat="false" ht="15" hidden="false" customHeight="false" outlineLevel="0" collapsed="false">
      <c r="A2288" s="22" t="n">
        <v>46309</v>
      </c>
      <c r="B2288" s="0" t="n">
        <v>10</v>
      </c>
      <c r="C2288" s="0" t="n">
        <v>5287</v>
      </c>
      <c r="D2288" s="0" t="n">
        <v>246</v>
      </c>
      <c r="E2288" s="0" t="n">
        <v>1</v>
      </c>
      <c r="F2288" s="23" t="s">
        <v>577</v>
      </c>
      <c r="G2288" s="0" t="n">
        <v>31</v>
      </c>
      <c r="H2288" s="0" t="n">
        <v>31</v>
      </c>
      <c r="I2288" s="23" t="s">
        <v>92</v>
      </c>
      <c r="J2288" s="0" t="n">
        <v>148</v>
      </c>
      <c r="K2288" s="0" t="n">
        <v>71</v>
      </c>
      <c r="L2288" s="0" t="n">
        <v>98</v>
      </c>
      <c r="M2288" s="0" t="n">
        <v>528.89</v>
      </c>
      <c r="N2288" s="0" t="n">
        <v>51.31</v>
      </c>
      <c r="O2288" s="0" t="n">
        <v>25.28</v>
      </c>
      <c r="P2288" s="0" t="n">
        <v>3.33</v>
      </c>
      <c r="Q2288" s="0" t="n">
        <v>3.46</v>
      </c>
      <c r="R2288" s="0" t="n">
        <v>3084</v>
      </c>
      <c r="S2288" s="0" t="n">
        <v>7238</v>
      </c>
      <c r="T2288" s="0" t="n">
        <v>26.8</v>
      </c>
      <c r="U2288" s="0" t="n">
        <v>982</v>
      </c>
      <c r="V2288" s="0" t="n">
        <v>3</v>
      </c>
      <c r="W2288" s="0" t="str">
        <f aca="false">IF(OR(AND(B2288&gt;=1,B2288&lt;=6),B2288=10),"Vaca em lactação",IF(I2288="Male","Macho",IF(E2288&gt;=1,"Vaca seca",IF(I2288="Youngstock","Bezerra/recria","Novilha"))))</f>
        <v>Vaca em lactação</v>
      </c>
      <c r="X2288" s="0" t="str">
        <f aca="false">IF(AND(B2288&gt;=1,B2288&lt;=6),"Tanque",IF(B2288=10,"Descarte",""))</f>
        <v>Descarte</v>
      </c>
    </row>
    <row r="2289" customFormat="false" ht="15" hidden="false" customHeight="false" outlineLevel="0" collapsed="false">
      <c r="A2289" s="22" t="n">
        <v>46309</v>
      </c>
      <c r="B2289" s="0" t="n">
        <v>10</v>
      </c>
      <c r="C2289" s="0" t="n">
        <v>5067</v>
      </c>
      <c r="D2289" s="0" t="n">
        <v>62</v>
      </c>
      <c r="E2289" s="0" t="n">
        <v>2</v>
      </c>
      <c r="F2289" s="23" t="s">
        <v>943</v>
      </c>
      <c r="G2289" s="0" t="n">
        <v>49.6</v>
      </c>
      <c r="H2289" s="0" t="n">
        <v>49</v>
      </c>
      <c r="I2289" s="23" t="s">
        <v>94</v>
      </c>
      <c r="J2289" s="0" t="n">
        <v>62</v>
      </c>
      <c r="M2289" s="0" t="n">
        <v>539.56</v>
      </c>
      <c r="N2289" s="0" t="n">
        <v>47.98</v>
      </c>
      <c r="O2289" s="0" t="n">
        <v>40.46</v>
      </c>
      <c r="P2289" s="0" t="n">
        <v>3.17</v>
      </c>
      <c r="Q2289" s="0" t="n">
        <v>3.49</v>
      </c>
      <c r="R2289" s="0" t="n">
        <v>3980</v>
      </c>
      <c r="S2289" s="0" t="n">
        <v>8001</v>
      </c>
      <c r="U2289" s="0" t="n">
        <v>1076</v>
      </c>
      <c r="V2289" s="0" t="n">
        <v>0</v>
      </c>
      <c r="W2289" s="0" t="str">
        <f aca="false">IF(OR(AND(B2289&gt;=1,B2289&lt;=6),B2289=10),"Vaca em lactação",IF(I2289="Male","Macho",IF(E2289&gt;=1,"Vaca seca",IF(I2289="Youngstock","Bezerra/recria","Novilha"))))</f>
        <v>Vaca em lactação</v>
      </c>
      <c r="X2289" s="0" t="str">
        <f aca="false">IF(AND(B2289&gt;=1,B2289&lt;=6),"Tanque",IF(B2289=10,"Descarte",""))</f>
        <v>Descarte</v>
      </c>
    </row>
    <row r="2290" customFormat="false" ht="15" hidden="false" customHeight="false" outlineLevel="0" collapsed="false">
      <c r="A2290" s="22" t="n">
        <v>46309</v>
      </c>
      <c r="B2290" s="0" t="n">
        <v>10</v>
      </c>
      <c r="C2290" s="0" t="n">
        <v>5076</v>
      </c>
      <c r="D2290" s="0" t="n">
        <v>311</v>
      </c>
      <c r="E2290" s="0" t="n">
        <v>1</v>
      </c>
      <c r="F2290" s="23" t="s">
        <v>787</v>
      </c>
      <c r="G2290" s="0" t="n">
        <v>25</v>
      </c>
      <c r="H2290" s="0" t="n">
        <v>26</v>
      </c>
      <c r="I2290" s="23" t="s">
        <v>506</v>
      </c>
      <c r="J2290" s="0" t="n">
        <v>311</v>
      </c>
      <c r="K2290" s="0" t="n">
        <v>66</v>
      </c>
      <c r="M2290" s="0" t="n">
        <v>1168.54</v>
      </c>
      <c r="N2290" s="0" t="n">
        <v>33.72</v>
      </c>
      <c r="O2290" s="0" t="n">
        <v>45.34</v>
      </c>
      <c r="P2290" s="0" t="n">
        <v>4.68</v>
      </c>
      <c r="Q2290" s="0" t="n">
        <v>3.66</v>
      </c>
      <c r="R2290" s="0" t="n">
        <v>2393</v>
      </c>
      <c r="S2290" s="0" t="n">
        <v>5186</v>
      </c>
      <c r="T2290" s="0" t="n">
        <v>24.15</v>
      </c>
      <c r="U2290" s="0" t="n">
        <v>1072</v>
      </c>
      <c r="V2290" s="0" t="n">
        <v>3</v>
      </c>
      <c r="W2290" s="0" t="str">
        <f aca="false">IF(OR(AND(B2290&gt;=1,B2290&lt;=6),B2290=10),"Vaca em lactação",IF(I2290="Male","Macho",IF(E2290&gt;=1,"Vaca seca",IF(I2290="Youngstock","Bezerra/recria","Novilha"))))</f>
        <v>Vaca em lactação</v>
      </c>
      <c r="X2290" s="0" t="str">
        <f aca="false">IF(AND(B2290&gt;=1,B2290&lt;=6),"Tanque",IF(B2290=10,"Descarte",""))</f>
        <v>Descarte</v>
      </c>
    </row>
    <row r="2291" customFormat="false" ht="15" hidden="false" customHeight="false" outlineLevel="0" collapsed="false">
      <c r="A2291" s="22" t="n">
        <v>46309</v>
      </c>
      <c r="B2291" s="0" t="n">
        <v>10</v>
      </c>
      <c r="C2291" s="0" t="n">
        <v>5001</v>
      </c>
      <c r="D2291" s="0" t="n">
        <v>15</v>
      </c>
      <c r="E2291" s="0" t="n">
        <v>2</v>
      </c>
      <c r="F2291" s="23" t="s">
        <v>463</v>
      </c>
      <c r="H2291" s="0" t="n">
        <v>19</v>
      </c>
      <c r="I2291" s="23" t="s">
        <v>94</v>
      </c>
      <c r="J2291" s="0" t="n">
        <v>15</v>
      </c>
      <c r="M2291" s="0" t="n">
        <v>584.46</v>
      </c>
      <c r="N2291" s="0" t="n">
        <v>39.9</v>
      </c>
      <c r="O2291" s="0" t="n">
        <v>29.45</v>
      </c>
      <c r="R2291" s="0" t="n">
        <v>1900</v>
      </c>
      <c r="S2291" s="0" t="n">
        <v>3820</v>
      </c>
      <c r="U2291" s="0" t="n">
        <v>1119</v>
      </c>
      <c r="V2291" s="0" t="n">
        <v>0</v>
      </c>
      <c r="W2291" s="0" t="str">
        <f aca="false">IF(OR(AND(B2291&gt;=1,B2291&lt;=6),B2291=10),"Vaca em lactação",IF(I2291="Male","Macho",IF(E2291&gt;=1,"Vaca seca",IF(I2291="Youngstock","Bezerra/recria","Novilha"))))</f>
        <v>Vaca em lactação</v>
      </c>
      <c r="X2291" s="0" t="str">
        <f aca="false">IF(AND(B2291&gt;=1,B2291&lt;=6),"Tanque",IF(B2291=10,"Descarte",""))</f>
        <v>Descarte</v>
      </c>
    </row>
    <row r="2292" customFormat="false" ht="15" hidden="false" customHeight="false" outlineLevel="0" collapsed="false">
      <c r="A2292" s="22" t="n">
        <v>46309</v>
      </c>
      <c r="B2292" s="0" t="n">
        <v>10</v>
      </c>
      <c r="C2292" s="0" t="n">
        <v>4992</v>
      </c>
      <c r="D2292" s="0" t="n">
        <v>84</v>
      </c>
      <c r="E2292" s="0" t="n">
        <v>2</v>
      </c>
      <c r="F2292" s="23" t="s">
        <v>285</v>
      </c>
      <c r="G2292" s="0" t="n">
        <v>4.5</v>
      </c>
      <c r="H2292" s="0" t="n">
        <v>13</v>
      </c>
      <c r="I2292" s="23" t="s">
        <v>109</v>
      </c>
      <c r="J2292" s="0" t="n">
        <v>84</v>
      </c>
      <c r="M2292" s="0" t="n">
        <v>910.29</v>
      </c>
      <c r="N2292" s="0" t="n">
        <v>63.01</v>
      </c>
      <c r="O2292" s="0" t="n">
        <v>30.94</v>
      </c>
      <c r="P2292" s="0" t="n">
        <v>4.51</v>
      </c>
      <c r="Q2292" s="0" t="n">
        <v>3.19</v>
      </c>
      <c r="R2292" s="0" t="n">
        <v>3111</v>
      </c>
      <c r="S2292" s="0" t="n">
        <v>6253</v>
      </c>
      <c r="U2292" s="0" t="n">
        <v>1123</v>
      </c>
      <c r="V2292" s="0" t="n">
        <v>0</v>
      </c>
      <c r="W2292" s="0" t="str">
        <f aca="false">IF(OR(AND(B2292&gt;=1,B2292&lt;=6),B2292=10),"Vaca em lactação",IF(I2292="Male","Macho",IF(E2292&gt;=1,"Vaca seca",IF(I2292="Youngstock","Bezerra/recria","Novilha"))))</f>
        <v>Vaca em lactação</v>
      </c>
      <c r="X2292" s="0" t="str">
        <f aca="false">IF(AND(B2292&gt;=1,B2292&lt;=6),"Tanque",IF(B2292=10,"Descarte",""))</f>
        <v>Descarte</v>
      </c>
    </row>
    <row r="2293" customFormat="false" ht="15" hidden="false" customHeight="false" outlineLevel="0" collapsed="false">
      <c r="A2293" s="22" t="n">
        <v>46309</v>
      </c>
      <c r="B2293" s="0" t="n">
        <v>10</v>
      </c>
      <c r="C2293" s="0" t="n">
        <v>5016</v>
      </c>
      <c r="D2293" s="0" t="n">
        <v>114</v>
      </c>
      <c r="E2293" s="0" t="n">
        <v>2</v>
      </c>
      <c r="F2293" s="23" t="s">
        <v>469</v>
      </c>
      <c r="G2293" s="0" t="n">
        <v>15.9</v>
      </c>
      <c r="H2293" s="0" t="n">
        <v>22</v>
      </c>
      <c r="I2293" s="23" t="s">
        <v>97</v>
      </c>
      <c r="J2293" s="0" t="n">
        <v>114</v>
      </c>
      <c r="K2293" s="0" t="n">
        <v>93</v>
      </c>
      <c r="M2293" s="0" t="n">
        <v>231.84</v>
      </c>
      <c r="N2293" s="0" t="n">
        <v>33.46</v>
      </c>
      <c r="O2293" s="0" t="n">
        <v>25.06</v>
      </c>
      <c r="P2293" s="0" t="n">
        <v>4.95</v>
      </c>
      <c r="Q2293" s="0" t="n">
        <v>3.58</v>
      </c>
      <c r="R2293" s="0" t="n">
        <v>3346</v>
      </c>
      <c r="S2293" s="0" t="n">
        <v>6642</v>
      </c>
      <c r="T2293" s="0" t="n">
        <v>42.65</v>
      </c>
      <c r="U2293" s="0" t="n">
        <v>1112</v>
      </c>
      <c r="V2293" s="0" t="n">
        <v>1</v>
      </c>
      <c r="W2293" s="0" t="str">
        <f aca="false">IF(OR(AND(B2293&gt;=1,B2293&lt;=6),B2293=10),"Vaca em lactação",IF(I2293="Male","Macho",IF(E2293&gt;=1,"Vaca seca",IF(I2293="Youngstock","Bezerra/recria","Novilha"))))</f>
        <v>Vaca em lactação</v>
      </c>
      <c r="X2293" s="0" t="str">
        <f aca="false">IF(AND(B2293&gt;=1,B2293&lt;=6),"Tanque",IF(B2293=10,"Descarte",""))</f>
        <v>Descarte</v>
      </c>
    </row>
    <row r="2294" customFormat="false" ht="15" hidden="false" customHeight="false" outlineLevel="0" collapsed="false">
      <c r="A2294" s="22" t="n">
        <v>46309</v>
      </c>
      <c r="B2294" s="0" t="n">
        <v>10</v>
      </c>
      <c r="C2294" s="0" t="n">
        <v>5227</v>
      </c>
      <c r="D2294" s="0" t="n">
        <v>11</v>
      </c>
      <c r="E2294" s="0" t="n">
        <v>2</v>
      </c>
      <c r="F2294" s="23" t="s">
        <v>600</v>
      </c>
      <c r="G2294" s="0" t="n">
        <v>23</v>
      </c>
      <c r="H2294" s="0" t="n">
        <v>22</v>
      </c>
      <c r="I2294" s="23" t="s">
        <v>94</v>
      </c>
      <c r="J2294" s="0" t="n">
        <v>11</v>
      </c>
      <c r="M2294" s="0" t="n">
        <v>588.28</v>
      </c>
      <c r="N2294" s="0" t="n">
        <v>85.47</v>
      </c>
      <c r="O2294" s="0" t="n">
        <v>43.18</v>
      </c>
      <c r="R2294" s="0" t="n">
        <v>1659</v>
      </c>
      <c r="S2294" s="0" t="n">
        <v>3335</v>
      </c>
      <c r="U2294" s="0" t="n">
        <v>1007</v>
      </c>
      <c r="V2294" s="0" t="n">
        <v>0</v>
      </c>
      <c r="W2294" s="0" t="str">
        <f aca="false">IF(OR(AND(B2294&gt;=1,B2294&lt;=6),B2294=10),"Vaca em lactação",IF(I2294="Male","Macho",IF(E2294&gt;=1,"Vaca seca",IF(I2294="Youngstock","Bezerra/recria","Novilha"))))</f>
        <v>Vaca em lactação</v>
      </c>
      <c r="X2294" s="0" t="str">
        <f aca="false">IF(AND(B2294&gt;=1,B2294&lt;=6),"Tanque",IF(B2294=10,"Descarte",""))</f>
        <v>Descarte</v>
      </c>
    </row>
    <row r="2295" customFormat="false" ht="15" hidden="false" customHeight="false" outlineLevel="0" collapsed="false">
      <c r="A2295" s="22" t="n">
        <v>46309</v>
      </c>
      <c r="B2295" s="0" t="n">
        <v>10</v>
      </c>
      <c r="C2295" s="0" t="n">
        <v>4807</v>
      </c>
      <c r="D2295" s="0" t="n">
        <v>254</v>
      </c>
      <c r="E2295" s="0" t="n">
        <v>2</v>
      </c>
      <c r="F2295" s="23" t="s">
        <v>1202</v>
      </c>
      <c r="H2295" s="0" t="n">
        <v>24</v>
      </c>
      <c r="I2295" s="23" t="s">
        <v>109</v>
      </c>
      <c r="J2295" s="0" t="n">
        <v>254</v>
      </c>
      <c r="K2295" s="0" t="n">
        <v>73</v>
      </c>
      <c r="M2295" s="0" t="n">
        <v>501.29</v>
      </c>
      <c r="N2295" s="0" t="n">
        <v>15.13</v>
      </c>
      <c r="O2295" s="0" t="n">
        <v>12.17</v>
      </c>
      <c r="P2295" s="0" t="n">
        <v>3.24</v>
      </c>
      <c r="Q2295" s="0" t="n">
        <v>3.23</v>
      </c>
      <c r="R2295" s="0" t="n">
        <v>5229</v>
      </c>
      <c r="S2295" s="0" t="n">
        <v>10703</v>
      </c>
      <c r="T2295" s="0" t="n">
        <v>56.2</v>
      </c>
      <c r="U2295" s="0" t="n">
        <v>1205</v>
      </c>
      <c r="V2295" s="0" t="n">
        <v>2</v>
      </c>
      <c r="W2295" s="0" t="str">
        <f aca="false">IF(OR(AND(B2295&gt;=1,B2295&lt;=6),B2295=10),"Vaca em lactação",IF(I2295="Male","Macho",IF(E2295&gt;=1,"Vaca seca",IF(I2295="Youngstock","Bezerra/recria","Novilha"))))</f>
        <v>Vaca em lactação</v>
      </c>
      <c r="X2295" s="0" t="str">
        <f aca="false">IF(AND(B2295&gt;=1,B2295&lt;=6),"Tanque",IF(B2295=10,"Descarte",""))</f>
        <v>Descarte</v>
      </c>
    </row>
    <row r="2296" customFormat="false" ht="15" hidden="false" customHeight="false" outlineLevel="0" collapsed="false">
      <c r="A2296" s="22" t="n">
        <v>46309</v>
      </c>
      <c r="B2296" s="0" t="n">
        <v>10</v>
      </c>
      <c r="C2296" s="0" t="n">
        <v>4811</v>
      </c>
      <c r="D2296" s="0" t="n">
        <v>185</v>
      </c>
      <c r="E2296" s="0" t="n">
        <v>2</v>
      </c>
      <c r="F2296" s="23" t="s">
        <v>481</v>
      </c>
      <c r="H2296" s="0" t="n">
        <v>18</v>
      </c>
      <c r="I2296" s="23" t="s">
        <v>92</v>
      </c>
      <c r="J2296" s="0" t="n">
        <v>122</v>
      </c>
      <c r="K2296" s="0" t="n">
        <v>66</v>
      </c>
      <c r="L2296" s="0" t="n">
        <v>63</v>
      </c>
      <c r="M2296" s="0" t="n">
        <v>1082.86</v>
      </c>
      <c r="N2296" s="0" t="n">
        <v>31.27</v>
      </c>
      <c r="O2296" s="0" t="n">
        <v>42.38</v>
      </c>
      <c r="P2296" s="0" t="n">
        <v>4.17</v>
      </c>
      <c r="Q2296" s="0" t="n">
        <v>3.71</v>
      </c>
      <c r="R2296" s="0" t="n">
        <v>4240</v>
      </c>
      <c r="S2296" s="0" t="n">
        <v>7659</v>
      </c>
      <c r="T2296" s="0" t="n">
        <v>47.45</v>
      </c>
      <c r="U2296" s="0" t="n">
        <v>1202</v>
      </c>
      <c r="V2296" s="0" t="n">
        <v>2</v>
      </c>
      <c r="W2296" s="0" t="str">
        <f aca="false">IF(OR(AND(B2296&gt;=1,B2296&lt;=6),B2296=10),"Vaca em lactação",IF(I2296="Male","Macho",IF(E2296&gt;=1,"Vaca seca",IF(I2296="Youngstock","Bezerra/recria","Novilha"))))</f>
        <v>Vaca em lactação</v>
      </c>
      <c r="X2296" s="0" t="str">
        <f aca="false">IF(AND(B2296&gt;=1,B2296&lt;=6),"Tanque",IF(B2296=10,"Descarte",""))</f>
        <v>Descarte</v>
      </c>
    </row>
    <row r="2297" customFormat="false" ht="15" hidden="false" customHeight="false" outlineLevel="0" collapsed="false">
      <c r="A2297" s="22" t="n">
        <v>46309</v>
      </c>
      <c r="B2297" s="0" t="n">
        <v>10</v>
      </c>
      <c r="C2297" s="0" t="n">
        <v>4667</v>
      </c>
      <c r="D2297" s="0" t="n">
        <v>182</v>
      </c>
      <c r="E2297" s="0" t="n">
        <v>2</v>
      </c>
      <c r="F2297" s="23" t="s">
        <v>1203</v>
      </c>
      <c r="G2297" s="0" t="n">
        <v>21.2</v>
      </c>
      <c r="H2297" s="0" t="n">
        <v>44</v>
      </c>
      <c r="I2297" s="23" t="s">
        <v>92</v>
      </c>
      <c r="J2297" s="0" t="n">
        <v>63</v>
      </c>
      <c r="K2297" s="0" t="n">
        <v>63</v>
      </c>
      <c r="L2297" s="0" t="n">
        <v>119</v>
      </c>
      <c r="M2297" s="0" t="n">
        <v>865.99</v>
      </c>
      <c r="N2297" s="0" t="n">
        <v>40.27</v>
      </c>
      <c r="O2297" s="0" t="n">
        <v>33.1</v>
      </c>
      <c r="P2297" s="0" t="n">
        <v>3.06</v>
      </c>
      <c r="Q2297" s="0" t="n">
        <v>3.48</v>
      </c>
      <c r="R2297" s="0" t="n">
        <v>4957</v>
      </c>
      <c r="S2297" s="0" t="n">
        <v>10233</v>
      </c>
      <c r="T2297" s="0" t="n">
        <v>52.85</v>
      </c>
      <c r="U2297" s="0" t="n">
        <v>1273</v>
      </c>
      <c r="V2297" s="0" t="n">
        <v>1</v>
      </c>
      <c r="W2297" s="0" t="str">
        <f aca="false">IF(OR(AND(B2297&gt;=1,B2297&lt;=6),B2297=10),"Vaca em lactação",IF(I2297="Male","Macho",IF(E2297&gt;=1,"Vaca seca",IF(I2297="Youngstock","Bezerra/recria","Novilha"))))</f>
        <v>Vaca em lactação</v>
      </c>
      <c r="X2297" s="0" t="str">
        <f aca="false">IF(AND(B2297&gt;=1,B2297&lt;=6),"Tanque",IF(B2297=10,"Descarte",""))</f>
        <v>Descarte</v>
      </c>
    </row>
    <row r="2298" customFormat="false" ht="15" hidden="false" customHeight="false" outlineLevel="0" collapsed="false">
      <c r="A2298" s="22" t="n">
        <v>46309</v>
      </c>
      <c r="B2298" s="0" t="n">
        <v>10</v>
      </c>
      <c r="C2298" s="0" t="n">
        <v>4665</v>
      </c>
      <c r="D2298" s="0" t="n">
        <v>294</v>
      </c>
      <c r="E2298" s="0" t="n">
        <v>2</v>
      </c>
      <c r="F2298" s="23" t="s">
        <v>1203</v>
      </c>
      <c r="H2298" s="0" t="n">
        <v>18</v>
      </c>
      <c r="I2298" s="23" t="s">
        <v>92</v>
      </c>
      <c r="J2298" s="0" t="n">
        <v>77</v>
      </c>
      <c r="K2298" s="0" t="n">
        <v>77</v>
      </c>
      <c r="L2298" s="0" t="n">
        <v>217</v>
      </c>
      <c r="M2298" s="0" t="n">
        <v>975.5</v>
      </c>
      <c r="N2298" s="0" t="n">
        <v>66.89</v>
      </c>
      <c r="O2298" s="0" t="n">
        <v>29.02</v>
      </c>
      <c r="P2298" s="0" t="n">
        <v>3.84</v>
      </c>
      <c r="Q2298" s="0" t="n">
        <v>3.38</v>
      </c>
      <c r="R2298" s="0" t="n">
        <v>5401</v>
      </c>
      <c r="S2298" s="0" t="n">
        <v>11306</v>
      </c>
      <c r="T2298" s="0" t="n">
        <v>64.1</v>
      </c>
      <c r="U2298" s="0" t="n">
        <v>1273</v>
      </c>
      <c r="V2298" s="0" t="n">
        <v>1</v>
      </c>
      <c r="W2298" s="0" t="str">
        <f aca="false">IF(OR(AND(B2298&gt;=1,B2298&lt;=6),B2298=10),"Vaca em lactação",IF(I2298="Male","Macho",IF(E2298&gt;=1,"Vaca seca",IF(I2298="Youngstock","Bezerra/recria","Novilha"))))</f>
        <v>Vaca em lactação</v>
      </c>
      <c r="X2298" s="0" t="str">
        <f aca="false">IF(AND(B2298&gt;=1,B2298&lt;=6),"Tanque",IF(B2298=10,"Descarte",""))</f>
        <v>Descarte</v>
      </c>
    </row>
    <row r="2299" customFormat="false" ht="15" hidden="false" customHeight="false" outlineLevel="0" collapsed="false">
      <c r="A2299" s="22" t="n">
        <v>46309</v>
      </c>
      <c r="B2299" s="0" t="n">
        <v>10</v>
      </c>
      <c r="C2299" s="0" t="n">
        <v>4644</v>
      </c>
      <c r="D2299" s="0" t="n">
        <v>228</v>
      </c>
      <c r="E2299" s="0" t="n">
        <v>2</v>
      </c>
      <c r="F2299" s="23" t="s">
        <v>321</v>
      </c>
      <c r="H2299" s="0" t="n">
        <v>9</v>
      </c>
      <c r="I2299" s="23" t="s">
        <v>92</v>
      </c>
      <c r="J2299" s="0" t="n">
        <v>67</v>
      </c>
      <c r="K2299" s="0" t="n">
        <v>67</v>
      </c>
      <c r="L2299" s="0" t="n">
        <v>161</v>
      </c>
      <c r="M2299" s="0" t="n">
        <v>456.44</v>
      </c>
      <c r="N2299" s="0" t="n">
        <v>63.19</v>
      </c>
      <c r="O2299" s="0" t="n">
        <v>34.32</v>
      </c>
      <c r="P2299" s="0" t="n">
        <v>3.59</v>
      </c>
      <c r="Q2299" s="0" t="n">
        <v>3.5</v>
      </c>
      <c r="R2299" s="0" t="n">
        <v>4610</v>
      </c>
      <c r="S2299" s="0" t="n">
        <v>10669</v>
      </c>
      <c r="T2299" s="0" t="n">
        <v>46.25</v>
      </c>
      <c r="U2299" s="0" t="n">
        <v>1288</v>
      </c>
      <c r="V2299" s="0" t="n">
        <v>1</v>
      </c>
      <c r="W2299" s="0" t="str">
        <f aca="false">IF(OR(AND(B2299&gt;=1,B2299&lt;=6),B2299=10),"Vaca em lactação",IF(I2299="Male","Macho",IF(E2299&gt;=1,"Vaca seca",IF(I2299="Youngstock","Bezerra/recria","Novilha"))))</f>
        <v>Vaca em lactação</v>
      </c>
      <c r="X2299" s="0" t="str">
        <f aca="false">IF(AND(B2299&gt;=1,B2299&lt;=6),"Tanque",IF(B2299=10,"Descarte",""))</f>
        <v>Descarte</v>
      </c>
    </row>
    <row r="2300" customFormat="false" ht="15" hidden="false" customHeight="false" outlineLevel="0" collapsed="false">
      <c r="A2300" s="22" t="n">
        <v>46309</v>
      </c>
      <c r="B2300" s="0" t="n">
        <v>10</v>
      </c>
      <c r="C2300" s="0" t="n">
        <v>4730</v>
      </c>
      <c r="D2300" s="0" t="n">
        <v>262</v>
      </c>
      <c r="E2300" s="0" t="n">
        <v>2</v>
      </c>
      <c r="F2300" s="23" t="s">
        <v>821</v>
      </c>
      <c r="G2300" s="0" t="n">
        <v>21.1</v>
      </c>
      <c r="H2300" s="0" t="n">
        <v>16</v>
      </c>
      <c r="I2300" s="23" t="s">
        <v>506</v>
      </c>
      <c r="J2300" s="0" t="n">
        <v>262</v>
      </c>
      <c r="K2300" s="0" t="n">
        <v>66</v>
      </c>
      <c r="M2300" s="0" t="n">
        <v>1117.22</v>
      </c>
      <c r="N2300" s="0" t="n">
        <v>48.96</v>
      </c>
      <c r="O2300" s="0" t="n">
        <v>46.72</v>
      </c>
      <c r="P2300" s="0" t="n">
        <v>5.73</v>
      </c>
      <c r="Q2300" s="0" t="n">
        <v>4.08</v>
      </c>
      <c r="R2300" s="0" t="n">
        <v>4701</v>
      </c>
      <c r="S2300" s="0" t="n">
        <v>8909</v>
      </c>
      <c r="T2300" s="0" t="n">
        <v>54.8</v>
      </c>
      <c r="U2300" s="0" t="n">
        <v>1234</v>
      </c>
      <c r="V2300" s="0" t="n">
        <v>4</v>
      </c>
      <c r="W2300" s="0" t="str">
        <f aca="false">IF(OR(AND(B2300&gt;=1,B2300&lt;=6),B2300=10),"Vaca em lactação",IF(I2300="Male","Macho",IF(E2300&gt;=1,"Vaca seca",IF(I2300="Youngstock","Bezerra/recria","Novilha"))))</f>
        <v>Vaca em lactação</v>
      </c>
      <c r="X2300" s="0" t="str">
        <f aca="false">IF(AND(B2300&gt;=1,B2300&lt;=6),"Tanque",IF(B2300=10,"Descarte",""))</f>
        <v>Descarte</v>
      </c>
    </row>
    <row r="2301" customFormat="false" ht="15" hidden="false" customHeight="false" outlineLevel="0" collapsed="false">
      <c r="A2301" s="22" t="n">
        <v>46309</v>
      </c>
      <c r="B2301" s="0" t="n">
        <v>10</v>
      </c>
      <c r="C2301" s="0" t="n">
        <v>4717</v>
      </c>
      <c r="D2301" s="0" t="n">
        <v>154</v>
      </c>
      <c r="E2301" s="0" t="n">
        <v>2</v>
      </c>
      <c r="F2301" s="23" t="s">
        <v>329</v>
      </c>
      <c r="H2301" s="0" t="n">
        <v>26</v>
      </c>
      <c r="I2301" s="23" t="s">
        <v>92</v>
      </c>
      <c r="J2301" s="0" t="n">
        <v>98</v>
      </c>
      <c r="K2301" s="0" t="n">
        <v>63</v>
      </c>
      <c r="L2301" s="0" t="n">
        <v>56</v>
      </c>
      <c r="M2301" s="0" t="n">
        <v>111.94</v>
      </c>
      <c r="N2301" s="0" t="n">
        <v>49.76</v>
      </c>
      <c r="O2301" s="0" t="n">
        <v>13.34</v>
      </c>
      <c r="P2301" s="0" t="n">
        <v>3.53</v>
      </c>
      <c r="Q2301" s="0" t="n">
        <v>3.14</v>
      </c>
      <c r="R2301" s="0" t="n">
        <v>4951</v>
      </c>
      <c r="S2301" s="0" t="n">
        <v>9759</v>
      </c>
      <c r="T2301" s="0" t="n">
        <v>52.9</v>
      </c>
      <c r="U2301" s="0" t="n">
        <v>1243</v>
      </c>
      <c r="V2301" s="0" t="n">
        <v>2</v>
      </c>
      <c r="W2301" s="0" t="str">
        <f aca="false">IF(OR(AND(B2301&gt;=1,B2301&lt;=6),B2301=10),"Vaca em lactação",IF(I2301="Male","Macho",IF(E2301&gt;=1,"Vaca seca",IF(I2301="Youngstock","Bezerra/recria","Novilha"))))</f>
        <v>Vaca em lactação</v>
      </c>
      <c r="X2301" s="0" t="str">
        <f aca="false">IF(AND(B2301&gt;=1,B2301&lt;=6),"Tanque",IF(B2301=10,"Descarte",""))</f>
        <v>Descarte</v>
      </c>
    </row>
    <row r="2302" customFormat="false" ht="15" hidden="false" customHeight="false" outlineLevel="0" collapsed="false">
      <c r="A2302" s="22" t="n">
        <v>46309</v>
      </c>
      <c r="B2302" s="0" t="n">
        <v>10</v>
      </c>
      <c r="C2302" s="0" t="n">
        <v>4953</v>
      </c>
      <c r="D2302" s="0" t="n">
        <v>169</v>
      </c>
      <c r="E2302" s="0" t="n">
        <v>2</v>
      </c>
      <c r="F2302" s="23" t="s">
        <v>338</v>
      </c>
      <c r="G2302" s="0" t="n">
        <v>30.1</v>
      </c>
      <c r="H2302" s="0" t="n">
        <v>22</v>
      </c>
      <c r="I2302" s="23" t="s">
        <v>97</v>
      </c>
      <c r="J2302" s="0" t="n">
        <v>169</v>
      </c>
      <c r="K2302" s="0" t="n">
        <v>64</v>
      </c>
      <c r="M2302" s="0" t="n">
        <v>1514.29</v>
      </c>
      <c r="N2302" s="0" t="n">
        <v>63.85</v>
      </c>
      <c r="O2302" s="0" t="n">
        <v>46.95</v>
      </c>
      <c r="P2302" s="0" t="n">
        <v>3.71</v>
      </c>
      <c r="Q2302" s="0" t="n">
        <v>3.26</v>
      </c>
      <c r="R2302" s="0" t="n">
        <v>4943</v>
      </c>
      <c r="S2302" s="0" t="n">
        <v>10878</v>
      </c>
      <c r="T2302" s="0" t="n">
        <v>60.2</v>
      </c>
      <c r="U2302" s="0" t="n">
        <v>1146</v>
      </c>
      <c r="V2302" s="0" t="n">
        <v>2</v>
      </c>
      <c r="W2302" s="0" t="str">
        <f aca="false">IF(OR(AND(B2302&gt;=1,B2302&lt;=6),B2302=10),"Vaca em lactação",IF(I2302="Male","Macho",IF(E2302&gt;=1,"Vaca seca",IF(I2302="Youngstock","Bezerra/recria","Novilha"))))</f>
        <v>Vaca em lactação</v>
      </c>
      <c r="X2302" s="0" t="str">
        <f aca="false">IF(AND(B2302&gt;=1,B2302&lt;=6),"Tanque",IF(B2302=10,"Descarte",""))</f>
        <v>Descarte</v>
      </c>
    </row>
    <row r="2303" customFormat="false" ht="15" hidden="false" customHeight="false" outlineLevel="0" collapsed="false">
      <c r="A2303" s="22" t="n">
        <v>46309</v>
      </c>
      <c r="B2303" s="0" t="n">
        <v>10</v>
      </c>
      <c r="C2303" s="0" t="n">
        <v>4863</v>
      </c>
      <c r="D2303" s="0" t="n">
        <v>178</v>
      </c>
      <c r="E2303" s="0" t="n">
        <v>2</v>
      </c>
      <c r="F2303" s="23" t="s">
        <v>1204</v>
      </c>
      <c r="H2303" s="0" t="n">
        <v>25</v>
      </c>
      <c r="I2303" s="23" t="s">
        <v>109</v>
      </c>
      <c r="J2303" s="0" t="n">
        <v>178</v>
      </c>
      <c r="K2303" s="0" t="n">
        <v>66</v>
      </c>
      <c r="M2303" s="0" t="n">
        <v>869.23</v>
      </c>
      <c r="N2303" s="0" t="n">
        <v>64.06</v>
      </c>
      <c r="O2303" s="0" t="n">
        <v>35.49</v>
      </c>
      <c r="P2303" s="0" t="n">
        <v>2.92</v>
      </c>
      <c r="Q2303" s="0" t="n">
        <v>3.39</v>
      </c>
      <c r="R2303" s="0" t="n">
        <v>5269</v>
      </c>
      <c r="S2303" s="0" t="n">
        <v>10783</v>
      </c>
      <c r="T2303" s="0" t="n">
        <v>60.2</v>
      </c>
      <c r="U2303" s="0" t="n">
        <v>1185</v>
      </c>
      <c r="V2303" s="0" t="n">
        <v>4</v>
      </c>
      <c r="W2303" s="0" t="str">
        <f aca="false">IF(OR(AND(B2303&gt;=1,B2303&lt;=6),B2303=10),"Vaca em lactação",IF(I2303="Male","Macho",IF(E2303&gt;=1,"Vaca seca",IF(I2303="Youngstock","Bezerra/recria","Novilha"))))</f>
        <v>Vaca em lactação</v>
      </c>
      <c r="X2303" s="0" t="str">
        <f aca="false">IF(AND(B2303&gt;=1,B2303&lt;=6),"Tanque",IF(B2303=10,"Descarte",""))</f>
        <v>Descarte</v>
      </c>
    </row>
    <row r="2304" customFormat="false" ht="15" hidden="false" customHeight="false" outlineLevel="0" collapsed="false">
      <c r="A2304" s="22" t="n">
        <v>46309</v>
      </c>
      <c r="B2304" s="0" t="n">
        <v>10</v>
      </c>
      <c r="C2304" s="0" t="n">
        <v>4262</v>
      </c>
      <c r="D2304" s="0" t="n">
        <v>9</v>
      </c>
      <c r="E2304" s="0" t="n">
        <v>3</v>
      </c>
      <c r="F2304" s="23" t="s">
        <v>1205</v>
      </c>
      <c r="H2304" s="0" t="n">
        <v>20</v>
      </c>
      <c r="I2304" s="23" t="s">
        <v>94</v>
      </c>
      <c r="J2304" s="0" t="n">
        <v>9</v>
      </c>
      <c r="M2304" s="0" t="n">
        <v>302.32</v>
      </c>
      <c r="N2304" s="0" t="n">
        <v>54.99</v>
      </c>
      <c r="O2304" s="0" t="n">
        <v>25.82</v>
      </c>
      <c r="R2304" s="0" t="n">
        <v>1443</v>
      </c>
      <c r="S2304" s="0" t="n">
        <v>2902</v>
      </c>
      <c r="U2304" s="0" t="n">
        <v>1472</v>
      </c>
      <c r="V2304" s="0" t="n">
        <v>0</v>
      </c>
      <c r="W2304" s="0" t="str">
        <f aca="false">IF(OR(AND(B2304&gt;=1,B2304&lt;=6),B2304=10),"Vaca em lactação",IF(I2304="Male","Macho",IF(E2304&gt;=1,"Vaca seca",IF(I2304="Youngstock","Bezerra/recria","Novilha"))))</f>
        <v>Vaca em lactação</v>
      </c>
      <c r="X2304" s="0" t="str">
        <f aca="false">IF(AND(B2304&gt;=1,B2304&lt;=6),"Tanque",IF(B2304=10,"Descarte",""))</f>
        <v>Descarte</v>
      </c>
    </row>
    <row r="2305" customFormat="false" ht="15" hidden="false" customHeight="false" outlineLevel="0" collapsed="false">
      <c r="A2305" s="22" t="n">
        <v>46309</v>
      </c>
      <c r="B2305" s="0" t="n">
        <v>10</v>
      </c>
      <c r="C2305" s="0" t="n">
        <v>4136</v>
      </c>
      <c r="D2305" s="0" t="n">
        <v>13</v>
      </c>
      <c r="E2305" s="0" t="n">
        <v>3</v>
      </c>
      <c r="F2305" s="23" t="s">
        <v>1206</v>
      </c>
      <c r="G2305" s="0" t="n">
        <v>41.4</v>
      </c>
      <c r="H2305" s="0" t="n">
        <v>31</v>
      </c>
      <c r="I2305" s="23" t="s">
        <v>94</v>
      </c>
      <c r="J2305" s="0" t="n">
        <v>13</v>
      </c>
      <c r="M2305" s="0" t="n">
        <v>640.36</v>
      </c>
      <c r="N2305" s="0" t="n">
        <v>67.96</v>
      </c>
      <c r="O2305" s="0" t="n">
        <v>21.84</v>
      </c>
      <c r="R2305" s="0" t="n">
        <v>2914</v>
      </c>
      <c r="S2305" s="0" t="n">
        <v>5857</v>
      </c>
      <c r="U2305" s="0" t="n">
        <v>1529</v>
      </c>
      <c r="V2305" s="0" t="n">
        <v>0</v>
      </c>
      <c r="W2305" s="0" t="str">
        <f aca="false">IF(OR(AND(B2305&gt;=1,B2305&lt;=6),B2305=10),"Vaca em lactação",IF(I2305="Male","Macho",IF(E2305&gt;=1,"Vaca seca",IF(I2305="Youngstock","Bezerra/recria","Novilha"))))</f>
        <v>Vaca em lactação</v>
      </c>
      <c r="X2305" s="0" t="str">
        <f aca="false">IF(AND(B2305&gt;=1,B2305&lt;=6),"Tanque",IF(B2305=10,"Descarte",""))</f>
        <v>Descarte</v>
      </c>
    </row>
    <row r="2306" customFormat="false" ht="15" hidden="false" customHeight="false" outlineLevel="0" collapsed="false">
      <c r="A2306" s="22" t="n">
        <v>46309</v>
      </c>
      <c r="B2306" s="0" t="n">
        <v>10</v>
      </c>
      <c r="C2306" s="0" t="n">
        <v>4209</v>
      </c>
      <c r="D2306" s="0" t="n">
        <v>16</v>
      </c>
      <c r="E2306" s="0" t="n">
        <v>3</v>
      </c>
      <c r="F2306" s="23" t="s">
        <v>380</v>
      </c>
      <c r="H2306" s="0" t="n">
        <v>15</v>
      </c>
      <c r="I2306" s="23" t="s">
        <v>94</v>
      </c>
      <c r="J2306" s="0" t="n">
        <v>16</v>
      </c>
      <c r="M2306" s="0" t="n">
        <v>152.51</v>
      </c>
      <c r="N2306" s="0" t="n">
        <v>66.09</v>
      </c>
      <c r="O2306" s="0" t="n">
        <v>29.96</v>
      </c>
      <c r="R2306" s="0" t="n">
        <v>1470</v>
      </c>
      <c r="S2306" s="0" t="n">
        <v>2955</v>
      </c>
      <c r="U2306" s="0" t="n">
        <v>1495</v>
      </c>
      <c r="V2306" s="0" t="n">
        <v>0</v>
      </c>
      <c r="W2306" s="0" t="str">
        <f aca="false">IF(OR(AND(B2306&gt;=1,B2306&lt;=6),B2306=10),"Vaca em lactação",IF(I2306="Male","Macho",IF(E2306&gt;=1,"Vaca seca",IF(I2306="Youngstock","Bezerra/recria","Novilha"))))</f>
        <v>Vaca em lactação</v>
      </c>
      <c r="X2306" s="0" t="str">
        <f aca="false">IF(AND(B2306&gt;=1,B2306&lt;=6),"Tanque",IF(B2306=10,"Descarte",""))</f>
        <v>Descarte</v>
      </c>
    </row>
    <row r="2307" customFormat="false" ht="15" hidden="false" customHeight="false" outlineLevel="0" collapsed="false">
      <c r="A2307" s="22" t="n">
        <v>46309</v>
      </c>
      <c r="B2307" s="0" t="n">
        <v>10</v>
      </c>
      <c r="C2307" s="0" t="n">
        <v>4216</v>
      </c>
      <c r="D2307" s="0" t="n">
        <v>429</v>
      </c>
      <c r="E2307" s="0" t="n">
        <v>2</v>
      </c>
      <c r="F2307" s="23" t="s">
        <v>517</v>
      </c>
      <c r="H2307" s="0" t="n">
        <v>8</v>
      </c>
      <c r="I2307" s="23" t="s">
        <v>92</v>
      </c>
      <c r="J2307" s="0" t="n">
        <v>373</v>
      </c>
      <c r="K2307" s="0" t="n">
        <v>58</v>
      </c>
      <c r="L2307" s="0" t="n">
        <v>56</v>
      </c>
      <c r="M2307" s="0" t="n">
        <v>735</v>
      </c>
      <c r="N2307" s="0" t="n">
        <v>66</v>
      </c>
      <c r="O2307" s="0" t="n">
        <v>30.65</v>
      </c>
      <c r="P2307" s="0" t="n">
        <v>2.58</v>
      </c>
      <c r="Q2307" s="0" t="n">
        <v>3.41</v>
      </c>
      <c r="R2307" s="0" t="n">
        <v>6630</v>
      </c>
      <c r="S2307" s="0" t="n">
        <v>12579</v>
      </c>
      <c r="T2307" s="0" t="n">
        <v>70</v>
      </c>
      <c r="U2307" s="0" t="n">
        <v>1494</v>
      </c>
      <c r="V2307" s="0" t="n">
        <v>8</v>
      </c>
      <c r="W2307" s="0" t="str">
        <f aca="false">IF(OR(AND(B2307&gt;=1,B2307&lt;=6),B2307=10),"Vaca em lactação",IF(I2307="Male","Macho",IF(E2307&gt;=1,"Vaca seca",IF(I2307="Youngstock","Bezerra/recria","Novilha"))))</f>
        <v>Vaca em lactação</v>
      </c>
      <c r="X2307" s="0" t="str">
        <f aca="false">IF(AND(B2307&gt;=1,B2307&lt;=6),"Tanque",IF(B2307=10,"Descarte",""))</f>
        <v>Descarte</v>
      </c>
    </row>
    <row r="2308" customFormat="false" ht="15" hidden="false" customHeight="false" outlineLevel="0" collapsed="false">
      <c r="A2308" s="22" t="n">
        <v>46309</v>
      </c>
      <c r="B2308" s="0" t="n">
        <v>10</v>
      </c>
      <c r="C2308" s="0" t="n">
        <v>4175</v>
      </c>
      <c r="D2308" s="0" t="n">
        <v>118</v>
      </c>
      <c r="E2308" s="0" t="n">
        <v>3</v>
      </c>
      <c r="F2308" s="23" t="s">
        <v>964</v>
      </c>
      <c r="G2308" s="0" t="n">
        <v>24.1</v>
      </c>
      <c r="H2308" s="0" t="n">
        <v>24</v>
      </c>
      <c r="I2308" s="23" t="s">
        <v>109</v>
      </c>
      <c r="J2308" s="0" t="n">
        <v>118</v>
      </c>
      <c r="K2308" s="0" t="n">
        <v>69</v>
      </c>
      <c r="M2308" s="0" t="n">
        <v>1162.1</v>
      </c>
      <c r="N2308" s="0" t="n">
        <v>38.11</v>
      </c>
      <c r="O2308" s="0" t="n">
        <v>33.37</v>
      </c>
      <c r="P2308" s="0" t="n">
        <v>2.44</v>
      </c>
      <c r="Q2308" s="0" t="n">
        <v>2.94</v>
      </c>
      <c r="R2308" s="0" t="n">
        <v>5236</v>
      </c>
      <c r="S2308" s="0" t="n">
        <v>10306</v>
      </c>
      <c r="T2308" s="0" t="n">
        <v>57.15</v>
      </c>
      <c r="U2308" s="0" t="n">
        <v>1518</v>
      </c>
      <c r="V2308" s="0" t="n">
        <v>1</v>
      </c>
      <c r="W2308" s="0" t="str">
        <f aca="false">IF(OR(AND(B2308&gt;=1,B2308&lt;=6),B2308=10),"Vaca em lactação",IF(I2308="Male","Macho",IF(E2308&gt;=1,"Vaca seca",IF(I2308="Youngstock","Bezerra/recria","Novilha"))))</f>
        <v>Vaca em lactação</v>
      </c>
      <c r="X2308" s="0" t="str">
        <f aca="false">IF(AND(B2308&gt;=1,B2308&lt;=6),"Tanque",IF(B2308=10,"Descarte",""))</f>
        <v>Descarte</v>
      </c>
    </row>
    <row r="2309" customFormat="false" ht="15" hidden="false" customHeight="false" outlineLevel="0" collapsed="false">
      <c r="A2309" s="22" t="n">
        <v>46309</v>
      </c>
      <c r="B2309" s="0" t="n">
        <v>10</v>
      </c>
      <c r="C2309" s="0" t="n">
        <v>4184</v>
      </c>
      <c r="D2309" s="0" t="n">
        <v>104</v>
      </c>
      <c r="E2309" s="0" t="n">
        <v>3</v>
      </c>
      <c r="F2309" s="23" t="s">
        <v>1207</v>
      </c>
      <c r="G2309" s="0" t="n">
        <v>32</v>
      </c>
      <c r="H2309" s="0" t="n">
        <v>41</v>
      </c>
      <c r="I2309" s="23" t="s">
        <v>92</v>
      </c>
      <c r="J2309" s="0" t="n">
        <v>69</v>
      </c>
      <c r="K2309" s="0" t="n">
        <v>69</v>
      </c>
      <c r="L2309" s="0" t="n">
        <v>35</v>
      </c>
      <c r="M2309" s="0" t="n">
        <v>394.46</v>
      </c>
      <c r="N2309" s="0" t="n">
        <v>68.89</v>
      </c>
      <c r="O2309" s="0" t="n">
        <v>27.03</v>
      </c>
      <c r="P2309" s="0" t="n">
        <v>2.81</v>
      </c>
      <c r="Q2309" s="0" t="n">
        <v>3.39</v>
      </c>
      <c r="R2309" s="0" t="n">
        <v>5051</v>
      </c>
      <c r="S2309" s="0" t="n">
        <v>10127</v>
      </c>
      <c r="T2309" s="0" t="n">
        <v>57.5</v>
      </c>
      <c r="U2309" s="0" t="n">
        <v>1510</v>
      </c>
      <c r="V2309" s="0" t="n">
        <v>1</v>
      </c>
      <c r="W2309" s="0" t="str">
        <f aca="false">IF(OR(AND(B2309&gt;=1,B2309&lt;=6),B2309=10),"Vaca em lactação",IF(I2309="Male","Macho",IF(E2309&gt;=1,"Vaca seca",IF(I2309="Youngstock","Bezerra/recria","Novilha"))))</f>
        <v>Vaca em lactação</v>
      </c>
      <c r="X2309" s="0" t="str">
        <f aca="false">IF(AND(B2309&gt;=1,B2309&lt;=6),"Tanque",IF(B2309=10,"Descarte",""))</f>
        <v>Descarte</v>
      </c>
    </row>
    <row r="2310" customFormat="false" ht="15" hidden="false" customHeight="false" outlineLevel="0" collapsed="false">
      <c r="A2310" s="22" t="n">
        <v>46309</v>
      </c>
      <c r="B2310" s="0" t="n">
        <v>10</v>
      </c>
      <c r="C2310" s="0" t="n">
        <v>4560</v>
      </c>
      <c r="D2310" s="0" t="n">
        <v>216</v>
      </c>
      <c r="E2310" s="0" t="n">
        <v>2</v>
      </c>
      <c r="F2310" s="23" t="s">
        <v>866</v>
      </c>
      <c r="H2310" s="0" t="n">
        <v>20</v>
      </c>
      <c r="I2310" s="23" t="s">
        <v>92</v>
      </c>
      <c r="J2310" s="0" t="n">
        <v>132</v>
      </c>
      <c r="K2310" s="0" t="n">
        <v>69</v>
      </c>
      <c r="L2310" s="0" t="n">
        <v>84</v>
      </c>
      <c r="M2310" s="0" t="n">
        <v>785.65</v>
      </c>
      <c r="N2310" s="0" t="n">
        <v>51.8</v>
      </c>
      <c r="O2310" s="0" t="n">
        <v>40.84</v>
      </c>
      <c r="P2310" s="0" t="n">
        <v>5.59</v>
      </c>
      <c r="Q2310" s="0" t="n">
        <v>3.97</v>
      </c>
      <c r="R2310" s="0" t="n">
        <v>4878</v>
      </c>
      <c r="S2310" s="0" t="n">
        <v>9857</v>
      </c>
      <c r="T2310" s="0" t="n">
        <v>58.55</v>
      </c>
      <c r="U2310" s="0" t="n">
        <v>1328</v>
      </c>
      <c r="V2310" s="0" t="n">
        <v>3</v>
      </c>
      <c r="W2310" s="0" t="str">
        <f aca="false">IF(OR(AND(B2310&gt;=1,B2310&lt;=6),B2310=10),"Vaca em lactação",IF(I2310="Male","Macho",IF(E2310&gt;=1,"Vaca seca",IF(I2310="Youngstock","Bezerra/recria","Novilha"))))</f>
        <v>Vaca em lactação</v>
      </c>
      <c r="X2310" s="0" t="str">
        <f aca="false">IF(AND(B2310&gt;=1,B2310&lt;=6),"Tanque",IF(B2310=10,"Descarte",""))</f>
        <v>Descarte</v>
      </c>
    </row>
    <row r="2311" customFormat="false" ht="15" hidden="false" customHeight="false" outlineLevel="0" collapsed="false">
      <c r="A2311" s="22" t="n">
        <v>46309</v>
      </c>
      <c r="B2311" s="0" t="n">
        <v>10</v>
      </c>
      <c r="C2311" s="0" t="n">
        <v>4559</v>
      </c>
      <c r="D2311" s="0" t="n">
        <v>295</v>
      </c>
      <c r="E2311" s="0" t="n">
        <v>2</v>
      </c>
      <c r="F2311" s="23" t="s">
        <v>866</v>
      </c>
      <c r="H2311" s="0" t="n">
        <v>25</v>
      </c>
      <c r="I2311" s="23" t="s">
        <v>109</v>
      </c>
      <c r="J2311" s="0" t="n">
        <v>295</v>
      </c>
      <c r="K2311" s="0" t="n">
        <v>64</v>
      </c>
      <c r="M2311" s="0" t="n">
        <v>311.64</v>
      </c>
      <c r="N2311" s="0" t="n">
        <v>50.78</v>
      </c>
      <c r="O2311" s="0" t="n">
        <v>24.78</v>
      </c>
      <c r="P2311" s="0" t="n">
        <v>4.5</v>
      </c>
      <c r="Q2311" s="0" t="n">
        <v>4.2</v>
      </c>
      <c r="R2311" s="0" t="n">
        <v>5204</v>
      </c>
      <c r="S2311" s="0" t="n">
        <v>10894</v>
      </c>
      <c r="T2311" s="0" t="n">
        <v>57.25</v>
      </c>
      <c r="U2311" s="0" t="n">
        <v>1328</v>
      </c>
      <c r="V2311" s="0" t="n">
        <v>5</v>
      </c>
      <c r="W2311" s="0" t="str">
        <f aca="false">IF(OR(AND(B2311&gt;=1,B2311&lt;=6),B2311=10),"Vaca em lactação",IF(I2311="Male","Macho",IF(E2311&gt;=1,"Vaca seca",IF(I2311="Youngstock","Bezerra/recria","Novilha"))))</f>
        <v>Vaca em lactação</v>
      </c>
      <c r="X2311" s="0" t="str">
        <f aca="false">IF(AND(B2311&gt;=1,B2311&lt;=6),"Tanque",IF(B2311=10,"Descarte",""))</f>
        <v>Descarte</v>
      </c>
    </row>
    <row r="2312" customFormat="false" ht="15" hidden="false" customHeight="false" outlineLevel="0" collapsed="false">
      <c r="A2312" s="22" t="n">
        <v>46309</v>
      </c>
      <c r="B2312" s="0" t="n">
        <v>10</v>
      </c>
      <c r="C2312" s="0" t="n">
        <v>4446</v>
      </c>
      <c r="D2312" s="0" t="n">
        <v>11</v>
      </c>
      <c r="E2312" s="0" t="n">
        <v>3</v>
      </c>
      <c r="F2312" s="23" t="s">
        <v>404</v>
      </c>
      <c r="H2312" s="0" t="n">
        <v>23</v>
      </c>
      <c r="I2312" s="23" t="s">
        <v>94</v>
      </c>
      <c r="J2312" s="0" t="n">
        <v>11</v>
      </c>
      <c r="M2312" s="0" t="n">
        <v>1018.22</v>
      </c>
      <c r="N2312" s="0" t="n">
        <v>77.32</v>
      </c>
      <c r="O2312" s="0" t="n">
        <v>28.85</v>
      </c>
      <c r="R2312" s="0" t="n">
        <v>2289</v>
      </c>
      <c r="S2312" s="0" t="n">
        <v>4601</v>
      </c>
      <c r="U2312" s="0" t="n">
        <v>1372</v>
      </c>
      <c r="V2312" s="0" t="n">
        <v>0</v>
      </c>
      <c r="W2312" s="0" t="str">
        <f aca="false">IF(OR(AND(B2312&gt;=1,B2312&lt;=6),B2312=10),"Vaca em lactação",IF(I2312="Male","Macho",IF(E2312&gt;=1,"Vaca seca",IF(I2312="Youngstock","Bezerra/recria","Novilha"))))</f>
        <v>Vaca em lactação</v>
      </c>
      <c r="X2312" s="0" t="str">
        <f aca="false">IF(AND(B2312&gt;=1,B2312&lt;=6),"Tanque",IF(B2312=10,"Descarte",""))</f>
        <v>Descarte</v>
      </c>
    </row>
    <row r="2313" customFormat="false" ht="15" hidden="false" customHeight="false" outlineLevel="0" collapsed="false">
      <c r="A2313" s="22" t="n">
        <v>46309</v>
      </c>
      <c r="B2313" s="0" t="n">
        <v>10</v>
      </c>
      <c r="C2313" s="0" t="n">
        <v>5572</v>
      </c>
      <c r="D2313" s="0" t="n">
        <v>211</v>
      </c>
      <c r="E2313" s="0" t="n">
        <v>1</v>
      </c>
      <c r="F2313" s="23" t="s">
        <v>650</v>
      </c>
      <c r="G2313" s="0" t="n">
        <v>18.8</v>
      </c>
      <c r="H2313" s="0" t="n">
        <v>25</v>
      </c>
      <c r="I2313" s="23" t="s">
        <v>92</v>
      </c>
      <c r="J2313" s="0" t="n">
        <v>169</v>
      </c>
      <c r="K2313" s="0" t="n">
        <v>64</v>
      </c>
      <c r="L2313" s="0" t="n">
        <v>42</v>
      </c>
      <c r="P2313" s="0" t="n">
        <v>3.4</v>
      </c>
      <c r="Q2313" s="0" t="n">
        <v>3.39</v>
      </c>
      <c r="R2313" s="0" t="n">
        <v>4629</v>
      </c>
      <c r="S2313" s="0" t="n">
        <v>10386</v>
      </c>
      <c r="T2313" s="0" t="n">
        <v>54.15</v>
      </c>
      <c r="U2313" s="0" t="n">
        <v>877</v>
      </c>
      <c r="V2313" s="0" t="n">
        <v>4</v>
      </c>
      <c r="W2313" s="0" t="str">
        <f aca="false">IF(OR(AND(B2313&gt;=1,B2313&lt;=6),B2313=10),"Vaca em lactação",IF(I2313="Male","Macho",IF(E2313&gt;=1,"Vaca seca",IF(I2313="Youngstock","Bezerra/recria","Novilha"))))</f>
        <v>Vaca em lactação</v>
      </c>
      <c r="X2313" s="0" t="str">
        <f aca="false">IF(AND(B2313&gt;=1,B2313&lt;=6),"Tanque",IF(B2313=10,"Descarte",""))</f>
        <v>Descarte</v>
      </c>
    </row>
    <row r="2314" customFormat="false" ht="15" hidden="false" customHeight="false" outlineLevel="0" collapsed="false">
      <c r="A2314" s="22" t="n">
        <v>46309</v>
      </c>
      <c r="B2314" s="0" t="n">
        <v>10</v>
      </c>
      <c r="C2314" s="0" t="n">
        <v>5593</v>
      </c>
      <c r="D2314" s="0" t="n">
        <v>209</v>
      </c>
      <c r="E2314" s="0" t="n">
        <v>1</v>
      </c>
      <c r="F2314" s="23" t="s">
        <v>654</v>
      </c>
      <c r="H2314" s="0" t="n">
        <v>20</v>
      </c>
      <c r="I2314" s="23" t="s">
        <v>92</v>
      </c>
      <c r="J2314" s="0" t="n">
        <v>69</v>
      </c>
      <c r="K2314" s="0" t="n">
        <v>76</v>
      </c>
      <c r="L2314" s="0" t="n">
        <v>140</v>
      </c>
      <c r="P2314" s="0" t="n">
        <v>4.48</v>
      </c>
      <c r="Q2314" s="0" t="n">
        <v>3.36</v>
      </c>
      <c r="R2314" s="0" t="n">
        <v>3414</v>
      </c>
      <c r="S2314" s="0" t="n">
        <v>7562</v>
      </c>
      <c r="T2314" s="0" t="n">
        <v>39.55</v>
      </c>
      <c r="U2314" s="0" t="n">
        <v>871</v>
      </c>
      <c r="V2314" s="0" t="n">
        <v>1</v>
      </c>
      <c r="W2314" s="0" t="str">
        <f aca="false">IF(OR(AND(B2314&gt;=1,B2314&lt;=6),B2314=10),"Vaca em lactação",IF(I2314="Male","Macho",IF(E2314&gt;=1,"Vaca seca",IF(I2314="Youngstock","Bezerra/recria","Novilha"))))</f>
        <v>Vaca em lactação</v>
      </c>
      <c r="X2314" s="0" t="str">
        <f aca="false">IF(AND(B2314&gt;=1,B2314&lt;=6),"Tanque",IF(B2314=10,"Descarte",""))</f>
        <v>Descarte</v>
      </c>
    </row>
    <row r="2315" customFormat="false" ht="15" hidden="false" customHeight="false" outlineLevel="0" collapsed="false">
      <c r="A2315" s="22" t="n">
        <v>46309</v>
      </c>
      <c r="B2315" s="0" t="n">
        <v>10</v>
      </c>
      <c r="C2315" s="0" t="n">
        <v>5662</v>
      </c>
      <c r="D2315" s="0" t="n">
        <v>161</v>
      </c>
      <c r="E2315" s="0" t="n">
        <v>1</v>
      </c>
      <c r="F2315" s="23" t="s">
        <v>117</v>
      </c>
      <c r="G2315" s="0" t="n">
        <v>18.1</v>
      </c>
      <c r="H2315" s="0" t="n">
        <v>23</v>
      </c>
      <c r="I2315" s="23" t="s">
        <v>97</v>
      </c>
      <c r="J2315" s="0" t="n">
        <v>161</v>
      </c>
      <c r="K2315" s="0" t="n">
        <v>63</v>
      </c>
      <c r="P2315" s="0" t="n">
        <v>4.17</v>
      </c>
      <c r="Q2315" s="0" t="n">
        <v>3.36</v>
      </c>
      <c r="R2315" s="0" t="n">
        <v>3892</v>
      </c>
      <c r="S2315" s="0" t="n">
        <v>7798</v>
      </c>
      <c r="T2315" s="0" t="n">
        <v>40.95</v>
      </c>
      <c r="U2315" s="0" t="n">
        <v>847</v>
      </c>
      <c r="V2315" s="0" t="n">
        <v>3</v>
      </c>
      <c r="W2315" s="0" t="str">
        <f aca="false">IF(OR(AND(B2315&gt;=1,B2315&lt;=6),B2315=10),"Vaca em lactação",IF(I2315="Male","Macho",IF(E2315&gt;=1,"Vaca seca",IF(I2315="Youngstock","Bezerra/recria","Novilha"))))</f>
        <v>Vaca em lactação</v>
      </c>
      <c r="X2315" s="0" t="str">
        <f aca="false">IF(AND(B2315&gt;=1,B2315&lt;=6),"Tanque",IF(B2315=10,"Descarte",""))</f>
        <v>Descarte</v>
      </c>
    </row>
    <row r="2316" customFormat="false" ht="15" hidden="false" customHeight="false" outlineLevel="0" collapsed="false">
      <c r="A2316" s="22" t="n">
        <v>46309</v>
      </c>
      <c r="B2316" s="0" t="n">
        <v>10</v>
      </c>
      <c r="C2316" s="0" t="n">
        <v>5819</v>
      </c>
      <c r="D2316" s="0" t="n">
        <v>15</v>
      </c>
      <c r="E2316" s="0" t="n">
        <v>1</v>
      </c>
      <c r="F2316" s="23" t="s">
        <v>121</v>
      </c>
      <c r="I2316" s="23" t="s">
        <v>94</v>
      </c>
      <c r="J2316" s="0" t="n">
        <v>15</v>
      </c>
      <c r="U2316" s="0" t="n">
        <v>788</v>
      </c>
      <c r="V2316" s="0" t="n">
        <v>0</v>
      </c>
      <c r="W2316" s="0" t="str">
        <f aca="false">IF(OR(AND(B2316&gt;=1,B2316&lt;=6),B2316=10),"Vaca em lactação",IF(I2316="Male","Macho",IF(E2316&gt;=1,"Vaca seca",IF(I2316="Youngstock","Bezerra/recria","Novilha"))))</f>
        <v>Vaca em lactação</v>
      </c>
      <c r="X2316" s="0" t="str">
        <f aca="false">IF(AND(B2316&gt;=1,B2316&lt;=6),"Tanque",IF(B2316=10,"Descarte",""))</f>
        <v>Descarte</v>
      </c>
    </row>
    <row r="2317" customFormat="false" ht="15" hidden="false" customHeight="false" outlineLevel="0" collapsed="false">
      <c r="A2317" s="22" t="n">
        <v>46309</v>
      </c>
      <c r="B2317" s="0" t="n">
        <v>10</v>
      </c>
      <c r="C2317" s="0" t="n">
        <v>5791</v>
      </c>
      <c r="D2317" s="0" t="n">
        <v>23</v>
      </c>
      <c r="E2317" s="0" t="n">
        <v>1</v>
      </c>
      <c r="F2317" s="23" t="s">
        <v>123</v>
      </c>
      <c r="I2317" s="23" t="s">
        <v>97</v>
      </c>
      <c r="J2317" s="0" t="n">
        <v>23</v>
      </c>
      <c r="K2317" s="0" t="n">
        <v>16</v>
      </c>
      <c r="U2317" s="0" t="n">
        <v>795</v>
      </c>
      <c r="V2317" s="0" t="n">
        <v>1</v>
      </c>
      <c r="W2317" s="0" t="str">
        <f aca="false">IF(OR(AND(B2317&gt;=1,B2317&lt;=6),B2317=10),"Vaca em lactação",IF(I2317="Male","Macho",IF(E2317&gt;=1,"Vaca seca",IF(I2317="Youngstock","Bezerra/recria","Novilha"))))</f>
        <v>Vaca em lactação</v>
      </c>
      <c r="X2317" s="0" t="str">
        <f aca="false">IF(AND(B2317&gt;=1,B2317&lt;=6),"Tanque",IF(B2317=10,"Descarte",""))</f>
        <v>Descarte</v>
      </c>
    </row>
    <row r="2318" customFormat="false" ht="15" hidden="false" customHeight="false" outlineLevel="0" collapsed="false">
      <c r="A2318" s="22" t="n">
        <v>46309</v>
      </c>
      <c r="B2318" s="0" t="n">
        <v>10</v>
      </c>
      <c r="C2318" s="0" t="n">
        <v>5896</v>
      </c>
      <c r="D2318" s="0" t="n">
        <v>106</v>
      </c>
      <c r="E2318" s="0" t="n">
        <v>1</v>
      </c>
      <c r="F2318" s="23" t="s">
        <v>137</v>
      </c>
      <c r="G2318" s="0" t="n">
        <v>3.6</v>
      </c>
      <c r="H2318" s="0" t="n">
        <v>8</v>
      </c>
      <c r="I2318" s="23" t="s">
        <v>97</v>
      </c>
      <c r="J2318" s="0" t="n">
        <v>106</v>
      </c>
      <c r="K2318" s="0" t="n">
        <v>85</v>
      </c>
      <c r="P2318" s="0" t="n">
        <v>2.65</v>
      </c>
      <c r="Q2318" s="0" t="n">
        <v>3.48</v>
      </c>
      <c r="R2318" s="0" t="n">
        <v>2817</v>
      </c>
      <c r="S2318" s="0" t="n">
        <v>5587</v>
      </c>
      <c r="T2318" s="0" t="n">
        <v>30.2</v>
      </c>
      <c r="U2318" s="0" t="n">
        <v>756</v>
      </c>
      <c r="V2318" s="0" t="n">
        <v>1</v>
      </c>
      <c r="W2318" s="0" t="str">
        <f aca="false">IF(OR(AND(B2318&gt;=1,B2318&lt;=6),B2318=10),"Vaca em lactação",IF(I2318="Male","Macho",IF(E2318&gt;=1,"Vaca seca",IF(I2318="Youngstock","Bezerra/recria","Novilha"))))</f>
        <v>Vaca em lactação</v>
      </c>
      <c r="X2318" s="0" t="str">
        <f aca="false">IF(AND(B2318&gt;=1,B2318&lt;=6),"Tanque",IF(B2318=10,"Descarte",""))</f>
        <v>Descarte</v>
      </c>
    </row>
    <row r="2319" customFormat="false" ht="15" hidden="false" customHeight="false" outlineLevel="0" collapsed="false">
      <c r="A2319" s="22" t="n">
        <v>46309</v>
      </c>
      <c r="B2319" s="0" t="n">
        <v>10</v>
      </c>
      <c r="C2319" s="0" t="n">
        <v>5833</v>
      </c>
      <c r="D2319" s="0" t="n">
        <v>112</v>
      </c>
      <c r="E2319" s="0" t="n">
        <v>1</v>
      </c>
      <c r="F2319" s="23" t="s">
        <v>147</v>
      </c>
      <c r="G2319" s="0" t="n">
        <v>27.5</v>
      </c>
      <c r="H2319" s="0" t="n">
        <v>32</v>
      </c>
      <c r="I2319" s="23" t="s">
        <v>97</v>
      </c>
      <c r="J2319" s="0" t="n">
        <v>112</v>
      </c>
      <c r="K2319" s="0" t="n">
        <v>64</v>
      </c>
      <c r="P2319" s="0" t="n">
        <v>4.42</v>
      </c>
      <c r="Q2319" s="0" t="n">
        <v>3.08</v>
      </c>
      <c r="R2319" s="0" t="n">
        <v>4104</v>
      </c>
      <c r="S2319" s="0" t="n">
        <v>8349</v>
      </c>
      <c r="T2319" s="0" t="n">
        <v>44.75</v>
      </c>
      <c r="U2319" s="0" t="n">
        <v>781</v>
      </c>
      <c r="V2319" s="0" t="n">
        <v>2</v>
      </c>
      <c r="W2319" s="0" t="str">
        <f aca="false">IF(OR(AND(B2319&gt;=1,B2319&lt;=6),B2319=10),"Vaca em lactação",IF(I2319="Male","Macho",IF(E2319&gt;=1,"Vaca seca",IF(I2319="Youngstock","Bezerra/recria","Novilha"))))</f>
        <v>Vaca em lactação</v>
      </c>
      <c r="X2319" s="0" t="str">
        <f aca="false">IF(AND(B2319&gt;=1,B2319&lt;=6),"Tanque",IF(B2319=10,"Descarte",""))</f>
        <v>Descarte</v>
      </c>
    </row>
    <row r="2320" customFormat="false" ht="15" hidden="false" customHeight="false" outlineLevel="0" collapsed="false">
      <c r="A2320" s="22" t="n">
        <v>46309</v>
      </c>
      <c r="B2320" s="0" t="n">
        <v>10</v>
      </c>
      <c r="C2320" s="0" t="n">
        <v>100</v>
      </c>
      <c r="D2320" s="0" t="n">
        <v>294</v>
      </c>
      <c r="E2320" s="0" t="n">
        <v>1</v>
      </c>
      <c r="F2320" s="23" t="s">
        <v>790</v>
      </c>
      <c r="G2320" s="0" t="n">
        <v>29.9</v>
      </c>
      <c r="H2320" s="0" t="n">
        <v>42</v>
      </c>
      <c r="I2320" s="23" t="s">
        <v>92</v>
      </c>
      <c r="J2320" s="0" t="n">
        <v>184</v>
      </c>
      <c r="K2320" s="0" t="n">
        <v>70</v>
      </c>
      <c r="L2320" s="0" t="n">
        <v>110</v>
      </c>
      <c r="P2320" s="0" t="n">
        <v>4.02</v>
      </c>
      <c r="Q2320" s="0" t="n">
        <v>3.78</v>
      </c>
      <c r="R2320" s="0" t="n">
        <v>4013</v>
      </c>
      <c r="S2320" s="0" t="n">
        <v>10979</v>
      </c>
      <c r="T2320" s="0" t="n">
        <v>58.85</v>
      </c>
      <c r="U2320" s="0" t="n">
        <v>1082</v>
      </c>
      <c r="V2320" s="0" t="n">
        <v>4</v>
      </c>
      <c r="W2320" s="0" t="str">
        <f aca="false">IF(OR(AND(B2320&gt;=1,B2320&lt;=6),B2320=10),"Vaca em lactação",IF(I2320="Male","Macho",IF(E2320&gt;=1,"Vaca seca",IF(I2320="Youngstock","Bezerra/recria","Novilha"))))</f>
        <v>Vaca em lactação</v>
      </c>
      <c r="X2320" s="0" t="str">
        <f aca="false">IF(AND(B2320&gt;=1,B2320&lt;=6),"Tanque",IF(B2320=10,"Descarte",""))</f>
        <v>Descarte</v>
      </c>
    </row>
    <row r="2321" customFormat="false" ht="15" hidden="false" customHeight="false" outlineLevel="0" collapsed="false">
      <c r="A2321" s="22" t="n">
        <v>46309</v>
      </c>
      <c r="B2321" s="0" t="n">
        <v>10</v>
      </c>
      <c r="C2321" s="0" t="n">
        <v>6199</v>
      </c>
      <c r="D2321" s="0" t="n">
        <v>11</v>
      </c>
      <c r="E2321" s="0" t="n">
        <v>1</v>
      </c>
      <c r="F2321" s="23" t="s">
        <v>201</v>
      </c>
      <c r="H2321" s="0" t="n">
        <v>21</v>
      </c>
      <c r="I2321" s="23" t="s">
        <v>94</v>
      </c>
      <c r="J2321" s="0" t="n">
        <v>11</v>
      </c>
      <c r="R2321" s="0" t="n">
        <v>1906</v>
      </c>
      <c r="S2321" s="0" t="n">
        <v>3831</v>
      </c>
      <c r="U2321" s="0" t="n">
        <v>647</v>
      </c>
      <c r="V2321" s="0" t="n">
        <v>0</v>
      </c>
      <c r="W2321" s="0" t="str">
        <f aca="false">IF(OR(AND(B2321&gt;=1,B2321&lt;=6),B2321=10),"Vaca em lactação",IF(I2321="Male","Macho",IF(E2321&gt;=1,"Vaca seca",IF(I2321="Youngstock","Bezerra/recria","Novilha"))))</f>
        <v>Vaca em lactação</v>
      </c>
      <c r="X2321" s="0" t="str">
        <f aca="false">IF(AND(B2321&gt;=1,B2321&lt;=6),"Tanque",IF(B2321=10,"Descarte",""))</f>
        <v>Descarte</v>
      </c>
    </row>
    <row r="2322" customFormat="false" ht="15" hidden="false" customHeight="false" outlineLevel="0" collapsed="false">
      <c r="A2322" s="22" t="n">
        <v>46309</v>
      </c>
      <c r="B2322" s="0" t="n">
        <v>10</v>
      </c>
      <c r="C2322" s="0" t="n">
        <v>6118</v>
      </c>
      <c r="D2322" s="0" t="n">
        <v>30</v>
      </c>
      <c r="E2322" s="0" t="n">
        <v>1</v>
      </c>
      <c r="F2322" s="23" t="s">
        <v>216</v>
      </c>
      <c r="G2322" s="0" t="n">
        <v>28.2</v>
      </c>
      <c r="H2322" s="0" t="n">
        <v>34</v>
      </c>
      <c r="I2322" s="23" t="s">
        <v>94</v>
      </c>
      <c r="J2322" s="0" t="n">
        <v>30</v>
      </c>
      <c r="R2322" s="0" t="n">
        <v>3405</v>
      </c>
      <c r="S2322" s="0" t="n">
        <v>6845</v>
      </c>
      <c r="U2322" s="0" t="n">
        <v>673</v>
      </c>
      <c r="V2322" s="0" t="n">
        <v>0</v>
      </c>
      <c r="W2322" s="0" t="str">
        <f aca="false">IF(OR(AND(B2322&gt;=1,B2322&lt;=6),B2322=10),"Vaca em lactação",IF(I2322="Male","Macho",IF(E2322&gt;=1,"Vaca seca",IF(I2322="Youngstock","Bezerra/recria","Novilha"))))</f>
        <v>Vaca em lactação</v>
      </c>
      <c r="X2322" s="0" t="str">
        <f aca="false">IF(AND(B2322&gt;=1,B2322&lt;=6),"Tanque",IF(B2322=10,"Descarte",""))</f>
        <v>Descarte</v>
      </c>
    </row>
    <row r="2323" customFormat="false" ht="15" hidden="false" customHeight="false" outlineLevel="0" collapsed="false">
      <c r="A2323" s="22" t="n">
        <v>46309</v>
      </c>
      <c r="B2323" s="0" t="n">
        <v>10</v>
      </c>
      <c r="C2323" s="0" t="n">
        <v>6237</v>
      </c>
      <c r="D2323" s="0" t="n">
        <v>10</v>
      </c>
      <c r="E2323" s="0" t="n">
        <v>1</v>
      </c>
      <c r="F2323" s="23" t="s">
        <v>1051</v>
      </c>
      <c r="H2323" s="0" t="n">
        <v>20</v>
      </c>
      <c r="I2323" s="23" t="s">
        <v>94</v>
      </c>
      <c r="J2323" s="0" t="n">
        <v>10</v>
      </c>
      <c r="R2323" s="0" t="n">
        <v>1726</v>
      </c>
      <c r="S2323" s="0" t="n">
        <v>3469</v>
      </c>
      <c r="U2323" s="0" t="n">
        <v>630</v>
      </c>
      <c r="V2323" s="0" t="n">
        <v>0</v>
      </c>
      <c r="W2323" s="0" t="str">
        <f aca="false">IF(OR(AND(B2323&gt;=1,B2323&lt;=6),B2323=10),"Vaca em lactação",IF(I2323="Male","Macho",IF(E2323&gt;=1,"Vaca seca",IF(I2323="Youngstock","Bezerra/recria","Novilha"))))</f>
        <v>Vaca em lactação</v>
      </c>
      <c r="X2323" s="0" t="str">
        <f aca="false">IF(AND(B2323&gt;=1,B2323&lt;=6),"Tanque",IF(B2323=10,"Descarte",""))</f>
        <v>Descarte</v>
      </c>
    </row>
    <row r="2324" customFormat="false" ht="15" hidden="false" customHeight="false" outlineLevel="0" collapsed="false">
      <c r="A2324" s="22" t="n">
        <v>46309</v>
      </c>
      <c r="B2324" s="0" t="n">
        <v>10</v>
      </c>
      <c r="C2324" s="0" t="n">
        <v>6217</v>
      </c>
      <c r="D2324" s="0" t="n">
        <v>10</v>
      </c>
      <c r="E2324" s="0" t="n">
        <v>1</v>
      </c>
      <c r="F2324" s="23" t="s">
        <v>1033</v>
      </c>
      <c r="G2324" s="0" t="n">
        <v>29.4</v>
      </c>
      <c r="H2324" s="0" t="n">
        <v>23</v>
      </c>
      <c r="I2324" s="23" t="s">
        <v>94</v>
      </c>
      <c r="J2324" s="0" t="n">
        <v>10</v>
      </c>
      <c r="R2324" s="0" t="n">
        <v>2054</v>
      </c>
      <c r="S2324" s="0" t="n">
        <v>4129</v>
      </c>
      <c r="U2324" s="0" t="n">
        <v>640</v>
      </c>
      <c r="V2324" s="0" t="n">
        <v>0</v>
      </c>
      <c r="W2324" s="0" t="str">
        <f aca="false">IF(OR(AND(B2324&gt;=1,B2324&lt;=6),B2324=10),"Vaca em lactação",IF(I2324="Male","Macho",IF(E2324&gt;=1,"Vaca seca",IF(I2324="Youngstock","Bezerra/recria","Novilha"))))</f>
        <v>Vaca em lactação</v>
      </c>
      <c r="X2324" s="0" t="str">
        <f aca="false">IF(AND(B2324&gt;=1,B2324&lt;=6),"Tanque",IF(B2324=10,"Descarte",""))</f>
        <v>Descarte</v>
      </c>
    </row>
    <row r="2325" customFormat="false" ht="15" hidden="false" customHeight="false" outlineLevel="0" collapsed="false">
      <c r="A2325" s="22" t="n">
        <v>46309</v>
      </c>
      <c r="B2325" s="0" t="n">
        <v>10</v>
      </c>
      <c r="C2325" s="0" t="n">
        <v>101</v>
      </c>
      <c r="D2325" s="0" t="n">
        <v>197</v>
      </c>
      <c r="E2325" s="0" t="n">
        <v>1</v>
      </c>
      <c r="F2325" s="23" t="s">
        <v>649</v>
      </c>
      <c r="G2325" s="0" t="n">
        <v>22.5</v>
      </c>
      <c r="H2325" s="0" t="n">
        <v>32</v>
      </c>
      <c r="I2325" s="23" t="s">
        <v>92</v>
      </c>
      <c r="J2325" s="0" t="n">
        <v>106</v>
      </c>
      <c r="K2325" s="0" t="n">
        <v>106</v>
      </c>
      <c r="L2325" s="0" t="n">
        <v>91</v>
      </c>
      <c r="P2325" s="0" t="n">
        <v>5.18</v>
      </c>
      <c r="Q2325" s="0" t="n">
        <v>3.53</v>
      </c>
      <c r="R2325" s="0" t="n">
        <v>4966</v>
      </c>
      <c r="S2325" s="0" t="n">
        <v>9906</v>
      </c>
      <c r="T2325" s="0" t="n">
        <v>58.75</v>
      </c>
      <c r="U2325" s="0" t="n">
        <v>865</v>
      </c>
      <c r="V2325" s="0" t="n">
        <v>1</v>
      </c>
      <c r="W2325" s="0" t="str">
        <f aca="false">IF(OR(AND(B2325&gt;=1,B2325&lt;=6),B2325=10),"Vaca em lactação",IF(I2325="Male","Macho",IF(E2325&gt;=1,"Vaca seca",IF(I2325="Youngstock","Bezerra/recria","Novilha"))))</f>
        <v>Vaca em lactação</v>
      </c>
      <c r="X2325" s="0" t="str">
        <f aca="false">IF(AND(B2325&gt;=1,B2325&lt;=6),"Tanque",IF(B2325=10,"Descarte",""))</f>
        <v>Descarte</v>
      </c>
    </row>
    <row r="2326" customFormat="false" ht="15" hidden="false" customHeight="false" outlineLevel="0" collapsed="false">
      <c r="A2326" s="22" t="n">
        <v>46309</v>
      </c>
      <c r="B2326" s="0" t="n">
        <v>10</v>
      </c>
      <c r="C2326" s="0" t="n">
        <v>1571</v>
      </c>
      <c r="D2326" s="0" t="n">
        <v>213</v>
      </c>
      <c r="E2326" s="0" t="n">
        <v>2</v>
      </c>
      <c r="F2326" s="23" t="s">
        <v>524</v>
      </c>
      <c r="G2326" s="0" t="n">
        <v>13.1</v>
      </c>
      <c r="H2326" s="0" t="n">
        <v>30</v>
      </c>
      <c r="I2326" s="23" t="s">
        <v>92</v>
      </c>
      <c r="J2326" s="0" t="n">
        <v>73</v>
      </c>
      <c r="K2326" s="0" t="n">
        <v>73</v>
      </c>
      <c r="L2326" s="0" t="n">
        <v>140</v>
      </c>
      <c r="P2326" s="0" t="n">
        <v>2.01</v>
      </c>
      <c r="Q2326" s="0" t="n">
        <v>3.92</v>
      </c>
      <c r="R2326" s="0" t="n">
        <v>6013</v>
      </c>
      <c r="S2326" s="0" t="n">
        <v>11418</v>
      </c>
      <c r="T2326" s="0" t="n">
        <v>57.05</v>
      </c>
      <c r="U2326" s="0" t="n">
        <v>1313</v>
      </c>
      <c r="V2326" s="0" t="n">
        <v>1</v>
      </c>
      <c r="W2326" s="0" t="str">
        <f aca="false">IF(OR(AND(B2326&gt;=1,B2326&lt;=6),B2326=10),"Vaca em lactação",IF(I2326="Male","Macho",IF(E2326&gt;=1,"Vaca seca",IF(I2326="Youngstock","Bezerra/recria","Novilha"))))</f>
        <v>Vaca em lactação</v>
      </c>
      <c r="X2326" s="0" t="str">
        <f aca="false">IF(AND(B2326&gt;=1,B2326&lt;=6),"Tanque",IF(B2326=10,"Descarte",""))</f>
        <v>Descarte</v>
      </c>
    </row>
    <row r="2327" customFormat="false" ht="15" hidden="false" customHeight="false" outlineLevel="0" collapsed="false">
      <c r="A2327" s="22" t="n">
        <v>46309</v>
      </c>
      <c r="B2327" s="0" t="n">
        <v>10</v>
      </c>
      <c r="C2327" s="0" t="n">
        <v>30400</v>
      </c>
      <c r="E2327" s="0" t="n">
        <v>0</v>
      </c>
      <c r="F2327" s="23" t="s">
        <v>1208</v>
      </c>
      <c r="I2327" s="23" t="s">
        <v>1209</v>
      </c>
      <c r="U2327" s="0" t="n">
        <v>317</v>
      </c>
      <c r="V2327" s="0" t="n">
        <v>0</v>
      </c>
      <c r="W2327" s="0" t="str">
        <f aca="false">IF(OR(AND(B2327&gt;=1,B2327&lt;=6),B2327=10),"Vaca em lactação",IF(I2327="Male","Macho",IF(E2327&gt;=1,"Vaca seca",IF(I2327="Youngstock","Bezerra/recria","Novilha"))))</f>
        <v>Vaca em lactação</v>
      </c>
      <c r="X2327" s="0" t="str">
        <f aca="false">IF(AND(B2327&gt;=1,B2327&lt;=6),"Tanque",IF(B2327=10,"Descarte",""))</f>
        <v>Descarte</v>
      </c>
    </row>
    <row r="2328" customFormat="false" ht="15" hidden="false" customHeight="false" outlineLevel="0" collapsed="false">
      <c r="A2328" s="22" t="n">
        <v>46309</v>
      </c>
      <c r="B2328" s="0" t="n">
        <v>10</v>
      </c>
      <c r="C2328" s="0" t="n">
        <v>30424</v>
      </c>
      <c r="D2328" s="0" t="n">
        <v>152</v>
      </c>
      <c r="E2328" s="0" t="n">
        <v>1</v>
      </c>
      <c r="F2328" s="23" t="s">
        <v>417</v>
      </c>
      <c r="G2328" s="0" t="n">
        <v>30.5</v>
      </c>
      <c r="H2328" s="0" t="n">
        <v>41</v>
      </c>
      <c r="I2328" s="23" t="s">
        <v>97</v>
      </c>
      <c r="J2328" s="0" t="n">
        <v>152</v>
      </c>
      <c r="K2328" s="0" t="n">
        <v>64</v>
      </c>
      <c r="P2328" s="0" t="n">
        <v>0</v>
      </c>
      <c r="Q2328" s="0" t="n">
        <v>0</v>
      </c>
      <c r="S2328" s="0" t="n">
        <v>10808</v>
      </c>
      <c r="U2328" s="0" t="n">
        <v>1841</v>
      </c>
      <c r="V2328" s="0" t="n">
        <v>3</v>
      </c>
      <c r="W2328" s="0" t="str">
        <f aca="false">IF(OR(AND(B2328&gt;=1,B2328&lt;=6),B2328=10),"Vaca em lactação",IF(I2328="Male","Macho",IF(E2328&gt;=1,"Vaca seca",IF(I2328="Youngstock","Bezerra/recria","Novilha"))))</f>
        <v>Vaca em lactação</v>
      </c>
      <c r="X2328" s="0" t="str">
        <f aca="false">IF(AND(B2328&gt;=1,B2328&lt;=6),"Tanque",IF(B2328=10,"Descarte",""))</f>
        <v>Descarte</v>
      </c>
    </row>
    <row r="2329" customFormat="false" ht="15" hidden="false" customHeight="false" outlineLevel="0" collapsed="false">
      <c r="A2329" s="22" t="n">
        <v>46309</v>
      </c>
      <c r="B2329" s="0" t="n">
        <v>11</v>
      </c>
      <c r="C2329" s="0" t="n">
        <v>5772</v>
      </c>
      <c r="E2329" s="0" t="n">
        <v>0</v>
      </c>
      <c r="F2329" s="23" t="s">
        <v>127</v>
      </c>
      <c r="I2329" s="23" t="s">
        <v>97</v>
      </c>
      <c r="U2329" s="0" t="n">
        <v>801</v>
      </c>
      <c r="V2329" s="0" t="n">
        <v>13</v>
      </c>
      <c r="W2329" s="0" t="str">
        <f aca="false">IF(OR(AND(B2329&gt;=1,B2329&lt;=6),B2329=10),"Vaca em lactação",IF(I2329="Male","Macho",IF(E2329&gt;=1,"Vaca seca",IF(I2329="Youngstock","Bezerra/recria","Novilha"))))</f>
        <v>Novilha</v>
      </c>
      <c r="X2329" s="0" t="str">
        <f aca="false">IF(AND(B2329&gt;=1,B2329&lt;=6),"Tanque",IF(B2329=10,"Descarte",""))</f>
        <v/>
      </c>
    </row>
    <row r="2330" customFormat="false" ht="15" hidden="false" customHeight="false" outlineLevel="0" collapsed="false">
      <c r="A2330" s="22" t="n">
        <v>46309</v>
      </c>
      <c r="B2330" s="0" t="n">
        <v>11</v>
      </c>
      <c r="C2330" s="0" t="n">
        <v>5996</v>
      </c>
      <c r="E2330" s="0" t="n">
        <v>0</v>
      </c>
      <c r="F2330" s="23" t="s">
        <v>152</v>
      </c>
      <c r="I2330" s="23" t="s">
        <v>97</v>
      </c>
      <c r="U2330" s="0" t="n">
        <v>723</v>
      </c>
      <c r="V2330" s="0" t="n">
        <v>12</v>
      </c>
      <c r="W2330" s="0" t="str">
        <f aca="false">IF(OR(AND(B2330&gt;=1,B2330&lt;=6),B2330=10),"Vaca em lactação",IF(I2330="Male","Macho",IF(E2330&gt;=1,"Vaca seca",IF(I2330="Youngstock","Bezerra/recria","Novilha"))))</f>
        <v>Novilha</v>
      </c>
      <c r="X2330" s="0" t="str">
        <f aca="false">IF(AND(B2330&gt;=1,B2330&lt;=6),"Tanque",IF(B2330=10,"Descarte",""))</f>
        <v/>
      </c>
    </row>
    <row r="2331" customFormat="false" ht="15" hidden="false" customHeight="false" outlineLevel="0" collapsed="false">
      <c r="A2331" s="22" t="n">
        <v>46309</v>
      </c>
      <c r="B2331" s="0" t="n">
        <v>11</v>
      </c>
      <c r="C2331" s="0" t="n">
        <v>5976</v>
      </c>
      <c r="E2331" s="0" t="n">
        <v>0</v>
      </c>
      <c r="F2331" s="23" t="s">
        <v>1038</v>
      </c>
      <c r="I2331" s="23" t="s">
        <v>109</v>
      </c>
      <c r="U2331" s="0" t="n">
        <v>729</v>
      </c>
      <c r="V2331" s="0" t="n">
        <v>10</v>
      </c>
      <c r="W2331" s="0" t="str">
        <f aca="false">IF(OR(AND(B2331&gt;=1,B2331&lt;=6),B2331=10),"Vaca em lactação",IF(I2331="Male","Macho",IF(E2331&gt;=1,"Vaca seca",IF(I2331="Youngstock","Bezerra/recria","Novilha"))))</f>
        <v>Novilha</v>
      </c>
      <c r="X2331" s="0" t="str">
        <f aca="false">IF(AND(B2331&gt;=1,B2331&lt;=6),"Tanque",IF(B2331=10,"Descarte",""))</f>
        <v/>
      </c>
    </row>
    <row r="2332" customFormat="false" ht="15" hidden="false" customHeight="false" outlineLevel="0" collapsed="false">
      <c r="A2332" s="22" t="n">
        <v>46309</v>
      </c>
      <c r="B2332" s="0" t="n">
        <v>11</v>
      </c>
      <c r="C2332" s="0" t="n">
        <v>6178</v>
      </c>
      <c r="E2332" s="0" t="n">
        <v>0</v>
      </c>
      <c r="F2332" s="23" t="s">
        <v>210</v>
      </c>
      <c r="I2332" s="23" t="s">
        <v>97</v>
      </c>
      <c r="U2332" s="0" t="n">
        <v>657</v>
      </c>
      <c r="V2332" s="0" t="n">
        <v>12</v>
      </c>
      <c r="W2332" s="0" t="str">
        <f aca="false">IF(OR(AND(B2332&gt;=1,B2332&lt;=6),B2332=10),"Vaca em lactação",IF(I2332="Male","Macho",IF(E2332&gt;=1,"Vaca seca",IF(I2332="Youngstock","Bezerra/recria","Novilha"))))</f>
        <v>Novilha</v>
      </c>
      <c r="X2332" s="0" t="str">
        <f aca="false">IF(AND(B2332&gt;=1,B2332&lt;=6),"Tanque",IF(B2332=10,"Descarte",""))</f>
        <v/>
      </c>
    </row>
    <row r="2333" customFormat="false" ht="15" hidden="false" customHeight="false" outlineLevel="0" collapsed="false">
      <c r="A2333" s="22" t="n">
        <v>46309</v>
      </c>
      <c r="B2333" s="0" t="n">
        <v>11</v>
      </c>
      <c r="C2333" s="0" t="n">
        <v>6242</v>
      </c>
      <c r="E2333" s="0" t="n">
        <v>0</v>
      </c>
      <c r="F2333" s="23" t="s">
        <v>1051</v>
      </c>
      <c r="I2333" s="23" t="s">
        <v>97</v>
      </c>
      <c r="U2333" s="0" t="n">
        <v>630</v>
      </c>
      <c r="V2333" s="0" t="n">
        <v>7</v>
      </c>
      <c r="W2333" s="0" t="str">
        <f aca="false">IF(OR(AND(B2333&gt;=1,B2333&lt;=6),B2333=10),"Vaca em lactação",IF(I2333="Male","Macho",IF(E2333&gt;=1,"Vaca seca",IF(I2333="Youngstock","Bezerra/recria","Novilha"))))</f>
        <v>Novilha</v>
      </c>
      <c r="X2333" s="0" t="str">
        <f aca="false">IF(AND(B2333&gt;=1,B2333&lt;=6),"Tanque",IF(B2333=10,"Descarte",""))</f>
        <v/>
      </c>
    </row>
    <row r="2334" customFormat="false" ht="15" hidden="false" customHeight="false" outlineLevel="0" collapsed="false">
      <c r="A2334" s="22" t="n">
        <v>46309</v>
      </c>
      <c r="B2334" s="0" t="n">
        <v>11</v>
      </c>
      <c r="C2334" s="0" t="n">
        <v>6409</v>
      </c>
      <c r="E2334" s="0" t="n">
        <v>0</v>
      </c>
      <c r="F2334" s="23" t="s">
        <v>1074</v>
      </c>
      <c r="I2334" s="23" t="s">
        <v>97</v>
      </c>
      <c r="U2334" s="0" t="n">
        <v>570</v>
      </c>
      <c r="V2334" s="0" t="n">
        <v>5</v>
      </c>
      <c r="W2334" s="0" t="str">
        <f aca="false">IF(OR(AND(B2334&gt;=1,B2334&lt;=6),B2334=10),"Vaca em lactação",IF(I2334="Male","Macho",IF(E2334&gt;=1,"Vaca seca",IF(I2334="Youngstock","Bezerra/recria","Novilha"))))</f>
        <v>Novilha</v>
      </c>
      <c r="X2334" s="0" t="str">
        <f aca="false">IF(AND(B2334&gt;=1,B2334&lt;=6),"Tanque",IF(B2334=10,"Descarte",""))</f>
        <v/>
      </c>
    </row>
    <row r="2335" customFormat="false" ht="15" hidden="false" customHeight="false" outlineLevel="0" collapsed="false">
      <c r="A2335" s="22" t="n">
        <v>46309</v>
      </c>
      <c r="B2335" s="0" t="n">
        <v>11</v>
      </c>
      <c r="C2335" s="0" t="n">
        <v>6384</v>
      </c>
      <c r="E2335" s="0" t="n">
        <v>0</v>
      </c>
      <c r="F2335" s="23" t="s">
        <v>1082</v>
      </c>
      <c r="I2335" s="23" t="s">
        <v>97</v>
      </c>
      <c r="U2335" s="0" t="n">
        <v>579</v>
      </c>
      <c r="V2335" s="0" t="n">
        <v>6</v>
      </c>
      <c r="W2335" s="0" t="str">
        <f aca="false">IF(OR(AND(B2335&gt;=1,B2335&lt;=6),B2335=10),"Vaca em lactação",IF(I2335="Male","Macho",IF(E2335&gt;=1,"Vaca seca",IF(I2335="Youngstock","Bezerra/recria","Novilha"))))</f>
        <v>Novilha</v>
      </c>
      <c r="X2335" s="0" t="str">
        <f aca="false">IF(AND(B2335&gt;=1,B2335&lt;=6),"Tanque",IF(B2335=10,"Descarte",""))</f>
        <v/>
      </c>
    </row>
    <row r="2336" customFormat="false" ht="15" hidden="false" customHeight="false" outlineLevel="0" collapsed="false">
      <c r="A2336" s="22" t="n">
        <v>46309</v>
      </c>
      <c r="B2336" s="0" t="n">
        <v>11</v>
      </c>
      <c r="C2336" s="0" t="n">
        <v>6374</v>
      </c>
      <c r="E2336" s="0" t="n">
        <v>0</v>
      </c>
      <c r="F2336" s="23" t="s">
        <v>1088</v>
      </c>
      <c r="I2336" s="23" t="s">
        <v>97</v>
      </c>
      <c r="U2336" s="0" t="n">
        <v>583</v>
      </c>
      <c r="V2336" s="0" t="n">
        <v>6</v>
      </c>
      <c r="W2336" s="0" t="str">
        <f aca="false">IF(OR(AND(B2336&gt;=1,B2336&lt;=6),B2336=10),"Vaca em lactação",IF(I2336="Male","Macho",IF(E2336&gt;=1,"Vaca seca",IF(I2336="Youngstock","Bezerra/recria","Novilha"))))</f>
        <v>Novilha</v>
      </c>
      <c r="X2336" s="0" t="str">
        <f aca="false">IF(AND(B2336&gt;=1,B2336&lt;=6),"Tanque",IF(B2336=10,"Descarte",""))</f>
        <v/>
      </c>
    </row>
    <row r="2337" customFormat="false" ht="15" hidden="false" customHeight="false" outlineLevel="0" collapsed="false">
      <c r="A2337" s="22" t="n">
        <v>46309</v>
      </c>
      <c r="B2337" s="0" t="n">
        <v>11</v>
      </c>
      <c r="C2337" s="0" t="n">
        <v>6451</v>
      </c>
      <c r="E2337" s="0" t="n">
        <v>0</v>
      </c>
      <c r="F2337" s="23" t="s">
        <v>1104</v>
      </c>
      <c r="I2337" s="23" t="s">
        <v>97</v>
      </c>
      <c r="U2337" s="0" t="n">
        <v>555</v>
      </c>
      <c r="V2337" s="0" t="n">
        <v>6</v>
      </c>
      <c r="W2337" s="0" t="str">
        <f aca="false">IF(OR(AND(B2337&gt;=1,B2337&lt;=6),B2337=10),"Vaca em lactação",IF(I2337="Male","Macho",IF(E2337&gt;=1,"Vaca seca",IF(I2337="Youngstock","Bezerra/recria","Novilha"))))</f>
        <v>Novilha</v>
      </c>
      <c r="X2337" s="0" t="str">
        <f aca="false">IF(AND(B2337&gt;=1,B2337&lt;=6),"Tanque",IF(B2337=10,"Descarte",""))</f>
        <v/>
      </c>
    </row>
    <row r="2338" customFormat="false" ht="15" hidden="false" customHeight="false" outlineLevel="0" collapsed="false">
      <c r="A2338" s="22" t="n">
        <v>46309</v>
      </c>
      <c r="B2338" s="0" t="n">
        <v>11</v>
      </c>
      <c r="C2338" s="0" t="n">
        <v>6452</v>
      </c>
      <c r="E2338" s="0" t="n">
        <v>0</v>
      </c>
      <c r="F2338" s="23" t="s">
        <v>1210</v>
      </c>
      <c r="I2338" s="23" t="s">
        <v>97</v>
      </c>
      <c r="U2338" s="0" t="n">
        <v>554</v>
      </c>
      <c r="V2338" s="0" t="n">
        <v>6</v>
      </c>
      <c r="W2338" s="0" t="str">
        <f aca="false">IF(OR(AND(B2338&gt;=1,B2338&lt;=6),B2338=10),"Vaca em lactação",IF(I2338="Male","Macho",IF(E2338&gt;=1,"Vaca seca",IF(I2338="Youngstock","Bezerra/recria","Novilha"))))</f>
        <v>Novilha</v>
      </c>
      <c r="X2338" s="0" t="str">
        <f aca="false">IF(AND(B2338&gt;=1,B2338&lt;=6),"Tanque",IF(B2338=10,"Descarte",""))</f>
        <v/>
      </c>
    </row>
    <row r="2339" customFormat="false" ht="15" hidden="false" customHeight="false" outlineLevel="0" collapsed="false">
      <c r="A2339" s="22" t="n">
        <v>46309</v>
      </c>
      <c r="B2339" s="0" t="n">
        <v>11</v>
      </c>
      <c r="C2339" s="0" t="n">
        <v>6420</v>
      </c>
      <c r="E2339" s="0" t="n">
        <v>0</v>
      </c>
      <c r="F2339" s="23" t="s">
        <v>1106</v>
      </c>
      <c r="I2339" s="23" t="s">
        <v>97</v>
      </c>
      <c r="U2339" s="0" t="n">
        <v>565</v>
      </c>
      <c r="V2339" s="0" t="n">
        <v>4</v>
      </c>
      <c r="W2339" s="0" t="str">
        <f aca="false">IF(OR(AND(B2339&gt;=1,B2339&lt;=6),B2339=10),"Vaca em lactação",IF(I2339="Male","Macho",IF(E2339&gt;=1,"Vaca seca",IF(I2339="Youngstock","Bezerra/recria","Novilha"))))</f>
        <v>Novilha</v>
      </c>
      <c r="X2339" s="0" t="str">
        <f aca="false">IF(AND(B2339&gt;=1,B2339&lt;=6),"Tanque",IF(B2339=10,"Descarte",""))</f>
        <v/>
      </c>
    </row>
    <row r="2340" customFormat="false" ht="15" hidden="false" customHeight="false" outlineLevel="0" collapsed="false">
      <c r="A2340" s="22" t="n">
        <v>46309</v>
      </c>
      <c r="B2340" s="0" t="n">
        <v>11</v>
      </c>
      <c r="C2340" s="0" t="n">
        <v>6427</v>
      </c>
      <c r="E2340" s="0" t="n">
        <v>0</v>
      </c>
      <c r="F2340" s="23" t="s">
        <v>1109</v>
      </c>
      <c r="I2340" s="23" t="s">
        <v>97</v>
      </c>
      <c r="U2340" s="0" t="n">
        <v>562</v>
      </c>
      <c r="V2340" s="0" t="n">
        <v>7</v>
      </c>
      <c r="W2340" s="0" t="str">
        <f aca="false">IF(OR(AND(B2340&gt;=1,B2340&lt;=6),B2340=10),"Vaca em lactação",IF(I2340="Male","Macho",IF(E2340&gt;=1,"Vaca seca",IF(I2340="Youngstock","Bezerra/recria","Novilha"))))</f>
        <v>Novilha</v>
      </c>
      <c r="X2340" s="0" t="str">
        <f aca="false">IF(AND(B2340&gt;=1,B2340&lt;=6),"Tanque",IF(B2340=10,"Descarte",""))</f>
        <v/>
      </c>
    </row>
    <row r="2341" customFormat="false" ht="15" hidden="false" customHeight="false" outlineLevel="0" collapsed="false">
      <c r="A2341" s="22" t="n">
        <v>46309</v>
      </c>
      <c r="B2341" s="0" t="n">
        <v>11</v>
      </c>
      <c r="C2341" s="0" t="n">
        <v>6543</v>
      </c>
      <c r="E2341" s="0" t="n">
        <v>0</v>
      </c>
      <c r="F2341" s="23" t="s">
        <v>1113</v>
      </c>
      <c r="I2341" s="23" t="s">
        <v>97</v>
      </c>
      <c r="U2341" s="0" t="n">
        <v>519</v>
      </c>
      <c r="V2341" s="0" t="n">
        <v>4</v>
      </c>
      <c r="W2341" s="0" t="str">
        <f aca="false">IF(OR(AND(B2341&gt;=1,B2341&lt;=6),B2341=10),"Vaca em lactação",IF(I2341="Male","Macho",IF(E2341&gt;=1,"Vaca seca",IF(I2341="Youngstock","Bezerra/recria","Novilha"))))</f>
        <v>Novilha</v>
      </c>
      <c r="X2341" s="0" t="str">
        <f aca="false">IF(AND(B2341&gt;=1,B2341&lt;=6),"Tanque",IF(B2341=10,"Descarte",""))</f>
        <v/>
      </c>
    </row>
    <row r="2342" customFormat="false" ht="15" hidden="false" customHeight="false" outlineLevel="0" collapsed="false">
      <c r="A2342" s="22" t="n">
        <v>46309</v>
      </c>
      <c r="B2342" s="0" t="n">
        <v>11</v>
      </c>
      <c r="C2342" s="0" t="n">
        <v>6565</v>
      </c>
      <c r="E2342" s="0" t="n">
        <v>0</v>
      </c>
      <c r="F2342" s="23" t="s">
        <v>1118</v>
      </c>
      <c r="I2342" s="23" t="s">
        <v>97</v>
      </c>
      <c r="U2342" s="0" t="n">
        <v>514</v>
      </c>
      <c r="V2342" s="0" t="n">
        <v>4</v>
      </c>
      <c r="W2342" s="0" t="str">
        <f aca="false">IF(OR(AND(B2342&gt;=1,B2342&lt;=6),B2342=10),"Vaca em lactação",IF(I2342="Male","Macho",IF(E2342&gt;=1,"Vaca seca",IF(I2342="Youngstock","Bezerra/recria","Novilha"))))</f>
        <v>Novilha</v>
      </c>
      <c r="X2342" s="0" t="str">
        <f aca="false">IF(AND(B2342&gt;=1,B2342&lt;=6),"Tanque",IF(B2342=10,"Descarte",""))</f>
        <v/>
      </c>
    </row>
    <row r="2343" customFormat="false" ht="15" hidden="false" customHeight="false" outlineLevel="0" collapsed="false">
      <c r="A2343" s="22" t="n">
        <v>46309</v>
      </c>
      <c r="B2343" s="0" t="n">
        <v>11</v>
      </c>
      <c r="C2343" s="0" t="n">
        <v>6562</v>
      </c>
      <c r="E2343" s="0" t="n">
        <v>0</v>
      </c>
      <c r="F2343" s="23" t="s">
        <v>1117</v>
      </c>
      <c r="I2343" s="23" t="s">
        <v>97</v>
      </c>
      <c r="U2343" s="0" t="n">
        <v>515</v>
      </c>
      <c r="V2343" s="0" t="n">
        <v>4</v>
      </c>
      <c r="W2343" s="0" t="str">
        <f aca="false">IF(OR(AND(B2343&gt;=1,B2343&lt;=6),B2343=10),"Vaca em lactação",IF(I2343="Male","Macho",IF(E2343&gt;=1,"Vaca seca",IF(I2343="Youngstock","Bezerra/recria","Novilha"))))</f>
        <v>Novilha</v>
      </c>
      <c r="X2343" s="0" t="str">
        <f aca="false">IF(AND(B2343&gt;=1,B2343&lt;=6),"Tanque",IF(B2343=10,"Descarte",""))</f>
        <v/>
      </c>
    </row>
    <row r="2344" customFormat="false" ht="15" hidden="false" customHeight="false" outlineLevel="0" collapsed="false">
      <c r="A2344" s="22" t="n">
        <v>46309</v>
      </c>
      <c r="B2344" s="0" t="n">
        <v>11</v>
      </c>
      <c r="C2344" s="0" t="n">
        <v>6569</v>
      </c>
      <c r="E2344" s="0" t="n">
        <v>0</v>
      </c>
      <c r="F2344" s="23" t="s">
        <v>1118</v>
      </c>
      <c r="I2344" s="23" t="s">
        <v>97</v>
      </c>
      <c r="U2344" s="0" t="n">
        <v>514</v>
      </c>
      <c r="V2344" s="0" t="n">
        <v>5</v>
      </c>
      <c r="W2344" s="0" t="str">
        <f aca="false">IF(OR(AND(B2344&gt;=1,B2344&lt;=6),B2344=10),"Vaca em lactação",IF(I2344="Male","Macho",IF(E2344&gt;=1,"Vaca seca",IF(I2344="Youngstock","Bezerra/recria","Novilha"))))</f>
        <v>Novilha</v>
      </c>
      <c r="X2344" s="0" t="str">
        <f aca="false">IF(AND(B2344&gt;=1,B2344&lt;=6),"Tanque",IF(B2344=10,"Descarte",""))</f>
        <v/>
      </c>
    </row>
    <row r="2345" customFormat="false" ht="15" hidden="false" customHeight="false" outlineLevel="0" collapsed="false">
      <c r="A2345" s="22" t="n">
        <v>46309</v>
      </c>
      <c r="B2345" s="0" t="n">
        <v>11</v>
      </c>
      <c r="C2345" s="0" t="n">
        <v>6518</v>
      </c>
      <c r="E2345" s="0" t="n">
        <v>0</v>
      </c>
      <c r="F2345" s="23" t="s">
        <v>1127</v>
      </c>
      <c r="I2345" s="23" t="s">
        <v>97</v>
      </c>
      <c r="U2345" s="0" t="n">
        <v>527</v>
      </c>
      <c r="V2345" s="0" t="n">
        <v>4</v>
      </c>
      <c r="W2345" s="0" t="str">
        <f aca="false">IF(OR(AND(B2345&gt;=1,B2345&lt;=6),B2345=10),"Vaca em lactação",IF(I2345="Male","Macho",IF(E2345&gt;=1,"Vaca seca",IF(I2345="Youngstock","Bezerra/recria","Novilha"))))</f>
        <v>Novilha</v>
      </c>
      <c r="X2345" s="0" t="str">
        <f aca="false">IF(AND(B2345&gt;=1,B2345&lt;=6),"Tanque",IF(B2345=10,"Descarte",""))</f>
        <v/>
      </c>
    </row>
    <row r="2346" customFormat="false" ht="15" hidden="false" customHeight="false" outlineLevel="0" collapsed="false">
      <c r="A2346" s="22" t="n">
        <v>46309</v>
      </c>
      <c r="B2346" s="0" t="n">
        <v>11</v>
      </c>
      <c r="C2346" s="0" t="n">
        <v>6519</v>
      </c>
      <c r="E2346" s="0" t="n">
        <v>0</v>
      </c>
      <c r="F2346" s="23" t="s">
        <v>1127</v>
      </c>
      <c r="I2346" s="23" t="s">
        <v>97</v>
      </c>
      <c r="U2346" s="0" t="n">
        <v>527</v>
      </c>
      <c r="V2346" s="0" t="n">
        <v>2</v>
      </c>
      <c r="W2346" s="0" t="str">
        <f aca="false">IF(OR(AND(B2346&gt;=1,B2346&lt;=6),B2346=10),"Vaca em lactação",IF(I2346="Male","Macho",IF(E2346&gt;=1,"Vaca seca",IF(I2346="Youngstock","Bezerra/recria","Novilha"))))</f>
        <v>Novilha</v>
      </c>
      <c r="X2346" s="0" t="str">
        <f aca="false">IF(AND(B2346&gt;=1,B2346&lt;=6),"Tanque",IF(B2346=10,"Descarte",""))</f>
        <v/>
      </c>
    </row>
    <row r="2347" customFormat="false" ht="15" hidden="false" customHeight="false" outlineLevel="0" collapsed="false">
      <c r="A2347" s="22" t="n">
        <v>46309</v>
      </c>
      <c r="B2347" s="0" t="n">
        <v>11</v>
      </c>
      <c r="C2347" s="0" t="n">
        <v>6492</v>
      </c>
      <c r="E2347" s="0" t="n">
        <v>0</v>
      </c>
      <c r="F2347" s="23" t="s">
        <v>1130</v>
      </c>
      <c r="I2347" s="23" t="s">
        <v>97</v>
      </c>
      <c r="U2347" s="0" t="n">
        <v>540</v>
      </c>
      <c r="V2347" s="0" t="n">
        <v>3</v>
      </c>
      <c r="W2347" s="0" t="str">
        <f aca="false">IF(OR(AND(B2347&gt;=1,B2347&lt;=6),B2347=10),"Vaca em lactação",IF(I2347="Male","Macho",IF(E2347&gt;=1,"Vaca seca",IF(I2347="Youngstock","Bezerra/recria","Novilha"))))</f>
        <v>Novilha</v>
      </c>
      <c r="X2347" s="0" t="str">
        <f aca="false">IF(AND(B2347&gt;=1,B2347&lt;=6),"Tanque",IF(B2347=10,"Descarte",""))</f>
        <v/>
      </c>
    </row>
    <row r="2348" customFormat="false" ht="15" hidden="false" customHeight="false" outlineLevel="0" collapsed="false">
      <c r="A2348" s="22" t="n">
        <v>46309</v>
      </c>
      <c r="B2348" s="0" t="n">
        <v>11</v>
      </c>
      <c r="C2348" s="0" t="n">
        <v>6652</v>
      </c>
      <c r="E2348" s="0" t="n">
        <v>0</v>
      </c>
      <c r="F2348" s="23" t="s">
        <v>1139</v>
      </c>
      <c r="I2348" s="23" t="s">
        <v>97</v>
      </c>
      <c r="U2348" s="0" t="n">
        <v>486</v>
      </c>
      <c r="V2348" s="0" t="n">
        <v>4</v>
      </c>
      <c r="W2348" s="0" t="str">
        <f aca="false">IF(OR(AND(B2348&gt;=1,B2348&lt;=6),B2348=10),"Vaca em lactação",IF(I2348="Male","Macho",IF(E2348&gt;=1,"Vaca seca",IF(I2348="Youngstock","Bezerra/recria","Novilha"))))</f>
        <v>Novilha</v>
      </c>
      <c r="X2348" s="0" t="str">
        <f aca="false">IF(AND(B2348&gt;=1,B2348&lt;=6),"Tanque",IF(B2348=10,"Descarte",""))</f>
        <v/>
      </c>
    </row>
    <row r="2349" customFormat="false" ht="15" hidden="false" customHeight="false" outlineLevel="0" collapsed="false">
      <c r="A2349" s="22" t="n">
        <v>46309</v>
      </c>
      <c r="B2349" s="0" t="n">
        <v>11</v>
      </c>
      <c r="C2349" s="0" t="n">
        <v>6649</v>
      </c>
      <c r="E2349" s="0" t="n">
        <v>0</v>
      </c>
      <c r="F2349" s="23" t="s">
        <v>1139</v>
      </c>
      <c r="I2349" s="23" t="s">
        <v>97</v>
      </c>
      <c r="U2349" s="0" t="n">
        <v>486</v>
      </c>
      <c r="V2349" s="0" t="n">
        <v>3</v>
      </c>
      <c r="W2349" s="0" t="str">
        <f aca="false">IF(OR(AND(B2349&gt;=1,B2349&lt;=6),B2349=10),"Vaca em lactação",IF(I2349="Male","Macho",IF(E2349&gt;=1,"Vaca seca",IF(I2349="Youngstock","Bezerra/recria","Novilha"))))</f>
        <v>Novilha</v>
      </c>
      <c r="X2349" s="0" t="str">
        <f aca="false">IF(AND(B2349&gt;=1,B2349&lt;=6),"Tanque",IF(B2349=10,"Descarte",""))</f>
        <v/>
      </c>
    </row>
    <row r="2350" customFormat="false" ht="15" hidden="false" customHeight="false" outlineLevel="0" collapsed="false">
      <c r="A2350" s="22" t="n">
        <v>46309</v>
      </c>
      <c r="B2350" s="0" t="n">
        <v>11</v>
      </c>
      <c r="C2350" s="0" t="n">
        <v>6650</v>
      </c>
      <c r="E2350" s="0" t="n">
        <v>0</v>
      </c>
      <c r="F2350" s="23" t="s">
        <v>1139</v>
      </c>
      <c r="I2350" s="23" t="s">
        <v>97</v>
      </c>
      <c r="U2350" s="0" t="n">
        <v>486</v>
      </c>
      <c r="V2350" s="0" t="n">
        <v>4</v>
      </c>
      <c r="W2350" s="0" t="str">
        <f aca="false">IF(OR(AND(B2350&gt;=1,B2350&lt;=6),B2350=10),"Vaca em lactação",IF(I2350="Male","Macho",IF(E2350&gt;=1,"Vaca seca",IF(I2350="Youngstock","Bezerra/recria","Novilha"))))</f>
        <v>Novilha</v>
      </c>
      <c r="X2350" s="0" t="str">
        <f aca="false">IF(AND(B2350&gt;=1,B2350&lt;=6),"Tanque",IF(B2350=10,"Descarte",""))</f>
        <v/>
      </c>
    </row>
    <row r="2351" customFormat="false" ht="15" hidden="false" customHeight="false" outlineLevel="0" collapsed="false">
      <c r="A2351" s="22" t="n">
        <v>46309</v>
      </c>
      <c r="B2351" s="0" t="n">
        <v>11</v>
      </c>
      <c r="C2351" s="0" t="n">
        <v>6651</v>
      </c>
      <c r="E2351" s="0" t="n">
        <v>0</v>
      </c>
      <c r="F2351" s="23" t="s">
        <v>1139</v>
      </c>
      <c r="I2351" s="23" t="s">
        <v>97</v>
      </c>
      <c r="U2351" s="0" t="n">
        <v>486</v>
      </c>
      <c r="V2351" s="0" t="n">
        <v>4</v>
      </c>
      <c r="W2351" s="0" t="str">
        <f aca="false">IF(OR(AND(B2351&gt;=1,B2351&lt;=6),B2351=10),"Vaca em lactação",IF(I2351="Male","Macho",IF(E2351&gt;=1,"Vaca seca",IF(I2351="Youngstock","Bezerra/recria","Novilha"))))</f>
        <v>Novilha</v>
      </c>
      <c r="X2351" s="0" t="str">
        <f aca="false">IF(AND(B2351&gt;=1,B2351&lt;=6),"Tanque",IF(B2351=10,"Descarte",""))</f>
        <v/>
      </c>
    </row>
    <row r="2352" customFormat="false" ht="15" hidden="false" customHeight="false" outlineLevel="0" collapsed="false">
      <c r="A2352" s="22" t="n">
        <v>46309</v>
      </c>
      <c r="B2352" s="0" t="n">
        <v>11</v>
      </c>
      <c r="C2352" s="0" t="n">
        <v>6621</v>
      </c>
      <c r="E2352" s="0" t="n">
        <v>0</v>
      </c>
      <c r="F2352" s="23" t="s">
        <v>1145</v>
      </c>
      <c r="I2352" s="23" t="s">
        <v>97</v>
      </c>
      <c r="U2352" s="0" t="n">
        <v>496</v>
      </c>
      <c r="V2352" s="0" t="n">
        <v>4</v>
      </c>
      <c r="W2352" s="0" t="str">
        <f aca="false">IF(OR(AND(B2352&gt;=1,B2352&lt;=6),B2352=10),"Vaca em lactação",IF(I2352="Male","Macho",IF(E2352&gt;=1,"Vaca seca",IF(I2352="Youngstock","Bezerra/recria","Novilha"))))</f>
        <v>Novilha</v>
      </c>
      <c r="X2352" s="0" t="str">
        <f aca="false">IF(AND(B2352&gt;=1,B2352&lt;=6),"Tanque",IF(B2352=10,"Descarte",""))</f>
        <v/>
      </c>
    </row>
    <row r="2353" customFormat="false" ht="15" hidden="false" customHeight="false" outlineLevel="0" collapsed="false">
      <c r="A2353" s="22" t="n">
        <v>46309</v>
      </c>
      <c r="B2353" s="0" t="n">
        <v>11</v>
      </c>
      <c r="C2353" s="0" t="n">
        <v>6628</v>
      </c>
      <c r="E2353" s="0" t="n">
        <v>0</v>
      </c>
      <c r="F2353" s="23" t="s">
        <v>1146</v>
      </c>
      <c r="I2353" s="23" t="s">
        <v>97</v>
      </c>
      <c r="U2353" s="0" t="n">
        <v>495</v>
      </c>
      <c r="V2353" s="0" t="n">
        <v>3</v>
      </c>
      <c r="W2353" s="0" t="str">
        <f aca="false">IF(OR(AND(B2353&gt;=1,B2353&lt;=6),B2353=10),"Vaca em lactação",IF(I2353="Male","Macho",IF(E2353&gt;=1,"Vaca seca",IF(I2353="Youngstock","Bezerra/recria","Novilha"))))</f>
        <v>Novilha</v>
      </c>
      <c r="X2353" s="0" t="str">
        <f aca="false">IF(AND(B2353&gt;=1,B2353&lt;=6),"Tanque",IF(B2353=10,"Descarte",""))</f>
        <v/>
      </c>
    </row>
    <row r="2354" customFormat="false" ht="15" hidden="false" customHeight="false" outlineLevel="0" collapsed="false">
      <c r="A2354" s="22" t="n">
        <v>46309</v>
      </c>
      <c r="B2354" s="0" t="n">
        <v>11</v>
      </c>
      <c r="C2354" s="0" t="n">
        <v>6631</v>
      </c>
      <c r="E2354" s="0" t="n">
        <v>0</v>
      </c>
      <c r="F2354" s="23" t="s">
        <v>1147</v>
      </c>
      <c r="I2354" s="23" t="s">
        <v>97</v>
      </c>
      <c r="U2354" s="0" t="n">
        <v>494</v>
      </c>
      <c r="V2354" s="0" t="n">
        <v>5</v>
      </c>
      <c r="W2354" s="0" t="str">
        <f aca="false">IF(OR(AND(B2354&gt;=1,B2354&lt;=6),B2354=10),"Vaca em lactação",IF(I2354="Male","Macho",IF(E2354&gt;=1,"Vaca seca",IF(I2354="Youngstock","Bezerra/recria","Novilha"))))</f>
        <v>Novilha</v>
      </c>
      <c r="X2354" s="0" t="str">
        <f aca="false">IF(AND(B2354&gt;=1,B2354&lt;=6),"Tanque",IF(B2354=10,"Descarte",""))</f>
        <v/>
      </c>
    </row>
    <row r="2355" customFormat="false" ht="15" hidden="false" customHeight="false" outlineLevel="0" collapsed="false">
      <c r="A2355" s="22" t="n">
        <v>46309</v>
      </c>
      <c r="B2355" s="0" t="n">
        <v>11</v>
      </c>
      <c r="C2355" s="0" t="n">
        <v>6629</v>
      </c>
      <c r="E2355" s="0" t="n">
        <v>0</v>
      </c>
      <c r="F2355" s="23" t="s">
        <v>1146</v>
      </c>
      <c r="I2355" s="23" t="s">
        <v>109</v>
      </c>
      <c r="U2355" s="0" t="n">
        <v>495</v>
      </c>
      <c r="V2355" s="0" t="n">
        <v>4</v>
      </c>
      <c r="W2355" s="0" t="str">
        <f aca="false">IF(OR(AND(B2355&gt;=1,B2355&lt;=6),B2355=10),"Vaca em lactação",IF(I2355="Male","Macho",IF(E2355&gt;=1,"Vaca seca",IF(I2355="Youngstock","Bezerra/recria","Novilha"))))</f>
        <v>Novilha</v>
      </c>
      <c r="X2355" s="0" t="str">
        <f aca="false">IF(AND(B2355&gt;=1,B2355&lt;=6),"Tanque",IF(B2355=10,"Descarte",""))</f>
        <v/>
      </c>
    </row>
    <row r="2356" customFormat="false" ht="15" hidden="false" customHeight="false" outlineLevel="0" collapsed="false">
      <c r="A2356" s="22" t="n">
        <v>46309</v>
      </c>
      <c r="B2356" s="0" t="n">
        <v>11</v>
      </c>
      <c r="C2356" s="0" t="n">
        <v>6632</v>
      </c>
      <c r="E2356" s="0" t="n">
        <v>0</v>
      </c>
      <c r="F2356" s="23" t="s">
        <v>1147</v>
      </c>
      <c r="I2356" s="23" t="s">
        <v>97</v>
      </c>
      <c r="U2356" s="0" t="n">
        <v>494</v>
      </c>
      <c r="V2356" s="0" t="n">
        <v>4</v>
      </c>
      <c r="W2356" s="0" t="str">
        <f aca="false">IF(OR(AND(B2356&gt;=1,B2356&lt;=6),B2356=10),"Vaca em lactação",IF(I2356="Male","Macho",IF(E2356&gt;=1,"Vaca seca",IF(I2356="Youngstock","Bezerra/recria","Novilha"))))</f>
        <v>Novilha</v>
      </c>
      <c r="X2356" s="0" t="str">
        <f aca="false">IF(AND(B2356&gt;=1,B2356&lt;=6),"Tanque",IF(B2356=10,"Descarte",""))</f>
        <v/>
      </c>
    </row>
    <row r="2357" customFormat="false" ht="15" hidden="false" customHeight="false" outlineLevel="0" collapsed="false">
      <c r="A2357" s="22" t="n">
        <v>46309</v>
      </c>
      <c r="B2357" s="0" t="n">
        <v>11</v>
      </c>
      <c r="C2357" s="0" t="n">
        <v>6595</v>
      </c>
      <c r="E2357" s="0" t="n">
        <v>0</v>
      </c>
      <c r="F2357" s="23" t="s">
        <v>1148</v>
      </c>
      <c r="I2357" s="23" t="s">
        <v>97</v>
      </c>
      <c r="U2357" s="0" t="n">
        <v>505</v>
      </c>
      <c r="V2357" s="0" t="n">
        <v>4</v>
      </c>
      <c r="W2357" s="0" t="str">
        <f aca="false">IF(OR(AND(B2357&gt;=1,B2357&lt;=6),B2357=10),"Vaca em lactação",IF(I2357="Male","Macho",IF(E2357&gt;=1,"Vaca seca",IF(I2357="Youngstock","Bezerra/recria","Novilha"))))</f>
        <v>Novilha</v>
      </c>
      <c r="X2357" s="0" t="str">
        <f aca="false">IF(AND(B2357&gt;=1,B2357&lt;=6),"Tanque",IF(B2357=10,"Descarte",""))</f>
        <v/>
      </c>
    </row>
    <row r="2358" customFormat="false" ht="15" hidden="false" customHeight="false" outlineLevel="0" collapsed="false">
      <c r="A2358" s="22" t="n">
        <v>46309</v>
      </c>
      <c r="B2358" s="0" t="n">
        <v>11</v>
      </c>
      <c r="C2358" s="0" t="n">
        <v>6594</v>
      </c>
      <c r="E2358" s="0" t="n">
        <v>0</v>
      </c>
      <c r="F2358" s="23" t="s">
        <v>1148</v>
      </c>
      <c r="I2358" s="23" t="s">
        <v>97</v>
      </c>
      <c r="U2358" s="0" t="n">
        <v>505</v>
      </c>
      <c r="V2358" s="0" t="n">
        <v>2</v>
      </c>
      <c r="W2358" s="0" t="str">
        <f aca="false">IF(OR(AND(B2358&gt;=1,B2358&lt;=6),B2358=10),"Vaca em lactação",IF(I2358="Male","Macho",IF(E2358&gt;=1,"Vaca seca",IF(I2358="Youngstock","Bezerra/recria","Novilha"))))</f>
        <v>Novilha</v>
      </c>
      <c r="X2358" s="0" t="str">
        <f aca="false">IF(AND(B2358&gt;=1,B2358&lt;=6),"Tanque",IF(B2358=10,"Descarte",""))</f>
        <v/>
      </c>
    </row>
    <row r="2359" customFormat="false" ht="15" hidden="false" customHeight="false" outlineLevel="0" collapsed="false">
      <c r="A2359" s="22" t="n">
        <v>46309</v>
      </c>
      <c r="B2359" s="0" t="n">
        <v>11</v>
      </c>
      <c r="C2359" s="0" t="n">
        <v>6593</v>
      </c>
      <c r="E2359" s="0" t="n">
        <v>0</v>
      </c>
      <c r="F2359" s="23" t="s">
        <v>1211</v>
      </c>
      <c r="I2359" s="23" t="s">
        <v>109</v>
      </c>
      <c r="U2359" s="0" t="n">
        <v>506</v>
      </c>
      <c r="V2359" s="0" t="n">
        <v>2</v>
      </c>
      <c r="W2359" s="0" t="str">
        <f aca="false">IF(OR(AND(B2359&gt;=1,B2359&lt;=6),B2359=10),"Vaca em lactação",IF(I2359="Male","Macho",IF(E2359&gt;=1,"Vaca seca",IF(I2359="Youngstock","Bezerra/recria","Novilha"))))</f>
        <v>Novilha</v>
      </c>
      <c r="X2359" s="0" t="str">
        <f aca="false">IF(AND(B2359&gt;=1,B2359&lt;=6),"Tanque",IF(B2359=10,"Descarte",""))</f>
        <v/>
      </c>
    </row>
    <row r="2360" customFormat="false" ht="15" hidden="false" customHeight="false" outlineLevel="0" collapsed="false">
      <c r="A2360" s="22" t="n">
        <v>46309</v>
      </c>
      <c r="B2360" s="0" t="n">
        <v>11</v>
      </c>
      <c r="C2360" s="0" t="n">
        <v>6599</v>
      </c>
      <c r="E2360" s="0" t="n">
        <v>0</v>
      </c>
      <c r="F2360" s="23" t="s">
        <v>1150</v>
      </c>
      <c r="I2360" s="23" t="s">
        <v>97</v>
      </c>
      <c r="U2360" s="0" t="n">
        <v>503</v>
      </c>
      <c r="V2360" s="0" t="n">
        <v>4</v>
      </c>
      <c r="W2360" s="0" t="str">
        <f aca="false">IF(OR(AND(B2360&gt;=1,B2360&lt;=6),B2360=10),"Vaca em lactação",IF(I2360="Male","Macho",IF(E2360&gt;=1,"Vaca seca",IF(I2360="Youngstock","Bezerra/recria","Novilha"))))</f>
        <v>Novilha</v>
      </c>
      <c r="X2360" s="0" t="str">
        <f aca="false">IF(AND(B2360&gt;=1,B2360&lt;=6),"Tanque",IF(B2360=10,"Descarte",""))</f>
        <v/>
      </c>
    </row>
    <row r="2361" customFormat="false" ht="15" hidden="false" customHeight="false" outlineLevel="0" collapsed="false">
      <c r="A2361" s="22" t="n">
        <v>46309</v>
      </c>
      <c r="B2361" s="0" t="n">
        <v>11</v>
      </c>
      <c r="C2361" s="0" t="n">
        <v>6577</v>
      </c>
      <c r="E2361" s="0" t="n">
        <v>0</v>
      </c>
      <c r="F2361" s="23" t="s">
        <v>1155</v>
      </c>
      <c r="I2361" s="23" t="s">
        <v>97</v>
      </c>
      <c r="U2361" s="0" t="n">
        <v>510</v>
      </c>
      <c r="V2361" s="0" t="n">
        <v>4</v>
      </c>
      <c r="W2361" s="0" t="str">
        <f aca="false">IF(OR(AND(B2361&gt;=1,B2361&lt;=6),B2361=10),"Vaca em lactação",IF(I2361="Male","Macho",IF(E2361&gt;=1,"Vaca seca",IF(I2361="Youngstock","Bezerra/recria","Novilha"))))</f>
        <v>Novilha</v>
      </c>
      <c r="X2361" s="0" t="str">
        <f aca="false">IF(AND(B2361&gt;=1,B2361&lt;=6),"Tanque",IF(B2361=10,"Descarte",""))</f>
        <v/>
      </c>
    </row>
    <row r="2362" customFormat="false" ht="15" hidden="false" customHeight="false" outlineLevel="0" collapsed="false">
      <c r="A2362" s="22" t="n">
        <v>46309</v>
      </c>
      <c r="B2362" s="0" t="n">
        <v>11</v>
      </c>
      <c r="C2362" s="0" t="n">
        <v>6582</v>
      </c>
      <c r="E2362" s="0" t="n">
        <v>0</v>
      </c>
      <c r="F2362" s="23" t="s">
        <v>1149</v>
      </c>
      <c r="I2362" s="23" t="s">
        <v>97</v>
      </c>
      <c r="U2362" s="0" t="n">
        <v>507</v>
      </c>
      <c r="V2362" s="0" t="n">
        <v>5</v>
      </c>
      <c r="W2362" s="0" t="str">
        <f aca="false">IF(OR(AND(B2362&gt;=1,B2362&lt;=6),B2362=10),"Vaca em lactação",IF(I2362="Male","Macho",IF(E2362&gt;=1,"Vaca seca",IF(I2362="Youngstock","Bezerra/recria","Novilha"))))</f>
        <v>Novilha</v>
      </c>
      <c r="X2362" s="0" t="str">
        <f aca="false">IF(AND(B2362&gt;=1,B2362&lt;=6),"Tanque",IF(B2362=10,"Descarte",""))</f>
        <v/>
      </c>
    </row>
    <row r="2363" customFormat="false" ht="15" hidden="false" customHeight="false" outlineLevel="0" collapsed="false">
      <c r="A2363" s="22" t="n">
        <v>46309</v>
      </c>
      <c r="B2363" s="0" t="n">
        <v>11</v>
      </c>
      <c r="C2363" s="0" t="n">
        <v>6583</v>
      </c>
      <c r="E2363" s="0" t="n">
        <v>0</v>
      </c>
      <c r="F2363" s="23" t="s">
        <v>1149</v>
      </c>
      <c r="I2363" s="23" t="s">
        <v>97</v>
      </c>
      <c r="U2363" s="0" t="n">
        <v>507</v>
      </c>
      <c r="V2363" s="0" t="n">
        <v>4</v>
      </c>
      <c r="W2363" s="0" t="str">
        <f aca="false">IF(OR(AND(B2363&gt;=1,B2363&lt;=6),B2363=10),"Vaca em lactação",IF(I2363="Male","Macho",IF(E2363&gt;=1,"Vaca seca",IF(I2363="Youngstock","Bezerra/recria","Novilha"))))</f>
        <v>Novilha</v>
      </c>
      <c r="X2363" s="0" t="str">
        <f aca="false">IF(AND(B2363&gt;=1,B2363&lt;=6),"Tanque",IF(B2363=10,"Descarte",""))</f>
        <v/>
      </c>
    </row>
    <row r="2364" customFormat="false" ht="15" hidden="false" customHeight="false" outlineLevel="0" collapsed="false">
      <c r="A2364" s="22" t="n">
        <v>46309</v>
      </c>
      <c r="B2364" s="0" t="n">
        <v>11</v>
      </c>
      <c r="C2364" s="0" t="n">
        <v>6588</v>
      </c>
      <c r="E2364" s="0" t="n">
        <v>0</v>
      </c>
      <c r="F2364" s="23" t="s">
        <v>1149</v>
      </c>
      <c r="I2364" s="23" t="s">
        <v>109</v>
      </c>
      <c r="U2364" s="0" t="n">
        <v>507</v>
      </c>
      <c r="V2364" s="0" t="n">
        <v>2</v>
      </c>
      <c r="W2364" s="0" t="str">
        <f aca="false">IF(OR(AND(B2364&gt;=1,B2364&lt;=6),B2364=10),"Vaca em lactação",IF(I2364="Male","Macho",IF(E2364&gt;=1,"Vaca seca",IF(I2364="Youngstock","Bezerra/recria","Novilha"))))</f>
        <v>Novilha</v>
      </c>
      <c r="X2364" s="0" t="str">
        <f aca="false">IF(AND(B2364&gt;=1,B2364&lt;=6),"Tanque",IF(B2364=10,"Descarte",""))</f>
        <v/>
      </c>
    </row>
    <row r="2365" customFormat="false" ht="15" hidden="false" customHeight="false" outlineLevel="0" collapsed="false">
      <c r="A2365" s="22" t="n">
        <v>46309</v>
      </c>
      <c r="B2365" s="0" t="n">
        <v>11</v>
      </c>
      <c r="C2365" s="0" t="n">
        <v>6706</v>
      </c>
      <c r="E2365" s="0" t="n">
        <v>0</v>
      </c>
      <c r="F2365" s="23" t="s">
        <v>1156</v>
      </c>
      <c r="I2365" s="23" t="s">
        <v>97</v>
      </c>
      <c r="U2365" s="0" t="n">
        <v>467</v>
      </c>
      <c r="V2365" s="0" t="n">
        <v>2</v>
      </c>
      <c r="W2365" s="0" t="str">
        <f aca="false">IF(OR(AND(B2365&gt;=1,B2365&lt;=6),B2365=10),"Vaca em lactação",IF(I2365="Male","Macho",IF(E2365&gt;=1,"Vaca seca",IF(I2365="Youngstock","Bezerra/recria","Novilha"))))</f>
        <v>Novilha</v>
      </c>
      <c r="X2365" s="0" t="str">
        <f aca="false">IF(AND(B2365&gt;=1,B2365&lt;=6),"Tanque",IF(B2365=10,"Descarte",""))</f>
        <v/>
      </c>
    </row>
    <row r="2366" customFormat="false" ht="15" hidden="false" customHeight="false" outlineLevel="0" collapsed="false">
      <c r="A2366" s="22" t="n">
        <v>46309</v>
      </c>
      <c r="B2366" s="0" t="n">
        <v>11</v>
      </c>
      <c r="C2366" s="0" t="n">
        <v>6708</v>
      </c>
      <c r="E2366" s="0" t="n">
        <v>0</v>
      </c>
      <c r="F2366" s="23" t="s">
        <v>1156</v>
      </c>
      <c r="I2366" s="23" t="s">
        <v>97</v>
      </c>
      <c r="U2366" s="0" t="n">
        <v>467</v>
      </c>
      <c r="V2366" s="0" t="n">
        <v>2</v>
      </c>
      <c r="W2366" s="0" t="str">
        <f aca="false">IF(OR(AND(B2366&gt;=1,B2366&lt;=6),B2366=10),"Vaca em lactação",IF(I2366="Male","Macho",IF(E2366&gt;=1,"Vaca seca",IF(I2366="Youngstock","Bezerra/recria","Novilha"))))</f>
        <v>Novilha</v>
      </c>
      <c r="X2366" s="0" t="str">
        <f aca="false">IF(AND(B2366&gt;=1,B2366&lt;=6),"Tanque",IF(B2366=10,"Descarte",""))</f>
        <v/>
      </c>
    </row>
    <row r="2367" customFormat="false" ht="15" hidden="false" customHeight="false" outlineLevel="0" collapsed="false">
      <c r="A2367" s="22" t="n">
        <v>46309</v>
      </c>
      <c r="B2367" s="0" t="n">
        <v>11</v>
      </c>
      <c r="C2367" s="0" t="n">
        <v>6709</v>
      </c>
      <c r="E2367" s="0" t="n">
        <v>0</v>
      </c>
      <c r="F2367" s="23" t="s">
        <v>1156</v>
      </c>
      <c r="I2367" s="23" t="s">
        <v>97</v>
      </c>
      <c r="U2367" s="0" t="n">
        <v>467</v>
      </c>
      <c r="V2367" s="0" t="n">
        <v>1</v>
      </c>
      <c r="W2367" s="0" t="str">
        <f aca="false">IF(OR(AND(B2367&gt;=1,B2367&lt;=6),B2367=10),"Vaca em lactação",IF(I2367="Male","Macho",IF(E2367&gt;=1,"Vaca seca",IF(I2367="Youngstock","Bezerra/recria","Novilha"))))</f>
        <v>Novilha</v>
      </c>
      <c r="X2367" s="0" t="str">
        <f aca="false">IF(AND(B2367&gt;=1,B2367&lt;=6),"Tanque",IF(B2367=10,"Descarte",""))</f>
        <v/>
      </c>
    </row>
    <row r="2368" customFormat="false" ht="15" hidden="false" customHeight="false" outlineLevel="0" collapsed="false">
      <c r="A2368" s="22" t="n">
        <v>46309</v>
      </c>
      <c r="B2368" s="0" t="n">
        <v>11</v>
      </c>
      <c r="C2368" s="0" t="n">
        <v>6710</v>
      </c>
      <c r="E2368" s="0" t="n">
        <v>0</v>
      </c>
      <c r="F2368" s="23" t="s">
        <v>1156</v>
      </c>
      <c r="I2368" s="23" t="s">
        <v>109</v>
      </c>
      <c r="U2368" s="0" t="n">
        <v>467</v>
      </c>
      <c r="V2368" s="0" t="n">
        <v>1</v>
      </c>
      <c r="W2368" s="0" t="str">
        <f aca="false">IF(OR(AND(B2368&gt;=1,B2368&lt;=6),B2368=10),"Vaca em lactação",IF(I2368="Male","Macho",IF(E2368&gt;=1,"Vaca seca",IF(I2368="Youngstock","Bezerra/recria","Novilha"))))</f>
        <v>Novilha</v>
      </c>
      <c r="X2368" s="0" t="str">
        <f aca="false">IF(AND(B2368&gt;=1,B2368&lt;=6),"Tanque",IF(B2368=10,"Descarte",""))</f>
        <v/>
      </c>
    </row>
    <row r="2369" customFormat="false" ht="15" hidden="false" customHeight="false" outlineLevel="0" collapsed="false">
      <c r="A2369" s="22" t="n">
        <v>46309</v>
      </c>
      <c r="B2369" s="0" t="n">
        <v>11</v>
      </c>
      <c r="C2369" s="0" t="n">
        <v>6711</v>
      </c>
      <c r="E2369" s="0" t="n">
        <v>0</v>
      </c>
      <c r="F2369" s="23" t="s">
        <v>1156</v>
      </c>
      <c r="I2369" s="23" t="s">
        <v>97</v>
      </c>
      <c r="U2369" s="0" t="n">
        <v>467</v>
      </c>
      <c r="V2369" s="0" t="n">
        <v>4</v>
      </c>
      <c r="W2369" s="0" t="str">
        <f aca="false">IF(OR(AND(B2369&gt;=1,B2369&lt;=6),B2369=10),"Vaca em lactação",IF(I2369="Male","Macho",IF(E2369&gt;=1,"Vaca seca",IF(I2369="Youngstock","Bezerra/recria","Novilha"))))</f>
        <v>Novilha</v>
      </c>
      <c r="X2369" s="0" t="str">
        <f aca="false">IF(AND(B2369&gt;=1,B2369&lt;=6),"Tanque",IF(B2369=10,"Descarte",""))</f>
        <v/>
      </c>
    </row>
    <row r="2370" customFormat="false" ht="15" hidden="false" customHeight="false" outlineLevel="0" collapsed="false">
      <c r="A2370" s="22" t="n">
        <v>46309</v>
      </c>
      <c r="B2370" s="0" t="n">
        <v>11</v>
      </c>
      <c r="C2370" s="0" t="n">
        <v>6713</v>
      </c>
      <c r="E2370" s="0" t="n">
        <v>0</v>
      </c>
      <c r="F2370" s="23" t="s">
        <v>1156</v>
      </c>
      <c r="I2370" s="23" t="s">
        <v>97</v>
      </c>
      <c r="U2370" s="0" t="n">
        <v>467</v>
      </c>
      <c r="V2370" s="0" t="n">
        <v>2</v>
      </c>
      <c r="W2370" s="0" t="str">
        <f aca="false">IF(OR(AND(B2370&gt;=1,B2370&lt;=6),B2370=10),"Vaca em lactação",IF(I2370="Male","Macho",IF(E2370&gt;=1,"Vaca seca",IF(I2370="Youngstock","Bezerra/recria","Novilha"))))</f>
        <v>Novilha</v>
      </c>
      <c r="X2370" s="0" t="str">
        <f aca="false">IF(AND(B2370&gt;=1,B2370&lt;=6),"Tanque",IF(B2370=10,"Descarte",""))</f>
        <v/>
      </c>
    </row>
    <row r="2371" customFormat="false" ht="15" hidden="false" customHeight="false" outlineLevel="0" collapsed="false">
      <c r="A2371" s="22" t="n">
        <v>46309</v>
      </c>
      <c r="B2371" s="0" t="n">
        <v>11</v>
      </c>
      <c r="C2371" s="0" t="n">
        <v>6725</v>
      </c>
      <c r="E2371" s="0" t="n">
        <v>0</v>
      </c>
      <c r="F2371" s="23" t="s">
        <v>1212</v>
      </c>
      <c r="I2371" s="23" t="s">
        <v>97</v>
      </c>
      <c r="U2371" s="0" t="n">
        <v>464</v>
      </c>
      <c r="V2371" s="0" t="n">
        <v>4</v>
      </c>
      <c r="W2371" s="0" t="str">
        <f aca="false">IF(OR(AND(B2371&gt;=1,B2371&lt;=6),B2371=10),"Vaca em lactação",IF(I2371="Male","Macho",IF(E2371&gt;=1,"Vaca seca",IF(I2371="Youngstock","Bezerra/recria","Novilha"))))</f>
        <v>Novilha</v>
      </c>
      <c r="X2371" s="0" t="str">
        <f aca="false">IF(AND(B2371&gt;=1,B2371&lt;=6),"Tanque",IF(B2371=10,"Descarte",""))</f>
        <v/>
      </c>
    </row>
    <row r="2372" customFormat="false" ht="15" hidden="false" customHeight="false" outlineLevel="0" collapsed="false">
      <c r="A2372" s="22" t="n">
        <v>46309</v>
      </c>
      <c r="B2372" s="0" t="n">
        <v>11</v>
      </c>
      <c r="C2372" s="0" t="n">
        <v>6691</v>
      </c>
      <c r="E2372" s="0" t="n">
        <v>0</v>
      </c>
      <c r="F2372" s="23" t="s">
        <v>1159</v>
      </c>
      <c r="I2372" s="23" t="s">
        <v>97</v>
      </c>
      <c r="U2372" s="0" t="n">
        <v>472</v>
      </c>
      <c r="V2372" s="0" t="n">
        <v>3</v>
      </c>
      <c r="W2372" s="0" t="str">
        <f aca="false">IF(OR(AND(B2372&gt;=1,B2372&lt;=6),B2372=10),"Vaca em lactação",IF(I2372="Male","Macho",IF(E2372&gt;=1,"Vaca seca",IF(I2372="Youngstock","Bezerra/recria","Novilha"))))</f>
        <v>Novilha</v>
      </c>
      <c r="X2372" s="0" t="str">
        <f aca="false">IF(AND(B2372&gt;=1,B2372&lt;=6),"Tanque",IF(B2372=10,"Descarte",""))</f>
        <v/>
      </c>
    </row>
    <row r="2373" customFormat="false" ht="15" hidden="false" customHeight="false" outlineLevel="0" collapsed="false">
      <c r="A2373" s="22" t="n">
        <v>46309</v>
      </c>
      <c r="B2373" s="0" t="n">
        <v>11</v>
      </c>
      <c r="C2373" s="0" t="n">
        <v>6698</v>
      </c>
      <c r="E2373" s="0" t="n">
        <v>0</v>
      </c>
      <c r="F2373" s="23" t="s">
        <v>1189</v>
      </c>
      <c r="I2373" s="23" t="s">
        <v>97</v>
      </c>
      <c r="U2373" s="0" t="n">
        <v>471</v>
      </c>
      <c r="V2373" s="0" t="n">
        <v>4</v>
      </c>
      <c r="W2373" s="0" t="str">
        <f aca="false">IF(OR(AND(B2373&gt;=1,B2373&lt;=6),B2373=10),"Vaca em lactação",IF(I2373="Male","Macho",IF(E2373&gt;=1,"Vaca seca",IF(I2373="Youngstock","Bezerra/recria","Novilha"))))</f>
        <v>Novilha</v>
      </c>
      <c r="X2373" s="0" t="str">
        <f aca="false">IF(AND(B2373&gt;=1,B2373&lt;=6),"Tanque",IF(B2373=10,"Descarte",""))</f>
        <v/>
      </c>
    </row>
    <row r="2374" customFormat="false" ht="15" hidden="false" customHeight="false" outlineLevel="0" collapsed="false">
      <c r="A2374" s="22" t="n">
        <v>46309</v>
      </c>
      <c r="B2374" s="0" t="n">
        <v>11</v>
      </c>
      <c r="C2374" s="0" t="n">
        <v>6700</v>
      </c>
      <c r="E2374" s="0" t="n">
        <v>0</v>
      </c>
      <c r="F2374" s="23" t="s">
        <v>1189</v>
      </c>
      <c r="I2374" s="23" t="s">
        <v>97</v>
      </c>
      <c r="U2374" s="0" t="n">
        <v>471</v>
      </c>
      <c r="V2374" s="0" t="n">
        <v>2</v>
      </c>
      <c r="W2374" s="0" t="str">
        <f aca="false">IF(OR(AND(B2374&gt;=1,B2374&lt;=6),B2374=10),"Vaca em lactação",IF(I2374="Male","Macho",IF(E2374&gt;=1,"Vaca seca",IF(I2374="Youngstock","Bezerra/recria","Novilha"))))</f>
        <v>Novilha</v>
      </c>
      <c r="X2374" s="0" t="str">
        <f aca="false">IF(AND(B2374&gt;=1,B2374&lt;=6),"Tanque",IF(B2374=10,"Descarte",""))</f>
        <v/>
      </c>
    </row>
    <row r="2375" customFormat="false" ht="15" hidden="false" customHeight="false" outlineLevel="0" collapsed="false">
      <c r="A2375" s="22" t="n">
        <v>46309</v>
      </c>
      <c r="B2375" s="0" t="n">
        <v>11</v>
      </c>
      <c r="C2375" s="0" t="n">
        <v>6702</v>
      </c>
      <c r="E2375" s="0" t="n">
        <v>0</v>
      </c>
      <c r="F2375" s="23" t="s">
        <v>1160</v>
      </c>
      <c r="I2375" s="23" t="s">
        <v>97</v>
      </c>
      <c r="U2375" s="0" t="n">
        <v>470</v>
      </c>
      <c r="V2375" s="0" t="n">
        <v>2</v>
      </c>
      <c r="W2375" s="0" t="str">
        <f aca="false">IF(OR(AND(B2375&gt;=1,B2375&lt;=6),B2375=10),"Vaca em lactação",IF(I2375="Male","Macho",IF(E2375&gt;=1,"Vaca seca",IF(I2375="Youngstock","Bezerra/recria","Novilha"))))</f>
        <v>Novilha</v>
      </c>
      <c r="X2375" s="0" t="str">
        <f aca="false">IF(AND(B2375&gt;=1,B2375&lt;=6),"Tanque",IF(B2375=10,"Descarte",""))</f>
        <v/>
      </c>
    </row>
    <row r="2376" customFormat="false" ht="15" hidden="false" customHeight="false" outlineLevel="0" collapsed="false">
      <c r="A2376" s="22" t="n">
        <v>46309</v>
      </c>
      <c r="B2376" s="0" t="n">
        <v>11</v>
      </c>
      <c r="C2376" s="0" t="n">
        <v>6703</v>
      </c>
      <c r="E2376" s="0" t="n">
        <v>0</v>
      </c>
      <c r="F2376" s="23" t="s">
        <v>1160</v>
      </c>
      <c r="I2376" s="23" t="s">
        <v>97</v>
      </c>
      <c r="U2376" s="0" t="n">
        <v>470</v>
      </c>
      <c r="V2376" s="0" t="n">
        <v>1</v>
      </c>
      <c r="W2376" s="0" t="str">
        <f aca="false">IF(OR(AND(B2376&gt;=1,B2376&lt;=6),B2376=10),"Vaca em lactação",IF(I2376="Male","Macho",IF(E2376&gt;=1,"Vaca seca",IF(I2376="Youngstock","Bezerra/recria","Novilha"))))</f>
        <v>Novilha</v>
      </c>
      <c r="X2376" s="0" t="str">
        <f aca="false">IF(AND(B2376&gt;=1,B2376&lt;=6),"Tanque",IF(B2376=10,"Descarte",""))</f>
        <v/>
      </c>
    </row>
    <row r="2377" customFormat="false" ht="15" hidden="false" customHeight="false" outlineLevel="0" collapsed="false">
      <c r="A2377" s="22" t="n">
        <v>46309</v>
      </c>
      <c r="B2377" s="0" t="n">
        <v>11</v>
      </c>
      <c r="C2377" s="0" t="n">
        <v>6705</v>
      </c>
      <c r="E2377" s="0" t="n">
        <v>0</v>
      </c>
      <c r="F2377" s="23" t="s">
        <v>1161</v>
      </c>
      <c r="I2377" s="23" t="s">
        <v>97</v>
      </c>
      <c r="U2377" s="0" t="n">
        <v>469</v>
      </c>
      <c r="V2377" s="0" t="n">
        <v>3</v>
      </c>
      <c r="W2377" s="0" t="str">
        <f aca="false">IF(OR(AND(B2377&gt;=1,B2377&lt;=6),B2377=10),"Vaca em lactação",IF(I2377="Male","Macho",IF(E2377&gt;=1,"Vaca seca",IF(I2377="Youngstock","Bezerra/recria","Novilha"))))</f>
        <v>Novilha</v>
      </c>
      <c r="X2377" s="0" t="str">
        <f aca="false">IF(AND(B2377&gt;=1,B2377&lt;=6),"Tanque",IF(B2377=10,"Descarte",""))</f>
        <v/>
      </c>
    </row>
    <row r="2378" customFormat="false" ht="15" hidden="false" customHeight="false" outlineLevel="0" collapsed="false">
      <c r="A2378" s="22" t="n">
        <v>46309</v>
      </c>
      <c r="B2378" s="0" t="n">
        <v>11</v>
      </c>
      <c r="C2378" s="0" t="n">
        <v>6666</v>
      </c>
      <c r="E2378" s="0" t="n">
        <v>0</v>
      </c>
      <c r="F2378" s="23" t="s">
        <v>1142</v>
      </c>
      <c r="I2378" s="23" t="s">
        <v>97</v>
      </c>
      <c r="U2378" s="0" t="n">
        <v>482</v>
      </c>
      <c r="V2378" s="0" t="n">
        <v>3</v>
      </c>
      <c r="W2378" s="0" t="str">
        <f aca="false">IF(OR(AND(B2378&gt;=1,B2378&lt;=6),B2378=10),"Vaca em lactação",IF(I2378="Male","Macho",IF(E2378&gt;=1,"Vaca seca",IF(I2378="Youngstock","Bezerra/recria","Novilha"))))</f>
        <v>Novilha</v>
      </c>
      <c r="X2378" s="0" t="str">
        <f aca="false">IF(AND(B2378&gt;=1,B2378&lt;=6),"Tanque",IF(B2378=10,"Descarte",""))</f>
        <v/>
      </c>
    </row>
    <row r="2379" customFormat="false" ht="15" hidden="false" customHeight="false" outlineLevel="0" collapsed="false">
      <c r="A2379" s="22" t="n">
        <v>46309</v>
      </c>
      <c r="B2379" s="0" t="n">
        <v>11</v>
      </c>
      <c r="C2379" s="0" t="n">
        <v>6668</v>
      </c>
      <c r="E2379" s="0" t="n">
        <v>0</v>
      </c>
      <c r="F2379" s="23" t="s">
        <v>1142</v>
      </c>
      <c r="I2379" s="23" t="s">
        <v>97</v>
      </c>
      <c r="U2379" s="0" t="n">
        <v>482</v>
      </c>
      <c r="V2379" s="0" t="n">
        <v>2</v>
      </c>
      <c r="W2379" s="0" t="str">
        <f aca="false">IF(OR(AND(B2379&gt;=1,B2379&lt;=6),B2379=10),"Vaca em lactação",IF(I2379="Male","Macho",IF(E2379&gt;=1,"Vaca seca",IF(I2379="Youngstock","Bezerra/recria","Novilha"))))</f>
        <v>Novilha</v>
      </c>
      <c r="X2379" s="0" t="str">
        <f aca="false">IF(AND(B2379&gt;=1,B2379&lt;=6),"Tanque",IF(B2379=10,"Descarte",""))</f>
        <v/>
      </c>
    </row>
    <row r="2380" customFormat="false" ht="15" hidden="false" customHeight="false" outlineLevel="0" collapsed="false">
      <c r="A2380" s="22" t="n">
        <v>46309</v>
      </c>
      <c r="B2380" s="0" t="n">
        <v>11</v>
      </c>
      <c r="C2380" s="0" t="n">
        <v>6678</v>
      </c>
      <c r="E2380" s="0" t="n">
        <v>0</v>
      </c>
      <c r="F2380" s="23" t="s">
        <v>1166</v>
      </c>
      <c r="I2380" s="23" t="s">
        <v>97</v>
      </c>
      <c r="U2380" s="0" t="n">
        <v>478</v>
      </c>
      <c r="V2380" s="0" t="n">
        <v>2</v>
      </c>
      <c r="W2380" s="0" t="str">
        <f aca="false">IF(OR(AND(B2380&gt;=1,B2380&lt;=6),B2380=10),"Vaca em lactação",IF(I2380="Male","Macho",IF(E2380&gt;=1,"Vaca seca",IF(I2380="Youngstock","Bezerra/recria","Novilha"))))</f>
        <v>Novilha</v>
      </c>
      <c r="X2380" s="0" t="str">
        <f aca="false">IF(AND(B2380&gt;=1,B2380&lt;=6),"Tanque",IF(B2380=10,"Descarte",""))</f>
        <v/>
      </c>
    </row>
    <row r="2381" customFormat="false" ht="15" hidden="false" customHeight="false" outlineLevel="0" collapsed="false">
      <c r="A2381" s="22" t="n">
        <v>46309</v>
      </c>
      <c r="B2381" s="0" t="n">
        <v>11</v>
      </c>
      <c r="C2381" s="0" t="n">
        <v>6683</v>
      </c>
      <c r="E2381" s="0" t="n">
        <v>0</v>
      </c>
      <c r="F2381" s="23" t="s">
        <v>1167</v>
      </c>
      <c r="I2381" s="23" t="s">
        <v>97</v>
      </c>
      <c r="U2381" s="0" t="n">
        <v>475</v>
      </c>
      <c r="V2381" s="0" t="n">
        <v>4</v>
      </c>
      <c r="W2381" s="0" t="str">
        <f aca="false">IF(OR(AND(B2381&gt;=1,B2381&lt;=6),B2381=10),"Vaca em lactação",IF(I2381="Male","Macho",IF(E2381&gt;=1,"Vaca seca",IF(I2381="Youngstock","Bezerra/recria","Novilha"))))</f>
        <v>Novilha</v>
      </c>
      <c r="X2381" s="0" t="str">
        <f aca="false">IF(AND(B2381&gt;=1,B2381&lt;=6),"Tanque",IF(B2381=10,"Descarte",""))</f>
        <v/>
      </c>
    </row>
    <row r="2382" customFormat="false" ht="15" hidden="false" customHeight="false" outlineLevel="0" collapsed="false">
      <c r="A2382" s="22" t="n">
        <v>46309</v>
      </c>
      <c r="B2382" s="0" t="n">
        <v>11</v>
      </c>
      <c r="C2382" s="0" t="n">
        <v>6685</v>
      </c>
      <c r="E2382" s="0" t="n">
        <v>0</v>
      </c>
      <c r="F2382" s="23" t="s">
        <v>1167</v>
      </c>
      <c r="I2382" s="23" t="s">
        <v>97</v>
      </c>
      <c r="U2382" s="0" t="n">
        <v>475</v>
      </c>
      <c r="V2382" s="0" t="n">
        <v>2</v>
      </c>
      <c r="W2382" s="0" t="str">
        <f aca="false">IF(OR(AND(B2382&gt;=1,B2382&lt;=6),B2382=10),"Vaca em lactação",IF(I2382="Male","Macho",IF(E2382&gt;=1,"Vaca seca",IF(I2382="Youngstock","Bezerra/recria","Novilha"))))</f>
        <v>Novilha</v>
      </c>
      <c r="X2382" s="0" t="str">
        <f aca="false">IF(AND(B2382&gt;=1,B2382&lt;=6),"Tanque",IF(B2382=10,"Descarte",""))</f>
        <v/>
      </c>
    </row>
    <row r="2383" customFormat="false" ht="15" hidden="false" customHeight="false" outlineLevel="0" collapsed="false">
      <c r="A2383" s="22" t="n">
        <v>46309</v>
      </c>
      <c r="B2383" s="0" t="n">
        <v>11</v>
      </c>
      <c r="C2383" s="0" t="n">
        <v>6776</v>
      </c>
      <c r="E2383" s="0" t="n">
        <v>0</v>
      </c>
      <c r="F2383" s="23" t="s">
        <v>1168</v>
      </c>
      <c r="I2383" s="23" t="s">
        <v>97</v>
      </c>
      <c r="U2383" s="0" t="n">
        <v>446</v>
      </c>
      <c r="V2383" s="0" t="n">
        <v>3</v>
      </c>
      <c r="W2383" s="0" t="str">
        <f aca="false">IF(OR(AND(B2383&gt;=1,B2383&lt;=6),B2383=10),"Vaca em lactação",IF(I2383="Male","Macho",IF(E2383&gt;=1,"Vaca seca",IF(I2383="Youngstock","Bezerra/recria","Novilha"))))</f>
        <v>Novilha</v>
      </c>
      <c r="X2383" s="0" t="str">
        <f aca="false">IF(AND(B2383&gt;=1,B2383&lt;=6),"Tanque",IF(B2383=10,"Descarte",""))</f>
        <v/>
      </c>
    </row>
    <row r="2384" customFormat="false" ht="15" hidden="false" customHeight="false" outlineLevel="0" collapsed="false">
      <c r="A2384" s="22" t="n">
        <v>46309</v>
      </c>
      <c r="B2384" s="0" t="n">
        <v>11</v>
      </c>
      <c r="C2384" s="0" t="n">
        <v>6772</v>
      </c>
      <c r="E2384" s="0" t="n">
        <v>0</v>
      </c>
      <c r="F2384" s="23" t="s">
        <v>1168</v>
      </c>
      <c r="I2384" s="23" t="s">
        <v>97</v>
      </c>
      <c r="U2384" s="0" t="n">
        <v>446</v>
      </c>
      <c r="V2384" s="0" t="n">
        <v>3</v>
      </c>
      <c r="W2384" s="0" t="str">
        <f aca="false">IF(OR(AND(B2384&gt;=1,B2384&lt;=6),B2384=10),"Vaca em lactação",IF(I2384="Male","Macho",IF(E2384&gt;=1,"Vaca seca",IF(I2384="Youngstock","Bezerra/recria","Novilha"))))</f>
        <v>Novilha</v>
      </c>
      <c r="X2384" s="0" t="str">
        <f aca="false">IF(AND(B2384&gt;=1,B2384&lt;=6),"Tanque",IF(B2384=10,"Descarte",""))</f>
        <v/>
      </c>
    </row>
    <row r="2385" customFormat="false" ht="15" hidden="false" customHeight="false" outlineLevel="0" collapsed="false">
      <c r="A2385" s="22" t="n">
        <v>46309</v>
      </c>
      <c r="B2385" s="0" t="n">
        <v>11</v>
      </c>
      <c r="C2385" s="0" t="n">
        <v>6781</v>
      </c>
      <c r="E2385" s="0" t="n">
        <v>0</v>
      </c>
      <c r="F2385" s="23" t="s">
        <v>1170</v>
      </c>
      <c r="I2385" s="23" t="s">
        <v>97</v>
      </c>
      <c r="U2385" s="0" t="n">
        <v>444</v>
      </c>
      <c r="V2385" s="0" t="n">
        <v>1</v>
      </c>
      <c r="W2385" s="0" t="str">
        <f aca="false">IF(OR(AND(B2385&gt;=1,B2385&lt;=6),B2385=10),"Vaca em lactação",IF(I2385="Male","Macho",IF(E2385&gt;=1,"Vaca seca",IF(I2385="Youngstock","Bezerra/recria","Novilha"))))</f>
        <v>Novilha</v>
      </c>
      <c r="X2385" s="0" t="str">
        <f aca="false">IF(AND(B2385&gt;=1,B2385&lt;=6),"Tanque",IF(B2385=10,"Descarte",""))</f>
        <v/>
      </c>
    </row>
    <row r="2386" customFormat="false" ht="15" hidden="false" customHeight="false" outlineLevel="0" collapsed="false">
      <c r="A2386" s="22" t="n">
        <v>46309</v>
      </c>
      <c r="B2386" s="0" t="n">
        <v>11</v>
      </c>
      <c r="C2386" s="0" t="n">
        <v>6780</v>
      </c>
      <c r="E2386" s="0" t="n">
        <v>0</v>
      </c>
      <c r="F2386" s="23" t="s">
        <v>1170</v>
      </c>
      <c r="I2386" s="23" t="s">
        <v>97</v>
      </c>
      <c r="U2386" s="0" t="n">
        <v>444</v>
      </c>
      <c r="V2386" s="0" t="n">
        <v>2</v>
      </c>
      <c r="W2386" s="0" t="str">
        <f aca="false">IF(OR(AND(B2386&gt;=1,B2386&lt;=6),B2386=10),"Vaca em lactação",IF(I2386="Male","Macho",IF(E2386&gt;=1,"Vaca seca",IF(I2386="Youngstock","Bezerra/recria","Novilha"))))</f>
        <v>Novilha</v>
      </c>
      <c r="X2386" s="0" t="str">
        <f aca="false">IF(AND(B2386&gt;=1,B2386&lt;=6),"Tanque",IF(B2386=10,"Descarte",""))</f>
        <v/>
      </c>
    </row>
    <row r="2387" customFormat="false" ht="15" hidden="false" customHeight="false" outlineLevel="0" collapsed="false">
      <c r="A2387" s="22" t="n">
        <v>46309</v>
      </c>
      <c r="B2387" s="0" t="n">
        <v>11</v>
      </c>
      <c r="C2387" s="0" t="n">
        <v>6777</v>
      </c>
      <c r="E2387" s="0" t="n">
        <v>0</v>
      </c>
      <c r="F2387" s="23" t="s">
        <v>1169</v>
      </c>
      <c r="I2387" s="23" t="s">
        <v>97</v>
      </c>
      <c r="U2387" s="0" t="n">
        <v>445</v>
      </c>
      <c r="V2387" s="0" t="n">
        <v>2</v>
      </c>
      <c r="W2387" s="0" t="str">
        <f aca="false">IF(OR(AND(B2387&gt;=1,B2387&lt;=6),B2387=10),"Vaca em lactação",IF(I2387="Male","Macho",IF(E2387&gt;=1,"Vaca seca",IF(I2387="Youngstock","Bezerra/recria","Novilha"))))</f>
        <v>Novilha</v>
      </c>
      <c r="X2387" s="0" t="str">
        <f aca="false">IF(AND(B2387&gt;=1,B2387&lt;=6),"Tanque",IF(B2387=10,"Descarte",""))</f>
        <v/>
      </c>
    </row>
    <row r="2388" customFormat="false" ht="15" hidden="false" customHeight="false" outlineLevel="0" collapsed="false">
      <c r="A2388" s="22" t="n">
        <v>46309</v>
      </c>
      <c r="B2388" s="0" t="n">
        <v>11</v>
      </c>
      <c r="C2388" s="0" t="n">
        <v>6785</v>
      </c>
      <c r="E2388" s="0" t="n">
        <v>0</v>
      </c>
      <c r="F2388" s="23" t="s">
        <v>1213</v>
      </c>
      <c r="I2388" s="23" t="s">
        <v>97</v>
      </c>
      <c r="U2388" s="0" t="n">
        <v>443</v>
      </c>
      <c r="V2388" s="0" t="n">
        <v>3</v>
      </c>
      <c r="W2388" s="0" t="str">
        <f aca="false">IF(OR(AND(B2388&gt;=1,B2388&lt;=6),B2388=10),"Vaca em lactação",IF(I2388="Male","Macho",IF(E2388&gt;=1,"Vaca seca",IF(I2388="Youngstock","Bezerra/recria","Novilha"))))</f>
        <v>Novilha</v>
      </c>
      <c r="X2388" s="0" t="str">
        <f aca="false">IF(AND(B2388&gt;=1,B2388&lt;=6),"Tanque",IF(B2388=10,"Descarte",""))</f>
        <v/>
      </c>
    </row>
    <row r="2389" customFormat="false" ht="15" hidden="false" customHeight="false" outlineLevel="0" collapsed="false">
      <c r="A2389" s="22" t="n">
        <v>46309</v>
      </c>
      <c r="B2389" s="0" t="n">
        <v>11</v>
      </c>
      <c r="C2389" s="0" t="n">
        <v>6763</v>
      </c>
      <c r="E2389" s="0" t="n">
        <v>0</v>
      </c>
      <c r="F2389" s="23" t="s">
        <v>1173</v>
      </c>
      <c r="I2389" s="23" t="s">
        <v>97</v>
      </c>
      <c r="U2389" s="0" t="n">
        <v>450</v>
      </c>
      <c r="V2389" s="0" t="n">
        <v>3</v>
      </c>
      <c r="W2389" s="0" t="str">
        <f aca="false">IF(OR(AND(B2389&gt;=1,B2389&lt;=6),B2389=10),"Vaca em lactação",IF(I2389="Male","Macho",IF(E2389&gt;=1,"Vaca seca",IF(I2389="Youngstock","Bezerra/recria","Novilha"))))</f>
        <v>Novilha</v>
      </c>
      <c r="X2389" s="0" t="str">
        <f aca="false">IF(AND(B2389&gt;=1,B2389&lt;=6),"Tanque",IF(B2389=10,"Descarte",""))</f>
        <v/>
      </c>
    </row>
    <row r="2390" customFormat="false" ht="15" hidden="false" customHeight="false" outlineLevel="0" collapsed="false">
      <c r="A2390" s="22" t="n">
        <v>46309</v>
      </c>
      <c r="B2390" s="0" t="n">
        <v>11</v>
      </c>
      <c r="C2390" s="0" t="n">
        <v>6767</v>
      </c>
      <c r="E2390" s="0" t="n">
        <v>0</v>
      </c>
      <c r="F2390" s="23" t="s">
        <v>1174</v>
      </c>
      <c r="I2390" s="23" t="s">
        <v>97</v>
      </c>
      <c r="U2390" s="0" t="n">
        <v>448</v>
      </c>
      <c r="V2390" s="0" t="n">
        <v>3</v>
      </c>
      <c r="W2390" s="0" t="str">
        <f aca="false">IF(OR(AND(B2390&gt;=1,B2390&lt;=6),B2390=10),"Vaca em lactação",IF(I2390="Male","Macho",IF(E2390&gt;=1,"Vaca seca",IF(I2390="Youngstock","Bezerra/recria","Novilha"))))</f>
        <v>Novilha</v>
      </c>
      <c r="X2390" s="0" t="str">
        <f aca="false">IF(AND(B2390&gt;=1,B2390&lt;=6),"Tanque",IF(B2390=10,"Descarte",""))</f>
        <v/>
      </c>
    </row>
    <row r="2391" customFormat="false" ht="15" hidden="false" customHeight="false" outlineLevel="0" collapsed="false">
      <c r="A2391" s="22" t="n">
        <v>46309</v>
      </c>
      <c r="B2391" s="0" t="n">
        <v>11</v>
      </c>
      <c r="C2391" s="0" t="n">
        <v>6745</v>
      </c>
      <c r="E2391" s="0" t="n">
        <v>0</v>
      </c>
      <c r="F2391" s="23" t="s">
        <v>1214</v>
      </c>
      <c r="I2391" s="23" t="s">
        <v>97</v>
      </c>
      <c r="U2391" s="0" t="n">
        <v>457</v>
      </c>
      <c r="V2391" s="0" t="n">
        <v>2</v>
      </c>
      <c r="W2391" s="0" t="str">
        <f aca="false">IF(OR(AND(B2391&gt;=1,B2391&lt;=6),B2391=10),"Vaca em lactação",IF(I2391="Male","Macho",IF(E2391&gt;=1,"Vaca seca",IF(I2391="Youngstock","Bezerra/recria","Novilha"))))</f>
        <v>Novilha</v>
      </c>
      <c r="X2391" s="0" t="str">
        <f aca="false">IF(AND(B2391&gt;=1,B2391&lt;=6),"Tanque",IF(B2391=10,"Descarte",""))</f>
        <v/>
      </c>
    </row>
    <row r="2392" customFormat="false" ht="15" hidden="false" customHeight="false" outlineLevel="0" collapsed="false">
      <c r="A2392" s="22" t="n">
        <v>46309</v>
      </c>
      <c r="B2392" s="0" t="n">
        <v>11</v>
      </c>
      <c r="C2392" s="0" t="n">
        <v>6744</v>
      </c>
      <c r="E2392" s="0" t="n">
        <v>0</v>
      </c>
      <c r="F2392" s="23" t="s">
        <v>1214</v>
      </c>
      <c r="I2392" s="23" t="s">
        <v>97</v>
      </c>
      <c r="U2392" s="0" t="n">
        <v>457</v>
      </c>
      <c r="V2392" s="0" t="n">
        <v>3</v>
      </c>
      <c r="W2392" s="0" t="str">
        <f aca="false">IF(OR(AND(B2392&gt;=1,B2392&lt;=6),B2392=10),"Vaca em lactação",IF(I2392="Male","Macho",IF(E2392&gt;=1,"Vaca seca",IF(I2392="Youngstock","Bezerra/recria","Novilha"))))</f>
        <v>Novilha</v>
      </c>
      <c r="X2392" s="0" t="str">
        <f aca="false">IF(AND(B2392&gt;=1,B2392&lt;=6),"Tanque",IF(B2392=10,"Descarte",""))</f>
        <v/>
      </c>
    </row>
    <row r="2393" customFormat="false" ht="15" hidden="false" customHeight="false" outlineLevel="0" collapsed="false">
      <c r="A2393" s="22" t="n">
        <v>46309</v>
      </c>
      <c r="B2393" s="0" t="n">
        <v>11</v>
      </c>
      <c r="C2393" s="0" t="n">
        <v>6740</v>
      </c>
      <c r="E2393" s="0" t="n">
        <v>0</v>
      </c>
      <c r="F2393" s="23" t="s">
        <v>1215</v>
      </c>
      <c r="I2393" s="23" t="s">
        <v>97</v>
      </c>
      <c r="U2393" s="0" t="n">
        <v>456</v>
      </c>
      <c r="V2393" s="0" t="n">
        <v>3</v>
      </c>
      <c r="W2393" s="0" t="str">
        <f aca="false">IF(OR(AND(B2393&gt;=1,B2393&lt;=6),B2393=10),"Vaca em lactação",IF(I2393="Male","Macho",IF(E2393&gt;=1,"Vaca seca",IF(I2393="Youngstock","Bezerra/recria","Novilha"))))</f>
        <v>Novilha</v>
      </c>
      <c r="X2393" s="0" t="str">
        <f aca="false">IF(AND(B2393&gt;=1,B2393&lt;=6),"Tanque",IF(B2393=10,"Descarte",""))</f>
        <v/>
      </c>
    </row>
    <row r="2394" customFormat="false" ht="15" hidden="false" customHeight="false" outlineLevel="0" collapsed="false">
      <c r="A2394" s="22" t="n">
        <v>46309</v>
      </c>
      <c r="B2394" s="0" t="n">
        <v>11</v>
      </c>
      <c r="C2394" s="0" t="n">
        <v>6748</v>
      </c>
      <c r="E2394" s="0" t="n">
        <v>0</v>
      </c>
      <c r="F2394" s="23" t="s">
        <v>1175</v>
      </c>
      <c r="I2394" s="23" t="s">
        <v>97</v>
      </c>
      <c r="U2394" s="0" t="n">
        <v>455</v>
      </c>
      <c r="V2394" s="0" t="n">
        <v>3</v>
      </c>
      <c r="W2394" s="0" t="str">
        <f aca="false">IF(OR(AND(B2394&gt;=1,B2394&lt;=6),B2394=10),"Vaca em lactação",IF(I2394="Male","Macho",IF(E2394&gt;=1,"Vaca seca",IF(I2394="Youngstock","Bezerra/recria","Novilha"))))</f>
        <v>Novilha</v>
      </c>
      <c r="X2394" s="0" t="str">
        <f aca="false">IF(AND(B2394&gt;=1,B2394&lt;=6),"Tanque",IF(B2394=10,"Descarte",""))</f>
        <v/>
      </c>
    </row>
    <row r="2395" customFormat="false" ht="15" hidden="false" customHeight="false" outlineLevel="0" collapsed="false">
      <c r="A2395" s="22" t="n">
        <v>46309</v>
      </c>
      <c r="B2395" s="0" t="n">
        <v>11</v>
      </c>
      <c r="C2395" s="0" t="n">
        <v>6759</v>
      </c>
      <c r="E2395" s="0" t="n">
        <v>0</v>
      </c>
      <c r="F2395" s="23" t="s">
        <v>1177</v>
      </c>
      <c r="I2395" s="23" t="s">
        <v>97</v>
      </c>
      <c r="U2395" s="0" t="n">
        <v>452</v>
      </c>
      <c r="V2395" s="0" t="n">
        <v>2</v>
      </c>
      <c r="W2395" s="0" t="str">
        <f aca="false">IF(OR(AND(B2395&gt;=1,B2395&lt;=6),B2395=10),"Vaca em lactação",IF(I2395="Male","Macho",IF(E2395&gt;=1,"Vaca seca",IF(I2395="Youngstock","Bezerra/recria","Novilha"))))</f>
        <v>Novilha</v>
      </c>
      <c r="X2395" s="0" t="str">
        <f aca="false">IF(AND(B2395&gt;=1,B2395&lt;=6),"Tanque",IF(B2395=10,"Descarte",""))</f>
        <v/>
      </c>
    </row>
    <row r="2396" customFormat="false" ht="15" hidden="false" customHeight="false" outlineLevel="0" collapsed="false">
      <c r="A2396" s="22" t="n">
        <v>46309</v>
      </c>
      <c r="B2396" s="0" t="n">
        <v>11</v>
      </c>
      <c r="C2396" s="0" t="n">
        <v>6758</v>
      </c>
      <c r="E2396" s="0" t="n">
        <v>0</v>
      </c>
      <c r="F2396" s="23" t="s">
        <v>1177</v>
      </c>
      <c r="I2396" s="23" t="s">
        <v>97</v>
      </c>
      <c r="U2396" s="0" t="n">
        <v>452</v>
      </c>
      <c r="V2396" s="0" t="n">
        <v>2</v>
      </c>
      <c r="W2396" s="0" t="str">
        <f aca="false">IF(OR(AND(B2396&gt;=1,B2396&lt;=6),B2396=10),"Vaca em lactação",IF(I2396="Male","Macho",IF(E2396&gt;=1,"Vaca seca",IF(I2396="Youngstock","Bezerra/recria","Novilha"))))</f>
        <v>Novilha</v>
      </c>
      <c r="X2396" s="0" t="str">
        <f aca="false">IF(AND(B2396&gt;=1,B2396&lt;=6),"Tanque",IF(B2396=10,"Descarte",""))</f>
        <v/>
      </c>
    </row>
    <row r="2397" customFormat="false" ht="15" hidden="false" customHeight="false" outlineLevel="0" collapsed="false">
      <c r="A2397" s="22" t="n">
        <v>46309</v>
      </c>
      <c r="B2397" s="0" t="n">
        <v>11</v>
      </c>
      <c r="C2397" s="0" t="n">
        <v>6732</v>
      </c>
      <c r="E2397" s="0" t="n">
        <v>0</v>
      </c>
      <c r="F2397" s="23" t="s">
        <v>1181</v>
      </c>
      <c r="I2397" s="23" t="s">
        <v>97</v>
      </c>
      <c r="U2397" s="0" t="n">
        <v>462</v>
      </c>
      <c r="V2397" s="0" t="n">
        <v>3</v>
      </c>
      <c r="W2397" s="0" t="str">
        <f aca="false">IF(OR(AND(B2397&gt;=1,B2397&lt;=6),B2397=10),"Vaca em lactação",IF(I2397="Male","Macho",IF(E2397&gt;=1,"Vaca seca",IF(I2397="Youngstock","Bezerra/recria","Novilha"))))</f>
        <v>Novilha</v>
      </c>
      <c r="X2397" s="0" t="str">
        <f aca="false">IF(AND(B2397&gt;=1,B2397&lt;=6),"Tanque",IF(B2397=10,"Descarte",""))</f>
        <v/>
      </c>
    </row>
    <row r="2398" customFormat="false" ht="15" hidden="false" customHeight="false" outlineLevel="0" collapsed="false">
      <c r="A2398" s="22" t="n">
        <v>46309</v>
      </c>
      <c r="B2398" s="0" t="n">
        <v>11</v>
      </c>
      <c r="C2398" s="0" t="n">
        <v>6727</v>
      </c>
      <c r="E2398" s="0" t="n">
        <v>0</v>
      </c>
      <c r="F2398" s="23" t="s">
        <v>1178</v>
      </c>
      <c r="I2398" s="23" t="s">
        <v>97</v>
      </c>
      <c r="U2398" s="0" t="n">
        <v>463</v>
      </c>
      <c r="V2398" s="0" t="n">
        <v>2</v>
      </c>
      <c r="W2398" s="0" t="str">
        <f aca="false">IF(OR(AND(B2398&gt;=1,B2398&lt;=6),B2398=10),"Vaca em lactação",IF(I2398="Male","Macho",IF(E2398&gt;=1,"Vaca seca",IF(I2398="Youngstock","Bezerra/recria","Novilha"))))</f>
        <v>Novilha</v>
      </c>
      <c r="X2398" s="0" t="str">
        <f aca="false">IF(AND(B2398&gt;=1,B2398&lt;=6),"Tanque",IF(B2398=10,"Descarte",""))</f>
        <v/>
      </c>
    </row>
    <row r="2399" customFormat="false" ht="15" hidden="false" customHeight="false" outlineLevel="0" collapsed="false">
      <c r="A2399" s="22" t="n">
        <v>46309</v>
      </c>
      <c r="B2399" s="0" t="n">
        <v>11</v>
      </c>
      <c r="C2399" s="0" t="n">
        <v>6739</v>
      </c>
      <c r="E2399" s="0" t="n">
        <v>0</v>
      </c>
      <c r="F2399" s="23" t="s">
        <v>1179</v>
      </c>
      <c r="I2399" s="23" t="s">
        <v>97</v>
      </c>
      <c r="U2399" s="0" t="n">
        <v>460</v>
      </c>
      <c r="V2399" s="0" t="n">
        <v>1</v>
      </c>
      <c r="W2399" s="0" t="str">
        <f aca="false">IF(OR(AND(B2399&gt;=1,B2399&lt;=6),B2399=10),"Vaca em lactação",IF(I2399="Male","Macho",IF(E2399&gt;=1,"Vaca seca",IF(I2399="Youngstock","Bezerra/recria","Novilha"))))</f>
        <v>Novilha</v>
      </c>
      <c r="X2399" s="0" t="str">
        <f aca="false">IF(AND(B2399&gt;=1,B2399&lt;=6),"Tanque",IF(B2399=10,"Descarte",""))</f>
        <v/>
      </c>
    </row>
    <row r="2400" customFormat="false" ht="15" hidden="false" customHeight="false" outlineLevel="0" collapsed="false">
      <c r="A2400" s="22" t="n">
        <v>46309</v>
      </c>
      <c r="B2400" s="0" t="n">
        <v>11</v>
      </c>
      <c r="C2400" s="0" t="n">
        <v>6743</v>
      </c>
      <c r="E2400" s="0" t="n">
        <v>0</v>
      </c>
      <c r="F2400" s="23" t="s">
        <v>1182</v>
      </c>
      <c r="I2400" s="23" t="s">
        <v>97</v>
      </c>
      <c r="U2400" s="0" t="n">
        <v>458</v>
      </c>
      <c r="V2400" s="0" t="n">
        <v>2</v>
      </c>
      <c r="W2400" s="0" t="str">
        <f aca="false">IF(OR(AND(B2400&gt;=1,B2400&lt;=6),B2400=10),"Vaca em lactação",IF(I2400="Male","Macho",IF(E2400&gt;=1,"Vaca seca",IF(I2400="Youngstock","Bezerra/recria","Novilha"))))</f>
        <v>Novilha</v>
      </c>
      <c r="X2400" s="0" t="str">
        <f aca="false">IF(AND(B2400&gt;=1,B2400&lt;=6),"Tanque",IF(B2400=10,"Descarte",""))</f>
        <v/>
      </c>
    </row>
    <row r="2401" customFormat="false" ht="15" hidden="false" customHeight="false" outlineLevel="0" collapsed="false">
      <c r="A2401" s="22" t="n">
        <v>46309</v>
      </c>
      <c r="B2401" s="0" t="n">
        <v>11</v>
      </c>
      <c r="C2401" s="0" t="n">
        <v>6859</v>
      </c>
      <c r="E2401" s="0" t="n">
        <v>0</v>
      </c>
      <c r="F2401" s="23" t="s">
        <v>1216</v>
      </c>
      <c r="I2401" s="23" t="s">
        <v>97</v>
      </c>
      <c r="U2401" s="0" t="n">
        <v>422</v>
      </c>
      <c r="V2401" s="0" t="n">
        <v>1</v>
      </c>
      <c r="W2401" s="0" t="str">
        <f aca="false">IF(OR(AND(B2401&gt;=1,B2401&lt;=6),B2401=10),"Vaca em lactação",IF(I2401="Male","Macho",IF(E2401&gt;=1,"Vaca seca",IF(I2401="Youngstock","Bezerra/recria","Novilha"))))</f>
        <v>Novilha</v>
      </c>
      <c r="X2401" s="0" t="str">
        <f aca="false">IF(AND(B2401&gt;=1,B2401&lt;=6),"Tanque",IF(B2401=10,"Descarte",""))</f>
        <v/>
      </c>
    </row>
    <row r="2402" customFormat="false" ht="15" hidden="false" customHeight="false" outlineLevel="0" collapsed="false">
      <c r="A2402" s="22" t="n">
        <v>46309</v>
      </c>
      <c r="B2402" s="0" t="n">
        <v>11</v>
      </c>
      <c r="C2402" s="0" t="n">
        <v>6864</v>
      </c>
      <c r="E2402" s="0" t="n">
        <v>0</v>
      </c>
      <c r="F2402" s="23" t="s">
        <v>1217</v>
      </c>
      <c r="I2402" s="23" t="s">
        <v>97</v>
      </c>
      <c r="U2402" s="0" t="n">
        <v>421</v>
      </c>
      <c r="V2402" s="0" t="n">
        <v>1</v>
      </c>
      <c r="W2402" s="0" t="str">
        <f aca="false">IF(OR(AND(B2402&gt;=1,B2402&lt;=6),B2402=10),"Vaca em lactação",IF(I2402="Male","Macho",IF(E2402&gt;=1,"Vaca seca",IF(I2402="Youngstock","Bezerra/recria","Novilha"))))</f>
        <v>Novilha</v>
      </c>
      <c r="X2402" s="0" t="str">
        <f aca="false">IF(AND(B2402&gt;=1,B2402&lt;=6),"Tanque",IF(B2402=10,"Descarte",""))</f>
        <v/>
      </c>
    </row>
    <row r="2403" customFormat="false" ht="15" hidden="false" customHeight="false" outlineLevel="0" collapsed="false">
      <c r="A2403" s="22" t="n">
        <v>46309</v>
      </c>
      <c r="B2403" s="0" t="n">
        <v>11</v>
      </c>
      <c r="C2403" s="0" t="n">
        <v>6867</v>
      </c>
      <c r="E2403" s="0" t="n">
        <v>0</v>
      </c>
      <c r="F2403" s="23" t="s">
        <v>1218</v>
      </c>
      <c r="I2403" s="23" t="s">
        <v>97</v>
      </c>
      <c r="U2403" s="0" t="n">
        <v>420</v>
      </c>
      <c r="V2403" s="0" t="n">
        <v>1</v>
      </c>
      <c r="W2403" s="0" t="str">
        <f aca="false">IF(OR(AND(B2403&gt;=1,B2403&lt;=6),B2403=10),"Vaca em lactação",IF(I2403="Male","Macho",IF(E2403&gt;=1,"Vaca seca",IF(I2403="Youngstock","Bezerra/recria","Novilha"))))</f>
        <v>Novilha</v>
      </c>
      <c r="X2403" s="0" t="str">
        <f aca="false">IF(AND(B2403&gt;=1,B2403&lt;=6),"Tanque",IF(B2403=10,"Descarte",""))</f>
        <v/>
      </c>
    </row>
    <row r="2404" customFormat="false" ht="15" hidden="false" customHeight="false" outlineLevel="0" collapsed="false">
      <c r="A2404" s="22" t="n">
        <v>46309</v>
      </c>
      <c r="B2404" s="0" t="n">
        <v>11</v>
      </c>
      <c r="C2404" s="0" t="n">
        <v>6866</v>
      </c>
      <c r="E2404" s="0" t="n">
        <v>0</v>
      </c>
      <c r="F2404" s="23" t="s">
        <v>1218</v>
      </c>
      <c r="I2404" s="23" t="s">
        <v>97</v>
      </c>
      <c r="U2404" s="0" t="n">
        <v>420</v>
      </c>
      <c r="V2404" s="0" t="n">
        <v>1</v>
      </c>
      <c r="W2404" s="0" t="str">
        <f aca="false">IF(OR(AND(B2404&gt;=1,B2404&lt;=6),B2404=10),"Vaca em lactação",IF(I2404="Male","Macho",IF(E2404&gt;=1,"Vaca seca",IF(I2404="Youngstock","Bezerra/recria","Novilha"))))</f>
        <v>Novilha</v>
      </c>
      <c r="X2404" s="0" t="str">
        <f aca="false">IF(AND(B2404&gt;=1,B2404&lt;=6),"Tanque",IF(B2404=10,"Descarte",""))</f>
        <v/>
      </c>
    </row>
    <row r="2405" customFormat="false" ht="15" hidden="false" customHeight="false" outlineLevel="0" collapsed="false">
      <c r="A2405" s="22" t="n">
        <v>46309</v>
      </c>
      <c r="B2405" s="0" t="n">
        <v>11</v>
      </c>
      <c r="C2405" s="0" t="n">
        <v>6872</v>
      </c>
      <c r="E2405" s="0" t="n">
        <v>0</v>
      </c>
      <c r="F2405" s="23" t="s">
        <v>1219</v>
      </c>
      <c r="I2405" s="23" t="s">
        <v>97</v>
      </c>
      <c r="U2405" s="0" t="n">
        <v>419</v>
      </c>
      <c r="V2405" s="0" t="n">
        <v>1</v>
      </c>
      <c r="W2405" s="0" t="str">
        <f aca="false">IF(OR(AND(B2405&gt;=1,B2405&lt;=6),B2405=10),"Vaca em lactação",IF(I2405="Male","Macho",IF(E2405&gt;=1,"Vaca seca",IF(I2405="Youngstock","Bezerra/recria","Novilha"))))</f>
        <v>Novilha</v>
      </c>
      <c r="X2405" s="0" t="str">
        <f aca="false">IF(AND(B2405&gt;=1,B2405&lt;=6),"Tanque",IF(B2405=10,"Descarte",""))</f>
        <v/>
      </c>
    </row>
    <row r="2406" customFormat="false" ht="15" hidden="false" customHeight="false" outlineLevel="0" collapsed="false">
      <c r="A2406" s="22" t="n">
        <v>46309</v>
      </c>
      <c r="B2406" s="0" t="n">
        <v>11</v>
      </c>
      <c r="C2406" s="0" t="n">
        <v>6871</v>
      </c>
      <c r="E2406" s="0" t="n">
        <v>0</v>
      </c>
      <c r="F2406" s="23" t="s">
        <v>1219</v>
      </c>
      <c r="I2406" s="23" t="s">
        <v>97</v>
      </c>
      <c r="U2406" s="0" t="n">
        <v>419</v>
      </c>
      <c r="V2406" s="0" t="n">
        <v>1</v>
      </c>
      <c r="W2406" s="0" t="str">
        <f aca="false">IF(OR(AND(B2406&gt;=1,B2406&lt;=6),B2406=10),"Vaca em lactação",IF(I2406="Male","Macho",IF(E2406&gt;=1,"Vaca seca",IF(I2406="Youngstock","Bezerra/recria","Novilha"))))</f>
        <v>Novilha</v>
      </c>
      <c r="X2406" s="0" t="str">
        <f aca="false">IF(AND(B2406&gt;=1,B2406&lt;=6),"Tanque",IF(B2406=10,"Descarte",""))</f>
        <v/>
      </c>
    </row>
    <row r="2407" customFormat="false" ht="15" hidden="false" customHeight="false" outlineLevel="0" collapsed="false">
      <c r="A2407" s="22" t="n">
        <v>46309</v>
      </c>
      <c r="B2407" s="0" t="n">
        <v>11</v>
      </c>
      <c r="C2407" s="0" t="n">
        <v>6870</v>
      </c>
      <c r="E2407" s="0" t="n">
        <v>0</v>
      </c>
      <c r="F2407" s="23" t="s">
        <v>1218</v>
      </c>
      <c r="I2407" s="23" t="s">
        <v>97</v>
      </c>
      <c r="U2407" s="0" t="n">
        <v>420</v>
      </c>
      <c r="V2407" s="0" t="n">
        <v>1</v>
      </c>
      <c r="W2407" s="0" t="str">
        <f aca="false">IF(OR(AND(B2407&gt;=1,B2407&lt;=6),B2407=10),"Vaca em lactação",IF(I2407="Male","Macho",IF(E2407&gt;=1,"Vaca seca",IF(I2407="Youngstock","Bezerra/recria","Novilha"))))</f>
        <v>Novilha</v>
      </c>
      <c r="X2407" s="0" t="str">
        <f aca="false">IF(AND(B2407&gt;=1,B2407&lt;=6),"Tanque",IF(B2407=10,"Descarte",""))</f>
        <v/>
      </c>
    </row>
    <row r="2408" customFormat="false" ht="15" hidden="false" customHeight="false" outlineLevel="0" collapsed="false">
      <c r="A2408" s="22" t="n">
        <v>46309</v>
      </c>
      <c r="B2408" s="0" t="n">
        <v>11</v>
      </c>
      <c r="C2408" s="0" t="n">
        <v>6869</v>
      </c>
      <c r="E2408" s="0" t="n">
        <v>0</v>
      </c>
      <c r="F2408" s="23" t="s">
        <v>1218</v>
      </c>
      <c r="I2408" s="23" t="s">
        <v>97</v>
      </c>
      <c r="U2408" s="0" t="n">
        <v>420</v>
      </c>
      <c r="V2408" s="0" t="n">
        <v>1</v>
      </c>
      <c r="W2408" s="0" t="str">
        <f aca="false">IF(OR(AND(B2408&gt;=1,B2408&lt;=6),B2408=10),"Vaca em lactação",IF(I2408="Male","Macho",IF(E2408&gt;=1,"Vaca seca",IF(I2408="Youngstock","Bezerra/recria","Novilha"))))</f>
        <v>Novilha</v>
      </c>
      <c r="X2408" s="0" t="str">
        <f aca="false">IF(AND(B2408&gt;=1,B2408&lt;=6),"Tanque",IF(B2408=10,"Descarte",""))</f>
        <v/>
      </c>
    </row>
    <row r="2409" customFormat="false" ht="15" hidden="false" customHeight="false" outlineLevel="0" collapsed="false">
      <c r="A2409" s="22" t="n">
        <v>46309</v>
      </c>
      <c r="B2409" s="0" t="n">
        <v>11</v>
      </c>
      <c r="C2409" s="0" t="n">
        <v>6873</v>
      </c>
      <c r="E2409" s="0" t="n">
        <v>0</v>
      </c>
      <c r="F2409" s="23" t="s">
        <v>1219</v>
      </c>
      <c r="I2409" s="23" t="s">
        <v>97</v>
      </c>
      <c r="U2409" s="0" t="n">
        <v>419</v>
      </c>
      <c r="V2409" s="0" t="n">
        <v>1</v>
      </c>
      <c r="W2409" s="0" t="str">
        <f aca="false">IF(OR(AND(B2409&gt;=1,B2409&lt;=6),B2409=10),"Vaca em lactação",IF(I2409="Male","Macho",IF(E2409&gt;=1,"Vaca seca",IF(I2409="Youngstock","Bezerra/recria","Novilha"))))</f>
        <v>Novilha</v>
      </c>
      <c r="X2409" s="0" t="str">
        <f aca="false">IF(AND(B2409&gt;=1,B2409&lt;=6),"Tanque",IF(B2409=10,"Descarte",""))</f>
        <v/>
      </c>
    </row>
    <row r="2410" customFormat="false" ht="15" hidden="false" customHeight="false" outlineLevel="0" collapsed="false">
      <c r="A2410" s="22" t="n">
        <v>46309</v>
      </c>
      <c r="B2410" s="0" t="n">
        <v>11</v>
      </c>
      <c r="C2410" s="0" t="n">
        <v>6875</v>
      </c>
      <c r="E2410" s="0" t="n">
        <v>0</v>
      </c>
      <c r="F2410" s="23" t="s">
        <v>1220</v>
      </c>
      <c r="I2410" s="23" t="s">
        <v>97</v>
      </c>
      <c r="U2410" s="0" t="n">
        <v>418</v>
      </c>
      <c r="V2410" s="0" t="n">
        <v>1</v>
      </c>
      <c r="W2410" s="0" t="str">
        <f aca="false">IF(OR(AND(B2410&gt;=1,B2410&lt;=6),B2410=10),"Vaca em lactação",IF(I2410="Male","Macho",IF(E2410&gt;=1,"Vaca seca",IF(I2410="Youngstock","Bezerra/recria","Novilha"))))</f>
        <v>Novilha</v>
      </c>
      <c r="X2410" s="0" t="str">
        <f aca="false">IF(AND(B2410&gt;=1,B2410&lt;=6),"Tanque",IF(B2410=10,"Descarte",""))</f>
        <v/>
      </c>
    </row>
    <row r="2411" customFormat="false" ht="15" hidden="false" customHeight="false" outlineLevel="0" collapsed="false">
      <c r="A2411" s="22" t="n">
        <v>46309</v>
      </c>
      <c r="B2411" s="0" t="n">
        <v>11</v>
      </c>
      <c r="C2411" s="0" t="n">
        <v>6876</v>
      </c>
      <c r="E2411" s="0" t="n">
        <v>0</v>
      </c>
      <c r="F2411" s="23" t="s">
        <v>1220</v>
      </c>
      <c r="I2411" s="23" t="s">
        <v>97</v>
      </c>
      <c r="U2411" s="0" t="n">
        <v>418</v>
      </c>
      <c r="V2411" s="0" t="n">
        <v>1</v>
      </c>
      <c r="W2411" s="0" t="str">
        <f aca="false">IF(OR(AND(B2411&gt;=1,B2411&lt;=6),B2411=10),"Vaca em lactação",IF(I2411="Male","Macho",IF(E2411&gt;=1,"Vaca seca",IF(I2411="Youngstock","Bezerra/recria","Novilha"))))</f>
        <v>Novilha</v>
      </c>
      <c r="X2411" s="0" t="str">
        <f aca="false">IF(AND(B2411&gt;=1,B2411&lt;=6),"Tanque",IF(B2411=10,"Descarte",""))</f>
        <v/>
      </c>
    </row>
    <row r="2412" customFormat="false" ht="15" hidden="false" customHeight="false" outlineLevel="0" collapsed="false">
      <c r="A2412" s="22" t="n">
        <v>46309</v>
      </c>
      <c r="B2412" s="0" t="n">
        <v>11</v>
      </c>
      <c r="C2412" s="0" t="n">
        <v>6882</v>
      </c>
      <c r="E2412" s="0" t="n">
        <v>0</v>
      </c>
      <c r="F2412" s="23" t="s">
        <v>1221</v>
      </c>
      <c r="I2412" s="23" t="s">
        <v>97</v>
      </c>
      <c r="U2412" s="0" t="n">
        <v>417</v>
      </c>
      <c r="V2412" s="0" t="n">
        <v>1</v>
      </c>
      <c r="W2412" s="0" t="str">
        <f aca="false">IF(OR(AND(B2412&gt;=1,B2412&lt;=6),B2412=10),"Vaca em lactação",IF(I2412="Male","Macho",IF(E2412&gt;=1,"Vaca seca",IF(I2412="Youngstock","Bezerra/recria","Novilha"))))</f>
        <v>Novilha</v>
      </c>
      <c r="X2412" s="0" t="str">
        <f aca="false">IF(AND(B2412&gt;=1,B2412&lt;=6),"Tanque",IF(B2412=10,"Descarte",""))</f>
        <v/>
      </c>
    </row>
    <row r="2413" customFormat="false" ht="15" hidden="false" customHeight="false" outlineLevel="0" collapsed="false">
      <c r="A2413" s="22" t="n">
        <v>46309</v>
      </c>
      <c r="B2413" s="0" t="n">
        <v>11</v>
      </c>
      <c r="C2413" s="0" t="n">
        <v>6880</v>
      </c>
      <c r="E2413" s="0" t="n">
        <v>0</v>
      </c>
      <c r="F2413" s="23" t="s">
        <v>1221</v>
      </c>
      <c r="I2413" s="23" t="s">
        <v>97</v>
      </c>
      <c r="U2413" s="0" t="n">
        <v>417</v>
      </c>
      <c r="V2413" s="0" t="n">
        <v>1</v>
      </c>
      <c r="W2413" s="0" t="str">
        <f aca="false">IF(OR(AND(B2413&gt;=1,B2413&lt;=6),B2413=10),"Vaca em lactação",IF(I2413="Male","Macho",IF(E2413&gt;=1,"Vaca seca",IF(I2413="Youngstock","Bezerra/recria","Novilha"))))</f>
        <v>Novilha</v>
      </c>
      <c r="X2413" s="0" t="str">
        <f aca="false">IF(AND(B2413&gt;=1,B2413&lt;=6),"Tanque",IF(B2413=10,"Descarte",""))</f>
        <v/>
      </c>
    </row>
    <row r="2414" customFormat="false" ht="15" hidden="false" customHeight="false" outlineLevel="0" collapsed="false">
      <c r="A2414" s="22" t="n">
        <v>46309</v>
      </c>
      <c r="B2414" s="0" t="n">
        <v>11</v>
      </c>
      <c r="C2414" s="0" t="n">
        <v>6879</v>
      </c>
      <c r="E2414" s="0" t="n">
        <v>0</v>
      </c>
      <c r="F2414" s="23" t="s">
        <v>1220</v>
      </c>
      <c r="I2414" s="23" t="s">
        <v>97</v>
      </c>
      <c r="U2414" s="0" t="n">
        <v>418</v>
      </c>
      <c r="V2414" s="0" t="n">
        <v>1</v>
      </c>
      <c r="W2414" s="0" t="str">
        <f aca="false">IF(OR(AND(B2414&gt;=1,B2414&lt;=6),B2414=10),"Vaca em lactação",IF(I2414="Male","Macho",IF(E2414&gt;=1,"Vaca seca",IF(I2414="Youngstock","Bezerra/recria","Novilha"))))</f>
        <v>Novilha</v>
      </c>
      <c r="X2414" s="0" t="str">
        <f aca="false">IF(AND(B2414&gt;=1,B2414&lt;=6),"Tanque",IF(B2414=10,"Descarte",""))</f>
        <v/>
      </c>
    </row>
    <row r="2415" customFormat="false" ht="15" hidden="false" customHeight="false" outlineLevel="0" collapsed="false">
      <c r="A2415" s="22" t="n">
        <v>46309</v>
      </c>
      <c r="B2415" s="0" t="n">
        <v>11</v>
      </c>
      <c r="C2415" s="0" t="n">
        <v>6883</v>
      </c>
      <c r="E2415" s="0" t="n">
        <v>0</v>
      </c>
      <c r="F2415" s="23" t="s">
        <v>1221</v>
      </c>
      <c r="I2415" s="23" t="s">
        <v>97</v>
      </c>
      <c r="U2415" s="0" t="n">
        <v>417</v>
      </c>
      <c r="V2415" s="0" t="n">
        <v>1</v>
      </c>
      <c r="W2415" s="0" t="str">
        <f aca="false">IF(OR(AND(B2415&gt;=1,B2415&lt;=6),B2415=10),"Vaca em lactação",IF(I2415="Male","Macho",IF(E2415&gt;=1,"Vaca seca",IF(I2415="Youngstock","Bezerra/recria","Novilha"))))</f>
        <v>Novilha</v>
      </c>
      <c r="X2415" s="0" t="str">
        <f aca="false">IF(AND(B2415&gt;=1,B2415&lt;=6),"Tanque",IF(B2415=10,"Descarte",""))</f>
        <v/>
      </c>
    </row>
    <row r="2416" customFormat="false" ht="15" hidden="false" customHeight="false" outlineLevel="0" collapsed="false">
      <c r="A2416" s="22" t="n">
        <v>46309</v>
      </c>
      <c r="B2416" s="0" t="n">
        <v>11</v>
      </c>
      <c r="C2416" s="0" t="n">
        <v>6885</v>
      </c>
      <c r="E2416" s="0" t="n">
        <v>0</v>
      </c>
      <c r="F2416" s="23" t="s">
        <v>1222</v>
      </c>
      <c r="I2416" s="23" t="s">
        <v>97</v>
      </c>
      <c r="U2416" s="0" t="n">
        <v>416</v>
      </c>
      <c r="V2416" s="0" t="n">
        <v>1</v>
      </c>
      <c r="W2416" s="0" t="str">
        <f aca="false">IF(OR(AND(B2416&gt;=1,B2416&lt;=6),B2416=10),"Vaca em lactação",IF(I2416="Male","Macho",IF(E2416&gt;=1,"Vaca seca",IF(I2416="Youngstock","Bezerra/recria","Novilha"))))</f>
        <v>Novilha</v>
      </c>
      <c r="X2416" s="0" t="str">
        <f aca="false">IF(AND(B2416&gt;=1,B2416&lt;=6),"Tanque",IF(B2416=10,"Descarte",""))</f>
        <v/>
      </c>
    </row>
    <row r="2417" customFormat="false" ht="15" hidden="false" customHeight="false" outlineLevel="0" collapsed="false">
      <c r="A2417" s="22" t="n">
        <v>46309</v>
      </c>
      <c r="B2417" s="0" t="n">
        <v>11</v>
      </c>
      <c r="C2417" s="0" t="n">
        <v>6891</v>
      </c>
      <c r="E2417" s="0" t="n">
        <v>0</v>
      </c>
      <c r="F2417" s="23" t="s">
        <v>1223</v>
      </c>
      <c r="I2417" s="23" t="s">
        <v>97</v>
      </c>
      <c r="U2417" s="0" t="n">
        <v>415</v>
      </c>
      <c r="V2417" s="0" t="n">
        <v>1</v>
      </c>
      <c r="W2417" s="0" t="str">
        <f aca="false">IF(OR(AND(B2417&gt;=1,B2417&lt;=6),B2417=10),"Vaca em lactação",IF(I2417="Male","Macho",IF(E2417&gt;=1,"Vaca seca",IF(I2417="Youngstock","Bezerra/recria","Novilha"))))</f>
        <v>Novilha</v>
      </c>
      <c r="X2417" s="0" t="str">
        <f aca="false">IF(AND(B2417&gt;=1,B2417&lt;=6),"Tanque",IF(B2417=10,"Descarte",""))</f>
        <v/>
      </c>
    </row>
    <row r="2418" customFormat="false" ht="15" hidden="false" customHeight="false" outlineLevel="0" collapsed="false">
      <c r="A2418" s="22" t="n">
        <v>46309</v>
      </c>
      <c r="B2418" s="0" t="n">
        <v>11</v>
      </c>
      <c r="C2418" s="0" t="n">
        <v>6889</v>
      </c>
      <c r="E2418" s="0" t="n">
        <v>0</v>
      </c>
      <c r="F2418" s="23" t="s">
        <v>1223</v>
      </c>
      <c r="I2418" s="23" t="s">
        <v>97</v>
      </c>
      <c r="U2418" s="0" t="n">
        <v>415</v>
      </c>
      <c r="V2418" s="0" t="n">
        <v>1</v>
      </c>
      <c r="W2418" s="0" t="str">
        <f aca="false">IF(OR(AND(B2418&gt;=1,B2418&lt;=6),B2418=10),"Vaca em lactação",IF(I2418="Male","Macho",IF(E2418&gt;=1,"Vaca seca",IF(I2418="Youngstock","Bezerra/recria","Novilha"))))</f>
        <v>Novilha</v>
      </c>
      <c r="X2418" s="0" t="str">
        <f aca="false">IF(AND(B2418&gt;=1,B2418&lt;=6),"Tanque",IF(B2418=10,"Descarte",""))</f>
        <v/>
      </c>
    </row>
    <row r="2419" customFormat="false" ht="15" hidden="false" customHeight="false" outlineLevel="0" collapsed="false">
      <c r="A2419" s="22" t="n">
        <v>46309</v>
      </c>
      <c r="B2419" s="0" t="n">
        <v>11</v>
      </c>
      <c r="C2419" s="0" t="n">
        <v>6886</v>
      </c>
      <c r="E2419" s="0" t="n">
        <v>0</v>
      </c>
      <c r="F2419" s="23" t="s">
        <v>1222</v>
      </c>
      <c r="I2419" s="23" t="s">
        <v>97</v>
      </c>
      <c r="U2419" s="0" t="n">
        <v>416</v>
      </c>
      <c r="V2419" s="0" t="n">
        <v>1</v>
      </c>
      <c r="W2419" s="0" t="str">
        <f aca="false">IF(OR(AND(B2419&gt;=1,B2419&lt;=6),B2419=10),"Vaca em lactação",IF(I2419="Male","Macho",IF(E2419&gt;=1,"Vaca seca",IF(I2419="Youngstock","Bezerra/recria","Novilha"))))</f>
        <v>Novilha</v>
      </c>
      <c r="X2419" s="0" t="str">
        <f aca="false">IF(AND(B2419&gt;=1,B2419&lt;=6),"Tanque",IF(B2419=10,"Descarte",""))</f>
        <v/>
      </c>
    </row>
    <row r="2420" customFormat="false" ht="15" hidden="false" customHeight="false" outlineLevel="0" collapsed="false">
      <c r="A2420" s="22" t="n">
        <v>46309</v>
      </c>
      <c r="B2420" s="0" t="n">
        <v>11</v>
      </c>
      <c r="C2420" s="0" t="n">
        <v>6893</v>
      </c>
      <c r="E2420" s="0" t="n">
        <v>0</v>
      </c>
      <c r="F2420" s="23" t="s">
        <v>1223</v>
      </c>
      <c r="I2420" s="23" t="s">
        <v>97</v>
      </c>
      <c r="U2420" s="0" t="n">
        <v>415</v>
      </c>
      <c r="V2420" s="0" t="n">
        <v>1</v>
      </c>
      <c r="W2420" s="0" t="str">
        <f aca="false">IF(OR(AND(B2420&gt;=1,B2420&lt;=6),B2420=10),"Vaca em lactação",IF(I2420="Male","Macho",IF(E2420&gt;=1,"Vaca seca",IF(I2420="Youngstock","Bezerra/recria","Novilha"))))</f>
        <v>Novilha</v>
      </c>
      <c r="X2420" s="0" t="str">
        <f aca="false">IF(AND(B2420&gt;=1,B2420&lt;=6),"Tanque",IF(B2420=10,"Descarte",""))</f>
        <v/>
      </c>
    </row>
    <row r="2421" customFormat="false" ht="15" hidden="false" customHeight="false" outlineLevel="0" collapsed="false">
      <c r="A2421" s="22" t="n">
        <v>46309</v>
      </c>
      <c r="B2421" s="0" t="n">
        <v>11</v>
      </c>
      <c r="C2421" s="0" t="n">
        <v>6842</v>
      </c>
      <c r="E2421" s="0" t="n">
        <v>0</v>
      </c>
      <c r="F2421" s="23" t="s">
        <v>1224</v>
      </c>
      <c r="I2421" s="23" t="s">
        <v>97</v>
      </c>
      <c r="U2421" s="0" t="n">
        <v>427</v>
      </c>
      <c r="V2421" s="0" t="n">
        <v>1</v>
      </c>
      <c r="W2421" s="0" t="str">
        <f aca="false">IF(OR(AND(B2421&gt;=1,B2421&lt;=6),B2421=10),"Vaca em lactação",IF(I2421="Male","Macho",IF(E2421&gt;=1,"Vaca seca",IF(I2421="Youngstock","Bezerra/recria","Novilha"))))</f>
        <v>Novilha</v>
      </c>
      <c r="X2421" s="0" t="str">
        <f aca="false">IF(AND(B2421&gt;=1,B2421&lt;=6),"Tanque",IF(B2421=10,"Descarte",""))</f>
        <v/>
      </c>
    </row>
    <row r="2422" customFormat="false" ht="15" hidden="false" customHeight="false" outlineLevel="0" collapsed="false">
      <c r="A2422" s="22" t="n">
        <v>46309</v>
      </c>
      <c r="B2422" s="0" t="n">
        <v>11</v>
      </c>
      <c r="C2422" s="0" t="n">
        <v>6839</v>
      </c>
      <c r="E2422" s="0" t="n">
        <v>0</v>
      </c>
      <c r="F2422" s="23" t="s">
        <v>1225</v>
      </c>
      <c r="I2422" s="23" t="s">
        <v>97</v>
      </c>
      <c r="U2422" s="0" t="n">
        <v>428</v>
      </c>
      <c r="V2422" s="0" t="n">
        <v>2</v>
      </c>
      <c r="W2422" s="0" t="str">
        <f aca="false">IF(OR(AND(B2422&gt;=1,B2422&lt;=6),B2422=10),"Vaca em lactação",IF(I2422="Male","Macho",IF(E2422&gt;=1,"Vaca seca",IF(I2422="Youngstock","Bezerra/recria","Novilha"))))</f>
        <v>Novilha</v>
      </c>
      <c r="X2422" s="0" t="str">
        <f aca="false">IF(AND(B2422&gt;=1,B2422&lt;=6),"Tanque",IF(B2422=10,"Descarte",""))</f>
        <v/>
      </c>
    </row>
    <row r="2423" customFormat="false" ht="15" hidden="false" customHeight="false" outlineLevel="0" collapsed="false">
      <c r="A2423" s="22" t="n">
        <v>46309</v>
      </c>
      <c r="B2423" s="0" t="n">
        <v>11</v>
      </c>
      <c r="C2423" s="0" t="n">
        <v>6841</v>
      </c>
      <c r="E2423" s="0" t="n">
        <v>0</v>
      </c>
      <c r="F2423" s="23" t="s">
        <v>1226</v>
      </c>
      <c r="I2423" s="23" t="s">
        <v>97</v>
      </c>
      <c r="U2423" s="0" t="n">
        <v>487</v>
      </c>
      <c r="V2423" s="0" t="n">
        <v>1</v>
      </c>
      <c r="W2423" s="0" t="str">
        <f aca="false">IF(OR(AND(B2423&gt;=1,B2423&lt;=6),B2423=10),"Vaca em lactação",IF(I2423="Male","Macho",IF(E2423&gt;=1,"Vaca seca",IF(I2423="Youngstock","Bezerra/recria","Novilha"))))</f>
        <v>Novilha</v>
      </c>
      <c r="X2423" s="0" t="str">
        <f aca="false">IF(AND(B2423&gt;=1,B2423&lt;=6),"Tanque",IF(B2423=10,"Descarte",""))</f>
        <v/>
      </c>
    </row>
    <row r="2424" customFormat="false" ht="15" hidden="false" customHeight="false" outlineLevel="0" collapsed="false">
      <c r="A2424" s="22" t="n">
        <v>46309</v>
      </c>
      <c r="B2424" s="0" t="n">
        <v>11</v>
      </c>
      <c r="C2424" s="0" t="n">
        <v>6845</v>
      </c>
      <c r="E2424" s="0" t="n">
        <v>0</v>
      </c>
      <c r="F2424" s="23" t="s">
        <v>1224</v>
      </c>
      <c r="I2424" s="23" t="s">
        <v>97</v>
      </c>
      <c r="U2424" s="0" t="n">
        <v>427</v>
      </c>
      <c r="V2424" s="0" t="n">
        <v>2</v>
      </c>
      <c r="W2424" s="0" t="str">
        <f aca="false">IF(OR(AND(B2424&gt;=1,B2424&lt;=6),B2424=10),"Vaca em lactação",IF(I2424="Male","Macho",IF(E2424&gt;=1,"Vaca seca",IF(I2424="Youngstock","Bezerra/recria","Novilha"))))</f>
        <v>Novilha</v>
      </c>
      <c r="X2424" s="0" t="str">
        <f aca="false">IF(AND(B2424&gt;=1,B2424&lt;=6),"Tanque",IF(B2424=10,"Descarte",""))</f>
        <v/>
      </c>
    </row>
    <row r="2425" customFormat="false" ht="15" hidden="false" customHeight="false" outlineLevel="0" collapsed="false">
      <c r="A2425" s="22" t="n">
        <v>46309</v>
      </c>
      <c r="B2425" s="0" t="n">
        <v>11</v>
      </c>
      <c r="C2425" s="0" t="n">
        <v>6846</v>
      </c>
      <c r="E2425" s="0" t="n">
        <v>0</v>
      </c>
      <c r="F2425" s="23" t="s">
        <v>1227</v>
      </c>
      <c r="I2425" s="23" t="s">
        <v>97</v>
      </c>
      <c r="U2425" s="0" t="n">
        <v>426</v>
      </c>
      <c r="V2425" s="0" t="n">
        <v>1</v>
      </c>
      <c r="W2425" s="0" t="str">
        <f aca="false">IF(OR(AND(B2425&gt;=1,B2425&lt;=6),B2425=10),"Vaca em lactação",IF(I2425="Male","Macho",IF(E2425&gt;=1,"Vaca seca",IF(I2425="Youngstock","Bezerra/recria","Novilha"))))</f>
        <v>Novilha</v>
      </c>
      <c r="X2425" s="0" t="str">
        <f aca="false">IF(AND(B2425&gt;=1,B2425&lt;=6),"Tanque",IF(B2425=10,"Descarte",""))</f>
        <v/>
      </c>
    </row>
    <row r="2426" customFormat="false" ht="15" hidden="false" customHeight="false" outlineLevel="0" collapsed="false">
      <c r="A2426" s="22" t="n">
        <v>46309</v>
      </c>
      <c r="B2426" s="0" t="n">
        <v>11</v>
      </c>
      <c r="C2426" s="0" t="n">
        <v>6854</v>
      </c>
      <c r="E2426" s="0" t="n">
        <v>0</v>
      </c>
      <c r="F2426" s="23" t="s">
        <v>1228</v>
      </c>
      <c r="I2426" s="23" t="s">
        <v>97</v>
      </c>
      <c r="U2426" s="0" t="n">
        <v>423</v>
      </c>
      <c r="V2426" s="0" t="n">
        <v>1</v>
      </c>
      <c r="W2426" s="0" t="str">
        <f aca="false">IF(OR(AND(B2426&gt;=1,B2426&lt;=6),B2426=10),"Vaca em lactação",IF(I2426="Male","Macho",IF(E2426&gt;=1,"Vaca seca",IF(I2426="Youngstock","Bezerra/recria","Novilha"))))</f>
        <v>Novilha</v>
      </c>
      <c r="X2426" s="0" t="str">
        <f aca="false">IF(AND(B2426&gt;=1,B2426&lt;=6),"Tanque",IF(B2426=10,"Descarte",""))</f>
        <v/>
      </c>
    </row>
    <row r="2427" customFormat="false" ht="15" hidden="false" customHeight="false" outlineLevel="0" collapsed="false">
      <c r="A2427" s="22" t="n">
        <v>46309</v>
      </c>
      <c r="B2427" s="0" t="n">
        <v>11</v>
      </c>
      <c r="C2427" s="0" t="n">
        <v>6853</v>
      </c>
      <c r="E2427" s="0" t="n">
        <v>0</v>
      </c>
      <c r="F2427" s="23" t="s">
        <v>1184</v>
      </c>
      <c r="I2427" s="23" t="s">
        <v>97</v>
      </c>
      <c r="U2427" s="0" t="n">
        <v>424</v>
      </c>
      <c r="V2427" s="0" t="n">
        <v>1</v>
      </c>
      <c r="W2427" s="0" t="str">
        <f aca="false">IF(OR(AND(B2427&gt;=1,B2427&lt;=6),B2427=10),"Vaca em lactação",IF(I2427="Male","Macho",IF(E2427&gt;=1,"Vaca seca",IF(I2427="Youngstock","Bezerra/recria","Novilha"))))</f>
        <v>Novilha</v>
      </c>
      <c r="X2427" s="0" t="str">
        <f aca="false">IF(AND(B2427&gt;=1,B2427&lt;=6),"Tanque",IF(B2427=10,"Descarte",""))</f>
        <v/>
      </c>
    </row>
    <row r="2428" customFormat="false" ht="15" hidden="false" customHeight="false" outlineLevel="0" collapsed="false">
      <c r="A2428" s="22" t="n">
        <v>46309</v>
      </c>
      <c r="B2428" s="0" t="n">
        <v>11</v>
      </c>
      <c r="C2428" s="0" t="n">
        <v>6856</v>
      </c>
      <c r="E2428" s="0" t="n">
        <v>0</v>
      </c>
      <c r="F2428" s="23" t="s">
        <v>1228</v>
      </c>
      <c r="I2428" s="23" t="s">
        <v>97</v>
      </c>
      <c r="U2428" s="0" t="n">
        <v>423</v>
      </c>
      <c r="V2428" s="0" t="n">
        <v>1</v>
      </c>
      <c r="W2428" s="0" t="str">
        <f aca="false">IF(OR(AND(B2428&gt;=1,B2428&lt;=6),B2428=10),"Vaca em lactação",IF(I2428="Male","Macho",IF(E2428&gt;=1,"Vaca seca",IF(I2428="Youngstock","Bezerra/recria","Novilha"))))</f>
        <v>Novilha</v>
      </c>
      <c r="X2428" s="0" t="str">
        <f aca="false">IF(AND(B2428&gt;=1,B2428&lt;=6),"Tanque",IF(B2428=10,"Descarte",""))</f>
        <v/>
      </c>
    </row>
    <row r="2429" customFormat="false" ht="15" hidden="false" customHeight="false" outlineLevel="0" collapsed="false">
      <c r="A2429" s="22" t="n">
        <v>46309</v>
      </c>
      <c r="B2429" s="0" t="n">
        <v>11</v>
      </c>
      <c r="C2429" s="0" t="n">
        <v>6855</v>
      </c>
      <c r="E2429" s="0" t="n">
        <v>0</v>
      </c>
      <c r="F2429" s="23" t="s">
        <v>1228</v>
      </c>
      <c r="I2429" s="23" t="s">
        <v>97</v>
      </c>
      <c r="U2429" s="0" t="n">
        <v>423</v>
      </c>
      <c r="V2429" s="0" t="n">
        <v>2</v>
      </c>
      <c r="W2429" s="0" t="str">
        <f aca="false">IF(OR(AND(B2429&gt;=1,B2429&lt;=6),B2429=10),"Vaca em lactação",IF(I2429="Male","Macho",IF(E2429&gt;=1,"Vaca seca",IF(I2429="Youngstock","Bezerra/recria","Novilha"))))</f>
        <v>Novilha</v>
      </c>
      <c r="X2429" s="0" t="str">
        <f aca="false">IF(AND(B2429&gt;=1,B2429&lt;=6),"Tanque",IF(B2429=10,"Descarte",""))</f>
        <v/>
      </c>
    </row>
    <row r="2430" customFormat="false" ht="15" hidden="false" customHeight="false" outlineLevel="0" collapsed="false">
      <c r="A2430" s="22" t="n">
        <v>46309</v>
      </c>
      <c r="B2430" s="0" t="n">
        <v>11</v>
      </c>
      <c r="C2430" s="0" t="n">
        <v>6824</v>
      </c>
      <c r="E2430" s="0" t="n">
        <v>0</v>
      </c>
      <c r="F2430" s="23" t="s">
        <v>1190</v>
      </c>
      <c r="I2430" s="23" t="s">
        <v>97</v>
      </c>
      <c r="U2430" s="0" t="n">
        <v>433</v>
      </c>
      <c r="V2430" s="0" t="n">
        <v>2</v>
      </c>
      <c r="W2430" s="0" t="str">
        <f aca="false">IF(OR(AND(B2430&gt;=1,B2430&lt;=6),B2430=10),"Vaca em lactação",IF(I2430="Male","Macho",IF(E2430&gt;=1,"Vaca seca",IF(I2430="Youngstock","Bezerra/recria","Novilha"))))</f>
        <v>Novilha</v>
      </c>
      <c r="X2430" s="0" t="str">
        <f aca="false">IF(AND(B2430&gt;=1,B2430&lt;=6),"Tanque",IF(B2430=10,"Descarte",""))</f>
        <v/>
      </c>
    </row>
    <row r="2431" customFormat="false" ht="15" hidden="false" customHeight="false" outlineLevel="0" collapsed="false">
      <c r="A2431" s="22" t="n">
        <v>46309</v>
      </c>
      <c r="B2431" s="0" t="n">
        <v>11</v>
      </c>
      <c r="C2431" s="0" t="n">
        <v>6823</v>
      </c>
      <c r="E2431" s="0" t="n">
        <v>0</v>
      </c>
      <c r="F2431" s="23" t="s">
        <v>1190</v>
      </c>
      <c r="I2431" s="23" t="s">
        <v>97</v>
      </c>
      <c r="U2431" s="0" t="n">
        <v>433</v>
      </c>
      <c r="V2431" s="0" t="n">
        <v>1</v>
      </c>
      <c r="W2431" s="0" t="str">
        <f aca="false">IF(OR(AND(B2431&gt;=1,B2431&lt;=6),B2431=10),"Vaca em lactação",IF(I2431="Male","Macho",IF(E2431&gt;=1,"Vaca seca",IF(I2431="Youngstock","Bezerra/recria","Novilha"))))</f>
        <v>Novilha</v>
      </c>
      <c r="X2431" s="0" t="str">
        <f aca="false">IF(AND(B2431&gt;=1,B2431&lt;=6),"Tanque",IF(B2431=10,"Descarte",""))</f>
        <v/>
      </c>
    </row>
    <row r="2432" customFormat="false" ht="15" hidden="false" customHeight="false" outlineLevel="0" collapsed="false">
      <c r="A2432" s="22" t="n">
        <v>46309</v>
      </c>
      <c r="B2432" s="0" t="n">
        <v>11</v>
      </c>
      <c r="C2432" s="0" t="n">
        <v>6829</v>
      </c>
      <c r="E2432" s="0" t="n">
        <v>0</v>
      </c>
      <c r="F2432" s="23" t="s">
        <v>1229</v>
      </c>
      <c r="I2432" s="23" t="s">
        <v>97</v>
      </c>
      <c r="U2432" s="0" t="n">
        <v>432</v>
      </c>
      <c r="V2432" s="0" t="n">
        <v>2</v>
      </c>
      <c r="W2432" s="0" t="str">
        <f aca="false">IF(OR(AND(B2432&gt;=1,B2432&lt;=6),B2432=10),"Vaca em lactação",IF(I2432="Male","Macho",IF(E2432&gt;=1,"Vaca seca",IF(I2432="Youngstock","Bezerra/recria","Novilha"))))</f>
        <v>Novilha</v>
      </c>
      <c r="X2432" s="0" t="str">
        <f aca="false">IF(AND(B2432&gt;=1,B2432&lt;=6),"Tanque",IF(B2432=10,"Descarte",""))</f>
        <v/>
      </c>
    </row>
    <row r="2433" customFormat="false" ht="15" hidden="false" customHeight="false" outlineLevel="0" collapsed="false">
      <c r="A2433" s="22" t="n">
        <v>46309</v>
      </c>
      <c r="B2433" s="0" t="n">
        <v>11</v>
      </c>
      <c r="C2433" s="0" t="n">
        <v>6828</v>
      </c>
      <c r="E2433" s="0" t="n">
        <v>0</v>
      </c>
      <c r="F2433" s="23" t="s">
        <v>1229</v>
      </c>
      <c r="I2433" s="23" t="s">
        <v>97</v>
      </c>
      <c r="U2433" s="0" t="n">
        <v>432</v>
      </c>
      <c r="V2433" s="0" t="n">
        <v>1</v>
      </c>
      <c r="W2433" s="0" t="str">
        <f aca="false">IF(OR(AND(B2433&gt;=1,B2433&lt;=6),B2433=10),"Vaca em lactação",IF(I2433="Male","Macho",IF(E2433&gt;=1,"Vaca seca",IF(I2433="Youngstock","Bezerra/recria","Novilha"))))</f>
        <v>Novilha</v>
      </c>
      <c r="X2433" s="0" t="str">
        <f aca="false">IF(AND(B2433&gt;=1,B2433&lt;=6),"Tanque",IF(B2433=10,"Descarte",""))</f>
        <v/>
      </c>
    </row>
    <row r="2434" customFormat="false" ht="15" hidden="false" customHeight="false" outlineLevel="0" collapsed="false">
      <c r="A2434" s="22" t="n">
        <v>46309</v>
      </c>
      <c r="B2434" s="0" t="n">
        <v>11</v>
      </c>
      <c r="C2434" s="0" t="n">
        <v>6832</v>
      </c>
      <c r="E2434" s="0" t="n">
        <v>0</v>
      </c>
      <c r="F2434" s="23" t="s">
        <v>1230</v>
      </c>
      <c r="I2434" s="23" t="s">
        <v>97</v>
      </c>
      <c r="U2434" s="0" t="n">
        <v>431</v>
      </c>
      <c r="V2434" s="0" t="n">
        <v>2</v>
      </c>
      <c r="W2434" s="0" t="str">
        <f aca="false">IF(OR(AND(B2434&gt;=1,B2434&lt;=6),B2434=10),"Vaca em lactação",IF(I2434="Male","Macho",IF(E2434&gt;=1,"Vaca seca",IF(I2434="Youngstock","Bezerra/recria","Novilha"))))</f>
        <v>Novilha</v>
      </c>
      <c r="X2434" s="0" t="str">
        <f aca="false">IF(AND(B2434&gt;=1,B2434&lt;=6),"Tanque",IF(B2434=10,"Descarte",""))</f>
        <v/>
      </c>
    </row>
    <row r="2435" customFormat="false" ht="15" hidden="false" customHeight="false" outlineLevel="0" collapsed="false">
      <c r="A2435" s="22" t="n">
        <v>46309</v>
      </c>
      <c r="B2435" s="0" t="n">
        <v>11</v>
      </c>
      <c r="C2435" s="0" t="n">
        <v>6831</v>
      </c>
      <c r="E2435" s="0" t="n">
        <v>0</v>
      </c>
      <c r="F2435" s="23" t="s">
        <v>1230</v>
      </c>
      <c r="I2435" s="23" t="s">
        <v>109</v>
      </c>
      <c r="U2435" s="0" t="n">
        <v>431</v>
      </c>
      <c r="V2435" s="0" t="n">
        <v>1</v>
      </c>
      <c r="W2435" s="0" t="str">
        <f aca="false">IF(OR(AND(B2435&gt;=1,B2435&lt;=6),B2435=10),"Vaca em lactação",IF(I2435="Male","Macho",IF(E2435&gt;=1,"Vaca seca",IF(I2435="Youngstock","Bezerra/recria","Novilha"))))</f>
        <v>Novilha</v>
      </c>
      <c r="X2435" s="0" t="str">
        <f aca="false">IF(AND(B2435&gt;=1,B2435&lt;=6),"Tanque",IF(B2435=10,"Descarte",""))</f>
        <v/>
      </c>
    </row>
    <row r="2436" customFormat="false" ht="15" hidden="false" customHeight="false" outlineLevel="0" collapsed="false">
      <c r="A2436" s="22" t="n">
        <v>46309</v>
      </c>
      <c r="B2436" s="0" t="n">
        <v>11</v>
      </c>
      <c r="C2436" s="0" t="n">
        <v>6833</v>
      </c>
      <c r="E2436" s="0" t="n">
        <v>0</v>
      </c>
      <c r="F2436" s="23" t="s">
        <v>1230</v>
      </c>
      <c r="I2436" s="23" t="s">
        <v>97</v>
      </c>
      <c r="U2436" s="0" t="n">
        <v>431</v>
      </c>
      <c r="V2436" s="0" t="n">
        <v>2</v>
      </c>
      <c r="W2436" s="0" t="str">
        <f aca="false">IF(OR(AND(B2436&gt;=1,B2436&lt;=6),B2436=10),"Vaca em lactação",IF(I2436="Male","Macho",IF(E2436&gt;=1,"Vaca seca",IF(I2436="Youngstock","Bezerra/recria","Novilha"))))</f>
        <v>Novilha</v>
      </c>
      <c r="X2436" s="0" t="str">
        <f aca="false">IF(AND(B2436&gt;=1,B2436&lt;=6),"Tanque",IF(B2436=10,"Descarte",""))</f>
        <v/>
      </c>
    </row>
    <row r="2437" customFormat="false" ht="15" hidden="false" customHeight="false" outlineLevel="0" collapsed="false">
      <c r="A2437" s="22" t="n">
        <v>46309</v>
      </c>
      <c r="B2437" s="0" t="n">
        <v>11</v>
      </c>
      <c r="C2437" s="0" t="n">
        <v>6786</v>
      </c>
      <c r="E2437" s="0" t="n">
        <v>0</v>
      </c>
      <c r="F2437" s="23" t="s">
        <v>1213</v>
      </c>
      <c r="I2437" s="23" t="s">
        <v>97</v>
      </c>
      <c r="U2437" s="0" t="n">
        <v>443</v>
      </c>
      <c r="V2437" s="0" t="n">
        <v>2</v>
      </c>
      <c r="W2437" s="0" t="str">
        <f aca="false">IF(OR(AND(B2437&gt;=1,B2437&lt;=6),B2437=10),"Vaca em lactação",IF(I2437="Male","Macho",IF(E2437&gt;=1,"Vaca seca",IF(I2437="Youngstock","Bezerra/recria","Novilha"))))</f>
        <v>Novilha</v>
      </c>
      <c r="X2437" s="0" t="str">
        <f aca="false">IF(AND(B2437&gt;=1,B2437&lt;=6),"Tanque",IF(B2437=10,"Descarte",""))</f>
        <v/>
      </c>
    </row>
    <row r="2438" customFormat="false" ht="15" hidden="false" customHeight="false" outlineLevel="0" collapsed="false">
      <c r="A2438" s="22" t="n">
        <v>46309</v>
      </c>
      <c r="B2438" s="0" t="n">
        <v>11</v>
      </c>
      <c r="C2438" s="0" t="n">
        <v>6787</v>
      </c>
      <c r="E2438" s="0" t="n">
        <v>0</v>
      </c>
      <c r="F2438" s="23" t="s">
        <v>1213</v>
      </c>
      <c r="I2438" s="23" t="s">
        <v>109</v>
      </c>
      <c r="U2438" s="0" t="n">
        <v>443</v>
      </c>
      <c r="V2438" s="0" t="n">
        <v>1</v>
      </c>
      <c r="W2438" s="0" t="str">
        <f aca="false">IF(OR(AND(B2438&gt;=1,B2438&lt;=6),B2438=10),"Vaca em lactação",IF(I2438="Male","Macho",IF(E2438&gt;=1,"Vaca seca",IF(I2438="Youngstock","Bezerra/recria","Novilha"))))</f>
        <v>Novilha</v>
      </c>
      <c r="X2438" s="0" t="str">
        <f aca="false">IF(AND(B2438&gt;=1,B2438&lt;=6),"Tanque",IF(B2438=10,"Descarte",""))</f>
        <v/>
      </c>
    </row>
    <row r="2439" customFormat="false" ht="15" hidden="false" customHeight="false" outlineLevel="0" collapsed="false">
      <c r="A2439" s="22" t="n">
        <v>46309</v>
      </c>
      <c r="B2439" s="0" t="n">
        <v>11</v>
      </c>
      <c r="C2439" s="0" t="n">
        <v>6827</v>
      </c>
      <c r="E2439" s="0" t="n">
        <v>0</v>
      </c>
      <c r="F2439" s="23" t="s">
        <v>1229</v>
      </c>
      <c r="I2439" s="23" t="s">
        <v>97</v>
      </c>
      <c r="U2439" s="0" t="n">
        <v>432</v>
      </c>
      <c r="V2439" s="0" t="n">
        <v>2</v>
      </c>
      <c r="W2439" s="0" t="str">
        <f aca="false">IF(OR(AND(B2439&gt;=1,B2439&lt;=6),B2439=10),"Vaca em lactação",IF(I2439="Male","Macho",IF(E2439&gt;=1,"Vaca seca",IF(I2439="Youngstock","Bezerra/recria","Novilha"))))</f>
        <v>Novilha</v>
      </c>
      <c r="X2439" s="0" t="str">
        <f aca="false">IF(AND(B2439&gt;=1,B2439&lt;=6),"Tanque",IF(B2439=10,"Descarte",""))</f>
        <v/>
      </c>
    </row>
    <row r="2440" customFormat="false" ht="15" hidden="false" customHeight="false" outlineLevel="0" collapsed="false">
      <c r="A2440" s="22" t="n">
        <v>46309</v>
      </c>
      <c r="B2440" s="0" t="n">
        <v>11</v>
      </c>
      <c r="C2440" s="0" t="n">
        <v>6796</v>
      </c>
      <c r="E2440" s="0" t="n">
        <v>0</v>
      </c>
      <c r="F2440" s="23" t="s">
        <v>1187</v>
      </c>
      <c r="I2440" s="23" t="s">
        <v>97</v>
      </c>
      <c r="U2440" s="0" t="n">
        <v>440</v>
      </c>
      <c r="V2440" s="0" t="n">
        <v>2</v>
      </c>
      <c r="W2440" s="0" t="str">
        <f aca="false">IF(OR(AND(B2440&gt;=1,B2440&lt;=6),B2440=10),"Vaca em lactação",IF(I2440="Male","Macho",IF(E2440&gt;=1,"Vaca seca",IF(I2440="Youngstock","Bezerra/recria","Novilha"))))</f>
        <v>Novilha</v>
      </c>
      <c r="X2440" s="0" t="str">
        <f aca="false">IF(AND(B2440&gt;=1,B2440&lt;=6),"Tanque",IF(B2440=10,"Descarte",""))</f>
        <v/>
      </c>
    </row>
    <row r="2441" customFormat="false" ht="15" hidden="false" customHeight="false" outlineLevel="0" collapsed="false">
      <c r="A2441" s="22" t="n">
        <v>46309</v>
      </c>
      <c r="B2441" s="0" t="n">
        <v>11</v>
      </c>
      <c r="C2441" s="0" t="n">
        <v>6795</v>
      </c>
      <c r="E2441" s="0" t="n">
        <v>0</v>
      </c>
      <c r="F2441" s="23" t="s">
        <v>1187</v>
      </c>
      <c r="I2441" s="23" t="s">
        <v>97</v>
      </c>
      <c r="U2441" s="0" t="n">
        <v>440</v>
      </c>
      <c r="V2441" s="0" t="n">
        <v>3</v>
      </c>
      <c r="W2441" s="0" t="str">
        <f aca="false">IF(OR(AND(B2441&gt;=1,B2441&lt;=6),B2441=10),"Vaca em lactação",IF(I2441="Male","Macho",IF(E2441&gt;=1,"Vaca seca",IF(I2441="Youngstock","Bezerra/recria","Novilha"))))</f>
        <v>Novilha</v>
      </c>
      <c r="X2441" s="0" t="str">
        <f aca="false">IF(AND(B2441&gt;=1,B2441&lt;=6),"Tanque",IF(B2441=10,"Descarte",""))</f>
        <v/>
      </c>
    </row>
    <row r="2442" customFormat="false" ht="15" hidden="false" customHeight="false" outlineLevel="0" collapsed="false">
      <c r="A2442" s="22" t="n">
        <v>46309</v>
      </c>
      <c r="B2442" s="0" t="n">
        <v>11</v>
      </c>
      <c r="C2442" s="0" t="n">
        <v>6852</v>
      </c>
      <c r="E2442" s="0" t="n">
        <v>0</v>
      </c>
      <c r="F2442" s="23" t="s">
        <v>1231</v>
      </c>
      <c r="I2442" s="23" t="s">
        <v>97</v>
      </c>
      <c r="U2442" s="0" t="n">
        <v>437</v>
      </c>
      <c r="V2442" s="0" t="n">
        <v>2</v>
      </c>
      <c r="W2442" s="0" t="str">
        <f aca="false">IF(OR(AND(B2442&gt;=1,B2442&lt;=6),B2442=10),"Vaca em lactação",IF(I2442="Male","Macho",IF(E2442&gt;=1,"Vaca seca",IF(I2442="Youngstock","Bezerra/recria","Novilha"))))</f>
        <v>Novilha</v>
      </c>
      <c r="X2442" s="0" t="str">
        <f aca="false">IF(AND(B2442&gt;=1,B2442&lt;=6),"Tanque",IF(B2442=10,"Descarte",""))</f>
        <v/>
      </c>
    </row>
    <row r="2443" customFormat="false" ht="15" hidden="false" customHeight="false" outlineLevel="0" collapsed="false">
      <c r="A2443" s="22" t="n">
        <v>46309</v>
      </c>
      <c r="B2443" s="0" t="n">
        <v>11</v>
      </c>
      <c r="C2443" s="0" t="n">
        <v>6809</v>
      </c>
      <c r="E2443" s="0" t="n">
        <v>0</v>
      </c>
      <c r="F2443" s="23" t="s">
        <v>1188</v>
      </c>
      <c r="I2443" s="23" t="s">
        <v>109</v>
      </c>
      <c r="U2443" s="0" t="n">
        <v>438</v>
      </c>
      <c r="V2443" s="0" t="n">
        <v>1</v>
      </c>
      <c r="W2443" s="0" t="str">
        <f aca="false">IF(OR(AND(B2443&gt;=1,B2443&lt;=6),B2443=10),"Vaca em lactação",IF(I2443="Male","Macho",IF(E2443&gt;=1,"Vaca seca",IF(I2443="Youngstock","Bezerra/recria","Novilha"))))</f>
        <v>Novilha</v>
      </c>
      <c r="X2443" s="0" t="str">
        <f aca="false">IF(AND(B2443&gt;=1,B2443&lt;=6),"Tanque",IF(B2443=10,"Descarte",""))</f>
        <v/>
      </c>
    </row>
    <row r="2444" customFormat="false" ht="15" hidden="false" customHeight="false" outlineLevel="0" collapsed="false">
      <c r="A2444" s="22" t="n">
        <v>46309</v>
      </c>
      <c r="B2444" s="0" t="n">
        <v>11</v>
      </c>
      <c r="C2444" s="0" t="n">
        <v>6808</v>
      </c>
      <c r="E2444" s="0" t="n">
        <v>0</v>
      </c>
      <c r="F2444" s="23" t="s">
        <v>1232</v>
      </c>
      <c r="I2444" s="23" t="s">
        <v>97</v>
      </c>
      <c r="U2444" s="0" t="n">
        <v>439</v>
      </c>
      <c r="V2444" s="0" t="n">
        <v>1</v>
      </c>
      <c r="W2444" s="0" t="str">
        <f aca="false">IF(OR(AND(B2444&gt;=1,B2444&lt;=6),B2444=10),"Vaca em lactação",IF(I2444="Male","Macho",IF(E2444&gt;=1,"Vaca seca",IF(I2444="Youngstock","Bezerra/recria","Novilha"))))</f>
        <v>Novilha</v>
      </c>
      <c r="X2444" s="0" t="str">
        <f aca="false">IF(AND(B2444&gt;=1,B2444&lt;=6),"Tanque",IF(B2444=10,"Descarte",""))</f>
        <v/>
      </c>
    </row>
    <row r="2445" customFormat="false" ht="15" hidden="false" customHeight="false" outlineLevel="0" collapsed="false">
      <c r="A2445" s="22" t="n">
        <v>46309</v>
      </c>
      <c r="B2445" s="0" t="n">
        <v>11</v>
      </c>
      <c r="C2445" s="0" t="n">
        <v>6799</v>
      </c>
      <c r="E2445" s="0" t="n">
        <v>0</v>
      </c>
      <c r="F2445" s="23" t="s">
        <v>1187</v>
      </c>
      <c r="I2445" s="23" t="s">
        <v>97</v>
      </c>
      <c r="U2445" s="0" t="n">
        <v>440</v>
      </c>
      <c r="V2445" s="0" t="n">
        <v>2</v>
      </c>
      <c r="W2445" s="0" t="str">
        <f aca="false">IF(OR(AND(B2445&gt;=1,B2445&lt;=6),B2445=10),"Vaca em lactação",IF(I2445="Male","Macho",IF(E2445&gt;=1,"Vaca seca",IF(I2445="Youngstock","Bezerra/recria","Novilha"))))</f>
        <v>Novilha</v>
      </c>
      <c r="X2445" s="0" t="str">
        <f aca="false">IF(AND(B2445&gt;=1,B2445&lt;=6),"Tanque",IF(B2445=10,"Descarte",""))</f>
        <v/>
      </c>
    </row>
    <row r="2446" customFormat="false" ht="15" hidden="false" customHeight="false" outlineLevel="0" collapsed="false">
      <c r="A2446" s="22" t="n">
        <v>46309</v>
      </c>
      <c r="B2446" s="0" t="n">
        <v>11</v>
      </c>
      <c r="C2446" s="0" t="n">
        <v>6804</v>
      </c>
      <c r="E2446" s="0" t="n">
        <v>0</v>
      </c>
      <c r="F2446" s="23" t="s">
        <v>1232</v>
      </c>
      <c r="I2446" s="23" t="s">
        <v>97</v>
      </c>
      <c r="U2446" s="0" t="n">
        <v>439</v>
      </c>
      <c r="V2446" s="0" t="n">
        <v>1</v>
      </c>
      <c r="W2446" s="0" t="str">
        <f aca="false">IF(OR(AND(B2446&gt;=1,B2446&lt;=6),B2446=10),"Vaca em lactação",IF(I2446="Male","Macho",IF(E2446&gt;=1,"Vaca seca",IF(I2446="Youngstock","Bezerra/recria","Novilha"))))</f>
        <v>Novilha</v>
      </c>
      <c r="X2446" s="0" t="str">
        <f aca="false">IF(AND(B2446&gt;=1,B2446&lt;=6),"Tanque",IF(B2446=10,"Descarte",""))</f>
        <v/>
      </c>
    </row>
    <row r="2447" customFormat="false" ht="15" hidden="false" customHeight="false" outlineLevel="0" collapsed="false">
      <c r="A2447" s="22" t="n">
        <v>46309</v>
      </c>
      <c r="B2447" s="0" t="n">
        <v>11</v>
      </c>
      <c r="C2447" s="0" t="n">
        <v>6803</v>
      </c>
      <c r="E2447" s="0" t="n">
        <v>0</v>
      </c>
      <c r="F2447" s="23" t="s">
        <v>1232</v>
      </c>
      <c r="I2447" s="23" t="s">
        <v>97</v>
      </c>
      <c r="U2447" s="0" t="n">
        <v>439</v>
      </c>
      <c r="V2447" s="0" t="n">
        <v>2</v>
      </c>
      <c r="W2447" s="0" t="str">
        <f aca="false">IF(OR(AND(B2447&gt;=1,B2447&lt;=6),B2447=10),"Vaca em lactação",IF(I2447="Male","Macho",IF(E2447&gt;=1,"Vaca seca",IF(I2447="Youngstock","Bezerra/recria","Novilha"))))</f>
        <v>Novilha</v>
      </c>
      <c r="X2447" s="0" t="str">
        <f aca="false">IF(AND(B2447&gt;=1,B2447&lt;=6),"Tanque",IF(B2447=10,"Descarte",""))</f>
        <v/>
      </c>
    </row>
    <row r="2448" customFormat="false" ht="15" hidden="false" customHeight="false" outlineLevel="0" collapsed="false">
      <c r="A2448" s="22" t="n">
        <v>46309</v>
      </c>
      <c r="B2448" s="0" t="n">
        <v>11</v>
      </c>
      <c r="C2448" s="0" t="n">
        <v>6817</v>
      </c>
      <c r="E2448" s="0" t="n">
        <v>0</v>
      </c>
      <c r="F2448" s="23" t="s">
        <v>1190</v>
      </c>
      <c r="I2448" s="23" t="s">
        <v>109</v>
      </c>
      <c r="U2448" s="0" t="n">
        <v>433</v>
      </c>
      <c r="V2448" s="0" t="n">
        <v>1</v>
      </c>
      <c r="W2448" s="0" t="str">
        <f aca="false">IF(OR(AND(B2448&gt;=1,B2448&lt;=6),B2448=10),"Vaca em lactação",IF(I2448="Male","Macho",IF(E2448&gt;=1,"Vaca seca",IF(I2448="Youngstock","Bezerra/recria","Novilha"))))</f>
        <v>Novilha</v>
      </c>
      <c r="X2448" s="0" t="str">
        <f aca="false">IF(AND(B2448&gt;=1,B2448&lt;=6),"Tanque",IF(B2448=10,"Descarte",""))</f>
        <v/>
      </c>
    </row>
    <row r="2449" customFormat="false" ht="15" hidden="false" customHeight="false" outlineLevel="0" collapsed="false">
      <c r="A2449" s="22" t="n">
        <v>46309</v>
      </c>
      <c r="B2449" s="0" t="n">
        <v>11</v>
      </c>
      <c r="C2449" s="0" t="n">
        <v>6818</v>
      </c>
      <c r="E2449" s="0" t="n">
        <v>0</v>
      </c>
      <c r="F2449" s="23" t="s">
        <v>1190</v>
      </c>
      <c r="I2449" s="23" t="s">
        <v>97</v>
      </c>
      <c r="U2449" s="0" t="n">
        <v>433</v>
      </c>
      <c r="V2449" s="0" t="n">
        <v>1</v>
      </c>
      <c r="W2449" s="0" t="str">
        <f aca="false">IF(OR(AND(B2449&gt;=1,B2449&lt;=6),B2449=10),"Vaca em lactação",IF(I2449="Male","Macho",IF(E2449&gt;=1,"Vaca seca",IF(I2449="Youngstock","Bezerra/recria","Novilha"))))</f>
        <v>Novilha</v>
      </c>
      <c r="X2449" s="0" t="str">
        <f aca="false">IF(AND(B2449&gt;=1,B2449&lt;=6),"Tanque",IF(B2449=10,"Descarte",""))</f>
        <v/>
      </c>
    </row>
    <row r="2450" customFormat="false" ht="15" hidden="false" customHeight="false" outlineLevel="0" collapsed="false">
      <c r="A2450" s="22" t="n">
        <v>46309</v>
      </c>
      <c r="B2450" s="0" t="n">
        <v>11</v>
      </c>
      <c r="C2450" s="0" t="n">
        <v>6811</v>
      </c>
      <c r="E2450" s="0" t="n">
        <v>0</v>
      </c>
      <c r="F2450" s="23" t="s">
        <v>1190</v>
      </c>
      <c r="I2450" s="23" t="s">
        <v>109</v>
      </c>
      <c r="U2450" s="0" t="n">
        <v>433</v>
      </c>
      <c r="V2450" s="0" t="n">
        <v>1</v>
      </c>
      <c r="W2450" s="0" t="str">
        <f aca="false">IF(OR(AND(B2450&gt;=1,B2450&lt;=6),B2450=10),"Vaca em lactação",IF(I2450="Male","Macho",IF(E2450&gt;=1,"Vaca seca",IF(I2450="Youngstock","Bezerra/recria","Novilha"))))</f>
        <v>Novilha</v>
      </c>
      <c r="X2450" s="0" t="str">
        <f aca="false">IF(AND(B2450&gt;=1,B2450&lt;=6),"Tanque",IF(B2450=10,"Descarte",""))</f>
        <v/>
      </c>
    </row>
    <row r="2451" customFormat="false" ht="15" hidden="false" customHeight="false" outlineLevel="0" collapsed="false">
      <c r="A2451" s="22" t="n">
        <v>46309</v>
      </c>
      <c r="B2451" s="0" t="n">
        <v>11</v>
      </c>
      <c r="C2451" s="0" t="n">
        <v>6813</v>
      </c>
      <c r="E2451" s="0" t="n">
        <v>0</v>
      </c>
      <c r="F2451" s="23" t="s">
        <v>1190</v>
      </c>
      <c r="I2451" s="23" t="s">
        <v>97</v>
      </c>
      <c r="U2451" s="0" t="n">
        <v>433</v>
      </c>
      <c r="V2451" s="0" t="n">
        <v>2</v>
      </c>
      <c r="W2451" s="0" t="str">
        <f aca="false">IF(OR(AND(B2451&gt;=1,B2451&lt;=6),B2451=10),"Vaca em lactação",IF(I2451="Male","Macho",IF(E2451&gt;=1,"Vaca seca",IF(I2451="Youngstock","Bezerra/recria","Novilha"))))</f>
        <v>Novilha</v>
      </c>
      <c r="X2451" s="0" t="str">
        <f aca="false">IF(AND(B2451&gt;=1,B2451&lt;=6),"Tanque",IF(B2451=10,"Descarte",""))</f>
        <v/>
      </c>
    </row>
    <row r="2452" customFormat="false" ht="15" hidden="false" customHeight="false" outlineLevel="0" collapsed="false">
      <c r="A2452" s="22" t="n">
        <v>46309</v>
      </c>
      <c r="B2452" s="0" t="n">
        <v>11</v>
      </c>
      <c r="C2452" s="0" t="n">
        <v>6812</v>
      </c>
      <c r="E2452" s="0" t="n">
        <v>0</v>
      </c>
      <c r="F2452" s="23" t="s">
        <v>1190</v>
      </c>
      <c r="I2452" s="23" t="s">
        <v>109</v>
      </c>
      <c r="U2452" s="0" t="n">
        <v>433</v>
      </c>
      <c r="V2452" s="0" t="n">
        <v>1</v>
      </c>
      <c r="W2452" s="0" t="str">
        <f aca="false">IF(OR(AND(B2452&gt;=1,B2452&lt;=6),B2452=10),"Vaca em lactação",IF(I2452="Male","Macho",IF(E2452&gt;=1,"Vaca seca",IF(I2452="Youngstock","Bezerra/recria","Novilha"))))</f>
        <v>Novilha</v>
      </c>
      <c r="X2452" s="0" t="str">
        <f aca="false">IF(AND(B2452&gt;=1,B2452&lt;=6),"Tanque",IF(B2452=10,"Descarte",""))</f>
        <v/>
      </c>
    </row>
    <row r="2453" customFormat="false" ht="15" hidden="false" customHeight="false" outlineLevel="0" collapsed="false">
      <c r="A2453" s="22" t="n">
        <v>46309</v>
      </c>
      <c r="B2453" s="0" t="n">
        <v>11</v>
      </c>
      <c r="C2453" s="0" t="n">
        <v>6955</v>
      </c>
      <c r="E2453" s="0" t="n">
        <v>0</v>
      </c>
      <c r="F2453" s="23" t="s">
        <v>1233</v>
      </c>
      <c r="I2453" s="23" t="s">
        <v>97</v>
      </c>
      <c r="U2453" s="0" t="n">
        <v>393</v>
      </c>
      <c r="V2453" s="0" t="n">
        <v>1</v>
      </c>
      <c r="W2453" s="0" t="str">
        <f aca="false">IF(OR(AND(B2453&gt;=1,B2453&lt;=6),B2453=10),"Vaca em lactação",IF(I2453="Male","Macho",IF(E2453&gt;=1,"Vaca seca",IF(I2453="Youngstock","Bezerra/recria","Novilha"))))</f>
        <v>Novilha</v>
      </c>
      <c r="X2453" s="0" t="str">
        <f aca="false">IF(AND(B2453&gt;=1,B2453&lt;=6),"Tanque",IF(B2453=10,"Descarte",""))</f>
        <v/>
      </c>
    </row>
    <row r="2454" customFormat="false" ht="15" hidden="false" customHeight="false" outlineLevel="0" collapsed="false">
      <c r="A2454" s="22" t="n">
        <v>46309</v>
      </c>
      <c r="B2454" s="0" t="n">
        <v>11</v>
      </c>
      <c r="C2454" s="0" t="n">
        <v>6929</v>
      </c>
      <c r="E2454" s="0" t="n">
        <v>0</v>
      </c>
      <c r="F2454" s="23" t="s">
        <v>1234</v>
      </c>
      <c r="I2454" s="23" t="s">
        <v>97</v>
      </c>
      <c r="U2454" s="0" t="n">
        <v>402</v>
      </c>
      <c r="V2454" s="0" t="n">
        <v>1</v>
      </c>
      <c r="W2454" s="0" t="str">
        <f aca="false">IF(OR(AND(B2454&gt;=1,B2454&lt;=6),B2454=10),"Vaca em lactação",IF(I2454="Male","Macho",IF(E2454&gt;=1,"Vaca seca",IF(I2454="Youngstock","Bezerra/recria","Novilha"))))</f>
        <v>Novilha</v>
      </c>
      <c r="X2454" s="0" t="str">
        <f aca="false">IF(AND(B2454&gt;=1,B2454&lt;=6),"Tanque",IF(B2454=10,"Descarte",""))</f>
        <v/>
      </c>
    </row>
    <row r="2455" customFormat="false" ht="15" hidden="false" customHeight="false" outlineLevel="0" collapsed="false">
      <c r="A2455" s="22" t="n">
        <v>46309</v>
      </c>
      <c r="B2455" s="0" t="n">
        <v>11</v>
      </c>
      <c r="C2455" s="0" t="n">
        <v>6932</v>
      </c>
      <c r="E2455" s="0" t="n">
        <v>0</v>
      </c>
      <c r="F2455" s="23" t="s">
        <v>1235</v>
      </c>
      <c r="I2455" s="23" t="s">
        <v>97</v>
      </c>
      <c r="U2455" s="0" t="n">
        <v>401</v>
      </c>
      <c r="V2455" s="0" t="n">
        <v>1</v>
      </c>
      <c r="W2455" s="0" t="str">
        <f aca="false">IF(OR(AND(B2455&gt;=1,B2455&lt;=6),B2455=10),"Vaca em lactação",IF(I2455="Male","Macho",IF(E2455&gt;=1,"Vaca seca",IF(I2455="Youngstock","Bezerra/recria","Novilha"))))</f>
        <v>Novilha</v>
      </c>
      <c r="X2455" s="0" t="str">
        <f aca="false">IF(AND(B2455&gt;=1,B2455&lt;=6),"Tanque",IF(B2455=10,"Descarte",""))</f>
        <v/>
      </c>
    </row>
    <row r="2456" customFormat="false" ht="15" hidden="false" customHeight="false" outlineLevel="0" collapsed="false">
      <c r="A2456" s="22" t="n">
        <v>46309</v>
      </c>
      <c r="B2456" s="0" t="n">
        <v>11</v>
      </c>
      <c r="C2456" s="0" t="n">
        <v>6934</v>
      </c>
      <c r="E2456" s="0" t="n">
        <v>0</v>
      </c>
      <c r="F2456" s="23" t="s">
        <v>1236</v>
      </c>
      <c r="I2456" s="23" t="s">
        <v>97</v>
      </c>
      <c r="U2456" s="0" t="n">
        <v>400</v>
      </c>
      <c r="V2456" s="0" t="n">
        <v>1</v>
      </c>
      <c r="W2456" s="0" t="str">
        <f aca="false">IF(OR(AND(B2456&gt;=1,B2456&lt;=6),B2456=10),"Vaca em lactação",IF(I2456="Male","Macho",IF(E2456&gt;=1,"Vaca seca",IF(I2456="Youngstock","Bezerra/recria","Novilha"))))</f>
        <v>Novilha</v>
      </c>
      <c r="X2456" s="0" t="str">
        <f aca="false">IF(AND(B2456&gt;=1,B2456&lt;=6),"Tanque",IF(B2456=10,"Descarte",""))</f>
        <v/>
      </c>
    </row>
    <row r="2457" customFormat="false" ht="15" hidden="false" customHeight="false" outlineLevel="0" collapsed="false">
      <c r="A2457" s="22" t="n">
        <v>46309</v>
      </c>
      <c r="B2457" s="0" t="n">
        <v>11</v>
      </c>
      <c r="C2457" s="0" t="n">
        <v>6921</v>
      </c>
      <c r="E2457" s="0" t="n">
        <v>0</v>
      </c>
      <c r="F2457" s="23" t="s">
        <v>1237</v>
      </c>
      <c r="I2457" s="23" t="s">
        <v>97</v>
      </c>
      <c r="U2457" s="0" t="n">
        <v>406</v>
      </c>
      <c r="V2457" s="0" t="n">
        <v>1</v>
      </c>
      <c r="W2457" s="0" t="str">
        <f aca="false">IF(OR(AND(B2457&gt;=1,B2457&lt;=6),B2457=10),"Vaca em lactação",IF(I2457="Male","Macho",IF(E2457&gt;=1,"Vaca seca",IF(I2457="Youngstock","Bezerra/recria","Novilha"))))</f>
        <v>Novilha</v>
      </c>
      <c r="X2457" s="0" t="str">
        <f aca="false">IF(AND(B2457&gt;=1,B2457&lt;=6),"Tanque",IF(B2457=10,"Descarte",""))</f>
        <v/>
      </c>
    </row>
    <row r="2458" customFormat="false" ht="15" hidden="false" customHeight="false" outlineLevel="0" collapsed="false">
      <c r="A2458" s="22" t="n">
        <v>46309</v>
      </c>
      <c r="B2458" s="0" t="n">
        <v>11</v>
      </c>
      <c r="C2458" s="0" t="n">
        <v>6919</v>
      </c>
      <c r="E2458" s="0" t="n">
        <v>0</v>
      </c>
      <c r="F2458" s="23" t="s">
        <v>1238</v>
      </c>
      <c r="I2458" s="23" t="s">
        <v>97</v>
      </c>
      <c r="U2458" s="0" t="n">
        <v>408</v>
      </c>
      <c r="V2458" s="0" t="n">
        <v>1</v>
      </c>
      <c r="W2458" s="0" t="str">
        <f aca="false">IF(OR(AND(B2458&gt;=1,B2458&lt;=6),B2458=10),"Vaca em lactação",IF(I2458="Male","Macho",IF(E2458&gt;=1,"Vaca seca",IF(I2458="Youngstock","Bezerra/recria","Novilha"))))</f>
        <v>Novilha</v>
      </c>
      <c r="X2458" s="0" t="str">
        <f aca="false">IF(AND(B2458&gt;=1,B2458&lt;=6),"Tanque",IF(B2458=10,"Descarte",""))</f>
        <v/>
      </c>
    </row>
    <row r="2459" customFormat="false" ht="15" hidden="false" customHeight="false" outlineLevel="0" collapsed="false">
      <c r="A2459" s="22" t="n">
        <v>46309</v>
      </c>
      <c r="B2459" s="0" t="n">
        <v>11</v>
      </c>
      <c r="C2459" s="0" t="n">
        <v>6926</v>
      </c>
      <c r="E2459" s="0" t="n">
        <v>0</v>
      </c>
      <c r="F2459" s="23" t="s">
        <v>1239</v>
      </c>
      <c r="I2459" s="23" t="s">
        <v>97</v>
      </c>
      <c r="U2459" s="0" t="n">
        <v>405</v>
      </c>
      <c r="V2459" s="0" t="n">
        <v>1</v>
      </c>
      <c r="W2459" s="0" t="str">
        <f aca="false">IF(OR(AND(B2459&gt;=1,B2459&lt;=6),B2459=10),"Vaca em lactação",IF(I2459="Male","Macho",IF(E2459&gt;=1,"Vaca seca",IF(I2459="Youngstock","Bezerra/recria","Novilha"))))</f>
        <v>Novilha</v>
      </c>
      <c r="X2459" s="0" t="str">
        <f aca="false">IF(AND(B2459&gt;=1,B2459&lt;=6),"Tanque",IF(B2459=10,"Descarte",""))</f>
        <v/>
      </c>
    </row>
    <row r="2460" customFormat="false" ht="15" hidden="false" customHeight="false" outlineLevel="0" collapsed="false">
      <c r="A2460" s="22" t="n">
        <v>46309</v>
      </c>
      <c r="B2460" s="0" t="n">
        <v>11</v>
      </c>
      <c r="C2460" s="0" t="n">
        <v>6924</v>
      </c>
      <c r="E2460" s="0" t="n">
        <v>0</v>
      </c>
      <c r="F2460" s="23" t="s">
        <v>1239</v>
      </c>
      <c r="I2460" s="23" t="s">
        <v>97</v>
      </c>
      <c r="U2460" s="0" t="n">
        <v>405</v>
      </c>
      <c r="V2460" s="0" t="n">
        <v>1</v>
      </c>
      <c r="W2460" s="0" t="str">
        <f aca="false">IF(OR(AND(B2460&gt;=1,B2460&lt;=6),B2460=10),"Vaca em lactação",IF(I2460="Male","Macho",IF(E2460&gt;=1,"Vaca seca",IF(I2460="Youngstock","Bezerra/recria","Novilha"))))</f>
        <v>Novilha</v>
      </c>
      <c r="X2460" s="0" t="str">
        <f aca="false">IF(AND(B2460&gt;=1,B2460&lt;=6),"Tanque",IF(B2460=10,"Descarte",""))</f>
        <v/>
      </c>
    </row>
    <row r="2461" customFormat="false" ht="15" hidden="false" customHeight="false" outlineLevel="0" collapsed="false">
      <c r="A2461" s="22" t="n">
        <v>46309</v>
      </c>
      <c r="B2461" s="0" t="n">
        <v>11</v>
      </c>
      <c r="C2461" s="0" t="n">
        <v>6925</v>
      </c>
      <c r="E2461" s="0" t="n">
        <v>0</v>
      </c>
      <c r="F2461" s="23" t="s">
        <v>1239</v>
      </c>
      <c r="I2461" s="23" t="s">
        <v>97</v>
      </c>
      <c r="U2461" s="0" t="n">
        <v>405</v>
      </c>
      <c r="V2461" s="0" t="n">
        <v>1</v>
      </c>
      <c r="W2461" s="0" t="str">
        <f aca="false">IF(OR(AND(B2461&gt;=1,B2461&lt;=6),B2461=10),"Vaca em lactação",IF(I2461="Male","Macho",IF(E2461&gt;=1,"Vaca seca",IF(I2461="Youngstock","Bezerra/recria","Novilha"))))</f>
        <v>Novilha</v>
      </c>
      <c r="X2461" s="0" t="str">
        <f aca="false">IF(AND(B2461&gt;=1,B2461&lt;=6),"Tanque",IF(B2461=10,"Descarte",""))</f>
        <v/>
      </c>
    </row>
    <row r="2462" customFormat="false" ht="15" hidden="false" customHeight="false" outlineLevel="0" collapsed="false">
      <c r="A2462" s="22" t="n">
        <v>46309</v>
      </c>
      <c r="B2462" s="0" t="n">
        <v>11</v>
      </c>
      <c r="C2462" s="0" t="n">
        <v>6897</v>
      </c>
      <c r="E2462" s="0" t="n">
        <v>0</v>
      </c>
      <c r="F2462" s="23" t="s">
        <v>1240</v>
      </c>
      <c r="I2462" s="23" t="s">
        <v>97</v>
      </c>
      <c r="U2462" s="0" t="n">
        <v>414</v>
      </c>
      <c r="V2462" s="0" t="n">
        <v>1</v>
      </c>
      <c r="W2462" s="0" t="str">
        <f aca="false">IF(OR(AND(B2462&gt;=1,B2462&lt;=6),B2462=10),"Vaca em lactação",IF(I2462="Male","Macho",IF(E2462&gt;=1,"Vaca seca",IF(I2462="Youngstock","Bezerra/recria","Novilha"))))</f>
        <v>Novilha</v>
      </c>
      <c r="X2462" s="0" t="str">
        <f aca="false">IF(AND(B2462&gt;=1,B2462&lt;=6),"Tanque",IF(B2462=10,"Descarte",""))</f>
        <v/>
      </c>
    </row>
    <row r="2463" customFormat="false" ht="15" hidden="false" customHeight="false" outlineLevel="0" collapsed="false">
      <c r="A2463" s="22" t="n">
        <v>46309</v>
      </c>
      <c r="B2463" s="0" t="n">
        <v>11</v>
      </c>
      <c r="C2463" s="0" t="n">
        <v>6900</v>
      </c>
      <c r="E2463" s="0" t="n">
        <v>0</v>
      </c>
      <c r="F2463" s="23" t="s">
        <v>1241</v>
      </c>
      <c r="I2463" s="23" t="s">
        <v>97</v>
      </c>
      <c r="U2463" s="0" t="n">
        <v>413</v>
      </c>
      <c r="V2463" s="0" t="n">
        <v>1</v>
      </c>
      <c r="W2463" s="0" t="str">
        <f aca="false">IF(OR(AND(B2463&gt;=1,B2463&lt;=6),B2463=10),"Vaca em lactação",IF(I2463="Male","Macho",IF(E2463&gt;=1,"Vaca seca",IF(I2463="Youngstock","Bezerra/recria","Novilha"))))</f>
        <v>Novilha</v>
      </c>
      <c r="X2463" s="0" t="str">
        <f aca="false">IF(AND(B2463&gt;=1,B2463&lt;=6),"Tanque",IF(B2463=10,"Descarte",""))</f>
        <v/>
      </c>
    </row>
    <row r="2464" customFormat="false" ht="15" hidden="false" customHeight="false" outlineLevel="0" collapsed="false">
      <c r="A2464" s="22" t="n">
        <v>46309</v>
      </c>
      <c r="B2464" s="0" t="n">
        <v>11</v>
      </c>
      <c r="C2464" s="0" t="n">
        <v>6899</v>
      </c>
      <c r="E2464" s="0" t="n">
        <v>0</v>
      </c>
      <c r="F2464" s="23" t="s">
        <v>1241</v>
      </c>
      <c r="I2464" s="23" t="s">
        <v>97</v>
      </c>
      <c r="U2464" s="0" t="n">
        <v>413</v>
      </c>
      <c r="V2464" s="0" t="n">
        <v>1</v>
      </c>
      <c r="W2464" s="0" t="str">
        <f aca="false">IF(OR(AND(B2464&gt;=1,B2464&lt;=6),B2464=10),"Vaca em lactação",IF(I2464="Male","Macho",IF(E2464&gt;=1,"Vaca seca",IF(I2464="Youngstock","Bezerra/recria","Novilha"))))</f>
        <v>Novilha</v>
      </c>
      <c r="X2464" s="0" t="str">
        <f aca="false">IF(AND(B2464&gt;=1,B2464&lt;=6),"Tanque",IF(B2464=10,"Descarte",""))</f>
        <v/>
      </c>
    </row>
    <row r="2465" customFormat="false" ht="15" hidden="false" customHeight="false" outlineLevel="0" collapsed="false">
      <c r="A2465" s="22" t="n">
        <v>46309</v>
      </c>
      <c r="B2465" s="0" t="n">
        <v>11</v>
      </c>
      <c r="C2465" s="0" t="n">
        <v>6898</v>
      </c>
      <c r="E2465" s="0" t="n">
        <v>0</v>
      </c>
      <c r="F2465" s="23" t="s">
        <v>1241</v>
      </c>
      <c r="I2465" s="23" t="s">
        <v>97</v>
      </c>
      <c r="U2465" s="0" t="n">
        <v>413</v>
      </c>
      <c r="V2465" s="0" t="n">
        <v>1</v>
      </c>
      <c r="W2465" s="0" t="str">
        <f aca="false">IF(OR(AND(B2465&gt;=1,B2465&lt;=6),B2465=10),"Vaca em lactação",IF(I2465="Male","Macho",IF(E2465&gt;=1,"Vaca seca",IF(I2465="Youngstock","Bezerra/recria","Novilha"))))</f>
        <v>Novilha</v>
      </c>
      <c r="X2465" s="0" t="str">
        <f aca="false">IF(AND(B2465&gt;=1,B2465&lt;=6),"Tanque",IF(B2465=10,"Descarte",""))</f>
        <v/>
      </c>
    </row>
    <row r="2466" customFormat="false" ht="15" hidden="false" customHeight="false" outlineLevel="0" collapsed="false">
      <c r="A2466" s="22" t="n">
        <v>46309</v>
      </c>
      <c r="B2466" s="0" t="n">
        <v>11</v>
      </c>
      <c r="C2466" s="0" t="n">
        <v>6903</v>
      </c>
      <c r="E2466" s="0" t="n">
        <v>0</v>
      </c>
      <c r="F2466" s="23" t="s">
        <v>1242</v>
      </c>
      <c r="I2466" s="23" t="s">
        <v>97</v>
      </c>
      <c r="U2466" s="0" t="n">
        <v>412</v>
      </c>
      <c r="V2466" s="0" t="n">
        <v>1</v>
      </c>
      <c r="W2466" s="0" t="str">
        <f aca="false">IF(OR(AND(B2466&gt;=1,B2466&lt;=6),B2466=10),"Vaca em lactação",IF(I2466="Male","Macho",IF(E2466&gt;=1,"Vaca seca",IF(I2466="Youngstock","Bezerra/recria","Novilha"))))</f>
        <v>Novilha</v>
      </c>
      <c r="X2466" s="0" t="str">
        <f aca="false">IF(AND(B2466&gt;=1,B2466&lt;=6),"Tanque",IF(B2466=10,"Descarte",""))</f>
        <v/>
      </c>
    </row>
    <row r="2467" customFormat="false" ht="15" hidden="false" customHeight="false" outlineLevel="0" collapsed="false">
      <c r="A2467" s="22" t="n">
        <v>46309</v>
      </c>
      <c r="B2467" s="0" t="n">
        <v>11</v>
      </c>
      <c r="C2467" s="0" t="n">
        <v>6906</v>
      </c>
      <c r="E2467" s="0" t="n">
        <v>0</v>
      </c>
      <c r="F2467" s="23" t="s">
        <v>1242</v>
      </c>
      <c r="I2467" s="23" t="s">
        <v>97</v>
      </c>
      <c r="U2467" s="0" t="n">
        <v>412</v>
      </c>
      <c r="V2467" s="0" t="n">
        <v>1</v>
      </c>
      <c r="W2467" s="0" t="str">
        <f aca="false">IF(OR(AND(B2467&gt;=1,B2467&lt;=6),B2467=10),"Vaca em lactação",IF(I2467="Male","Macho",IF(E2467&gt;=1,"Vaca seca",IF(I2467="Youngstock","Bezerra/recria","Novilha"))))</f>
        <v>Novilha</v>
      </c>
      <c r="X2467" s="0" t="str">
        <f aca="false">IF(AND(B2467&gt;=1,B2467&lt;=6),"Tanque",IF(B2467=10,"Descarte",""))</f>
        <v/>
      </c>
    </row>
    <row r="2468" customFormat="false" ht="15" hidden="false" customHeight="false" outlineLevel="0" collapsed="false">
      <c r="A2468" s="22" t="n">
        <v>46309</v>
      </c>
      <c r="B2468" s="0" t="n">
        <v>11</v>
      </c>
      <c r="C2468" s="0" t="n">
        <v>6911</v>
      </c>
      <c r="E2468" s="0" t="n">
        <v>0</v>
      </c>
      <c r="F2468" s="23" t="s">
        <v>1243</v>
      </c>
      <c r="I2468" s="23" t="s">
        <v>97</v>
      </c>
      <c r="U2468" s="0" t="n">
        <v>410</v>
      </c>
      <c r="V2468" s="0" t="n">
        <v>1</v>
      </c>
      <c r="W2468" s="0" t="str">
        <f aca="false">IF(OR(AND(B2468&gt;=1,B2468&lt;=6),B2468=10),"Vaca em lactação",IF(I2468="Male","Macho",IF(E2468&gt;=1,"Vaca seca",IF(I2468="Youngstock","Bezerra/recria","Novilha"))))</f>
        <v>Novilha</v>
      </c>
      <c r="X2468" s="0" t="str">
        <f aca="false">IF(AND(B2468&gt;=1,B2468&lt;=6),"Tanque",IF(B2468=10,"Descarte",""))</f>
        <v/>
      </c>
    </row>
    <row r="2469" customFormat="false" ht="15" hidden="false" customHeight="false" outlineLevel="0" collapsed="false">
      <c r="A2469" s="22" t="n">
        <v>46309</v>
      </c>
      <c r="B2469" s="0" t="n">
        <v>11</v>
      </c>
      <c r="C2469" s="0" t="n">
        <v>6908</v>
      </c>
      <c r="E2469" s="0" t="n">
        <v>0</v>
      </c>
      <c r="F2469" s="23" t="s">
        <v>1244</v>
      </c>
      <c r="I2469" s="23" t="s">
        <v>97</v>
      </c>
      <c r="U2469" s="0" t="n">
        <v>411</v>
      </c>
      <c r="V2469" s="0" t="n">
        <v>1</v>
      </c>
      <c r="W2469" s="0" t="str">
        <f aca="false">IF(OR(AND(B2469&gt;=1,B2469&lt;=6),B2469=10),"Vaca em lactação",IF(I2469="Male","Macho",IF(E2469&gt;=1,"Vaca seca",IF(I2469="Youngstock","Bezerra/recria","Novilha"))))</f>
        <v>Novilha</v>
      </c>
      <c r="X2469" s="0" t="str">
        <f aca="false">IF(AND(B2469&gt;=1,B2469&lt;=6),"Tanque",IF(B2469=10,"Descarte",""))</f>
        <v/>
      </c>
    </row>
    <row r="2470" customFormat="false" ht="15" hidden="false" customHeight="false" outlineLevel="0" collapsed="false">
      <c r="A2470" s="22" t="n">
        <v>46309</v>
      </c>
      <c r="B2470" s="0" t="n">
        <v>11</v>
      </c>
      <c r="C2470" s="0" t="n">
        <v>6907</v>
      </c>
      <c r="E2470" s="0" t="n">
        <v>0</v>
      </c>
      <c r="F2470" s="23" t="s">
        <v>1244</v>
      </c>
      <c r="I2470" s="23" t="s">
        <v>97</v>
      </c>
      <c r="U2470" s="0" t="n">
        <v>411</v>
      </c>
      <c r="V2470" s="0" t="n">
        <v>1</v>
      </c>
      <c r="W2470" s="0" t="str">
        <f aca="false">IF(OR(AND(B2470&gt;=1,B2470&lt;=6),B2470=10),"Vaca em lactação",IF(I2470="Male","Macho",IF(E2470&gt;=1,"Vaca seca",IF(I2470="Youngstock","Bezerra/recria","Novilha"))))</f>
        <v>Novilha</v>
      </c>
      <c r="X2470" s="0" t="str">
        <f aca="false">IF(AND(B2470&gt;=1,B2470&lt;=6),"Tanque",IF(B2470=10,"Descarte",""))</f>
        <v/>
      </c>
    </row>
    <row r="2471" customFormat="false" ht="15" hidden="false" customHeight="false" outlineLevel="0" collapsed="false">
      <c r="A2471" s="22" t="n">
        <v>46309</v>
      </c>
      <c r="B2471" s="0" t="n">
        <v>11</v>
      </c>
      <c r="C2471" s="0" t="n">
        <v>6917</v>
      </c>
      <c r="E2471" s="0" t="n">
        <v>0</v>
      </c>
      <c r="F2471" s="23" t="s">
        <v>1245</v>
      </c>
      <c r="I2471" s="23" t="s">
        <v>97</v>
      </c>
      <c r="U2471" s="0" t="n">
        <v>409</v>
      </c>
      <c r="V2471" s="0" t="n">
        <v>1</v>
      </c>
      <c r="W2471" s="0" t="str">
        <f aca="false">IF(OR(AND(B2471&gt;=1,B2471&lt;=6),B2471=10),"Vaca em lactação",IF(I2471="Male","Macho",IF(E2471&gt;=1,"Vaca seca",IF(I2471="Youngstock","Bezerra/recria","Novilha"))))</f>
        <v>Novilha</v>
      </c>
      <c r="X2471" s="0" t="str">
        <f aca="false">IF(AND(B2471&gt;=1,B2471&lt;=6),"Tanque",IF(B2471=10,"Descarte",""))</f>
        <v/>
      </c>
    </row>
    <row r="2472" customFormat="false" ht="15" hidden="false" customHeight="false" outlineLevel="0" collapsed="false">
      <c r="A2472" s="22" t="n">
        <v>46309</v>
      </c>
      <c r="B2472" s="0" t="n">
        <v>11</v>
      </c>
      <c r="C2472" s="0" t="n">
        <v>6916</v>
      </c>
      <c r="E2472" s="0" t="n">
        <v>0</v>
      </c>
      <c r="F2472" s="23" t="s">
        <v>1245</v>
      </c>
      <c r="I2472" s="23" t="s">
        <v>97</v>
      </c>
      <c r="U2472" s="0" t="n">
        <v>409</v>
      </c>
      <c r="V2472" s="0" t="n">
        <v>1</v>
      </c>
      <c r="W2472" s="0" t="str">
        <f aca="false">IF(OR(AND(B2472&gt;=1,B2472&lt;=6),B2472=10),"Vaca em lactação",IF(I2472="Male","Macho",IF(E2472&gt;=1,"Vaca seca",IF(I2472="Youngstock","Bezerra/recria","Novilha"))))</f>
        <v>Novilha</v>
      </c>
      <c r="X2472" s="0" t="str">
        <f aca="false">IF(AND(B2472&gt;=1,B2472&lt;=6),"Tanque",IF(B2472=10,"Descarte",""))</f>
        <v/>
      </c>
    </row>
    <row r="2473" customFormat="false" ht="15" hidden="false" customHeight="false" outlineLevel="0" collapsed="false">
      <c r="A2473" s="22" t="n">
        <v>46309</v>
      </c>
      <c r="B2473" s="0" t="n">
        <v>13</v>
      </c>
      <c r="C2473" s="0" t="n">
        <v>5957</v>
      </c>
      <c r="E2473" s="0" t="n">
        <v>0</v>
      </c>
      <c r="F2473" s="23" t="s">
        <v>155</v>
      </c>
      <c r="I2473" s="23" t="s">
        <v>109</v>
      </c>
      <c r="U2473" s="0" t="n">
        <v>735</v>
      </c>
      <c r="V2473" s="0" t="n">
        <v>0</v>
      </c>
      <c r="W2473" s="0" t="str">
        <f aca="false">IF(OR(AND(B2473&gt;=1,B2473&lt;=6),B2473=10),"Vaca em lactação",IF(I2473="Male","Macho",IF(E2473&gt;=1,"Vaca seca",IF(I2473="Youngstock","Bezerra/recria","Novilha"))))</f>
        <v>Novilha</v>
      </c>
      <c r="X2473" s="0" t="str">
        <f aca="false">IF(AND(B2473&gt;=1,B2473&lt;=6),"Tanque",IF(B2473=10,"Descarte",""))</f>
        <v/>
      </c>
    </row>
    <row r="2474" customFormat="false" ht="15" hidden="false" customHeight="false" outlineLevel="0" collapsed="false">
      <c r="A2474" s="22" t="n">
        <v>46309</v>
      </c>
      <c r="B2474" s="0" t="n">
        <v>13</v>
      </c>
      <c r="C2474" s="0" t="n">
        <v>6196</v>
      </c>
      <c r="E2474" s="0" t="n">
        <v>0</v>
      </c>
      <c r="F2474" s="23" t="s">
        <v>1042</v>
      </c>
      <c r="I2474" s="23" t="s">
        <v>109</v>
      </c>
      <c r="U2474" s="0" t="n">
        <v>649</v>
      </c>
      <c r="V2474" s="0" t="n">
        <v>0</v>
      </c>
      <c r="W2474" s="0" t="str">
        <f aca="false">IF(OR(AND(B2474&gt;=1,B2474&lt;=6),B2474=10),"Vaca em lactação",IF(I2474="Male","Macho",IF(E2474&gt;=1,"Vaca seca",IF(I2474="Youngstock","Bezerra/recria","Novilha"))))</f>
        <v>Novilha</v>
      </c>
      <c r="X2474" s="0" t="str">
        <f aca="false">IF(AND(B2474&gt;=1,B2474&lt;=6),"Tanque",IF(B2474=10,"Descarte",""))</f>
        <v/>
      </c>
    </row>
    <row r="2475" customFormat="false" ht="15" hidden="false" customHeight="false" outlineLevel="0" collapsed="false">
      <c r="A2475" s="22" t="n">
        <v>46309</v>
      </c>
      <c r="B2475" s="0" t="n">
        <v>13</v>
      </c>
      <c r="C2475" s="0" t="n">
        <v>6246</v>
      </c>
      <c r="E2475" s="0" t="n">
        <v>0</v>
      </c>
      <c r="F2475" s="23" t="s">
        <v>1030</v>
      </c>
      <c r="I2475" s="23" t="s">
        <v>109</v>
      </c>
      <c r="U2475" s="0" t="n">
        <v>629</v>
      </c>
      <c r="V2475" s="0" t="n">
        <v>0</v>
      </c>
      <c r="W2475" s="0" t="str">
        <f aca="false">IF(OR(AND(B2475&gt;=1,B2475&lt;=6),B2475=10),"Vaca em lactação",IF(I2475="Male","Macho",IF(E2475&gt;=1,"Vaca seca",IF(I2475="Youngstock","Bezerra/recria","Novilha"))))</f>
        <v>Novilha</v>
      </c>
      <c r="X2475" s="0" t="str">
        <f aca="false">IF(AND(B2475&gt;=1,B2475&lt;=6),"Tanque",IF(B2475=10,"Descarte",""))</f>
        <v/>
      </c>
    </row>
    <row r="2476" customFormat="false" ht="15" hidden="false" customHeight="false" outlineLevel="0" collapsed="false">
      <c r="A2476" s="22" t="n">
        <v>46309</v>
      </c>
      <c r="B2476" s="0" t="n">
        <v>13</v>
      </c>
      <c r="C2476" s="0" t="n">
        <v>6372</v>
      </c>
      <c r="E2476" s="0" t="n">
        <v>0</v>
      </c>
      <c r="F2476" s="23" t="s">
        <v>1088</v>
      </c>
      <c r="I2476" s="23" t="s">
        <v>109</v>
      </c>
      <c r="U2476" s="0" t="n">
        <v>583</v>
      </c>
      <c r="V2476" s="0" t="n">
        <v>0</v>
      </c>
      <c r="W2476" s="0" t="str">
        <f aca="false">IF(OR(AND(B2476&gt;=1,B2476&lt;=6),B2476=10),"Vaca em lactação",IF(I2476="Male","Macho",IF(E2476&gt;=1,"Vaca seca",IF(I2476="Youngstock","Bezerra/recria","Novilha"))))</f>
        <v>Novilha</v>
      </c>
      <c r="X2476" s="0" t="str">
        <f aca="false">IF(AND(B2476&gt;=1,B2476&lt;=6),"Tanque",IF(B2476=10,"Descarte",""))</f>
        <v/>
      </c>
    </row>
    <row r="2477" customFormat="false" ht="15" hidden="false" customHeight="false" outlineLevel="0" collapsed="false">
      <c r="A2477" s="22" t="n">
        <v>46309</v>
      </c>
      <c r="B2477" s="0" t="n">
        <v>13</v>
      </c>
      <c r="C2477" s="0" t="n">
        <v>6450</v>
      </c>
      <c r="E2477" s="0" t="n">
        <v>0</v>
      </c>
      <c r="F2477" s="23" t="s">
        <v>1104</v>
      </c>
      <c r="I2477" s="23" t="s">
        <v>109</v>
      </c>
      <c r="U2477" s="0" t="n">
        <v>555</v>
      </c>
      <c r="V2477" s="0" t="n">
        <v>0</v>
      </c>
      <c r="W2477" s="0" t="str">
        <f aca="false">IF(OR(AND(B2477&gt;=1,B2477&lt;=6),B2477=10),"Vaca em lactação",IF(I2477="Male","Macho",IF(E2477&gt;=1,"Vaca seca",IF(I2477="Youngstock","Bezerra/recria","Novilha"))))</f>
        <v>Novilha</v>
      </c>
      <c r="X2477" s="0" t="str">
        <f aca="false">IF(AND(B2477&gt;=1,B2477&lt;=6),"Tanque",IF(B2477=10,"Descarte",""))</f>
        <v/>
      </c>
    </row>
    <row r="2478" customFormat="false" ht="15" hidden="false" customHeight="false" outlineLevel="0" collapsed="false">
      <c r="A2478" s="22" t="n">
        <v>46309</v>
      </c>
      <c r="B2478" s="0" t="n">
        <v>13</v>
      </c>
      <c r="C2478" s="0" t="n">
        <v>6446</v>
      </c>
      <c r="E2478" s="0" t="n">
        <v>0</v>
      </c>
      <c r="F2478" s="23" t="s">
        <v>1246</v>
      </c>
      <c r="I2478" s="23" t="s">
        <v>1209</v>
      </c>
      <c r="U2478" s="0" t="n">
        <v>556</v>
      </c>
      <c r="V2478" s="0" t="n">
        <v>0</v>
      </c>
      <c r="W2478" s="0" t="str">
        <f aca="false">IF(OR(AND(B2478&gt;=1,B2478&lt;=6),B2478=10),"Vaca em lactação",IF(I2478="Male","Macho",IF(E2478&gt;=1,"Vaca seca",IF(I2478="Youngstock","Bezerra/recria","Novilha"))))</f>
        <v>Macho</v>
      </c>
      <c r="X2478" s="0" t="str">
        <f aca="false">IF(AND(B2478&gt;=1,B2478&lt;=6),"Tanque",IF(B2478=10,"Descarte",""))</f>
        <v/>
      </c>
    </row>
    <row r="2479" customFormat="false" ht="15" hidden="false" customHeight="false" outlineLevel="0" collapsed="false">
      <c r="A2479" s="22" t="n">
        <v>46309</v>
      </c>
      <c r="B2479" s="0" t="n">
        <v>13</v>
      </c>
      <c r="C2479" s="0" t="n">
        <v>6585</v>
      </c>
      <c r="E2479" s="0" t="n">
        <v>0</v>
      </c>
      <c r="F2479" s="23" t="s">
        <v>1149</v>
      </c>
      <c r="I2479" s="23" t="s">
        <v>109</v>
      </c>
      <c r="U2479" s="0" t="n">
        <v>507</v>
      </c>
      <c r="V2479" s="0" t="n">
        <v>0</v>
      </c>
      <c r="W2479" s="0" t="str">
        <f aca="false">IF(OR(AND(B2479&gt;=1,B2479&lt;=6),B2479=10),"Vaca em lactação",IF(I2479="Male","Macho",IF(E2479&gt;=1,"Vaca seca",IF(I2479="Youngstock","Bezerra/recria","Novilha"))))</f>
        <v>Novilha</v>
      </c>
      <c r="X2479" s="0" t="str">
        <f aca="false">IF(AND(B2479&gt;=1,B2479&lt;=6),"Tanque",IF(B2479=10,"Descarte",""))</f>
        <v/>
      </c>
    </row>
    <row r="2480" customFormat="false" ht="15" hidden="false" customHeight="false" outlineLevel="0" collapsed="false">
      <c r="A2480" s="22" t="n">
        <v>46309</v>
      </c>
      <c r="B2480" s="0" t="n">
        <v>13</v>
      </c>
      <c r="C2480" s="0" t="n">
        <v>6779</v>
      </c>
      <c r="E2480" s="0" t="n">
        <v>0</v>
      </c>
      <c r="F2480" s="23" t="s">
        <v>1170</v>
      </c>
      <c r="I2480" s="23" t="s">
        <v>97</v>
      </c>
      <c r="U2480" s="0" t="n">
        <v>444</v>
      </c>
      <c r="V2480" s="0" t="n">
        <v>1</v>
      </c>
      <c r="W2480" s="0" t="str">
        <f aca="false">IF(OR(AND(B2480&gt;=1,B2480&lt;=6),B2480=10),"Vaca em lactação",IF(I2480="Male","Macho",IF(E2480&gt;=1,"Vaca seca",IF(I2480="Youngstock","Bezerra/recria","Novilha"))))</f>
        <v>Novilha</v>
      </c>
      <c r="X2480" s="0" t="str">
        <f aca="false">IF(AND(B2480&gt;=1,B2480&lt;=6),"Tanque",IF(B2480=10,"Descarte",""))</f>
        <v/>
      </c>
    </row>
    <row r="2481" customFormat="false" ht="15" hidden="false" customHeight="false" outlineLevel="0" collapsed="false">
      <c r="A2481" s="22" t="n">
        <v>46309</v>
      </c>
      <c r="B2481" s="0" t="n">
        <v>13</v>
      </c>
      <c r="C2481" s="0" t="n">
        <v>6782</v>
      </c>
      <c r="E2481" s="0" t="n">
        <v>0</v>
      </c>
      <c r="F2481" s="23" t="s">
        <v>1170</v>
      </c>
      <c r="I2481" s="23" t="s">
        <v>109</v>
      </c>
      <c r="U2481" s="0" t="n">
        <v>444</v>
      </c>
      <c r="V2481" s="0" t="n">
        <v>0</v>
      </c>
      <c r="W2481" s="0" t="str">
        <f aca="false">IF(OR(AND(B2481&gt;=1,B2481&lt;=6),B2481=10),"Vaca em lactação",IF(I2481="Male","Macho",IF(E2481&gt;=1,"Vaca seca",IF(I2481="Youngstock","Bezerra/recria","Novilha"))))</f>
        <v>Novilha</v>
      </c>
      <c r="X2481" s="0" t="str">
        <f aca="false">IF(AND(B2481&gt;=1,B2481&lt;=6),"Tanque",IF(B2481=10,"Descarte",""))</f>
        <v/>
      </c>
    </row>
    <row r="2482" customFormat="false" ht="15" hidden="false" customHeight="false" outlineLevel="0" collapsed="false">
      <c r="A2482" s="22" t="n">
        <v>46309</v>
      </c>
      <c r="B2482" s="0" t="n">
        <v>13</v>
      </c>
      <c r="C2482" s="0" t="n">
        <v>6791</v>
      </c>
      <c r="E2482" s="0" t="n">
        <v>0</v>
      </c>
      <c r="F2482" s="23" t="s">
        <v>1171</v>
      </c>
      <c r="I2482" s="23" t="s">
        <v>109</v>
      </c>
      <c r="U2482" s="0" t="n">
        <v>442</v>
      </c>
      <c r="V2482" s="0" t="n">
        <v>0</v>
      </c>
      <c r="W2482" s="0" t="str">
        <f aca="false">IF(OR(AND(B2482&gt;=1,B2482&lt;=6),B2482=10),"Vaca em lactação",IF(I2482="Male","Macho",IF(E2482&gt;=1,"Vaca seca",IF(I2482="Youngstock","Bezerra/recria","Novilha"))))</f>
        <v>Novilha</v>
      </c>
      <c r="X2482" s="0" t="str">
        <f aca="false">IF(AND(B2482&gt;=1,B2482&lt;=6),"Tanque",IF(B2482=10,"Descarte",""))</f>
        <v/>
      </c>
    </row>
    <row r="2483" customFormat="false" ht="15" hidden="false" customHeight="false" outlineLevel="0" collapsed="false">
      <c r="A2483" s="22" t="n">
        <v>46309</v>
      </c>
      <c r="B2483" s="0" t="n">
        <v>13</v>
      </c>
      <c r="C2483" s="0" t="n">
        <v>6751</v>
      </c>
      <c r="E2483" s="0" t="n">
        <v>0</v>
      </c>
      <c r="F2483" s="23" t="s">
        <v>1175</v>
      </c>
      <c r="I2483" s="23" t="s">
        <v>109</v>
      </c>
      <c r="U2483" s="0" t="n">
        <v>455</v>
      </c>
      <c r="V2483" s="0" t="n">
        <v>0</v>
      </c>
      <c r="W2483" s="0" t="str">
        <f aca="false">IF(OR(AND(B2483&gt;=1,B2483&lt;=6),B2483=10),"Vaca em lactação",IF(I2483="Male","Macho",IF(E2483&gt;=1,"Vaca seca",IF(I2483="Youngstock","Bezerra/recria","Novilha"))))</f>
        <v>Novilha</v>
      </c>
      <c r="X2483" s="0" t="str">
        <f aca="false">IF(AND(B2483&gt;=1,B2483&lt;=6),"Tanque",IF(B2483=10,"Descarte",""))</f>
        <v/>
      </c>
    </row>
    <row r="2484" customFormat="false" ht="15" hidden="false" customHeight="false" outlineLevel="0" collapsed="false">
      <c r="A2484" s="22" t="n">
        <v>46309</v>
      </c>
      <c r="B2484" s="0" t="n">
        <v>13</v>
      </c>
      <c r="C2484" s="0" t="n">
        <v>6737</v>
      </c>
      <c r="E2484" s="0" t="n">
        <v>0</v>
      </c>
      <c r="F2484" s="23" t="s">
        <v>1179</v>
      </c>
      <c r="I2484" s="23" t="s">
        <v>109</v>
      </c>
      <c r="U2484" s="0" t="n">
        <v>460</v>
      </c>
      <c r="V2484" s="0" t="n">
        <v>0</v>
      </c>
      <c r="W2484" s="0" t="str">
        <f aca="false">IF(OR(AND(B2484&gt;=1,B2484&lt;=6),B2484=10),"Vaca em lactação",IF(I2484="Male","Macho",IF(E2484&gt;=1,"Vaca seca",IF(I2484="Youngstock","Bezerra/recria","Novilha"))))</f>
        <v>Novilha</v>
      </c>
      <c r="X2484" s="0" t="str">
        <f aca="false">IF(AND(B2484&gt;=1,B2484&lt;=6),"Tanque",IF(B2484=10,"Descarte",""))</f>
        <v/>
      </c>
    </row>
    <row r="2485" customFormat="false" ht="15" hidden="false" customHeight="false" outlineLevel="0" collapsed="false">
      <c r="A2485" s="22" t="n">
        <v>46309</v>
      </c>
      <c r="B2485" s="0" t="n">
        <v>13</v>
      </c>
      <c r="C2485" s="0" t="n">
        <v>6868</v>
      </c>
      <c r="E2485" s="0" t="n">
        <v>0</v>
      </c>
      <c r="F2485" s="23" t="s">
        <v>1218</v>
      </c>
      <c r="I2485" s="23" t="s">
        <v>109</v>
      </c>
      <c r="U2485" s="0" t="n">
        <v>420</v>
      </c>
      <c r="V2485" s="0" t="n">
        <v>0</v>
      </c>
      <c r="W2485" s="0" t="str">
        <f aca="false">IF(OR(AND(B2485&gt;=1,B2485&lt;=6),B2485=10),"Vaca em lactação",IF(I2485="Male","Macho",IF(E2485&gt;=1,"Vaca seca",IF(I2485="Youngstock","Bezerra/recria","Novilha"))))</f>
        <v>Novilha</v>
      </c>
      <c r="X2485" s="0" t="str">
        <f aca="false">IF(AND(B2485&gt;=1,B2485&lt;=6),"Tanque",IF(B2485=10,"Descarte",""))</f>
        <v/>
      </c>
    </row>
    <row r="2486" customFormat="false" ht="15" hidden="false" customHeight="false" outlineLevel="0" collapsed="false">
      <c r="A2486" s="22" t="n">
        <v>46309</v>
      </c>
      <c r="B2486" s="0" t="n">
        <v>13</v>
      </c>
      <c r="C2486" s="0" t="n">
        <v>6865</v>
      </c>
      <c r="E2486" s="0" t="n">
        <v>0</v>
      </c>
      <c r="F2486" s="23" t="s">
        <v>1217</v>
      </c>
      <c r="I2486" s="23" t="s">
        <v>109</v>
      </c>
      <c r="U2486" s="0" t="n">
        <v>421</v>
      </c>
      <c r="V2486" s="0" t="n">
        <v>0</v>
      </c>
      <c r="W2486" s="0" t="str">
        <f aca="false">IF(OR(AND(B2486&gt;=1,B2486&lt;=6),B2486=10),"Vaca em lactação",IF(I2486="Male","Macho",IF(E2486&gt;=1,"Vaca seca",IF(I2486="Youngstock","Bezerra/recria","Novilha"))))</f>
        <v>Novilha</v>
      </c>
      <c r="X2486" s="0" t="str">
        <f aca="false">IF(AND(B2486&gt;=1,B2486&lt;=6),"Tanque",IF(B2486=10,"Descarte",""))</f>
        <v/>
      </c>
    </row>
    <row r="2487" customFormat="false" ht="15" hidden="false" customHeight="false" outlineLevel="0" collapsed="false">
      <c r="A2487" s="22" t="n">
        <v>46309</v>
      </c>
      <c r="B2487" s="0" t="n">
        <v>13</v>
      </c>
      <c r="C2487" s="0" t="n">
        <v>6877</v>
      </c>
      <c r="E2487" s="0" t="n">
        <v>0</v>
      </c>
      <c r="F2487" s="23" t="s">
        <v>1220</v>
      </c>
      <c r="I2487" s="23" t="s">
        <v>109</v>
      </c>
      <c r="U2487" s="0" t="n">
        <v>418</v>
      </c>
      <c r="V2487" s="0" t="n">
        <v>0</v>
      </c>
      <c r="W2487" s="0" t="str">
        <f aca="false">IF(OR(AND(B2487&gt;=1,B2487&lt;=6),B2487=10),"Vaca em lactação",IF(I2487="Male","Macho",IF(E2487&gt;=1,"Vaca seca",IF(I2487="Youngstock","Bezerra/recria","Novilha"))))</f>
        <v>Novilha</v>
      </c>
      <c r="X2487" s="0" t="str">
        <f aca="false">IF(AND(B2487&gt;=1,B2487&lt;=6),"Tanque",IF(B2487=10,"Descarte",""))</f>
        <v/>
      </c>
    </row>
    <row r="2488" customFormat="false" ht="15" hidden="false" customHeight="false" outlineLevel="0" collapsed="false">
      <c r="A2488" s="22" t="n">
        <v>46309</v>
      </c>
      <c r="B2488" s="0" t="n">
        <v>13</v>
      </c>
      <c r="C2488" s="0" t="n">
        <v>6884</v>
      </c>
      <c r="E2488" s="0" t="n">
        <v>0</v>
      </c>
      <c r="F2488" s="23" t="s">
        <v>1222</v>
      </c>
      <c r="I2488" s="23" t="s">
        <v>109</v>
      </c>
      <c r="U2488" s="0" t="n">
        <v>416</v>
      </c>
      <c r="V2488" s="0" t="n">
        <v>0</v>
      </c>
      <c r="W2488" s="0" t="str">
        <f aca="false">IF(OR(AND(B2488&gt;=1,B2488&lt;=6),B2488=10),"Vaca em lactação",IF(I2488="Male","Macho",IF(E2488&gt;=1,"Vaca seca",IF(I2488="Youngstock","Bezerra/recria","Novilha"))))</f>
        <v>Novilha</v>
      </c>
      <c r="X2488" s="0" t="str">
        <f aca="false">IF(AND(B2488&gt;=1,B2488&lt;=6),"Tanque",IF(B2488=10,"Descarte",""))</f>
        <v/>
      </c>
    </row>
    <row r="2489" customFormat="false" ht="15" hidden="false" customHeight="false" outlineLevel="0" collapsed="false">
      <c r="A2489" s="22" t="n">
        <v>46309</v>
      </c>
      <c r="B2489" s="0" t="n">
        <v>13</v>
      </c>
      <c r="C2489" s="0" t="n">
        <v>6890</v>
      </c>
      <c r="E2489" s="0" t="n">
        <v>0</v>
      </c>
      <c r="F2489" s="23" t="s">
        <v>1223</v>
      </c>
      <c r="I2489" s="23" t="s">
        <v>109</v>
      </c>
      <c r="U2489" s="0" t="n">
        <v>415</v>
      </c>
      <c r="V2489" s="0" t="n">
        <v>0</v>
      </c>
      <c r="W2489" s="0" t="str">
        <f aca="false">IF(OR(AND(B2489&gt;=1,B2489&lt;=6),B2489=10),"Vaca em lactação",IF(I2489="Male","Macho",IF(E2489&gt;=1,"Vaca seca",IF(I2489="Youngstock","Bezerra/recria","Novilha"))))</f>
        <v>Novilha</v>
      </c>
      <c r="X2489" s="0" t="str">
        <f aca="false">IF(AND(B2489&gt;=1,B2489&lt;=6),"Tanque",IF(B2489=10,"Descarte",""))</f>
        <v/>
      </c>
    </row>
    <row r="2490" customFormat="false" ht="15" hidden="false" customHeight="false" outlineLevel="0" collapsed="false">
      <c r="A2490" s="22" t="n">
        <v>46309</v>
      </c>
      <c r="B2490" s="0" t="n">
        <v>13</v>
      </c>
      <c r="C2490" s="0" t="n">
        <v>6888</v>
      </c>
      <c r="E2490" s="0" t="n">
        <v>0</v>
      </c>
      <c r="F2490" s="23" t="s">
        <v>1223</v>
      </c>
      <c r="I2490" s="23" t="s">
        <v>109</v>
      </c>
      <c r="U2490" s="0" t="n">
        <v>415</v>
      </c>
      <c r="V2490" s="0" t="n">
        <v>0</v>
      </c>
      <c r="W2490" s="0" t="str">
        <f aca="false">IF(OR(AND(B2490&gt;=1,B2490&lt;=6),B2490=10),"Vaca em lactação",IF(I2490="Male","Macho",IF(E2490&gt;=1,"Vaca seca",IF(I2490="Youngstock","Bezerra/recria","Novilha"))))</f>
        <v>Novilha</v>
      </c>
      <c r="X2490" s="0" t="str">
        <f aca="false">IF(AND(B2490&gt;=1,B2490&lt;=6),"Tanque",IF(B2490=10,"Descarte",""))</f>
        <v/>
      </c>
    </row>
    <row r="2491" customFormat="false" ht="15" hidden="false" customHeight="false" outlineLevel="0" collapsed="false">
      <c r="A2491" s="22" t="n">
        <v>46309</v>
      </c>
      <c r="B2491" s="0" t="n">
        <v>13</v>
      </c>
      <c r="C2491" s="0" t="n">
        <v>6887</v>
      </c>
      <c r="E2491" s="0" t="n">
        <v>0</v>
      </c>
      <c r="F2491" s="23" t="s">
        <v>1223</v>
      </c>
      <c r="I2491" s="23" t="s">
        <v>109</v>
      </c>
      <c r="U2491" s="0" t="n">
        <v>415</v>
      </c>
      <c r="V2491" s="0" t="n">
        <v>0</v>
      </c>
      <c r="W2491" s="0" t="str">
        <f aca="false">IF(OR(AND(B2491&gt;=1,B2491&lt;=6),B2491=10),"Vaca em lactação",IF(I2491="Male","Macho",IF(E2491&gt;=1,"Vaca seca",IF(I2491="Youngstock","Bezerra/recria","Novilha"))))</f>
        <v>Novilha</v>
      </c>
      <c r="X2491" s="0" t="str">
        <f aca="false">IF(AND(B2491&gt;=1,B2491&lt;=6),"Tanque",IF(B2491=10,"Descarte",""))</f>
        <v/>
      </c>
    </row>
    <row r="2492" customFormat="false" ht="15" hidden="false" customHeight="false" outlineLevel="0" collapsed="false">
      <c r="A2492" s="22" t="n">
        <v>46309</v>
      </c>
      <c r="B2492" s="0" t="n">
        <v>13</v>
      </c>
      <c r="C2492" s="0" t="n">
        <v>6892</v>
      </c>
      <c r="E2492" s="0" t="n">
        <v>0</v>
      </c>
      <c r="F2492" s="23" t="s">
        <v>1223</v>
      </c>
      <c r="I2492" s="23" t="s">
        <v>109</v>
      </c>
      <c r="U2492" s="0" t="n">
        <v>415</v>
      </c>
      <c r="V2492" s="0" t="n">
        <v>0</v>
      </c>
      <c r="W2492" s="0" t="str">
        <f aca="false">IF(OR(AND(B2492&gt;=1,B2492&lt;=6),B2492=10),"Vaca em lactação",IF(I2492="Male","Macho",IF(E2492&gt;=1,"Vaca seca",IF(I2492="Youngstock","Bezerra/recria","Novilha"))))</f>
        <v>Novilha</v>
      </c>
      <c r="X2492" s="0" t="str">
        <f aca="false">IF(AND(B2492&gt;=1,B2492&lt;=6),"Tanque",IF(B2492=10,"Descarte",""))</f>
        <v/>
      </c>
    </row>
    <row r="2493" customFormat="false" ht="15" hidden="false" customHeight="false" outlineLevel="0" collapsed="false">
      <c r="A2493" s="22" t="n">
        <v>46309</v>
      </c>
      <c r="B2493" s="0" t="n">
        <v>13</v>
      </c>
      <c r="C2493" s="0" t="n">
        <v>6843</v>
      </c>
      <c r="E2493" s="0" t="n">
        <v>0</v>
      </c>
      <c r="F2493" s="23" t="s">
        <v>1224</v>
      </c>
      <c r="I2493" s="23" t="s">
        <v>109</v>
      </c>
      <c r="U2493" s="0" t="n">
        <v>427</v>
      </c>
      <c r="V2493" s="0" t="n">
        <v>0</v>
      </c>
      <c r="W2493" s="0" t="str">
        <f aca="false">IF(OR(AND(B2493&gt;=1,B2493&lt;=6),B2493=10),"Vaca em lactação",IF(I2493="Male","Macho",IF(E2493&gt;=1,"Vaca seca",IF(I2493="Youngstock","Bezerra/recria","Novilha"))))</f>
        <v>Novilha</v>
      </c>
      <c r="X2493" s="0" t="str">
        <f aca="false">IF(AND(B2493&gt;=1,B2493&lt;=6),"Tanque",IF(B2493=10,"Descarte",""))</f>
        <v/>
      </c>
    </row>
    <row r="2494" customFormat="false" ht="15" hidden="false" customHeight="false" outlineLevel="0" collapsed="false">
      <c r="A2494" s="22" t="n">
        <v>46309</v>
      </c>
      <c r="B2494" s="0" t="n">
        <v>13</v>
      </c>
      <c r="C2494" s="0" t="n">
        <v>6857</v>
      </c>
      <c r="E2494" s="0" t="n">
        <v>0</v>
      </c>
      <c r="F2494" s="23" t="s">
        <v>1228</v>
      </c>
      <c r="I2494" s="23" t="s">
        <v>109</v>
      </c>
      <c r="U2494" s="0" t="n">
        <v>423</v>
      </c>
      <c r="V2494" s="0" t="n">
        <v>0</v>
      </c>
      <c r="W2494" s="0" t="str">
        <f aca="false">IF(OR(AND(B2494&gt;=1,B2494&lt;=6),B2494=10),"Vaca em lactação",IF(I2494="Male","Macho",IF(E2494&gt;=1,"Vaca seca",IF(I2494="Youngstock","Bezerra/recria","Novilha"))))</f>
        <v>Novilha</v>
      </c>
      <c r="X2494" s="0" t="str">
        <f aca="false">IF(AND(B2494&gt;=1,B2494&lt;=6),"Tanque",IF(B2494=10,"Descarte",""))</f>
        <v/>
      </c>
    </row>
    <row r="2495" customFormat="false" ht="15" hidden="false" customHeight="false" outlineLevel="0" collapsed="false">
      <c r="A2495" s="22" t="n">
        <v>46309</v>
      </c>
      <c r="B2495" s="0" t="n">
        <v>13</v>
      </c>
      <c r="C2495" s="0" t="n">
        <v>6815</v>
      </c>
      <c r="E2495" s="0" t="n">
        <v>0</v>
      </c>
      <c r="F2495" s="23" t="s">
        <v>1247</v>
      </c>
      <c r="I2495" s="23" t="s">
        <v>97</v>
      </c>
      <c r="U2495" s="0" t="n">
        <v>435</v>
      </c>
      <c r="V2495" s="0" t="n">
        <v>1</v>
      </c>
      <c r="W2495" s="0" t="str">
        <f aca="false">IF(OR(AND(B2495&gt;=1,B2495&lt;=6),B2495=10),"Vaca em lactação",IF(I2495="Male","Macho",IF(E2495&gt;=1,"Vaca seca",IF(I2495="Youngstock","Bezerra/recria","Novilha"))))</f>
        <v>Novilha</v>
      </c>
      <c r="X2495" s="0" t="str">
        <f aca="false">IF(AND(B2495&gt;=1,B2495&lt;=6),"Tanque",IF(B2495=10,"Descarte",""))</f>
        <v/>
      </c>
    </row>
    <row r="2496" customFormat="false" ht="15" hidden="false" customHeight="false" outlineLevel="0" collapsed="false">
      <c r="A2496" s="22" t="n">
        <v>46309</v>
      </c>
      <c r="B2496" s="0" t="n">
        <v>13</v>
      </c>
      <c r="C2496" s="0" t="n">
        <v>6788</v>
      </c>
      <c r="E2496" s="0" t="n">
        <v>0</v>
      </c>
      <c r="F2496" s="23" t="s">
        <v>1213</v>
      </c>
      <c r="I2496" s="23" t="s">
        <v>109</v>
      </c>
      <c r="U2496" s="0" t="n">
        <v>443</v>
      </c>
      <c r="V2496" s="0" t="n">
        <v>0</v>
      </c>
      <c r="W2496" s="0" t="str">
        <f aca="false">IF(OR(AND(B2496&gt;=1,B2496&lt;=6),B2496=10),"Vaca em lactação",IF(I2496="Male","Macho",IF(E2496&gt;=1,"Vaca seca",IF(I2496="Youngstock","Bezerra/recria","Novilha"))))</f>
        <v>Novilha</v>
      </c>
      <c r="X2496" s="0" t="str">
        <f aca="false">IF(AND(B2496&gt;=1,B2496&lt;=6),"Tanque",IF(B2496=10,"Descarte",""))</f>
        <v/>
      </c>
    </row>
    <row r="2497" customFormat="false" ht="15" hidden="false" customHeight="false" outlineLevel="0" collapsed="false">
      <c r="A2497" s="22" t="n">
        <v>46309</v>
      </c>
      <c r="B2497" s="0" t="n">
        <v>13</v>
      </c>
      <c r="C2497" s="0" t="n">
        <v>6797</v>
      </c>
      <c r="E2497" s="0" t="n">
        <v>0</v>
      </c>
      <c r="F2497" s="23" t="s">
        <v>1187</v>
      </c>
      <c r="I2497" s="23" t="s">
        <v>109</v>
      </c>
      <c r="U2497" s="0" t="n">
        <v>440</v>
      </c>
      <c r="V2497" s="0" t="n">
        <v>0</v>
      </c>
      <c r="W2497" s="0" t="str">
        <f aca="false">IF(OR(AND(B2497&gt;=1,B2497&lt;=6),B2497=10),"Vaca em lactação",IF(I2497="Male","Macho",IF(E2497&gt;=1,"Vaca seca",IF(I2497="Youngstock","Bezerra/recria","Novilha"))))</f>
        <v>Novilha</v>
      </c>
      <c r="X2497" s="0" t="str">
        <f aca="false">IF(AND(B2497&gt;=1,B2497&lt;=6),"Tanque",IF(B2497=10,"Descarte",""))</f>
        <v/>
      </c>
    </row>
    <row r="2498" customFormat="false" ht="15" hidden="false" customHeight="false" outlineLevel="0" collapsed="false">
      <c r="A2498" s="22" t="n">
        <v>46309</v>
      </c>
      <c r="B2498" s="0" t="n">
        <v>13</v>
      </c>
      <c r="C2498" s="0" t="n">
        <v>6801</v>
      </c>
      <c r="E2498" s="0" t="n">
        <v>0</v>
      </c>
      <c r="F2498" s="23" t="s">
        <v>1187</v>
      </c>
      <c r="I2498" s="23" t="s">
        <v>109</v>
      </c>
      <c r="U2498" s="0" t="n">
        <v>440</v>
      </c>
      <c r="V2498" s="0" t="n">
        <v>0</v>
      </c>
      <c r="W2498" s="0" t="str">
        <f aca="false">IF(OR(AND(B2498&gt;=1,B2498&lt;=6),B2498=10),"Vaca em lactação",IF(I2498="Male","Macho",IF(E2498&gt;=1,"Vaca seca",IF(I2498="Youngstock","Bezerra/recria","Novilha"))))</f>
        <v>Novilha</v>
      </c>
      <c r="X2498" s="0" t="str">
        <f aca="false">IF(AND(B2498&gt;=1,B2498&lt;=6),"Tanque",IF(B2498=10,"Descarte",""))</f>
        <v/>
      </c>
    </row>
    <row r="2499" customFormat="false" ht="15" hidden="false" customHeight="false" outlineLevel="0" collapsed="false">
      <c r="A2499" s="22" t="n">
        <v>46309</v>
      </c>
      <c r="B2499" s="0" t="n">
        <v>13</v>
      </c>
      <c r="C2499" s="0" t="n">
        <v>6802</v>
      </c>
      <c r="E2499" s="0" t="n">
        <v>0</v>
      </c>
      <c r="F2499" s="23" t="s">
        <v>1232</v>
      </c>
      <c r="I2499" s="23" t="s">
        <v>97</v>
      </c>
      <c r="U2499" s="0" t="n">
        <v>439</v>
      </c>
      <c r="V2499" s="0" t="n">
        <v>1</v>
      </c>
      <c r="W2499" s="0" t="str">
        <f aca="false">IF(OR(AND(B2499&gt;=1,B2499&lt;=6),B2499=10),"Vaca em lactação",IF(I2499="Male","Macho",IF(E2499&gt;=1,"Vaca seca",IF(I2499="Youngstock","Bezerra/recria","Novilha"))))</f>
        <v>Novilha</v>
      </c>
      <c r="X2499" s="0" t="str">
        <f aca="false">IF(AND(B2499&gt;=1,B2499&lt;=6),"Tanque",IF(B2499=10,"Descarte",""))</f>
        <v/>
      </c>
    </row>
    <row r="2500" customFormat="false" ht="15" hidden="false" customHeight="false" outlineLevel="0" collapsed="false">
      <c r="A2500" s="22" t="n">
        <v>46309</v>
      </c>
      <c r="B2500" s="0" t="n">
        <v>13</v>
      </c>
      <c r="C2500" s="0" t="n">
        <v>6806</v>
      </c>
      <c r="E2500" s="0" t="n">
        <v>0</v>
      </c>
      <c r="F2500" s="23" t="s">
        <v>1232</v>
      </c>
      <c r="I2500" s="23" t="s">
        <v>109</v>
      </c>
      <c r="U2500" s="0" t="n">
        <v>439</v>
      </c>
      <c r="V2500" s="0" t="n">
        <v>0</v>
      </c>
      <c r="W2500" s="0" t="str">
        <f aca="false">IF(OR(AND(B2500&gt;=1,B2500&lt;=6),B2500=10),"Vaca em lactação",IF(I2500="Male","Macho",IF(E2500&gt;=1,"Vaca seca",IF(I2500="Youngstock","Bezerra/recria","Novilha"))))</f>
        <v>Novilha</v>
      </c>
      <c r="X2500" s="0" t="str">
        <f aca="false">IF(AND(B2500&gt;=1,B2500&lt;=6),"Tanque",IF(B2500=10,"Descarte",""))</f>
        <v/>
      </c>
    </row>
    <row r="2501" customFormat="false" ht="15" hidden="false" customHeight="false" outlineLevel="0" collapsed="false">
      <c r="A2501" s="22" t="n">
        <v>46309</v>
      </c>
      <c r="B2501" s="0" t="n">
        <v>13</v>
      </c>
      <c r="C2501" s="0" t="n">
        <v>6850</v>
      </c>
      <c r="E2501" s="0" t="n">
        <v>0</v>
      </c>
      <c r="F2501" s="23" t="s">
        <v>1248</v>
      </c>
      <c r="I2501" s="23" t="s">
        <v>1249</v>
      </c>
      <c r="U2501" s="0" t="n">
        <v>395</v>
      </c>
      <c r="V2501" s="0" t="n">
        <v>0</v>
      </c>
      <c r="W2501" s="0" t="str">
        <f aca="false">IF(OR(AND(B2501&gt;=1,B2501&lt;=6),B2501=10),"Vaca em lactação",IF(I2501="Male","Macho",IF(E2501&gt;=1,"Vaca seca",IF(I2501="Youngstock","Bezerra/recria","Novilha"))))</f>
        <v>Bezerra/recria</v>
      </c>
      <c r="X2501" s="0" t="str">
        <f aca="false">IF(AND(B2501&gt;=1,B2501&lt;=6),"Tanque",IF(B2501=10,"Descarte",""))</f>
        <v/>
      </c>
    </row>
    <row r="2502" customFormat="false" ht="15" hidden="false" customHeight="false" outlineLevel="0" collapsed="false">
      <c r="A2502" s="22" t="n">
        <v>46309</v>
      </c>
      <c r="B2502" s="0" t="n">
        <v>13</v>
      </c>
      <c r="C2502" s="0" t="n">
        <v>6941</v>
      </c>
      <c r="E2502" s="0" t="n">
        <v>0</v>
      </c>
      <c r="F2502" s="23" t="s">
        <v>1248</v>
      </c>
      <c r="I2502" s="23" t="s">
        <v>1249</v>
      </c>
      <c r="U2502" s="0" t="n">
        <v>395</v>
      </c>
      <c r="V2502" s="0" t="n">
        <v>0</v>
      </c>
      <c r="W2502" s="0" t="str">
        <f aca="false">IF(OR(AND(B2502&gt;=1,B2502&lt;=6),B2502=10),"Vaca em lactação",IF(I2502="Male","Macho",IF(E2502&gt;=1,"Vaca seca",IF(I2502="Youngstock","Bezerra/recria","Novilha"))))</f>
        <v>Bezerra/recria</v>
      </c>
      <c r="X2502" s="0" t="str">
        <f aca="false">IF(AND(B2502&gt;=1,B2502&lt;=6),"Tanque",IF(B2502=10,"Descarte",""))</f>
        <v/>
      </c>
    </row>
    <row r="2503" customFormat="false" ht="15" hidden="false" customHeight="false" outlineLevel="0" collapsed="false">
      <c r="A2503" s="22" t="n">
        <v>46309</v>
      </c>
      <c r="B2503" s="0" t="n">
        <v>13</v>
      </c>
      <c r="C2503" s="0" t="n">
        <v>6942</v>
      </c>
      <c r="E2503" s="0" t="n">
        <v>0</v>
      </c>
      <c r="F2503" s="23" t="s">
        <v>1248</v>
      </c>
      <c r="I2503" s="23" t="s">
        <v>1249</v>
      </c>
      <c r="U2503" s="0" t="n">
        <v>395</v>
      </c>
      <c r="V2503" s="0" t="n">
        <v>0</v>
      </c>
      <c r="W2503" s="0" t="str">
        <f aca="false">IF(OR(AND(B2503&gt;=1,B2503&lt;=6),B2503=10),"Vaca em lactação",IF(I2503="Male","Macho",IF(E2503&gt;=1,"Vaca seca",IF(I2503="Youngstock","Bezerra/recria","Novilha"))))</f>
        <v>Bezerra/recria</v>
      </c>
      <c r="X2503" s="0" t="str">
        <f aca="false">IF(AND(B2503&gt;=1,B2503&lt;=6),"Tanque",IF(B2503=10,"Descarte",""))</f>
        <v/>
      </c>
    </row>
    <row r="2504" customFormat="false" ht="15" hidden="false" customHeight="false" outlineLevel="0" collapsed="false">
      <c r="A2504" s="22" t="n">
        <v>46309</v>
      </c>
      <c r="B2504" s="0" t="n">
        <v>13</v>
      </c>
      <c r="C2504" s="0" t="n">
        <v>6943</v>
      </c>
      <c r="E2504" s="0" t="n">
        <v>0</v>
      </c>
      <c r="F2504" s="23" t="s">
        <v>1248</v>
      </c>
      <c r="I2504" s="23" t="s">
        <v>1249</v>
      </c>
      <c r="U2504" s="0" t="n">
        <v>395</v>
      </c>
      <c r="V2504" s="0" t="n">
        <v>0</v>
      </c>
      <c r="W2504" s="0" t="str">
        <f aca="false">IF(OR(AND(B2504&gt;=1,B2504&lt;=6),B2504=10),"Vaca em lactação",IF(I2504="Male","Macho",IF(E2504&gt;=1,"Vaca seca",IF(I2504="Youngstock","Bezerra/recria","Novilha"))))</f>
        <v>Bezerra/recria</v>
      </c>
      <c r="X2504" s="0" t="str">
        <f aca="false">IF(AND(B2504&gt;=1,B2504&lt;=6),"Tanque",IF(B2504=10,"Descarte",""))</f>
        <v/>
      </c>
    </row>
    <row r="2505" customFormat="false" ht="15" hidden="false" customHeight="false" outlineLevel="0" collapsed="false">
      <c r="A2505" s="22" t="n">
        <v>46309</v>
      </c>
      <c r="B2505" s="0" t="n">
        <v>13</v>
      </c>
      <c r="C2505" s="0" t="n">
        <v>6940</v>
      </c>
      <c r="E2505" s="0" t="n">
        <v>0</v>
      </c>
      <c r="F2505" s="23" t="s">
        <v>1248</v>
      </c>
      <c r="I2505" s="23" t="s">
        <v>1249</v>
      </c>
      <c r="U2505" s="0" t="n">
        <v>395</v>
      </c>
      <c r="V2505" s="0" t="n">
        <v>0</v>
      </c>
      <c r="W2505" s="0" t="str">
        <f aca="false">IF(OR(AND(B2505&gt;=1,B2505&lt;=6),B2505=10),"Vaca em lactação",IF(I2505="Male","Macho",IF(E2505&gt;=1,"Vaca seca",IF(I2505="Youngstock","Bezerra/recria","Novilha"))))</f>
        <v>Bezerra/recria</v>
      </c>
      <c r="X2505" s="0" t="str">
        <f aca="false">IF(AND(B2505&gt;=1,B2505&lt;=6),"Tanque",IF(B2505=10,"Descarte",""))</f>
        <v/>
      </c>
    </row>
    <row r="2506" customFormat="false" ht="15" hidden="false" customHeight="false" outlineLevel="0" collapsed="false">
      <c r="A2506" s="22" t="n">
        <v>46309</v>
      </c>
      <c r="B2506" s="0" t="n">
        <v>13</v>
      </c>
      <c r="C2506" s="0" t="n">
        <v>6939</v>
      </c>
      <c r="E2506" s="0" t="n">
        <v>0</v>
      </c>
      <c r="F2506" s="23" t="s">
        <v>1250</v>
      </c>
      <c r="I2506" s="23" t="s">
        <v>109</v>
      </c>
      <c r="U2506" s="0" t="n">
        <v>399</v>
      </c>
      <c r="V2506" s="0" t="n">
        <v>0</v>
      </c>
      <c r="W2506" s="0" t="str">
        <f aca="false">IF(OR(AND(B2506&gt;=1,B2506&lt;=6),B2506=10),"Vaca em lactação",IF(I2506="Male","Macho",IF(E2506&gt;=1,"Vaca seca",IF(I2506="Youngstock","Bezerra/recria","Novilha"))))</f>
        <v>Novilha</v>
      </c>
      <c r="X2506" s="0" t="str">
        <f aca="false">IF(AND(B2506&gt;=1,B2506&lt;=6),"Tanque",IF(B2506=10,"Descarte",""))</f>
        <v/>
      </c>
    </row>
    <row r="2507" customFormat="false" ht="15" hidden="false" customHeight="false" outlineLevel="0" collapsed="false">
      <c r="A2507" s="22" t="n">
        <v>46309</v>
      </c>
      <c r="B2507" s="0" t="n">
        <v>13</v>
      </c>
      <c r="C2507" s="0" t="n">
        <v>6938</v>
      </c>
      <c r="E2507" s="0" t="n">
        <v>0</v>
      </c>
      <c r="F2507" s="23" t="s">
        <v>1250</v>
      </c>
      <c r="I2507" s="23" t="s">
        <v>109</v>
      </c>
      <c r="U2507" s="0" t="n">
        <v>399</v>
      </c>
      <c r="V2507" s="0" t="n">
        <v>0</v>
      </c>
      <c r="W2507" s="0" t="str">
        <f aca="false">IF(OR(AND(B2507&gt;=1,B2507&lt;=6),B2507=10),"Vaca em lactação",IF(I2507="Male","Macho",IF(E2507&gt;=1,"Vaca seca",IF(I2507="Youngstock","Bezerra/recria","Novilha"))))</f>
        <v>Novilha</v>
      </c>
      <c r="X2507" s="0" t="str">
        <f aca="false">IF(AND(B2507&gt;=1,B2507&lt;=6),"Tanque",IF(B2507=10,"Descarte",""))</f>
        <v/>
      </c>
    </row>
    <row r="2508" customFormat="false" ht="15" hidden="false" customHeight="false" outlineLevel="0" collapsed="false">
      <c r="A2508" s="22" t="n">
        <v>46309</v>
      </c>
      <c r="B2508" s="0" t="n">
        <v>13</v>
      </c>
      <c r="C2508" s="0" t="n">
        <v>6937</v>
      </c>
      <c r="E2508" s="0" t="n">
        <v>0</v>
      </c>
      <c r="F2508" s="23" t="s">
        <v>1250</v>
      </c>
      <c r="I2508" s="23" t="s">
        <v>109</v>
      </c>
      <c r="U2508" s="0" t="n">
        <v>399</v>
      </c>
      <c r="V2508" s="0" t="n">
        <v>0</v>
      </c>
      <c r="W2508" s="0" t="str">
        <f aca="false">IF(OR(AND(B2508&gt;=1,B2508&lt;=6),B2508=10),"Vaca em lactação",IF(I2508="Male","Macho",IF(E2508&gt;=1,"Vaca seca",IF(I2508="Youngstock","Bezerra/recria","Novilha"))))</f>
        <v>Novilha</v>
      </c>
      <c r="X2508" s="0" t="str">
        <f aca="false">IF(AND(B2508&gt;=1,B2508&lt;=6),"Tanque",IF(B2508=10,"Descarte",""))</f>
        <v/>
      </c>
    </row>
    <row r="2509" customFormat="false" ht="15" hidden="false" customHeight="false" outlineLevel="0" collapsed="false">
      <c r="A2509" s="22" t="n">
        <v>46309</v>
      </c>
      <c r="B2509" s="0" t="n">
        <v>13</v>
      </c>
      <c r="C2509" s="0" t="n">
        <v>6950</v>
      </c>
      <c r="E2509" s="0" t="n">
        <v>0</v>
      </c>
      <c r="F2509" s="23" t="s">
        <v>1251</v>
      </c>
      <c r="I2509" s="23" t="s">
        <v>1249</v>
      </c>
      <c r="U2509" s="0" t="n">
        <v>394</v>
      </c>
      <c r="V2509" s="0" t="n">
        <v>0</v>
      </c>
      <c r="W2509" s="0" t="str">
        <f aca="false">IF(OR(AND(B2509&gt;=1,B2509&lt;=6),B2509=10),"Vaca em lactação",IF(I2509="Male","Macho",IF(E2509&gt;=1,"Vaca seca",IF(I2509="Youngstock","Bezerra/recria","Novilha"))))</f>
        <v>Bezerra/recria</v>
      </c>
      <c r="X2509" s="0" t="str">
        <f aca="false">IF(AND(B2509&gt;=1,B2509&lt;=6),"Tanque",IF(B2509=10,"Descarte",""))</f>
        <v/>
      </c>
    </row>
    <row r="2510" customFormat="false" ht="15" hidden="false" customHeight="false" outlineLevel="0" collapsed="false">
      <c r="A2510" s="22" t="n">
        <v>46309</v>
      </c>
      <c r="B2510" s="0" t="n">
        <v>13</v>
      </c>
      <c r="C2510" s="0" t="n">
        <v>6949</v>
      </c>
      <c r="E2510" s="0" t="n">
        <v>0</v>
      </c>
      <c r="F2510" s="23" t="s">
        <v>1251</v>
      </c>
      <c r="I2510" s="23" t="s">
        <v>1249</v>
      </c>
      <c r="U2510" s="0" t="n">
        <v>394</v>
      </c>
      <c r="V2510" s="0" t="n">
        <v>0</v>
      </c>
      <c r="W2510" s="0" t="str">
        <f aca="false">IF(OR(AND(B2510&gt;=1,B2510&lt;=6),B2510=10),"Vaca em lactação",IF(I2510="Male","Macho",IF(E2510&gt;=1,"Vaca seca",IF(I2510="Youngstock","Bezerra/recria","Novilha"))))</f>
        <v>Bezerra/recria</v>
      </c>
      <c r="X2510" s="0" t="str">
        <f aca="false">IF(AND(B2510&gt;=1,B2510&lt;=6),"Tanque",IF(B2510=10,"Descarte",""))</f>
        <v/>
      </c>
    </row>
    <row r="2511" customFormat="false" ht="15" hidden="false" customHeight="false" outlineLevel="0" collapsed="false">
      <c r="A2511" s="22" t="n">
        <v>46309</v>
      </c>
      <c r="B2511" s="0" t="n">
        <v>13</v>
      </c>
      <c r="C2511" s="0" t="n">
        <v>6954</v>
      </c>
      <c r="E2511" s="0" t="n">
        <v>0</v>
      </c>
      <c r="F2511" s="23" t="s">
        <v>1233</v>
      </c>
      <c r="I2511" s="23" t="s">
        <v>1249</v>
      </c>
      <c r="U2511" s="0" t="n">
        <v>393</v>
      </c>
      <c r="V2511" s="0" t="n">
        <v>0</v>
      </c>
      <c r="W2511" s="0" t="str">
        <f aca="false">IF(OR(AND(B2511&gt;=1,B2511&lt;=6),B2511=10),"Vaca em lactação",IF(I2511="Male","Macho",IF(E2511&gt;=1,"Vaca seca",IF(I2511="Youngstock","Bezerra/recria","Novilha"))))</f>
        <v>Bezerra/recria</v>
      </c>
      <c r="X2511" s="0" t="str">
        <f aca="false">IF(AND(B2511&gt;=1,B2511&lt;=6),"Tanque",IF(B2511=10,"Descarte",""))</f>
        <v/>
      </c>
    </row>
    <row r="2512" customFormat="false" ht="15" hidden="false" customHeight="false" outlineLevel="0" collapsed="false">
      <c r="A2512" s="22" t="n">
        <v>46309</v>
      </c>
      <c r="B2512" s="0" t="n">
        <v>13</v>
      </c>
      <c r="C2512" s="0" t="n">
        <v>6953</v>
      </c>
      <c r="E2512" s="0" t="n">
        <v>0</v>
      </c>
      <c r="F2512" s="23" t="s">
        <v>1233</v>
      </c>
      <c r="I2512" s="23" t="s">
        <v>1249</v>
      </c>
      <c r="U2512" s="0" t="n">
        <v>393</v>
      </c>
      <c r="V2512" s="0" t="n">
        <v>0</v>
      </c>
      <c r="W2512" s="0" t="str">
        <f aca="false">IF(OR(AND(B2512&gt;=1,B2512&lt;=6),B2512=10),"Vaca em lactação",IF(I2512="Male","Macho",IF(E2512&gt;=1,"Vaca seca",IF(I2512="Youngstock","Bezerra/recria","Novilha"))))</f>
        <v>Bezerra/recria</v>
      </c>
      <c r="X2512" s="0" t="str">
        <f aca="false">IF(AND(B2512&gt;=1,B2512&lt;=6),"Tanque",IF(B2512=10,"Descarte",""))</f>
        <v/>
      </c>
    </row>
    <row r="2513" customFormat="false" ht="15" hidden="false" customHeight="false" outlineLevel="0" collapsed="false">
      <c r="A2513" s="22" t="n">
        <v>46309</v>
      </c>
      <c r="B2513" s="0" t="n">
        <v>13</v>
      </c>
      <c r="C2513" s="0" t="n">
        <v>6951</v>
      </c>
      <c r="E2513" s="0" t="n">
        <v>0</v>
      </c>
      <c r="F2513" s="23" t="s">
        <v>1233</v>
      </c>
      <c r="I2513" s="23" t="s">
        <v>1249</v>
      </c>
      <c r="U2513" s="0" t="n">
        <v>393</v>
      </c>
      <c r="V2513" s="0" t="n">
        <v>0</v>
      </c>
      <c r="W2513" s="0" t="str">
        <f aca="false">IF(OR(AND(B2513&gt;=1,B2513&lt;=6),B2513=10),"Vaca em lactação",IF(I2513="Male","Macho",IF(E2513&gt;=1,"Vaca seca",IF(I2513="Youngstock","Bezerra/recria","Novilha"))))</f>
        <v>Bezerra/recria</v>
      </c>
      <c r="X2513" s="0" t="str">
        <f aca="false">IF(AND(B2513&gt;=1,B2513&lt;=6),"Tanque",IF(B2513=10,"Descarte",""))</f>
        <v/>
      </c>
    </row>
    <row r="2514" customFormat="false" ht="15" hidden="false" customHeight="false" outlineLevel="0" collapsed="false">
      <c r="A2514" s="22" t="n">
        <v>46309</v>
      </c>
      <c r="B2514" s="0" t="n">
        <v>13</v>
      </c>
      <c r="C2514" s="0" t="n">
        <v>6944</v>
      </c>
      <c r="E2514" s="0" t="n">
        <v>0</v>
      </c>
      <c r="F2514" s="23" t="s">
        <v>1248</v>
      </c>
      <c r="I2514" s="23" t="s">
        <v>1249</v>
      </c>
      <c r="U2514" s="0" t="n">
        <v>395</v>
      </c>
      <c r="V2514" s="0" t="n">
        <v>0</v>
      </c>
      <c r="W2514" s="0" t="str">
        <f aca="false">IF(OR(AND(B2514&gt;=1,B2514&lt;=6),B2514=10),"Vaca em lactação",IF(I2514="Male","Macho",IF(E2514&gt;=1,"Vaca seca",IF(I2514="Youngstock","Bezerra/recria","Novilha"))))</f>
        <v>Bezerra/recria</v>
      </c>
      <c r="X2514" s="0" t="str">
        <f aca="false">IF(AND(B2514&gt;=1,B2514&lt;=6),"Tanque",IF(B2514=10,"Descarte",""))</f>
        <v/>
      </c>
    </row>
    <row r="2515" customFormat="false" ht="15" hidden="false" customHeight="false" outlineLevel="0" collapsed="false">
      <c r="A2515" s="22" t="n">
        <v>46309</v>
      </c>
      <c r="B2515" s="0" t="n">
        <v>13</v>
      </c>
      <c r="C2515" s="0" t="n">
        <v>6945</v>
      </c>
      <c r="E2515" s="0" t="n">
        <v>0</v>
      </c>
      <c r="F2515" s="23" t="s">
        <v>1248</v>
      </c>
      <c r="I2515" s="23" t="s">
        <v>1249</v>
      </c>
      <c r="U2515" s="0" t="n">
        <v>395</v>
      </c>
      <c r="V2515" s="0" t="n">
        <v>0</v>
      </c>
      <c r="W2515" s="0" t="str">
        <f aca="false">IF(OR(AND(B2515&gt;=1,B2515&lt;=6),B2515=10),"Vaca em lactação",IF(I2515="Male","Macho",IF(E2515&gt;=1,"Vaca seca",IF(I2515="Youngstock","Bezerra/recria","Novilha"))))</f>
        <v>Bezerra/recria</v>
      </c>
      <c r="X2515" s="0" t="str">
        <f aca="false">IF(AND(B2515&gt;=1,B2515&lt;=6),"Tanque",IF(B2515=10,"Descarte",""))</f>
        <v/>
      </c>
    </row>
    <row r="2516" customFormat="false" ht="15" hidden="false" customHeight="false" outlineLevel="0" collapsed="false">
      <c r="A2516" s="22" t="n">
        <v>46309</v>
      </c>
      <c r="B2516" s="0" t="n">
        <v>13</v>
      </c>
      <c r="C2516" s="0" t="n">
        <v>6948</v>
      </c>
      <c r="E2516" s="0" t="n">
        <v>0</v>
      </c>
      <c r="F2516" s="23" t="s">
        <v>1251</v>
      </c>
      <c r="I2516" s="23" t="s">
        <v>1249</v>
      </c>
      <c r="U2516" s="0" t="n">
        <v>394</v>
      </c>
      <c r="V2516" s="0" t="n">
        <v>0</v>
      </c>
      <c r="W2516" s="0" t="str">
        <f aca="false">IF(OR(AND(B2516&gt;=1,B2516&lt;=6),B2516=10),"Vaca em lactação",IF(I2516="Male","Macho",IF(E2516&gt;=1,"Vaca seca",IF(I2516="Youngstock","Bezerra/recria","Novilha"))))</f>
        <v>Bezerra/recria</v>
      </c>
      <c r="X2516" s="0" t="str">
        <f aca="false">IF(AND(B2516&gt;=1,B2516&lt;=6),"Tanque",IF(B2516=10,"Descarte",""))</f>
        <v/>
      </c>
    </row>
    <row r="2517" customFormat="false" ht="15" hidden="false" customHeight="false" outlineLevel="0" collapsed="false">
      <c r="A2517" s="22" t="n">
        <v>46309</v>
      </c>
      <c r="B2517" s="0" t="n">
        <v>13</v>
      </c>
      <c r="C2517" s="0" t="n">
        <v>6947</v>
      </c>
      <c r="E2517" s="0" t="n">
        <v>0</v>
      </c>
      <c r="F2517" s="23" t="s">
        <v>1251</v>
      </c>
      <c r="I2517" s="23" t="s">
        <v>1249</v>
      </c>
      <c r="U2517" s="0" t="n">
        <v>394</v>
      </c>
      <c r="V2517" s="0" t="n">
        <v>0</v>
      </c>
      <c r="W2517" s="0" t="str">
        <f aca="false">IF(OR(AND(B2517&gt;=1,B2517&lt;=6),B2517=10),"Vaca em lactação",IF(I2517="Male","Macho",IF(E2517&gt;=1,"Vaca seca",IF(I2517="Youngstock","Bezerra/recria","Novilha"))))</f>
        <v>Bezerra/recria</v>
      </c>
      <c r="X2517" s="0" t="str">
        <f aca="false">IF(AND(B2517&gt;=1,B2517&lt;=6),"Tanque",IF(B2517=10,"Descarte",""))</f>
        <v/>
      </c>
    </row>
    <row r="2518" customFormat="false" ht="15" hidden="false" customHeight="false" outlineLevel="0" collapsed="false">
      <c r="A2518" s="22" t="n">
        <v>46309</v>
      </c>
      <c r="B2518" s="0" t="n">
        <v>13</v>
      </c>
      <c r="C2518" s="0" t="n">
        <v>6946</v>
      </c>
      <c r="E2518" s="0" t="n">
        <v>0</v>
      </c>
      <c r="F2518" s="23" t="s">
        <v>1248</v>
      </c>
      <c r="I2518" s="23" t="s">
        <v>1249</v>
      </c>
      <c r="U2518" s="0" t="n">
        <v>395</v>
      </c>
      <c r="V2518" s="0" t="n">
        <v>0</v>
      </c>
      <c r="W2518" s="0" t="str">
        <f aca="false">IF(OR(AND(B2518&gt;=1,B2518&lt;=6),B2518=10),"Vaca em lactação",IF(I2518="Male","Macho",IF(E2518&gt;=1,"Vaca seca",IF(I2518="Youngstock","Bezerra/recria","Novilha"))))</f>
        <v>Bezerra/recria</v>
      </c>
      <c r="X2518" s="0" t="str">
        <f aca="false">IF(AND(B2518&gt;=1,B2518&lt;=6),"Tanque",IF(B2518=10,"Descarte",""))</f>
        <v/>
      </c>
    </row>
    <row r="2519" customFormat="false" ht="15" hidden="false" customHeight="false" outlineLevel="0" collapsed="false">
      <c r="A2519" s="22" t="n">
        <v>46309</v>
      </c>
      <c r="B2519" s="0" t="n">
        <v>13</v>
      </c>
      <c r="C2519" s="0" t="n">
        <v>6930</v>
      </c>
      <c r="E2519" s="0" t="n">
        <v>0</v>
      </c>
      <c r="F2519" s="23" t="s">
        <v>1234</v>
      </c>
      <c r="I2519" s="23" t="s">
        <v>109</v>
      </c>
      <c r="U2519" s="0" t="n">
        <v>402</v>
      </c>
      <c r="V2519" s="0" t="n">
        <v>0</v>
      </c>
      <c r="W2519" s="0" t="str">
        <f aca="false">IF(OR(AND(B2519&gt;=1,B2519&lt;=6),B2519=10),"Vaca em lactação",IF(I2519="Male","Macho",IF(E2519&gt;=1,"Vaca seca",IF(I2519="Youngstock","Bezerra/recria","Novilha"))))</f>
        <v>Novilha</v>
      </c>
      <c r="X2519" s="0" t="str">
        <f aca="false">IF(AND(B2519&gt;=1,B2519&lt;=6),"Tanque",IF(B2519=10,"Descarte",""))</f>
        <v/>
      </c>
    </row>
    <row r="2520" customFormat="false" ht="15" hidden="false" customHeight="false" outlineLevel="0" collapsed="false">
      <c r="A2520" s="22" t="n">
        <v>46309</v>
      </c>
      <c r="B2520" s="0" t="n">
        <v>13</v>
      </c>
      <c r="C2520" s="0" t="n">
        <v>6928</v>
      </c>
      <c r="E2520" s="0" t="n">
        <v>0</v>
      </c>
      <c r="F2520" s="23" t="s">
        <v>1234</v>
      </c>
      <c r="I2520" s="23" t="s">
        <v>109</v>
      </c>
      <c r="U2520" s="0" t="n">
        <v>402</v>
      </c>
      <c r="V2520" s="0" t="n">
        <v>0</v>
      </c>
      <c r="W2520" s="0" t="str">
        <f aca="false">IF(OR(AND(B2520&gt;=1,B2520&lt;=6),B2520=10),"Vaca em lactação",IF(I2520="Male","Macho",IF(E2520&gt;=1,"Vaca seca",IF(I2520="Youngstock","Bezerra/recria","Novilha"))))</f>
        <v>Novilha</v>
      </c>
      <c r="X2520" s="0" t="str">
        <f aca="false">IF(AND(B2520&gt;=1,B2520&lt;=6),"Tanque",IF(B2520=10,"Descarte",""))</f>
        <v/>
      </c>
    </row>
    <row r="2521" customFormat="false" ht="15" hidden="false" customHeight="false" outlineLevel="0" collapsed="false">
      <c r="A2521" s="22" t="n">
        <v>46309</v>
      </c>
      <c r="B2521" s="0" t="n">
        <v>13</v>
      </c>
      <c r="C2521" s="0" t="n">
        <v>6927</v>
      </c>
      <c r="E2521" s="0" t="n">
        <v>0</v>
      </c>
      <c r="F2521" s="23" t="s">
        <v>1252</v>
      </c>
      <c r="I2521" s="23" t="s">
        <v>109</v>
      </c>
      <c r="U2521" s="0" t="n">
        <v>403</v>
      </c>
      <c r="V2521" s="0" t="n">
        <v>0</v>
      </c>
      <c r="W2521" s="0" t="str">
        <f aca="false">IF(OR(AND(B2521&gt;=1,B2521&lt;=6),B2521=10),"Vaca em lactação",IF(I2521="Male","Macho",IF(E2521&gt;=1,"Vaca seca",IF(I2521="Youngstock","Bezerra/recria","Novilha"))))</f>
        <v>Novilha</v>
      </c>
      <c r="X2521" s="0" t="str">
        <f aca="false">IF(AND(B2521&gt;=1,B2521&lt;=6),"Tanque",IF(B2521=10,"Descarte",""))</f>
        <v/>
      </c>
    </row>
    <row r="2522" customFormat="false" ht="15" hidden="false" customHeight="false" outlineLevel="0" collapsed="false">
      <c r="A2522" s="22" t="n">
        <v>46309</v>
      </c>
      <c r="B2522" s="0" t="n">
        <v>13</v>
      </c>
      <c r="C2522" s="0" t="n">
        <v>6931</v>
      </c>
      <c r="E2522" s="0" t="n">
        <v>0</v>
      </c>
      <c r="F2522" s="23" t="s">
        <v>1235</v>
      </c>
      <c r="I2522" s="23" t="s">
        <v>109</v>
      </c>
      <c r="U2522" s="0" t="n">
        <v>401</v>
      </c>
      <c r="V2522" s="0" t="n">
        <v>0</v>
      </c>
      <c r="W2522" s="0" t="str">
        <f aca="false">IF(OR(AND(B2522&gt;=1,B2522&lt;=6),B2522=10),"Vaca em lactação",IF(I2522="Male","Macho",IF(E2522&gt;=1,"Vaca seca",IF(I2522="Youngstock","Bezerra/recria","Novilha"))))</f>
        <v>Novilha</v>
      </c>
      <c r="X2522" s="0" t="str">
        <f aca="false">IF(AND(B2522&gt;=1,B2522&lt;=6),"Tanque",IF(B2522=10,"Descarte",""))</f>
        <v/>
      </c>
    </row>
    <row r="2523" customFormat="false" ht="15" hidden="false" customHeight="false" outlineLevel="0" collapsed="false">
      <c r="A2523" s="22" t="n">
        <v>46309</v>
      </c>
      <c r="B2523" s="0" t="n">
        <v>13</v>
      </c>
      <c r="C2523" s="0" t="n">
        <v>6933</v>
      </c>
      <c r="E2523" s="0" t="n">
        <v>0</v>
      </c>
      <c r="F2523" s="23" t="s">
        <v>1236</v>
      </c>
      <c r="I2523" s="23" t="s">
        <v>109</v>
      </c>
      <c r="U2523" s="0" t="n">
        <v>400</v>
      </c>
      <c r="V2523" s="0" t="n">
        <v>0</v>
      </c>
      <c r="W2523" s="0" t="str">
        <f aca="false">IF(OR(AND(B2523&gt;=1,B2523&lt;=6),B2523=10),"Vaca em lactação",IF(I2523="Male","Macho",IF(E2523&gt;=1,"Vaca seca",IF(I2523="Youngstock","Bezerra/recria","Novilha"))))</f>
        <v>Novilha</v>
      </c>
      <c r="X2523" s="0" t="str">
        <f aca="false">IF(AND(B2523&gt;=1,B2523&lt;=6),"Tanque",IF(B2523=10,"Descarte",""))</f>
        <v/>
      </c>
    </row>
    <row r="2524" customFormat="false" ht="15" hidden="false" customHeight="false" outlineLevel="0" collapsed="false">
      <c r="A2524" s="22" t="n">
        <v>46309</v>
      </c>
      <c r="B2524" s="0" t="n">
        <v>13</v>
      </c>
      <c r="C2524" s="0" t="n">
        <v>6935</v>
      </c>
      <c r="E2524" s="0" t="n">
        <v>0</v>
      </c>
      <c r="F2524" s="23" t="s">
        <v>1236</v>
      </c>
      <c r="I2524" s="23" t="s">
        <v>109</v>
      </c>
      <c r="U2524" s="0" t="n">
        <v>400</v>
      </c>
      <c r="V2524" s="0" t="n">
        <v>0</v>
      </c>
      <c r="W2524" s="0" t="str">
        <f aca="false">IF(OR(AND(B2524&gt;=1,B2524&lt;=6),B2524=10),"Vaca em lactação",IF(I2524="Male","Macho",IF(E2524&gt;=1,"Vaca seca",IF(I2524="Youngstock","Bezerra/recria","Novilha"))))</f>
        <v>Novilha</v>
      </c>
      <c r="X2524" s="0" t="str">
        <f aca="false">IF(AND(B2524&gt;=1,B2524&lt;=6),"Tanque",IF(B2524=10,"Descarte",""))</f>
        <v/>
      </c>
    </row>
    <row r="2525" customFormat="false" ht="15" hidden="false" customHeight="false" outlineLevel="0" collapsed="false">
      <c r="A2525" s="22" t="n">
        <v>46309</v>
      </c>
      <c r="B2525" s="0" t="n">
        <v>13</v>
      </c>
      <c r="C2525" s="0" t="n">
        <v>6920</v>
      </c>
      <c r="E2525" s="0" t="n">
        <v>0</v>
      </c>
      <c r="F2525" s="23" t="s">
        <v>1237</v>
      </c>
      <c r="I2525" s="23" t="s">
        <v>109</v>
      </c>
      <c r="U2525" s="0" t="n">
        <v>406</v>
      </c>
      <c r="V2525" s="0" t="n">
        <v>0</v>
      </c>
      <c r="W2525" s="0" t="str">
        <f aca="false">IF(OR(AND(B2525&gt;=1,B2525&lt;=6),B2525=10),"Vaca em lactação",IF(I2525="Male","Macho",IF(E2525&gt;=1,"Vaca seca",IF(I2525="Youngstock","Bezerra/recria","Novilha"))))</f>
        <v>Novilha</v>
      </c>
      <c r="X2525" s="0" t="str">
        <f aca="false">IF(AND(B2525&gt;=1,B2525&lt;=6),"Tanque",IF(B2525=10,"Descarte",""))</f>
        <v/>
      </c>
    </row>
    <row r="2526" customFormat="false" ht="15" hidden="false" customHeight="false" outlineLevel="0" collapsed="false">
      <c r="A2526" s="22" t="n">
        <v>46309</v>
      </c>
      <c r="B2526" s="0" t="n">
        <v>13</v>
      </c>
      <c r="C2526" s="0" t="n">
        <v>6918</v>
      </c>
      <c r="E2526" s="0" t="n">
        <v>0</v>
      </c>
      <c r="F2526" s="23" t="s">
        <v>1245</v>
      </c>
      <c r="I2526" s="23" t="s">
        <v>109</v>
      </c>
      <c r="U2526" s="0" t="n">
        <v>409</v>
      </c>
      <c r="V2526" s="0" t="n">
        <v>0</v>
      </c>
      <c r="W2526" s="0" t="str">
        <f aca="false">IF(OR(AND(B2526&gt;=1,B2526&lt;=6),B2526=10),"Vaca em lactação",IF(I2526="Male","Macho",IF(E2526&gt;=1,"Vaca seca",IF(I2526="Youngstock","Bezerra/recria","Novilha"))))</f>
        <v>Novilha</v>
      </c>
      <c r="X2526" s="0" t="str">
        <f aca="false">IF(AND(B2526&gt;=1,B2526&lt;=6),"Tanque",IF(B2526=10,"Descarte",""))</f>
        <v/>
      </c>
    </row>
    <row r="2527" customFormat="false" ht="15" hidden="false" customHeight="false" outlineLevel="0" collapsed="false">
      <c r="A2527" s="22" t="n">
        <v>46309</v>
      </c>
      <c r="B2527" s="0" t="n">
        <v>13</v>
      </c>
      <c r="C2527" s="0" t="n">
        <v>6922</v>
      </c>
      <c r="E2527" s="0" t="n">
        <v>0</v>
      </c>
      <c r="F2527" s="23" t="s">
        <v>1237</v>
      </c>
      <c r="I2527" s="23" t="s">
        <v>109</v>
      </c>
      <c r="U2527" s="0" t="n">
        <v>406</v>
      </c>
      <c r="V2527" s="0" t="n">
        <v>0</v>
      </c>
      <c r="W2527" s="0" t="str">
        <f aca="false">IF(OR(AND(B2527&gt;=1,B2527&lt;=6),B2527=10),"Vaca em lactação",IF(I2527="Male","Macho",IF(E2527&gt;=1,"Vaca seca",IF(I2527="Youngstock","Bezerra/recria","Novilha"))))</f>
        <v>Novilha</v>
      </c>
      <c r="X2527" s="0" t="str">
        <f aca="false">IF(AND(B2527&gt;=1,B2527&lt;=6),"Tanque",IF(B2527=10,"Descarte",""))</f>
        <v/>
      </c>
    </row>
    <row r="2528" customFormat="false" ht="15" hidden="false" customHeight="false" outlineLevel="0" collapsed="false">
      <c r="A2528" s="22" t="n">
        <v>46309</v>
      </c>
      <c r="B2528" s="0" t="n">
        <v>13</v>
      </c>
      <c r="C2528" s="0" t="n">
        <v>6923</v>
      </c>
      <c r="E2528" s="0" t="n">
        <v>0</v>
      </c>
      <c r="F2528" s="23" t="s">
        <v>1237</v>
      </c>
      <c r="I2528" s="23" t="s">
        <v>109</v>
      </c>
      <c r="U2528" s="0" t="n">
        <v>406</v>
      </c>
      <c r="V2528" s="0" t="n">
        <v>0</v>
      </c>
      <c r="W2528" s="0" t="str">
        <f aca="false">IF(OR(AND(B2528&gt;=1,B2528&lt;=6),B2528=10),"Vaca em lactação",IF(I2528="Male","Macho",IF(E2528&gt;=1,"Vaca seca",IF(I2528="Youngstock","Bezerra/recria","Novilha"))))</f>
        <v>Novilha</v>
      </c>
      <c r="X2528" s="0" t="str">
        <f aca="false">IF(AND(B2528&gt;=1,B2528&lt;=6),"Tanque",IF(B2528=10,"Descarte",""))</f>
        <v/>
      </c>
    </row>
    <row r="2529" customFormat="false" ht="15" hidden="false" customHeight="false" outlineLevel="0" collapsed="false">
      <c r="A2529" s="22" t="n">
        <v>46309</v>
      </c>
      <c r="B2529" s="0" t="n">
        <v>13</v>
      </c>
      <c r="C2529" s="0" t="n">
        <v>6896</v>
      </c>
      <c r="E2529" s="0" t="n">
        <v>0</v>
      </c>
      <c r="F2529" s="23" t="s">
        <v>1223</v>
      </c>
      <c r="I2529" s="23" t="s">
        <v>109</v>
      </c>
      <c r="U2529" s="0" t="n">
        <v>415</v>
      </c>
      <c r="V2529" s="0" t="n">
        <v>0</v>
      </c>
      <c r="W2529" s="0" t="str">
        <f aca="false">IF(OR(AND(B2529&gt;=1,B2529&lt;=6),B2529=10),"Vaca em lactação",IF(I2529="Male","Macho",IF(E2529&gt;=1,"Vaca seca",IF(I2529="Youngstock","Bezerra/recria","Novilha"))))</f>
        <v>Novilha</v>
      </c>
      <c r="X2529" s="0" t="str">
        <f aca="false">IF(AND(B2529&gt;=1,B2529&lt;=6),"Tanque",IF(B2529=10,"Descarte",""))</f>
        <v/>
      </c>
    </row>
    <row r="2530" customFormat="false" ht="15" hidden="false" customHeight="false" outlineLevel="0" collapsed="false">
      <c r="A2530" s="22" t="n">
        <v>46309</v>
      </c>
      <c r="B2530" s="0" t="n">
        <v>13</v>
      </c>
      <c r="C2530" s="0" t="n">
        <v>6894</v>
      </c>
      <c r="E2530" s="0" t="n">
        <v>0</v>
      </c>
      <c r="F2530" s="23" t="s">
        <v>1223</v>
      </c>
      <c r="I2530" s="23" t="s">
        <v>109</v>
      </c>
      <c r="U2530" s="0" t="n">
        <v>415</v>
      </c>
      <c r="V2530" s="0" t="n">
        <v>0</v>
      </c>
      <c r="W2530" s="0" t="str">
        <f aca="false">IF(OR(AND(B2530&gt;=1,B2530&lt;=6),B2530=10),"Vaca em lactação",IF(I2530="Male","Macho",IF(E2530&gt;=1,"Vaca seca",IF(I2530="Youngstock","Bezerra/recria","Novilha"))))</f>
        <v>Novilha</v>
      </c>
      <c r="X2530" s="0" t="str">
        <f aca="false">IF(AND(B2530&gt;=1,B2530&lt;=6),"Tanque",IF(B2530=10,"Descarte",""))</f>
        <v/>
      </c>
    </row>
    <row r="2531" customFormat="false" ht="15" hidden="false" customHeight="false" outlineLevel="0" collapsed="false">
      <c r="A2531" s="22" t="n">
        <v>46309</v>
      </c>
      <c r="B2531" s="0" t="n">
        <v>13</v>
      </c>
      <c r="C2531" s="0" t="n">
        <v>6902</v>
      </c>
      <c r="E2531" s="0" t="n">
        <v>0</v>
      </c>
      <c r="F2531" s="23" t="s">
        <v>1241</v>
      </c>
      <c r="I2531" s="23" t="s">
        <v>109</v>
      </c>
      <c r="U2531" s="0" t="n">
        <v>413</v>
      </c>
      <c r="V2531" s="0" t="n">
        <v>0</v>
      </c>
      <c r="W2531" s="0" t="str">
        <f aca="false">IF(OR(AND(B2531&gt;=1,B2531&lt;=6),B2531=10),"Vaca em lactação",IF(I2531="Male","Macho",IF(E2531&gt;=1,"Vaca seca",IF(I2531="Youngstock","Bezerra/recria","Novilha"))))</f>
        <v>Novilha</v>
      </c>
      <c r="X2531" s="0" t="str">
        <f aca="false">IF(AND(B2531&gt;=1,B2531&lt;=6),"Tanque",IF(B2531=10,"Descarte",""))</f>
        <v/>
      </c>
    </row>
    <row r="2532" customFormat="false" ht="15" hidden="false" customHeight="false" outlineLevel="0" collapsed="false">
      <c r="A2532" s="22" t="n">
        <v>46309</v>
      </c>
      <c r="B2532" s="0" t="n">
        <v>13</v>
      </c>
      <c r="C2532" s="0" t="n">
        <v>6905</v>
      </c>
      <c r="E2532" s="0" t="n">
        <v>0</v>
      </c>
      <c r="F2532" s="23" t="s">
        <v>1242</v>
      </c>
      <c r="I2532" s="23" t="s">
        <v>109</v>
      </c>
      <c r="U2532" s="0" t="n">
        <v>412</v>
      </c>
      <c r="V2532" s="0" t="n">
        <v>0</v>
      </c>
      <c r="W2532" s="0" t="str">
        <f aca="false">IF(OR(AND(B2532&gt;=1,B2532&lt;=6),B2532=10),"Vaca em lactação",IF(I2532="Male","Macho",IF(E2532&gt;=1,"Vaca seca",IF(I2532="Youngstock","Bezerra/recria","Novilha"))))</f>
        <v>Novilha</v>
      </c>
      <c r="X2532" s="0" t="str">
        <f aca="false">IF(AND(B2532&gt;=1,B2532&lt;=6),"Tanque",IF(B2532=10,"Descarte",""))</f>
        <v/>
      </c>
    </row>
    <row r="2533" customFormat="false" ht="15" hidden="false" customHeight="false" outlineLevel="0" collapsed="false">
      <c r="A2533" s="22" t="n">
        <v>46309</v>
      </c>
      <c r="B2533" s="0" t="n">
        <v>13</v>
      </c>
      <c r="C2533" s="0" t="n">
        <v>6904</v>
      </c>
      <c r="E2533" s="0" t="n">
        <v>0</v>
      </c>
      <c r="F2533" s="23" t="s">
        <v>1242</v>
      </c>
      <c r="I2533" s="23" t="s">
        <v>109</v>
      </c>
      <c r="U2533" s="0" t="n">
        <v>412</v>
      </c>
      <c r="V2533" s="0" t="n">
        <v>0</v>
      </c>
      <c r="W2533" s="0" t="str">
        <f aca="false">IF(OR(AND(B2533&gt;=1,B2533&lt;=6),B2533=10),"Vaca em lactação",IF(I2533="Male","Macho",IF(E2533&gt;=1,"Vaca seca",IF(I2533="Youngstock","Bezerra/recria","Novilha"))))</f>
        <v>Novilha</v>
      </c>
      <c r="X2533" s="0" t="str">
        <f aca="false">IF(AND(B2533&gt;=1,B2533&lt;=6),"Tanque",IF(B2533=10,"Descarte",""))</f>
        <v/>
      </c>
    </row>
    <row r="2534" customFormat="false" ht="15" hidden="false" customHeight="false" outlineLevel="0" collapsed="false">
      <c r="A2534" s="22" t="n">
        <v>46309</v>
      </c>
      <c r="B2534" s="0" t="n">
        <v>13</v>
      </c>
      <c r="C2534" s="0" t="n">
        <v>6913</v>
      </c>
      <c r="E2534" s="0" t="n">
        <v>0</v>
      </c>
      <c r="F2534" s="23" t="s">
        <v>1243</v>
      </c>
      <c r="I2534" s="23" t="s">
        <v>109</v>
      </c>
      <c r="U2534" s="0" t="n">
        <v>410</v>
      </c>
      <c r="V2534" s="0" t="n">
        <v>0</v>
      </c>
      <c r="W2534" s="0" t="str">
        <f aca="false">IF(OR(AND(B2534&gt;=1,B2534&lt;=6),B2534=10),"Vaca em lactação",IF(I2534="Male","Macho",IF(E2534&gt;=1,"Vaca seca",IF(I2534="Youngstock","Bezerra/recria","Novilha"))))</f>
        <v>Novilha</v>
      </c>
      <c r="X2534" s="0" t="str">
        <f aca="false">IF(AND(B2534&gt;=1,B2534&lt;=6),"Tanque",IF(B2534=10,"Descarte",""))</f>
        <v/>
      </c>
    </row>
    <row r="2535" customFormat="false" ht="15" hidden="false" customHeight="false" outlineLevel="0" collapsed="false">
      <c r="A2535" s="22" t="n">
        <v>46309</v>
      </c>
      <c r="B2535" s="0" t="n">
        <v>13</v>
      </c>
      <c r="C2535" s="0" t="n">
        <v>6910</v>
      </c>
      <c r="E2535" s="0" t="n">
        <v>0</v>
      </c>
      <c r="F2535" s="23" t="s">
        <v>1243</v>
      </c>
      <c r="I2535" s="23" t="s">
        <v>109</v>
      </c>
      <c r="U2535" s="0" t="n">
        <v>410</v>
      </c>
      <c r="V2535" s="0" t="n">
        <v>0</v>
      </c>
      <c r="W2535" s="0" t="str">
        <f aca="false">IF(OR(AND(B2535&gt;=1,B2535&lt;=6),B2535=10),"Vaca em lactação",IF(I2535="Male","Macho",IF(E2535&gt;=1,"Vaca seca",IF(I2535="Youngstock","Bezerra/recria","Novilha"))))</f>
        <v>Novilha</v>
      </c>
      <c r="X2535" s="0" t="str">
        <f aca="false">IF(AND(B2535&gt;=1,B2535&lt;=6),"Tanque",IF(B2535=10,"Descarte",""))</f>
        <v/>
      </c>
    </row>
    <row r="2536" customFormat="false" ht="15" hidden="false" customHeight="false" outlineLevel="0" collapsed="false">
      <c r="A2536" s="22" t="n">
        <v>46309</v>
      </c>
      <c r="B2536" s="0" t="n">
        <v>13</v>
      </c>
      <c r="C2536" s="0" t="n">
        <v>6909</v>
      </c>
      <c r="E2536" s="0" t="n">
        <v>0</v>
      </c>
      <c r="F2536" s="23" t="s">
        <v>1244</v>
      </c>
      <c r="I2536" s="23" t="s">
        <v>109</v>
      </c>
      <c r="U2536" s="0" t="n">
        <v>411</v>
      </c>
      <c r="V2536" s="0" t="n">
        <v>0</v>
      </c>
      <c r="W2536" s="0" t="str">
        <f aca="false">IF(OR(AND(B2536&gt;=1,B2536&lt;=6),B2536=10),"Vaca em lactação",IF(I2536="Male","Macho",IF(E2536&gt;=1,"Vaca seca",IF(I2536="Youngstock","Bezerra/recria","Novilha"))))</f>
        <v>Novilha</v>
      </c>
      <c r="X2536" s="0" t="str">
        <f aca="false">IF(AND(B2536&gt;=1,B2536&lt;=6),"Tanque",IF(B2536=10,"Descarte",""))</f>
        <v/>
      </c>
    </row>
    <row r="2537" customFormat="false" ht="15" hidden="false" customHeight="false" outlineLevel="0" collapsed="false">
      <c r="A2537" s="22" t="n">
        <v>46309</v>
      </c>
      <c r="B2537" s="0" t="n">
        <v>13</v>
      </c>
      <c r="C2537" s="0" t="n">
        <v>6914</v>
      </c>
      <c r="E2537" s="0" t="n">
        <v>0</v>
      </c>
      <c r="F2537" s="23" t="s">
        <v>1243</v>
      </c>
      <c r="I2537" s="23" t="s">
        <v>109</v>
      </c>
      <c r="U2537" s="0" t="n">
        <v>410</v>
      </c>
      <c r="V2537" s="0" t="n">
        <v>0</v>
      </c>
      <c r="W2537" s="0" t="str">
        <f aca="false">IF(OR(AND(B2537&gt;=1,B2537&lt;=6),B2537=10),"Vaca em lactação",IF(I2537="Male","Macho",IF(E2537&gt;=1,"Vaca seca",IF(I2537="Youngstock","Bezerra/recria","Novilha"))))</f>
        <v>Novilha</v>
      </c>
      <c r="X2537" s="0" t="str">
        <f aca="false">IF(AND(B2537&gt;=1,B2537&lt;=6),"Tanque",IF(B2537=10,"Descarte",""))</f>
        <v/>
      </c>
    </row>
    <row r="2538" customFormat="false" ht="15" hidden="false" customHeight="false" outlineLevel="0" collapsed="false">
      <c r="A2538" s="22" t="n">
        <v>46309</v>
      </c>
      <c r="B2538" s="0" t="n">
        <v>13</v>
      </c>
      <c r="C2538" s="0" t="n">
        <v>6915</v>
      </c>
      <c r="E2538" s="0" t="n">
        <v>0</v>
      </c>
      <c r="F2538" s="23" t="s">
        <v>1245</v>
      </c>
      <c r="I2538" s="23" t="s">
        <v>109</v>
      </c>
      <c r="U2538" s="0" t="n">
        <v>409</v>
      </c>
      <c r="V2538" s="0" t="n">
        <v>0</v>
      </c>
      <c r="W2538" s="0" t="str">
        <f aca="false">IF(OR(AND(B2538&gt;=1,B2538&lt;=6),B2538=10),"Vaca em lactação",IF(I2538="Male","Macho",IF(E2538&gt;=1,"Vaca seca",IF(I2538="Youngstock","Bezerra/recria","Novilha"))))</f>
        <v>Novilha</v>
      </c>
      <c r="X2538" s="0" t="str">
        <f aca="false">IF(AND(B2538&gt;=1,B2538&lt;=6),"Tanque",IF(B2538=10,"Descarte",""))</f>
        <v/>
      </c>
    </row>
    <row r="2539" customFormat="false" ht="15" hidden="false" customHeight="false" outlineLevel="0" collapsed="false">
      <c r="A2539" s="22" t="n">
        <v>46309</v>
      </c>
      <c r="B2539" s="0" t="n">
        <v>13</v>
      </c>
      <c r="C2539" s="0" t="n">
        <v>7018</v>
      </c>
      <c r="E2539" s="0" t="n">
        <v>0</v>
      </c>
      <c r="F2539" s="23" t="s">
        <v>1253</v>
      </c>
      <c r="I2539" s="23" t="s">
        <v>1249</v>
      </c>
      <c r="U2539" s="0" t="n">
        <v>373</v>
      </c>
      <c r="V2539" s="0" t="n">
        <v>0</v>
      </c>
      <c r="W2539" s="0" t="str">
        <f aca="false">IF(OR(AND(B2539&gt;=1,B2539&lt;=6),B2539=10),"Vaca em lactação",IF(I2539="Male","Macho",IF(E2539&gt;=1,"Vaca seca",IF(I2539="Youngstock","Bezerra/recria","Novilha"))))</f>
        <v>Bezerra/recria</v>
      </c>
      <c r="X2539" s="0" t="str">
        <f aca="false">IF(AND(B2539&gt;=1,B2539&lt;=6),"Tanque",IF(B2539=10,"Descarte",""))</f>
        <v/>
      </c>
    </row>
    <row r="2540" customFormat="false" ht="15" hidden="false" customHeight="false" outlineLevel="0" collapsed="false">
      <c r="A2540" s="22" t="n">
        <v>46309</v>
      </c>
      <c r="B2540" s="0" t="n">
        <v>13</v>
      </c>
      <c r="C2540" s="0" t="n">
        <v>7021</v>
      </c>
      <c r="E2540" s="0" t="n">
        <v>0</v>
      </c>
      <c r="F2540" s="23" t="s">
        <v>1253</v>
      </c>
      <c r="I2540" s="23" t="s">
        <v>1249</v>
      </c>
      <c r="U2540" s="0" t="n">
        <v>373</v>
      </c>
      <c r="V2540" s="0" t="n">
        <v>0</v>
      </c>
      <c r="W2540" s="0" t="str">
        <f aca="false">IF(OR(AND(B2540&gt;=1,B2540&lt;=6),B2540=10),"Vaca em lactação",IF(I2540="Male","Macho",IF(E2540&gt;=1,"Vaca seca",IF(I2540="Youngstock","Bezerra/recria","Novilha"))))</f>
        <v>Bezerra/recria</v>
      </c>
      <c r="X2540" s="0" t="str">
        <f aca="false">IF(AND(B2540&gt;=1,B2540&lt;=6),"Tanque",IF(B2540=10,"Descarte",""))</f>
        <v/>
      </c>
    </row>
    <row r="2541" customFormat="false" ht="15" hidden="false" customHeight="false" outlineLevel="0" collapsed="false">
      <c r="A2541" s="22" t="n">
        <v>46309</v>
      </c>
      <c r="B2541" s="0" t="n">
        <v>13</v>
      </c>
      <c r="C2541" s="0" t="n">
        <v>7020</v>
      </c>
      <c r="E2541" s="0" t="n">
        <v>0</v>
      </c>
      <c r="F2541" s="23" t="s">
        <v>1253</v>
      </c>
      <c r="I2541" s="23" t="s">
        <v>1249</v>
      </c>
      <c r="U2541" s="0" t="n">
        <v>373</v>
      </c>
      <c r="V2541" s="0" t="n">
        <v>0</v>
      </c>
      <c r="W2541" s="0" t="str">
        <f aca="false">IF(OR(AND(B2541&gt;=1,B2541&lt;=6),B2541=10),"Vaca em lactação",IF(I2541="Male","Macho",IF(E2541&gt;=1,"Vaca seca",IF(I2541="Youngstock","Bezerra/recria","Novilha"))))</f>
        <v>Bezerra/recria</v>
      </c>
      <c r="X2541" s="0" t="str">
        <f aca="false">IF(AND(B2541&gt;=1,B2541&lt;=6),"Tanque",IF(B2541=10,"Descarte",""))</f>
        <v/>
      </c>
    </row>
    <row r="2542" customFormat="false" ht="15" hidden="false" customHeight="false" outlineLevel="0" collapsed="false">
      <c r="A2542" s="22" t="n">
        <v>46309</v>
      </c>
      <c r="B2542" s="0" t="n">
        <v>13</v>
      </c>
      <c r="C2542" s="0" t="n">
        <v>7019</v>
      </c>
      <c r="E2542" s="0" t="n">
        <v>0</v>
      </c>
      <c r="F2542" s="23" t="s">
        <v>1253</v>
      </c>
      <c r="I2542" s="23" t="s">
        <v>1249</v>
      </c>
      <c r="U2542" s="0" t="n">
        <v>373</v>
      </c>
      <c r="V2542" s="0" t="n">
        <v>0</v>
      </c>
      <c r="W2542" s="0" t="str">
        <f aca="false">IF(OR(AND(B2542&gt;=1,B2542&lt;=6),B2542=10),"Vaca em lactação",IF(I2542="Male","Macho",IF(E2542&gt;=1,"Vaca seca",IF(I2542="Youngstock","Bezerra/recria","Novilha"))))</f>
        <v>Bezerra/recria</v>
      </c>
      <c r="X2542" s="0" t="str">
        <f aca="false">IF(AND(B2542&gt;=1,B2542&lt;=6),"Tanque",IF(B2542=10,"Descarte",""))</f>
        <v/>
      </c>
    </row>
    <row r="2543" customFormat="false" ht="15" hidden="false" customHeight="false" outlineLevel="0" collapsed="false">
      <c r="A2543" s="22" t="n">
        <v>46309</v>
      </c>
      <c r="B2543" s="0" t="n">
        <v>13</v>
      </c>
      <c r="C2543" s="0" t="n">
        <v>7022</v>
      </c>
      <c r="E2543" s="0" t="n">
        <v>0</v>
      </c>
      <c r="F2543" s="23" t="s">
        <v>1253</v>
      </c>
      <c r="I2543" s="23" t="s">
        <v>1249</v>
      </c>
      <c r="U2543" s="0" t="n">
        <v>373</v>
      </c>
      <c r="V2543" s="0" t="n">
        <v>0</v>
      </c>
      <c r="W2543" s="0" t="str">
        <f aca="false">IF(OR(AND(B2543&gt;=1,B2543&lt;=6),B2543=10),"Vaca em lactação",IF(I2543="Male","Macho",IF(E2543&gt;=1,"Vaca seca",IF(I2543="Youngstock","Bezerra/recria","Novilha"))))</f>
        <v>Bezerra/recria</v>
      </c>
      <c r="X2543" s="0" t="str">
        <f aca="false">IF(AND(B2543&gt;=1,B2543&lt;=6),"Tanque",IF(B2543=10,"Descarte",""))</f>
        <v/>
      </c>
    </row>
    <row r="2544" customFormat="false" ht="15" hidden="false" customHeight="false" outlineLevel="0" collapsed="false">
      <c r="A2544" s="22" t="n">
        <v>46309</v>
      </c>
      <c r="B2544" s="0" t="n">
        <v>13</v>
      </c>
      <c r="C2544" s="0" t="n">
        <v>7025</v>
      </c>
      <c r="E2544" s="0" t="n">
        <v>0</v>
      </c>
      <c r="F2544" s="23" t="s">
        <v>1254</v>
      </c>
      <c r="I2544" s="23" t="s">
        <v>1249</v>
      </c>
      <c r="U2544" s="0" t="n">
        <v>372</v>
      </c>
      <c r="V2544" s="0" t="n">
        <v>0</v>
      </c>
      <c r="W2544" s="0" t="str">
        <f aca="false">IF(OR(AND(B2544&gt;=1,B2544&lt;=6),B2544=10),"Vaca em lactação",IF(I2544="Male","Macho",IF(E2544&gt;=1,"Vaca seca",IF(I2544="Youngstock","Bezerra/recria","Novilha"))))</f>
        <v>Bezerra/recria</v>
      </c>
      <c r="X2544" s="0" t="str">
        <f aca="false">IF(AND(B2544&gt;=1,B2544&lt;=6),"Tanque",IF(B2544=10,"Descarte",""))</f>
        <v/>
      </c>
    </row>
    <row r="2545" customFormat="false" ht="15" hidden="false" customHeight="false" outlineLevel="0" collapsed="false">
      <c r="A2545" s="22" t="n">
        <v>46309</v>
      </c>
      <c r="B2545" s="0" t="n">
        <v>13</v>
      </c>
      <c r="C2545" s="0" t="n">
        <v>7024</v>
      </c>
      <c r="E2545" s="0" t="n">
        <v>0</v>
      </c>
      <c r="F2545" s="23" t="s">
        <v>1254</v>
      </c>
      <c r="I2545" s="23" t="s">
        <v>1249</v>
      </c>
      <c r="U2545" s="0" t="n">
        <v>372</v>
      </c>
      <c r="V2545" s="0" t="n">
        <v>0</v>
      </c>
      <c r="W2545" s="0" t="str">
        <f aca="false">IF(OR(AND(B2545&gt;=1,B2545&lt;=6),B2545=10),"Vaca em lactação",IF(I2545="Male","Macho",IF(E2545&gt;=1,"Vaca seca",IF(I2545="Youngstock","Bezerra/recria","Novilha"))))</f>
        <v>Bezerra/recria</v>
      </c>
      <c r="X2545" s="0" t="str">
        <f aca="false">IF(AND(B2545&gt;=1,B2545&lt;=6),"Tanque",IF(B2545=10,"Descarte",""))</f>
        <v/>
      </c>
    </row>
    <row r="2546" customFormat="false" ht="15" hidden="false" customHeight="false" outlineLevel="0" collapsed="false">
      <c r="A2546" s="22" t="n">
        <v>46309</v>
      </c>
      <c r="B2546" s="0" t="n">
        <v>13</v>
      </c>
      <c r="C2546" s="0" t="n">
        <v>7023</v>
      </c>
      <c r="E2546" s="0" t="n">
        <v>0</v>
      </c>
      <c r="F2546" s="23" t="s">
        <v>1255</v>
      </c>
      <c r="I2546" s="23" t="s">
        <v>1249</v>
      </c>
      <c r="U2546" s="0" t="n">
        <v>371</v>
      </c>
      <c r="V2546" s="0" t="n">
        <v>0</v>
      </c>
      <c r="W2546" s="0" t="str">
        <f aca="false">IF(OR(AND(B2546&gt;=1,B2546&lt;=6),B2546=10),"Vaca em lactação",IF(I2546="Male","Macho",IF(E2546&gt;=1,"Vaca seca",IF(I2546="Youngstock","Bezerra/recria","Novilha"))))</f>
        <v>Bezerra/recria</v>
      </c>
      <c r="X2546" s="0" t="str">
        <f aca="false">IF(AND(B2546&gt;=1,B2546&lt;=6),"Tanque",IF(B2546=10,"Descarte",""))</f>
        <v/>
      </c>
    </row>
    <row r="2547" customFormat="false" ht="15" hidden="false" customHeight="false" outlineLevel="0" collapsed="false">
      <c r="A2547" s="22" t="n">
        <v>46309</v>
      </c>
      <c r="B2547" s="0" t="n">
        <v>13</v>
      </c>
      <c r="C2547" s="0" t="n">
        <v>7033</v>
      </c>
      <c r="E2547" s="0" t="n">
        <v>0</v>
      </c>
      <c r="F2547" s="23" t="s">
        <v>1256</v>
      </c>
      <c r="I2547" s="23" t="s">
        <v>1249</v>
      </c>
      <c r="U2547" s="0" t="n">
        <v>369</v>
      </c>
      <c r="V2547" s="0" t="n">
        <v>0</v>
      </c>
      <c r="W2547" s="0" t="str">
        <f aca="false">IF(OR(AND(B2547&gt;=1,B2547&lt;=6),B2547=10),"Vaca em lactação",IF(I2547="Male","Macho",IF(E2547&gt;=1,"Vaca seca",IF(I2547="Youngstock","Bezerra/recria","Novilha"))))</f>
        <v>Bezerra/recria</v>
      </c>
      <c r="X2547" s="0" t="str">
        <f aca="false">IF(AND(B2547&gt;=1,B2547&lt;=6),"Tanque",IF(B2547=10,"Descarte",""))</f>
        <v/>
      </c>
    </row>
    <row r="2548" customFormat="false" ht="15" hidden="false" customHeight="false" outlineLevel="0" collapsed="false">
      <c r="A2548" s="22" t="n">
        <v>46309</v>
      </c>
      <c r="B2548" s="0" t="n">
        <v>13</v>
      </c>
      <c r="C2548" s="0" t="n">
        <v>7028</v>
      </c>
      <c r="E2548" s="0" t="n">
        <v>0</v>
      </c>
      <c r="F2548" s="23" t="s">
        <v>1257</v>
      </c>
      <c r="I2548" s="23" t="s">
        <v>1249</v>
      </c>
      <c r="U2548" s="0" t="n">
        <v>370</v>
      </c>
      <c r="V2548" s="0" t="n">
        <v>0</v>
      </c>
      <c r="W2548" s="0" t="str">
        <f aca="false">IF(OR(AND(B2548&gt;=1,B2548&lt;=6),B2548=10),"Vaca em lactação",IF(I2548="Male","Macho",IF(E2548&gt;=1,"Vaca seca",IF(I2548="Youngstock","Bezerra/recria","Novilha"))))</f>
        <v>Bezerra/recria</v>
      </c>
      <c r="X2548" s="0" t="str">
        <f aca="false">IF(AND(B2548&gt;=1,B2548&lt;=6),"Tanque",IF(B2548=10,"Descarte",""))</f>
        <v/>
      </c>
    </row>
    <row r="2549" customFormat="false" ht="15" hidden="false" customHeight="false" outlineLevel="0" collapsed="false">
      <c r="A2549" s="22" t="n">
        <v>46309</v>
      </c>
      <c r="B2549" s="0" t="n">
        <v>13</v>
      </c>
      <c r="C2549" s="0" t="n">
        <v>7027</v>
      </c>
      <c r="E2549" s="0" t="n">
        <v>0</v>
      </c>
      <c r="F2549" s="23" t="s">
        <v>1257</v>
      </c>
      <c r="I2549" s="23" t="s">
        <v>1249</v>
      </c>
      <c r="U2549" s="0" t="n">
        <v>370</v>
      </c>
      <c r="V2549" s="0" t="n">
        <v>0</v>
      </c>
      <c r="W2549" s="0" t="str">
        <f aca="false">IF(OR(AND(B2549&gt;=1,B2549&lt;=6),B2549=10),"Vaca em lactação",IF(I2549="Male","Macho",IF(E2549&gt;=1,"Vaca seca",IF(I2549="Youngstock","Bezerra/recria","Novilha"))))</f>
        <v>Bezerra/recria</v>
      </c>
      <c r="X2549" s="0" t="str">
        <f aca="false">IF(AND(B2549&gt;=1,B2549&lt;=6),"Tanque",IF(B2549=10,"Descarte",""))</f>
        <v/>
      </c>
    </row>
    <row r="2550" customFormat="false" ht="15" hidden="false" customHeight="false" outlineLevel="0" collapsed="false">
      <c r="A2550" s="22" t="n">
        <v>46309</v>
      </c>
      <c r="B2550" s="0" t="n">
        <v>13</v>
      </c>
      <c r="C2550" s="0" t="n">
        <v>7026</v>
      </c>
      <c r="E2550" s="0" t="n">
        <v>0</v>
      </c>
      <c r="F2550" s="23" t="s">
        <v>1255</v>
      </c>
      <c r="I2550" s="23" t="s">
        <v>1249</v>
      </c>
      <c r="U2550" s="0" t="n">
        <v>371</v>
      </c>
      <c r="V2550" s="0" t="n">
        <v>0</v>
      </c>
      <c r="W2550" s="0" t="str">
        <f aca="false">IF(OR(AND(B2550&gt;=1,B2550&lt;=6),B2550=10),"Vaca em lactação",IF(I2550="Male","Macho",IF(E2550&gt;=1,"Vaca seca",IF(I2550="Youngstock","Bezerra/recria","Novilha"))))</f>
        <v>Bezerra/recria</v>
      </c>
      <c r="X2550" s="0" t="str">
        <f aca="false">IF(AND(B2550&gt;=1,B2550&lt;=6),"Tanque",IF(B2550=10,"Descarte",""))</f>
        <v/>
      </c>
    </row>
    <row r="2551" customFormat="false" ht="15" hidden="false" customHeight="false" outlineLevel="0" collapsed="false">
      <c r="A2551" s="22" t="n">
        <v>46309</v>
      </c>
      <c r="B2551" s="0" t="n">
        <v>13</v>
      </c>
      <c r="C2551" s="0" t="n">
        <v>7032</v>
      </c>
      <c r="E2551" s="0" t="n">
        <v>0</v>
      </c>
      <c r="F2551" s="23" t="s">
        <v>1256</v>
      </c>
      <c r="I2551" s="23" t="s">
        <v>1249</v>
      </c>
      <c r="U2551" s="0" t="n">
        <v>369</v>
      </c>
      <c r="V2551" s="0" t="n">
        <v>0</v>
      </c>
      <c r="W2551" s="0" t="str">
        <f aca="false">IF(OR(AND(B2551&gt;=1,B2551&lt;=6),B2551=10),"Vaca em lactação",IF(I2551="Male","Macho",IF(E2551&gt;=1,"Vaca seca",IF(I2551="Youngstock","Bezerra/recria","Novilha"))))</f>
        <v>Bezerra/recria</v>
      </c>
      <c r="X2551" s="0" t="str">
        <f aca="false">IF(AND(B2551&gt;=1,B2551&lt;=6),"Tanque",IF(B2551=10,"Descarte",""))</f>
        <v/>
      </c>
    </row>
    <row r="2552" customFormat="false" ht="15" hidden="false" customHeight="false" outlineLevel="0" collapsed="false">
      <c r="A2552" s="22" t="n">
        <v>46309</v>
      </c>
      <c r="B2552" s="0" t="n">
        <v>13</v>
      </c>
      <c r="C2552" s="0" t="n">
        <v>7031</v>
      </c>
      <c r="E2552" s="0" t="n">
        <v>0</v>
      </c>
      <c r="F2552" s="23" t="s">
        <v>1256</v>
      </c>
      <c r="I2552" s="23" t="s">
        <v>1249</v>
      </c>
      <c r="U2552" s="0" t="n">
        <v>369</v>
      </c>
      <c r="V2552" s="0" t="n">
        <v>0</v>
      </c>
      <c r="W2552" s="0" t="str">
        <f aca="false">IF(OR(AND(B2552&gt;=1,B2552&lt;=6),B2552=10),"Vaca em lactação",IF(I2552="Male","Macho",IF(E2552&gt;=1,"Vaca seca",IF(I2552="Youngstock","Bezerra/recria","Novilha"))))</f>
        <v>Bezerra/recria</v>
      </c>
      <c r="X2552" s="0" t="str">
        <f aca="false">IF(AND(B2552&gt;=1,B2552&lt;=6),"Tanque",IF(B2552=10,"Descarte",""))</f>
        <v/>
      </c>
    </row>
    <row r="2553" customFormat="false" ht="15" hidden="false" customHeight="false" outlineLevel="0" collapsed="false">
      <c r="A2553" s="22" t="n">
        <v>46309</v>
      </c>
      <c r="B2553" s="0" t="n">
        <v>13</v>
      </c>
      <c r="C2553" s="0" t="n">
        <v>7030</v>
      </c>
      <c r="E2553" s="0" t="n">
        <v>0</v>
      </c>
      <c r="F2553" s="23" t="s">
        <v>1257</v>
      </c>
      <c r="I2553" s="23" t="s">
        <v>1249</v>
      </c>
      <c r="U2553" s="0" t="n">
        <v>370</v>
      </c>
      <c r="V2553" s="0" t="n">
        <v>0</v>
      </c>
      <c r="W2553" s="0" t="str">
        <f aca="false">IF(OR(AND(B2553&gt;=1,B2553&lt;=6),B2553=10),"Vaca em lactação",IF(I2553="Male","Macho",IF(E2553&gt;=1,"Vaca seca",IF(I2553="Youngstock","Bezerra/recria","Novilha"))))</f>
        <v>Bezerra/recria</v>
      </c>
      <c r="X2553" s="0" t="str">
        <f aca="false">IF(AND(B2553&gt;=1,B2553&lt;=6),"Tanque",IF(B2553=10,"Descarte",""))</f>
        <v/>
      </c>
    </row>
    <row r="2554" customFormat="false" ht="15" hidden="false" customHeight="false" outlineLevel="0" collapsed="false">
      <c r="A2554" s="22" t="n">
        <v>46309</v>
      </c>
      <c r="B2554" s="0" t="n">
        <v>13</v>
      </c>
      <c r="C2554" s="0" t="n">
        <v>7029</v>
      </c>
      <c r="E2554" s="0" t="n">
        <v>0</v>
      </c>
      <c r="F2554" s="23" t="s">
        <v>1257</v>
      </c>
      <c r="I2554" s="23" t="s">
        <v>1249</v>
      </c>
      <c r="U2554" s="0" t="n">
        <v>370</v>
      </c>
      <c r="V2554" s="0" t="n">
        <v>0</v>
      </c>
      <c r="W2554" s="0" t="str">
        <f aca="false">IF(OR(AND(B2554&gt;=1,B2554&lt;=6),B2554=10),"Vaca em lactação",IF(I2554="Male","Macho",IF(E2554&gt;=1,"Vaca seca",IF(I2554="Youngstock","Bezerra/recria","Novilha"))))</f>
        <v>Bezerra/recria</v>
      </c>
      <c r="X2554" s="0" t="str">
        <f aca="false">IF(AND(B2554&gt;=1,B2554&lt;=6),"Tanque",IF(B2554=10,"Descarte",""))</f>
        <v/>
      </c>
    </row>
    <row r="2555" customFormat="false" ht="15" hidden="false" customHeight="false" outlineLevel="0" collapsed="false">
      <c r="A2555" s="22" t="n">
        <v>46309</v>
      </c>
      <c r="B2555" s="0" t="n">
        <v>13</v>
      </c>
      <c r="C2555" s="0" t="n">
        <v>7012</v>
      </c>
      <c r="E2555" s="0" t="n">
        <v>0</v>
      </c>
      <c r="F2555" s="23" t="s">
        <v>1258</v>
      </c>
      <c r="I2555" s="23" t="s">
        <v>1249</v>
      </c>
      <c r="U2555" s="0" t="n">
        <v>376</v>
      </c>
      <c r="V2555" s="0" t="n">
        <v>0</v>
      </c>
      <c r="W2555" s="0" t="str">
        <f aca="false">IF(OR(AND(B2555&gt;=1,B2555&lt;=6),B2555=10),"Vaca em lactação",IF(I2555="Male","Macho",IF(E2555&gt;=1,"Vaca seca",IF(I2555="Youngstock","Bezerra/recria","Novilha"))))</f>
        <v>Bezerra/recria</v>
      </c>
      <c r="X2555" s="0" t="str">
        <f aca="false">IF(AND(B2555&gt;=1,B2555&lt;=6),"Tanque",IF(B2555=10,"Descarte",""))</f>
        <v/>
      </c>
    </row>
    <row r="2556" customFormat="false" ht="15" hidden="false" customHeight="false" outlineLevel="0" collapsed="false">
      <c r="A2556" s="22" t="n">
        <v>46309</v>
      </c>
      <c r="B2556" s="0" t="n">
        <v>13</v>
      </c>
      <c r="C2556" s="0" t="n">
        <v>7010</v>
      </c>
      <c r="E2556" s="0" t="n">
        <v>0</v>
      </c>
      <c r="F2556" s="23" t="s">
        <v>1259</v>
      </c>
      <c r="I2556" s="23" t="s">
        <v>1249</v>
      </c>
      <c r="U2556" s="0" t="n">
        <v>377</v>
      </c>
      <c r="V2556" s="0" t="n">
        <v>0</v>
      </c>
      <c r="W2556" s="0" t="str">
        <f aca="false">IF(OR(AND(B2556&gt;=1,B2556&lt;=6),B2556=10),"Vaca em lactação",IF(I2556="Male","Macho",IF(E2556&gt;=1,"Vaca seca",IF(I2556="Youngstock","Bezerra/recria","Novilha"))))</f>
        <v>Bezerra/recria</v>
      </c>
      <c r="X2556" s="0" t="str">
        <f aca="false">IF(AND(B2556&gt;=1,B2556&lt;=6),"Tanque",IF(B2556=10,"Descarte",""))</f>
        <v/>
      </c>
    </row>
    <row r="2557" customFormat="false" ht="15" hidden="false" customHeight="false" outlineLevel="0" collapsed="false">
      <c r="A2557" s="22" t="n">
        <v>46309</v>
      </c>
      <c r="B2557" s="0" t="n">
        <v>13</v>
      </c>
      <c r="C2557" s="0" t="n">
        <v>7009</v>
      </c>
      <c r="E2557" s="0" t="n">
        <v>0</v>
      </c>
      <c r="F2557" s="23" t="s">
        <v>1259</v>
      </c>
      <c r="I2557" s="23" t="s">
        <v>1249</v>
      </c>
      <c r="U2557" s="0" t="n">
        <v>377</v>
      </c>
      <c r="V2557" s="0" t="n">
        <v>0</v>
      </c>
      <c r="W2557" s="0" t="str">
        <f aca="false">IF(OR(AND(B2557&gt;=1,B2557&lt;=6),B2557=10),"Vaca em lactação",IF(I2557="Male","Macho",IF(E2557&gt;=1,"Vaca seca",IF(I2557="Youngstock","Bezerra/recria","Novilha"))))</f>
        <v>Bezerra/recria</v>
      </c>
      <c r="X2557" s="0" t="str">
        <f aca="false">IF(AND(B2557&gt;=1,B2557&lt;=6),"Tanque",IF(B2557=10,"Descarte",""))</f>
        <v/>
      </c>
    </row>
    <row r="2558" customFormat="false" ht="15" hidden="false" customHeight="false" outlineLevel="0" collapsed="false">
      <c r="A2558" s="22" t="n">
        <v>46309</v>
      </c>
      <c r="B2558" s="0" t="n">
        <v>13</v>
      </c>
      <c r="C2558" s="0" t="n">
        <v>7016</v>
      </c>
      <c r="E2558" s="0" t="n">
        <v>0</v>
      </c>
      <c r="F2558" s="23" t="s">
        <v>1260</v>
      </c>
      <c r="I2558" s="23" t="s">
        <v>1249</v>
      </c>
      <c r="U2558" s="0" t="n">
        <v>374</v>
      </c>
      <c r="V2558" s="0" t="n">
        <v>0</v>
      </c>
      <c r="W2558" s="0" t="str">
        <f aca="false">IF(OR(AND(B2558&gt;=1,B2558&lt;=6),B2558=10),"Vaca em lactação",IF(I2558="Male","Macho",IF(E2558&gt;=1,"Vaca seca",IF(I2558="Youngstock","Bezerra/recria","Novilha"))))</f>
        <v>Bezerra/recria</v>
      </c>
      <c r="X2558" s="0" t="str">
        <f aca="false">IF(AND(B2558&gt;=1,B2558&lt;=6),"Tanque",IF(B2558=10,"Descarte",""))</f>
        <v/>
      </c>
    </row>
    <row r="2559" customFormat="false" ht="15" hidden="false" customHeight="false" outlineLevel="0" collapsed="false">
      <c r="A2559" s="22" t="n">
        <v>46309</v>
      </c>
      <c r="B2559" s="0" t="n">
        <v>13</v>
      </c>
      <c r="C2559" s="0" t="n">
        <v>7015</v>
      </c>
      <c r="E2559" s="0" t="n">
        <v>0</v>
      </c>
      <c r="F2559" s="23" t="s">
        <v>1260</v>
      </c>
      <c r="I2559" s="23" t="s">
        <v>1249</v>
      </c>
      <c r="U2559" s="0" t="n">
        <v>374</v>
      </c>
      <c r="V2559" s="0" t="n">
        <v>0</v>
      </c>
      <c r="W2559" s="0" t="str">
        <f aca="false">IF(OR(AND(B2559&gt;=1,B2559&lt;=6),B2559=10),"Vaca em lactação",IF(I2559="Male","Macho",IF(E2559&gt;=1,"Vaca seca",IF(I2559="Youngstock","Bezerra/recria","Novilha"))))</f>
        <v>Bezerra/recria</v>
      </c>
      <c r="X2559" s="0" t="str">
        <f aca="false">IF(AND(B2559&gt;=1,B2559&lt;=6),"Tanque",IF(B2559=10,"Descarte",""))</f>
        <v/>
      </c>
    </row>
    <row r="2560" customFormat="false" ht="15" hidden="false" customHeight="false" outlineLevel="0" collapsed="false">
      <c r="A2560" s="22" t="n">
        <v>46309</v>
      </c>
      <c r="B2560" s="0" t="n">
        <v>13</v>
      </c>
      <c r="C2560" s="0" t="n">
        <v>7014</v>
      </c>
      <c r="E2560" s="0" t="n">
        <v>0</v>
      </c>
      <c r="F2560" s="23" t="s">
        <v>1260</v>
      </c>
      <c r="I2560" s="23" t="s">
        <v>1249</v>
      </c>
      <c r="U2560" s="0" t="n">
        <v>374</v>
      </c>
      <c r="V2560" s="0" t="n">
        <v>0</v>
      </c>
      <c r="W2560" s="0" t="str">
        <f aca="false">IF(OR(AND(B2560&gt;=1,B2560&lt;=6),B2560=10),"Vaca em lactação",IF(I2560="Male","Macho",IF(E2560&gt;=1,"Vaca seca",IF(I2560="Youngstock","Bezerra/recria","Novilha"))))</f>
        <v>Bezerra/recria</v>
      </c>
      <c r="X2560" s="0" t="str">
        <f aca="false">IF(AND(B2560&gt;=1,B2560&lt;=6),"Tanque",IF(B2560=10,"Descarte",""))</f>
        <v/>
      </c>
    </row>
    <row r="2561" customFormat="false" ht="15" hidden="false" customHeight="false" outlineLevel="0" collapsed="false">
      <c r="A2561" s="22" t="n">
        <v>46309</v>
      </c>
      <c r="B2561" s="0" t="n">
        <v>13</v>
      </c>
      <c r="C2561" s="0" t="n">
        <v>6987</v>
      </c>
      <c r="E2561" s="0" t="n">
        <v>0</v>
      </c>
      <c r="F2561" s="23" t="s">
        <v>1261</v>
      </c>
      <c r="I2561" s="23" t="s">
        <v>1249</v>
      </c>
      <c r="U2561" s="0" t="n">
        <v>384</v>
      </c>
      <c r="V2561" s="0" t="n">
        <v>0</v>
      </c>
      <c r="W2561" s="0" t="str">
        <f aca="false">IF(OR(AND(B2561&gt;=1,B2561&lt;=6),B2561=10),"Vaca em lactação",IF(I2561="Male","Macho",IF(E2561&gt;=1,"Vaca seca",IF(I2561="Youngstock","Bezerra/recria","Novilha"))))</f>
        <v>Bezerra/recria</v>
      </c>
      <c r="X2561" s="0" t="str">
        <f aca="false">IF(AND(B2561&gt;=1,B2561&lt;=6),"Tanque",IF(B2561=10,"Descarte",""))</f>
        <v/>
      </c>
    </row>
    <row r="2562" customFormat="false" ht="15" hidden="false" customHeight="false" outlineLevel="0" collapsed="false">
      <c r="A2562" s="22" t="n">
        <v>46309</v>
      </c>
      <c r="B2562" s="0" t="n">
        <v>13</v>
      </c>
      <c r="C2562" s="0" t="n">
        <v>6986</v>
      </c>
      <c r="E2562" s="0" t="n">
        <v>0</v>
      </c>
      <c r="F2562" s="23" t="s">
        <v>1261</v>
      </c>
      <c r="I2562" s="23" t="s">
        <v>1249</v>
      </c>
      <c r="U2562" s="0" t="n">
        <v>384</v>
      </c>
      <c r="V2562" s="0" t="n">
        <v>0</v>
      </c>
      <c r="W2562" s="0" t="str">
        <f aca="false">IF(OR(AND(B2562&gt;=1,B2562&lt;=6),B2562=10),"Vaca em lactação",IF(I2562="Male","Macho",IF(E2562&gt;=1,"Vaca seca",IF(I2562="Youngstock","Bezerra/recria","Novilha"))))</f>
        <v>Bezerra/recria</v>
      </c>
      <c r="X2562" s="0" t="str">
        <f aca="false">IF(AND(B2562&gt;=1,B2562&lt;=6),"Tanque",IF(B2562=10,"Descarte",""))</f>
        <v/>
      </c>
    </row>
    <row r="2563" customFormat="false" ht="15" hidden="false" customHeight="false" outlineLevel="0" collapsed="false">
      <c r="A2563" s="22" t="n">
        <v>46309</v>
      </c>
      <c r="B2563" s="0" t="n">
        <v>13</v>
      </c>
      <c r="C2563" s="0" t="n">
        <v>6985</v>
      </c>
      <c r="E2563" s="0" t="n">
        <v>0</v>
      </c>
      <c r="F2563" s="23" t="s">
        <v>1262</v>
      </c>
      <c r="I2563" s="23" t="s">
        <v>1249</v>
      </c>
      <c r="U2563" s="0" t="n">
        <v>385</v>
      </c>
      <c r="V2563" s="0" t="n">
        <v>0</v>
      </c>
      <c r="W2563" s="0" t="str">
        <f aca="false">IF(OR(AND(B2563&gt;=1,B2563&lt;=6),B2563=10),"Vaca em lactação",IF(I2563="Male","Macho",IF(E2563&gt;=1,"Vaca seca",IF(I2563="Youngstock","Bezerra/recria","Novilha"))))</f>
        <v>Bezerra/recria</v>
      </c>
      <c r="X2563" s="0" t="str">
        <f aca="false">IF(AND(B2563&gt;=1,B2563&lt;=6),"Tanque",IF(B2563=10,"Descarte",""))</f>
        <v/>
      </c>
    </row>
    <row r="2564" customFormat="false" ht="15" hidden="false" customHeight="false" outlineLevel="0" collapsed="false">
      <c r="A2564" s="22" t="n">
        <v>46309</v>
      </c>
      <c r="B2564" s="0" t="n">
        <v>13</v>
      </c>
      <c r="C2564" s="0" t="n">
        <v>6988</v>
      </c>
      <c r="E2564" s="0" t="n">
        <v>0</v>
      </c>
      <c r="F2564" s="23" t="s">
        <v>1261</v>
      </c>
      <c r="I2564" s="23" t="s">
        <v>1249</v>
      </c>
      <c r="U2564" s="0" t="n">
        <v>384</v>
      </c>
      <c r="V2564" s="0" t="n">
        <v>0</v>
      </c>
      <c r="W2564" s="0" t="str">
        <f aca="false">IF(OR(AND(B2564&gt;=1,B2564&lt;=6),B2564=10),"Vaca em lactação",IF(I2564="Male","Macho",IF(E2564&gt;=1,"Vaca seca",IF(I2564="Youngstock","Bezerra/recria","Novilha"))))</f>
        <v>Bezerra/recria</v>
      </c>
      <c r="X2564" s="0" t="str">
        <f aca="false">IF(AND(B2564&gt;=1,B2564&lt;=6),"Tanque",IF(B2564=10,"Descarte",""))</f>
        <v/>
      </c>
    </row>
    <row r="2565" customFormat="false" ht="15" hidden="false" customHeight="false" outlineLevel="0" collapsed="false">
      <c r="A2565" s="22" t="n">
        <v>46309</v>
      </c>
      <c r="B2565" s="0" t="n">
        <v>13</v>
      </c>
      <c r="C2565" s="0" t="n">
        <v>6991</v>
      </c>
      <c r="E2565" s="0" t="n">
        <v>0</v>
      </c>
      <c r="F2565" s="23" t="s">
        <v>1263</v>
      </c>
      <c r="I2565" s="23" t="s">
        <v>1249</v>
      </c>
      <c r="U2565" s="0" t="n">
        <v>383</v>
      </c>
      <c r="V2565" s="0" t="n">
        <v>0</v>
      </c>
      <c r="W2565" s="0" t="str">
        <f aca="false">IF(OR(AND(B2565&gt;=1,B2565&lt;=6),B2565=10),"Vaca em lactação",IF(I2565="Male","Macho",IF(E2565&gt;=1,"Vaca seca",IF(I2565="Youngstock","Bezerra/recria","Novilha"))))</f>
        <v>Bezerra/recria</v>
      </c>
      <c r="X2565" s="0" t="str">
        <f aca="false">IF(AND(B2565&gt;=1,B2565&lt;=6),"Tanque",IF(B2565=10,"Descarte",""))</f>
        <v/>
      </c>
    </row>
    <row r="2566" customFormat="false" ht="15" hidden="false" customHeight="false" outlineLevel="0" collapsed="false">
      <c r="A2566" s="22" t="n">
        <v>46309</v>
      </c>
      <c r="B2566" s="0" t="n">
        <v>13</v>
      </c>
      <c r="C2566" s="0" t="n">
        <v>6990</v>
      </c>
      <c r="E2566" s="0" t="n">
        <v>0</v>
      </c>
      <c r="F2566" s="23" t="s">
        <v>1263</v>
      </c>
      <c r="I2566" s="23" t="s">
        <v>1249</v>
      </c>
      <c r="U2566" s="0" t="n">
        <v>383</v>
      </c>
      <c r="V2566" s="0" t="n">
        <v>0</v>
      </c>
      <c r="W2566" s="0" t="str">
        <f aca="false">IF(OR(AND(B2566&gt;=1,B2566&lt;=6),B2566=10),"Vaca em lactação",IF(I2566="Male","Macho",IF(E2566&gt;=1,"Vaca seca",IF(I2566="Youngstock","Bezerra/recria","Novilha"))))</f>
        <v>Bezerra/recria</v>
      </c>
      <c r="X2566" s="0" t="str">
        <f aca="false">IF(AND(B2566&gt;=1,B2566&lt;=6),"Tanque",IF(B2566=10,"Descarte",""))</f>
        <v/>
      </c>
    </row>
    <row r="2567" customFormat="false" ht="15" hidden="false" customHeight="false" outlineLevel="0" collapsed="false">
      <c r="A2567" s="22" t="n">
        <v>46309</v>
      </c>
      <c r="B2567" s="0" t="n">
        <v>13</v>
      </c>
      <c r="C2567" s="0" t="n">
        <v>6989</v>
      </c>
      <c r="E2567" s="0" t="n">
        <v>0</v>
      </c>
      <c r="F2567" s="23" t="s">
        <v>1261</v>
      </c>
      <c r="I2567" s="23" t="s">
        <v>1249</v>
      </c>
      <c r="U2567" s="0" t="n">
        <v>384</v>
      </c>
      <c r="V2567" s="0" t="n">
        <v>0</v>
      </c>
      <c r="W2567" s="0" t="str">
        <f aca="false">IF(OR(AND(B2567&gt;=1,B2567&lt;=6),B2567=10),"Vaca em lactação",IF(I2567="Male","Macho",IF(E2567&gt;=1,"Vaca seca",IF(I2567="Youngstock","Bezerra/recria","Novilha"))))</f>
        <v>Bezerra/recria</v>
      </c>
      <c r="X2567" s="0" t="str">
        <f aca="false">IF(AND(B2567&gt;=1,B2567&lt;=6),"Tanque",IF(B2567=10,"Descarte",""))</f>
        <v/>
      </c>
    </row>
    <row r="2568" customFormat="false" ht="15" hidden="false" customHeight="false" outlineLevel="0" collapsed="false">
      <c r="A2568" s="22" t="n">
        <v>46309</v>
      </c>
      <c r="B2568" s="0" t="n">
        <v>13</v>
      </c>
      <c r="C2568" s="0" t="n">
        <v>6992</v>
      </c>
      <c r="E2568" s="0" t="n">
        <v>0</v>
      </c>
      <c r="F2568" s="23" t="s">
        <v>1263</v>
      </c>
      <c r="I2568" s="23" t="s">
        <v>1249</v>
      </c>
      <c r="U2568" s="0" t="n">
        <v>383</v>
      </c>
      <c r="V2568" s="0" t="n">
        <v>0</v>
      </c>
      <c r="W2568" s="0" t="str">
        <f aca="false">IF(OR(AND(B2568&gt;=1,B2568&lt;=6),B2568=10),"Vaca em lactação",IF(I2568="Male","Macho",IF(E2568&gt;=1,"Vaca seca",IF(I2568="Youngstock","Bezerra/recria","Novilha"))))</f>
        <v>Bezerra/recria</v>
      </c>
      <c r="X2568" s="0" t="str">
        <f aca="false">IF(AND(B2568&gt;=1,B2568&lt;=6),"Tanque",IF(B2568=10,"Descarte",""))</f>
        <v/>
      </c>
    </row>
    <row r="2569" customFormat="false" ht="15" hidden="false" customHeight="false" outlineLevel="0" collapsed="false">
      <c r="A2569" s="22" t="n">
        <v>46309</v>
      </c>
      <c r="B2569" s="0" t="n">
        <v>13</v>
      </c>
      <c r="C2569" s="0" t="n">
        <v>6996</v>
      </c>
      <c r="E2569" s="0" t="n">
        <v>0</v>
      </c>
      <c r="F2569" s="23" t="s">
        <v>1264</v>
      </c>
      <c r="I2569" s="23" t="s">
        <v>1249</v>
      </c>
      <c r="U2569" s="0" t="n">
        <v>382</v>
      </c>
      <c r="V2569" s="0" t="n">
        <v>0</v>
      </c>
      <c r="W2569" s="0" t="str">
        <f aca="false">IF(OR(AND(B2569&gt;=1,B2569&lt;=6),B2569=10),"Vaca em lactação",IF(I2569="Male","Macho",IF(E2569&gt;=1,"Vaca seca",IF(I2569="Youngstock","Bezerra/recria","Novilha"))))</f>
        <v>Bezerra/recria</v>
      </c>
      <c r="X2569" s="0" t="str">
        <f aca="false">IF(AND(B2569&gt;=1,B2569&lt;=6),"Tanque",IF(B2569=10,"Descarte",""))</f>
        <v/>
      </c>
    </row>
    <row r="2570" customFormat="false" ht="15" hidden="false" customHeight="false" outlineLevel="0" collapsed="false">
      <c r="A2570" s="22" t="n">
        <v>46309</v>
      </c>
      <c r="B2570" s="0" t="n">
        <v>13</v>
      </c>
      <c r="C2570" s="0" t="n">
        <v>6995</v>
      </c>
      <c r="E2570" s="0" t="n">
        <v>0</v>
      </c>
      <c r="F2570" s="23" t="s">
        <v>1264</v>
      </c>
      <c r="I2570" s="23" t="s">
        <v>1249</v>
      </c>
      <c r="U2570" s="0" t="n">
        <v>382</v>
      </c>
      <c r="V2570" s="0" t="n">
        <v>0</v>
      </c>
      <c r="W2570" s="0" t="str">
        <f aca="false">IF(OR(AND(B2570&gt;=1,B2570&lt;=6),B2570=10),"Vaca em lactação",IF(I2570="Male","Macho",IF(E2570&gt;=1,"Vaca seca",IF(I2570="Youngstock","Bezerra/recria","Novilha"))))</f>
        <v>Bezerra/recria</v>
      </c>
      <c r="X2570" s="0" t="str">
        <f aca="false">IF(AND(B2570&gt;=1,B2570&lt;=6),"Tanque",IF(B2570=10,"Descarte",""))</f>
        <v/>
      </c>
    </row>
    <row r="2571" customFormat="false" ht="15" hidden="false" customHeight="false" outlineLevel="0" collapsed="false">
      <c r="A2571" s="22" t="n">
        <v>46309</v>
      </c>
      <c r="B2571" s="0" t="n">
        <v>13</v>
      </c>
      <c r="C2571" s="0" t="n">
        <v>6994</v>
      </c>
      <c r="E2571" s="0" t="n">
        <v>0</v>
      </c>
      <c r="F2571" s="23" t="s">
        <v>1264</v>
      </c>
      <c r="I2571" s="23" t="s">
        <v>1249</v>
      </c>
      <c r="U2571" s="0" t="n">
        <v>382</v>
      </c>
      <c r="V2571" s="0" t="n">
        <v>0</v>
      </c>
      <c r="W2571" s="0" t="str">
        <f aca="false">IF(OR(AND(B2571&gt;=1,B2571&lt;=6),B2571=10),"Vaca em lactação",IF(I2571="Male","Macho",IF(E2571&gt;=1,"Vaca seca",IF(I2571="Youngstock","Bezerra/recria","Novilha"))))</f>
        <v>Bezerra/recria</v>
      </c>
      <c r="X2571" s="0" t="str">
        <f aca="false">IF(AND(B2571&gt;=1,B2571&lt;=6),"Tanque",IF(B2571=10,"Descarte",""))</f>
        <v/>
      </c>
    </row>
    <row r="2572" customFormat="false" ht="15" hidden="false" customHeight="false" outlineLevel="0" collapsed="false">
      <c r="A2572" s="22" t="n">
        <v>46309</v>
      </c>
      <c r="B2572" s="0" t="n">
        <v>13</v>
      </c>
      <c r="C2572" s="0" t="n">
        <v>6998</v>
      </c>
      <c r="E2572" s="0" t="n">
        <v>0</v>
      </c>
      <c r="F2572" s="23" t="s">
        <v>1265</v>
      </c>
      <c r="I2572" s="23" t="s">
        <v>1249</v>
      </c>
      <c r="U2572" s="0" t="n">
        <v>381</v>
      </c>
      <c r="V2572" s="0" t="n">
        <v>0</v>
      </c>
      <c r="W2572" s="0" t="str">
        <f aca="false">IF(OR(AND(B2572&gt;=1,B2572&lt;=6),B2572=10),"Vaca em lactação",IF(I2572="Male","Macho",IF(E2572&gt;=1,"Vaca seca",IF(I2572="Youngstock","Bezerra/recria","Novilha"))))</f>
        <v>Bezerra/recria</v>
      </c>
      <c r="X2572" s="0" t="str">
        <f aca="false">IF(AND(B2572&gt;=1,B2572&lt;=6),"Tanque",IF(B2572=10,"Descarte",""))</f>
        <v/>
      </c>
    </row>
    <row r="2573" customFormat="false" ht="15" hidden="false" customHeight="false" outlineLevel="0" collapsed="false">
      <c r="A2573" s="22" t="n">
        <v>46309</v>
      </c>
      <c r="B2573" s="0" t="n">
        <v>13</v>
      </c>
      <c r="C2573" s="0" t="n">
        <v>6997</v>
      </c>
      <c r="E2573" s="0" t="n">
        <v>0</v>
      </c>
      <c r="F2573" s="23" t="s">
        <v>1265</v>
      </c>
      <c r="I2573" s="23" t="s">
        <v>1249</v>
      </c>
      <c r="U2573" s="0" t="n">
        <v>381</v>
      </c>
      <c r="V2573" s="0" t="n">
        <v>0</v>
      </c>
      <c r="W2573" s="0" t="str">
        <f aca="false">IF(OR(AND(B2573&gt;=1,B2573&lt;=6),B2573=10),"Vaca em lactação",IF(I2573="Male","Macho",IF(E2573&gt;=1,"Vaca seca",IF(I2573="Youngstock","Bezerra/recria","Novilha"))))</f>
        <v>Bezerra/recria</v>
      </c>
      <c r="X2573" s="0" t="str">
        <f aca="false">IF(AND(B2573&gt;=1,B2573&lt;=6),"Tanque",IF(B2573=10,"Descarte",""))</f>
        <v/>
      </c>
    </row>
    <row r="2574" customFormat="false" ht="15" hidden="false" customHeight="false" outlineLevel="0" collapsed="false">
      <c r="A2574" s="22" t="n">
        <v>46309</v>
      </c>
      <c r="B2574" s="0" t="n">
        <v>13</v>
      </c>
      <c r="C2574" s="0" t="n">
        <v>6993</v>
      </c>
      <c r="E2574" s="0" t="n">
        <v>0</v>
      </c>
      <c r="F2574" s="23" t="s">
        <v>1263</v>
      </c>
      <c r="I2574" s="23" t="s">
        <v>1249</v>
      </c>
      <c r="U2574" s="0" t="n">
        <v>383</v>
      </c>
      <c r="V2574" s="0" t="n">
        <v>0</v>
      </c>
      <c r="W2574" s="0" t="str">
        <f aca="false">IF(OR(AND(B2574&gt;=1,B2574&lt;=6),B2574=10),"Vaca em lactação",IF(I2574="Male","Macho",IF(E2574&gt;=1,"Vaca seca",IF(I2574="Youngstock","Bezerra/recria","Novilha"))))</f>
        <v>Bezerra/recria</v>
      </c>
      <c r="X2574" s="0" t="str">
        <f aca="false">IF(AND(B2574&gt;=1,B2574&lt;=6),"Tanque",IF(B2574=10,"Descarte",""))</f>
        <v/>
      </c>
    </row>
    <row r="2575" customFormat="false" ht="15" hidden="false" customHeight="false" outlineLevel="0" collapsed="false">
      <c r="A2575" s="22" t="n">
        <v>46309</v>
      </c>
      <c r="B2575" s="0" t="n">
        <v>13</v>
      </c>
      <c r="C2575" s="0" t="n">
        <v>7002</v>
      </c>
      <c r="E2575" s="0" t="n">
        <v>0</v>
      </c>
      <c r="F2575" s="23" t="s">
        <v>1266</v>
      </c>
      <c r="I2575" s="23" t="s">
        <v>1249</v>
      </c>
      <c r="U2575" s="0" t="n">
        <v>379</v>
      </c>
      <c r="V2575" s="0" t="n">
        <v>0</v>
      </c>
      <c r="W2575" s="0" t="str">
        <f aca="false">IF(OR(AND(B2575&gt;=1,B2575&lt;=6),B2575=10),"Vaca em lactação",IF(I2575="Male","Macho",IF(E2575&gt;=1,"Vaca seca",IF(I2575="Youngstock","Bezerra/recria","Novilha"))))</f>
        <v>Bezerra/recria</v>
      </c>
      <c r="X2575" s="0" t="str">
        <f aca="false">IF(AND(B2575&gt;=1,B2575&lt;=6),"Tanque",IF(B2575=10,"Descarte",""))</f>
        <v/>
      </c>
    </row>
    <row r="2576" customFormat="false" ht="15" hidden="false" customHeight="false" outlineLevel="0" collapsed="false">
      <c r="A2576" s="22" t="n">
        <v>46309</v>
      </c>
      <c r="B2576" s="0" t="n">
        <v>13</v>
      </c>
      <c r="C2576" s="0" t="n">
        <v>7001</v>
      </c>
      <c r="E2576" s="0" t="n">
        <v>0</v>
      </c>
      <c r="F2576" s="23" t="s">
        <v>1266</v>
      </c>
      <c r="I2576" s="23" t="s">
        <v>1249</v>
      </c>
      <c r="U2576" s="0" t="n">
        <v>379</v>
      </c>
      <c r="V2576" s="0" t="n">
        <v>0</v>
      </c>
      <c r="W2576" s="0" t="str">
        <f aca="false">IF(OR(AND(B2576&gt;=1,B2576&lt;=6),B2576=10),"Vaca em lactação",IF(I2576="Male","Macho",IF(E2576&gt;=1,"Vaca seca",IF(I2576="Youngstock","Bezerra/recria","Novilha"))))</f>
        <v>Bezerra/recria</v>
      </c>
      <c r="X2576" s="0" t="str">
        <f aca="false">IF(AND(B2576&gt;=1,B2576&lt;=6),"Tanque",IF(B2576=10,"Descarte",""))</f>
        <v/>
      </c>
    </row>
    <row r="2577" customFormat="false" ht="15" hidden="false" customHeight="false" outlineLevel="0" collapsed="false">
      <c r="A2577" s="22" t="n">
        <v>46309</v>
      </c>
      <c r="B2577" s="0" t="n">
        <v>13</v>
      </c>
      <c r="C2577" s="0" t="n">
        <v>7000</v>
      </c>
      <c r="E2577" s="0" t="n">
        <v>0</v>
      </c>
      <c r="F2577" s="23" t="s">
        <v>1266</v>
      </c>
      <c r="I2577" s="23" t="s">
        <v>1249</v>
      </c>
      <c r="U2577" s="0" t="n">
        <v>379</v>
      </c>
      <c r="V2577" s="0" t="n">
        <v>0</v>
      </c>
      <c r="W2577" s="0" t="str">
        <f aca="false">IF(OR(AND(B2577&gt;=1,B2577&lt;=6),B2577=10),"Vaca em lactação",IF(I2577="Male","Macho",IF(E2577&gt;=1,"Vaca seca",IF(I2577="Youngstock","Bezerra/recria","Novilha"))))</f>
        <v>Bezerra/recria</v>
      </c>
      <c r="X2577" s="0" t="str">
        <f aca="false">IF(AND(B2577&gt;=1,B2577&lt;=6),"Tanque",IF(B2577=10,"Descarte",""))</f>
        <v/>
      </c>
    </row>
    <row r="2578" customFormat="false" ht="15" hidden="false" customHeight="false" outlineLevel="0" collapsed="false">
      <c r="A2578" s="22" t="n">
        <v>46309</v>
      </c>
      <c r="B2578" s="0" t="n">
        <v>13</v>
      </c>
      <c r="C2578" s="0" t="n">
        <v>6999</v>
      </c>
      <c r="E2578" s="0" t="n">
        <v>0</v>
      </c>
      <c r="F2578" s="23" t="s">
        <v>1266</v>
      </c>
      <c r="I2578" s="23" t="s">
        <v>1249</v>
      </c>
      <c r="U2578" s="0" t="n">
        <v>379</v>
      </c>
      <c r="V2578" s="0" t="n">
        <v>0</v>
      </c>
      <c r="W2578" s="0" t="str">
        <f aca="false">IF(OR(AND(B2578&gt;=1,B2578&lt;=6),B2578=10),"Vaca em lactação",IF(I2578="Male","Macho",IF(E2578&gt;=1,"Vaca seca",IF(I2578="Youngstock","Bezerra/recria","Novilha"))))</f>
        <v>Bezerra/recria</v>
      </c>
      <c r="X2578" s="0" t="str">
        <f aca="false">IF(AND(B2578&gt;=1,B2578&lt;=6),"Tanque",IF(B2578=10,"Descarte",""))</f>
        <v/>
      </c>
    </row>
    <row r="2579" customFormat="false" ht="15" hidden="false" customHeight="false" outlineLevel="0" collapsed="false">
      <c r="A2579" s="22" t="n">
        <v>46309</v>
      </c>
      <c r="B2579" s="0" t="n">
        <v>13</v>
      </c>
      <c r="C2579" s="0" t="n">
        <v>7004</v>
      </c>
      <c r="E2579" s="0" t="n">
        <v>0</v>
      </c>
      <c r="F2579" s="23" t="s">
        <v>1266</v>
      </c>
      <c r="I2579" s="23" t="s">
        <v>1249</v>
      </c>
      <c r="U2579" s="0" t="n">
        <v>379</v>
      </c>
      <c r="V2579" s="0" t="n">
        <v>0</v>
      </c>
      <c r="W2579" s="0" t="str">
        <f aca="false">IF(OR(AND(B2579&gt;=1,B2579&lt;=6),B2579=10),"Vaca em lactação",IF(I2579="Male","Macho",IF(E2579&gt;=1,"Vaca seca",IF(I2579="Youngstock","Bezerra/recria","Novilha"))))</f>
        <v>Bezerra/recria</v>
      </c>
      <c r="X2579" s="0" t="str">
        <f aca="false">IF(AND(B2579&gt;=1,B2579&lt;=6),"Tanque",IF(B2579=10,"Descarte",""))</f>
        <v/>
      </c>
    </row>
    <row r="2580" customFormat="false" ht="15" hidden="false" customHeight="false" outlineLevel="0" collapsed="false">
      <c r="A2580" s="22" t="n">
        <v>46309</v>
      </c>
      <c r="B2580" s="0" t="n">
        <v>13</v>
      </c>
      <c r="C2580" s="0" t="n">
        <v>7003</v>
      </c>
      <c r="E2580" s="0" t="n">
        <v>0</v>
      </c>
      <c r="F2580" s="23" t="s">
        <v>1266</v>
      </c>
      <c r="I2580" s="23" t="s">
        <v>1249</v>
      </c>
      <c r="U2580" s="0" t="n">
        <v>379</v>
      </c>
      <c r="V2580" s="0" t="n">
        <v>0</v>
      </c>
      <c r="W2580" s="0" t="str">
        <f aca="false">IF(OR(AND(B2580&gt;=1,B2580&lt;=6),B2580=10),"Vaca em lactação",IF(I2580="Male","Macho",IF(E2580&gt;=1,"Vaca seca",IF(I2580="Youngstock","Bezerra/recria","Novilha"))))</f>
        <v>Bezerra/recria</v>
      </c>
      <c r="X2580" s="0" t="str">
        <f aca="false">IF(AND(B2580&gt;=1,B2580&lt;=6),"Tanque",IF(B2580=10,"Descarte",""))</f>
        <v/>
      </c>
    </row>
    <row r="2581" customFormat="false" ht="15" hidden="false" customHeight="false" outlineLevel="0" collapsed="false">
      <c r="A2581" s="22" t="n">
        <v>46309</v>
      </c>
      <c r="B2581" s="0" t="n">
        <v>13</v>
      </c>
      <c r="C2581" s="0" t="n">
        <v>7005</v>
      </c>
      <c r="E2581" s="0" t="n">
        <v>0</v>
      </c>
      <c r="F2581" s="23" t="s">
        <v>1266</v>
      </c>
      <c r="I2581" s="23" t="s">
        <v>1249</v>
      </c>
      <c r="U2581" s="0" t="n">
        <v>379</v>
      </c>
      <c r="V2581" s="0" t="n">
        <v>0</v>
      </c>
      <c r="W2581" s="0" t="str">
        <f aca="false">IF(OR(AND(B2581&gt;=1,B2581&lt;=6),B2581=10),"Vaca em lactação",IF(I2581="Male","Macho",IF(E2581&gt;=1,"Vaca seca",IF(I2581="Youngstock","Bezerra/recria","Novilha"))))</f>
        <v>Bezerra/recria</v>
      </c>
      <c r="X2581" s="0" t="str">
        <f aca="false">IF(AND(B2581&gt;=1,B2581&lt;=6),"Tanque",IF(B2581=10,"Descarte",""))</f>
        <v/>
      </c>
    </row>
    <row r="2582" customFormat="false" ht="15" hidden="false" customHeight="false" outlineLevel="0" collapsed="false">
      <c r="A2582" s="22" t="n">
        <v>46309</v>
      </c>
      <c r="B2582" s="0" t="n">
        <v>13</v>
      </c>
      <c r="C2582" s="0" t="n">
        <v>7008</v>
      </c>
      <c r="E2582" s="0" t="n">
        <v>0</v>
      </c>
      <c r="F2582" s="23" t="s">
        <v>1267</v>
      </c>
      <c r="I2582" s="23" t="s">
        <v>1249</v>
      </c>
      <c r="U2582" s="0" t="n">
        <v>378</v>
      </c>
      <c r="V2582" s="0" t="n">
        <v>0</v>
      </c>
      <c r="W2582" s="0" t="str">
        <f aca="false">IF(OR(AND(B2582&gt;=1,B2582&lt;=6),B2582=10),"Vaca em lactação",IF(I2582="Male","Macho",IF(E2582&gt;=1,"Vaca seca",IF(I2582="Youngstock","Bezerra/recria","Novilha"))))</f>
        <v>Bezerra/recria</v>
      </c>
      <c r="X2582" s="0" t="str">
        <f aca="false">IF(AND(B2582&gt;=1,B2582&lt;=6),"Tanque",IF(B2582=10,"Descarte",""))</f>
        <v/>
      </c>
    </row>
    <row r="2583" customFormat="false" ht="15" hidden="false" customHeight="false" outlineLevel="0" collapsed="false">
      <c r="A2583" s="22" t="n">
        <v>46309</v>
      </c>
      <c r="B2583" s="0" t="n">
        <v>13</v>
      </c>
      <c r="C2583" s="0" t="n">
        <v>7007</v>
      </c>
      <c r="E2583" s="0" t="n">
        <v>0</v>
      </c>
      <c r="F2583" s="23" t="s">
        <v>1267</v>
      </c>
      <c r="I2583" s="23" t="s">
        <v>1249</v>
      </c>
      <c r="U2583" s="0" t="n">
        <v>378</v>
      </c>
      <c r="V2583" s="0" t="n">
        <v>0</v>
      </c>
      <c r="W2583" s="0" t="str">
        <f aca="false">IF(OR(AND(B2583&gt;=1,B2583&lt;=6),B2583=10),"Vaca em lactação",IF(I2583="Male","Macho",IF(E2583&gt;=1,"Vaca seca",IF(I2583="Youngstock","Bezerra/recria","Novilha"))))</f>
        <v>Bezerra/recria</v>
      </c>
      <c r="X2583" s="0" t="str">
        <f aca="false">IF(AND(B2583&gt;=1,B2583&lt;=6),"Tanque",IF(B2583=10,"Descarte",""))</f>
        <v/>
      </c>
    </row>
    <row r="2584" customFormat="false" ht="15" hidden="false" customHeight="false" outlineLevel="0" collapsed="false">
      <c r="A2584" s="22" t="n">
        <v>46309</v>
      </c>
      <c r="B2584" s="0" t="n">
        <v>13</v>
      </c>
      <c r="C2584" s="0" t="n">
        <v>7006</v>
      </c>
      <c r="E2584" s="0" t="n">
        <v>0</v>
      </c>
      <c r="F2584" s="23" t="s">
        <v>1266</v>
      </c>
      <c r="I2584" s="23" t="s">
        <v>1249</v>
      </c>
      <c r="U2584" s="0" t="n">
        <v>379</v>
      </c>
      <c r="V2584" s="0" t="n">
        <v>0</v>
      </c>
      <c r="W2584" s="0" t="str">
        <f aca="false">IF(OR(AND(B2584&gt;=1,B2584&lt;=6),B2584=10),"Vaca em lactação",IF(I2584="Male","Macho",IF(E2584&gt;=1,"Vaca seca",IF(I2584="Youngstock","Bezerra/recria","Novilha"))))</f>
        <v>Bezerra/recria</v>
      </c>
      <c r="X2584" s="0" t="str">
        <f aca="false">IF(AND(B2584&gt;=1,B2584&lt;=6),"Tanque",IF(B2584=10,"Descarte",""))</f>
        <v/>
      </c>
    </row>
    <row r="2585" customFormat="false" ht="15" hidden="false" customHeight="false" outlineLevel="0" collapsed="false">
      <c r="A2585" s="22" t="n">
        <v>46309</v>
      </c>
      <c r="B2585" s="0" t="n">
        <v>13</v>
      </c>
      <c r="C2585" s="0" t="n">
        <v>6957</v>
      </c>
      <c r="E2585" s="0" t="n">
        <v>0</v>
      </c>
      <c r="F2585" s="23" t="s">
        <v>1268</v>
      </c>
      <c r="I2585" s="23" t="s">
        <v>1249</v>
      </c>
      <c r="U2585" s="0" t="n">
        <v>392</v>
      </c>
      <c r="V2585" s="0" t="n">
        <v>0</v>
      </c>
      <c r="W2585" s="0" t="str">
        <f aca="false">IF(OR(AND(B2585&gt;=1,B2585&lt;=6),B2585=10),"Vaca em lactação",IF(I2585="Male","Macho",IF(E2585&gt;=1,"Vaca seca",IF(I2585="Youngstock","Bezerra/recria","Novilha"))))</f>
        <v>Bezerra/recria</v>
      </c>
      <c r="X2585" s="0" t="str">
        <f aca="false">IF(AND(B2585&gt;=1,B2585&lt;=6),"Tanque",IF(B2585=10,"Descarte",""))</f>
        <v/>
      </c>
    </row>
    <row r="2586" customFormat="false" ht="15" hidden="false" customHeight="false" outlineLevel="0" collapsed="false">
      <c r="A2586" s="22" t="n">
        <v>46309</v>
      </c>
      <c r="B2586" s="0" t="n">
        <v>13</v>
      </c>
      <c r="C2586" s="0" t="n">
        <v>6961</v>
      </c>
      <c r="E2586" s="0" t="n">
        <v>0</v>
      </c>
      <c r="F2586" s="23" t="s">
        <v>1269</v>
      </c>
      <c r="I2586" s="23" t="s">
        <v>1249</v>
      </c>
      <c r="U2586" s="0" t="n">
        <v>390</v>
      </c>
      <c r="V2586" s="0" t="n">
        <v>0</v>
      </c>
      <c r="W2586" s="0" t="str">
        <f aca="false">IF(OR(AND(B2586&gt;=1,B2586&lt;=6),B2586=10),"Vaca em lactação",IF(I2586="Male","Macho",IF(E2586&gt;=1,"Vaca seca",IF(I2586="Youngstock","Bezerra/recria","Novilha"))))</f>
        <v>Bezerra/recria</v>
      </c>
      <c r="X2586" s="0" t="str">
        <f aca="false">IF(AND(B2586&gt;=1,B2586&lt;=6),"Tanque",IF(B2586=10,"Descarte",""))</f>
        <v/>
      </c>
    </row>
    <row r="2587" customFormat="false" ht="15" hidden="false" customHeight="false" outlineLevel="0" collapsed="false">
      <c r="A2587" s="22" t="n">
        <v>46309</v>
      </c>
      <c r="B2587" s="0" t="n">
        <v>13</v>
      </c>
      <c r="C2587" s="0" t="n">
        <v>6960</v>
      </c>
      <c r="E2587" s="0" t="n">
        <v>0</v>
      </c>
      <c r="F2587" s="23" t="s">
        <v>1270</v>
      </c>
      <c r="I2587" s="23" t="s">
        <v>1249</v>
      </c>
      <c r="U2587" s="0" t="n">
        <v>391</v>
      </c>
      <c r="V2587" s="0" t="n">
        <v>0</v>
      </c>
      <c r="W2587" s="0" t="str">
        <f aca="false">IF(OR(AND(B2587&gt;=1,B2587&lt;=6),B2587=10),"Vaca em lactação",IF(I2587="Male","Macho",IF(E2587&gt;=1,"Vaca seca",IF(I2587="Youngstock","Bezerra/recria","Novilha"))))</f>
        <v>Bezerra/recria</v>
      </c>
      <c r="X2587" s="0" t="str">
        <f aca="false">IF(AND(B2587&gt;=1,B2587&lt;=6),"Tanque",IF(B2587=10,"Descarte",""))</f>
        <v/>
      </c>
    </row>
    <row r="2588" customFormat="false" ht="15" hidden="false" customHeight="false" outlineLevel="0" collapsed="false">
      <c r="A2588" s="22" t="n">
        <v>46309</v>
      </c>
      <c r="B2588" s="0" t="n">
        <v>13</v>
      </c>
      <c r="C2588" s="0" t="n">
        <v>6959</v>
      </c>
      <c r="E2588" s="0" t="n">
        <v>0</v>
      </c>
      <c r="F2588" s="23" t="s">
        <v>1270</v>
      </c>
      <c r="I2588" s="23" t="s">
        <v>1249</v>
      </c>
      <c r="U2588" s="0" t="n">
        <v>391</v>
      </c>
      <c r="V2588" s="0" t="n">
        <v>0</v>
      </c>
      <c r="W2588" s="0" t="str">
        <f aca="false">IF(OR(AND(B2588&gt;=1,B2588&lt;=6),B2588=10),"Vaca em lactação",IF(I2588="Male","Macho",IF(E2588&gt;=1,"Vaca seca",IF(I2588="Youngstock","Bezerra/recria","Novilha"))))</f>
        <v>Bezerra/recria</v>
      </c>
      <c r="X2588" s="0" t="str">
        <f aca="false">IF(AND(B2588&gt;=1,B2588&lt;=6),"Tanque",IF(B2588=10,"Descarte",""))</f>
        <v/>
      </c>
    </row>
    <row r="2589" customFormat="false" ht="15" hidden="false" customHeight="false" outlineLevel="0" collapsed="false">
      <c r="A2589" s="22" t="n">
        <v>46309</v>
      </c>
      <c r="B2589" s="0" t="n">
        <v>13</v>
      </c>
      <c r="C2589" s="0" t="n">
        <v>6958</v>
      </c>
      <c r="E2589" s="0" t="n">
        <v>0</v>
      </c>
      <c r="F2589" s="23" t="s">
        <v>1270</v>
      </c>
      <c r="I2589" s="23" t="s">
        <v>1249</v>
      </c>
      <c r="U2589" s="0" t="n">
        <v>391</v>
      </c>
      <c r="V2589" s="0" t="n">
        <v>0</v>
      </c>
      <c r="W2589" s="0" t="str">
        <f aca="false">IF(OR(AND(B2589&gt;=1,B2589&lt;=6),B2589=10),"Vaca em lactação",IF(I2589="Male","Macho",IF(E2589&gt;=1,"Vaca seca",IF(I2589="Youngstock","Bezerra/recria","Novilha"))))</f>
        <v>Bezerra/recria</v>
      </c>
      <c r="X2589" s="0" t="str">
        <f aca="false">IF(AND(B2589&gt;=1,B2589&lt;=6),"Tanque",IF(B2589=10,"Descarte",""))</f>
        <v/>
      </c>
    </row>
    <row r="2590" customFormat="false" ht="15" hidden="false" customHeight="false" outlineLevel="0" collapsed="false">
      <c r="A2590" s="22" t="n">
        <v>46309</v>
      </c>
      <c r="B2590" s="0" t="n">
        <v>13</v>
      </c>
      <c r="C2590" s="0" t="n">
        <v>6963</v>
      </c>
      <c r="E2590" s="0" t="n">
        <v>0</v>
      </c>
      <c r="F2590" s="23" t="s">
        <v>1269</v>
      </c>
      <c r="I2590" s="23" t="s">
        <v>1249</v>
      </c>
      <c r="U2590" s="0" t="n">
        <v>390</v>
      </c>
      <c r="V2590" s="0" t="n">
        <v>0</v>
      </c>
      <c r="W2590" s="0" t="str">
        <f aca="false">IF(OR(AND(B2590&gt;=1,B2590&lt;=6),B2590=10),"Vaca em lactação",IF(I2590="Male","Macho",IF(E2590&gt;=1,"Vaca seca",IF(I2590="Youngstock","Bezerra/recria","Novilha"))))</f>
        <v>Bezerra/recria</v>
      </c>
      <c r="X2590" s="0" t="str">
        <f aca="false">IF(AND(B2590&gt;=1,B2590&lt;=6),"Tanque",IF(B2590=10,"Descarte",""))</f>
        <v/>
      </c>
    </row>
    <row r="2591" customFormat="false" ht="15" hidden="false" customHeight="false" outlineLevel="0" collapsed="false">
      <c r="A2591" s="22" t="n">
        <v>46309</v>
      </c>
      <c r="B2591" s="0" t="n">
        <v>13</v>
      </c>
      <c r="C2591" s="0" t="n">
        <v>6962</v>
      </c>
      <c r="E2591" s="0" t="n">
        <v>0</v>
      </c>
      <c r="F2591" s="23" t="s">
        <v>1269</v>
      </c>
      <c r="I2591" s="23" t="s">
        <v>1249</v>
      </c>
      <c r="U2591" s="0" t="n">
        <v>390</v>
      </c>
      <c r="V2591" s="0" t="n">
        <v>0</v>
      </c>
      <c r="W2591" s="0" t="str">
        <f aca="false">IF(OR(AND(B2591&gt;=1,B2591&lt;=6),B2591=10),"Vaca em lactação",IF(I2591="Male","Macho",IF(E2591&gt;=1,"Vaca seca",IF(I2591="Youngstock","Bezerra/recria","Novilha"))))</f>
        <v>Bezerra/recria</v>
      </c>
      <c r="X2591" s="0" t="str">
        <f aca="false">IF(AND(B2591&gt;=1,B2591&lt;=6),"Tanque",IF(B2591=10,"Descarte",""))</f>
        <v/>
      </c>
    </row>
    <row r="2592" customFormat="false" ht="15" hidden="false" customHeight="false" outlineLevel="0" collapsed="false">
      <c r="A2592" s="22" t="n">
        <v>46309</v>
      </c>
      <c r="B2592" s="0" t="n">
        <v>13</v>
      </c>
      <c r="C2592" s="0" t="n">
        <v>6972</v>
      </c>
      <c r="E2592" s="0" t="n">
        <v>0</v>
      </c>
      <c r="F2592" s="23" t="s">
        <v>1271</v>
      </c>
      <c r="I2592" s="23" t="s">
        <v>1249</v>
      </c>
      <c r="U2592" s="0" t="n">
        <v>389</v>
      </c>
      <c r="V2592" s="0" t="n">
        <v>0</v>
      </c>
      <c r="W2592" s="0" t="str">
        <f aca="false">IF(OR(AND(B2592&gt;=1,B2592&lt;=6),B2592=10),"Vaca em lactação",IF(I2592="Male","Macho",IF(E2592&gt;=1,"Vaca seca",IF(I2592="Youngstock","Bezerra/recria","Novilha"))))</f>
        <v>Bezerra/recria</v>
      </c>
      <c r="X2592" s="0" t="str">
        <f aca="false">IF(AND(B2592&gt;=1,B2592&lt;=6),"Tanque",IF(B2592=10,"Descarte",""))</f>
        <v/>
      </c>
    </row>
    <row r="2593" customFormat="false" ht="15" hidden="false" customHeight="false" outlineLevel="0" collapsed="false">
      <c r="A2593" s="22" t="n">
        <v>46309</v>
      </c>
      <c r="B2593" s="0" t="n">
        <v>13</v>
      </c>
      <c r="C2593" s="0" t="n">
        <v>6970</v>
      </c>
      <c r="E2593" s="0" t="n">
        <v>0</v>
      </c>
      <c r="F2593" s="23" t="s">
        <v>1271</v>
      </c>
      <c r="I2593" s="23" t="s">
        <v>1249</v>
      </c>
      <c r="U2593" s="0" t="n">
        <v>389</v>
      </c>
      <c r="V2593" s="0" t="n">
        <v>0</v>
      </c>
      <c r="W2593" s="0" t="str">
        <f aca="false">IF(OR(AND(B2593&gt;=1,B2593&lt;=6),B2593=10),"Vaca em lactação",IF(I2593="Male","Macho",IF(E2593&gt;=1,"Vaca seca",IF(I2593="Youngstock","Bezerra/recria","Novilha"))))</f>
        <v>Bezerra/recria</v>
      </c>
      <c r="X2593" s="0" t="str">
        <f aca="false">IF(AND(B2593&gt;=1,B2593&lt;=6),"Tanque",IF(B2593=10,"Descarte",""))</f>
        <v/>
      </c>
    </row>
    <row r="2594" customFormat="false" ht="15" hidden="false" customHeight="false" outlineLevel="0" collapsed="false">
      <c r="A2594" s="22" t="n">
        <v>46309</v>
      </c>
      <c r="B2594" s="0" t="n">
        <v>13</v>
      </c>
      <c r="C2594" s="0" t="n">
        <v>6969</v>
      </c>
      <c r="E2594" s="0" t="n">
        <v>0</v>
      </c>
      <c r="F2594" s="23" t="s">
        <v>1269</v>
      </c>
      <c r="I2594" s="23" t="s">
        <v>1249</v>
      </c>
      <c r="U2594" s="0" t="n">
        <v>390</v>
      </c>
      <c r="V2594" s="0" t="n">
        <v>0</v>
      </c>
      <c r="W2594" s="0" t="str">
        <f aca="false">IF(OR(AND(B2594&gt;=1,B2594&lt;=6),B2594=10),"Vaca em lactação",IF(I2594="Male","Macho",IF(E2594&gt;=1,"Vaca seca",IF(I2594="Youngstock","Bezerra/recria","Novilha"))))</f>
        <v>Bezerra/recria</v>
      </c>
      <c r="X2594" s="0" t="str">
        <f aca="false">IF(AND(B2594&gt;=1,B2594&lt;=6),"Tanque",IF(B2594=10,"Descarte",""))</f>
        <v/>
      </c>
    </row>
    <row r="2595" customFormat="false" ht="15" hidden="false" customHeight="false" outlineLevel="0" collapsed="false">
      <c r="A2595" s="22" t="n">
        <v>46309</v>
      </c>
      <c r="B2595" s="0" t="n">
        <v>13</v>
      </c>
      <c r="C2595" s="0" t="n">
        <v>6968</v>
      </c>
      <c r="E2595" s="0" t="n">
        <v>0</v>
      </c>
      <c r="F2595" s="23" t="s">
        <v>1269</v>
      </c>
      <c r="I2595" s="23" t="s">
        <v>1249</v>
      </c>
      <c r="U2595" s="0" t="n">
        <v>390</v>
      </c>
      <c r="V2595" s="0" t="n">
        <v>0</v>
      </c>
      <c r="W2595" s="0" t="str">
        <f aca="false">IF(OR(AND(B2595&gt;=1,B2595&lt;=6),B2595=10),"Vaca em lactação",IF(I2595="Male","Macho",IF(E2595&gt;=1,"Vaca seca",IF(I2595="Youngstock","Bezerra/recria","Novilha"))))</f>
        <v>Bezerra/recria</v>
      </c>
      <c r="X2595" s="0" t="str">
        <f aca="false">IF(AND(B2595&gt;=1,B2595&lt;=6),"Tanque",IF(B2595=10,"Descarte",""))</f>
        <v/>
      </c>
    </row>
    <row r="2596" customFormat="false" ht="15" hidden="false" customHeight="false" outlineLevel="0" collapsed="false">
      <c r="A2596" s="22" t="n">
        <v>46309</v>
      </c>
      <c r="B2596" s="0" t="n">
        <v>13</v>
      </c>
      <c r="C2596" s="0" t="n">
        <v>6967</v>
      </c>
      <c r="E2596" s="0" t="n">
        <v>0</v>
      </c>
      <c r="F2596" s="23" t="s">
        <v>1269</v>
      </c>
      <c r="I2596" s="23" t="s">
        <v>1249</v>
      </c>
      <c r="U2596" s="0" t="n">
        <v>390</v>
      </c>
      <c r="V2596" s="0" t="n">
        <v>0</v>
      </c>
      <c r="W2596" s="0" t="str">
        <f aca="false">IF(OR(AND(B2596&gt;=1,B2596&lt;=6),B2596=10),"Vaca em lactação",IF(I2596="Male","Macho",IF(E2596&gt;=1,"Vaca seca",IF(I2596="Youngstock","Bezerra/recria","Novilha"))))</f>
        <v>Bezerra/recria</v>
      </c>
      <c r="X2596" s="0" t="str">
        <f aca="false">IF(AND(B2596&gt;=1,B2596&lt;=6),"Tanque",IF(B2596=10,"Descarte",""))</f>
        <v/>
      </c>
    </row>
    <row r="2597" customFormat="false" ht="15" hidden="false" customHeight="false" outlineLevel="0" collapsed="false">
      <c r="A2597" s="22" t="n">
        <v>46309</v>
      </c>
      <c r="B2597" s="0" t="n">
        <v>13</v>
      </c>
      <c r="C2597" s="0" t="n">
        <v>6966</v>
      </c>
      <c r="E2597" s="0" t="n">
        <v>0</v>
      </c>
      <c r="F2597" s="23" t="s">
        <v>1269</v>
      </c>
      <c r="I2597" s="23" t="s">
        <v>1249</v>
      </c>
      <c r="U2597" s="0" t="n">
        <v>390</v>
      </c>
      <c r="V2597" s="0" t="n">
        <v>0</v>
      </c>
      <c r="W2597" s="0" t="str">
        <f aca="false">IF(OR(AND(B2597&gt;=1,B2597&lt;=6),B2597=10),"Vaca em lactação",IF(I2597="Male","Macho",IF(E2597&gt;=1,"Vaca seca",IF(I2597="Youngstock","Bezerra/recria","Novilha"))))</f>
        <v>Bezerra/recria</v>
      </c>
      <c r="X2597" s="0" t="str">
        <f aca="false">IF(AND(B2597&gt;=1,B2597&lt;=6),"Tanque",IF(B2597=10,"Descarte",""))</f>
        <v/>
      </c>
    </row>
    <row r="2598" customFormat="false" ht="15" hidden="false" customHeight="false" outlineLevel="0" collapsed="false">
      <c r="A2598" s="22" t="n">
        <v>46309</v>
      </c>
      <c r="B2598" s="0" t="n">
        <v>13</v>
      </c>
      <c r="C2598" s="0" t="n">
        <v>6965</v>
      </c>
      <c r="E2598" s="0" t="n">
        <v>0</v>
      </c>
      <c r="F2598" s="23" t="s">
        <v>1269</v>
      </c>
      <c r="I2598" s="23" t="s">
        <v>1249</v>
      </c>
      <c r="U2598" s="0" t="n">
        <v>390</v>
      </c>
      <c r="V2598" s="0" t="n">
        <v>0</v>
      </c>
      <c r="W2598" s="0" t="str">
        <f aca="false">IF(OR(AND(B2598&gt;=1,B2598&lt;=6),B2598=10),"Vaca em lactação",IF(I2598="Male","Macho",IF(E2598&gt;=1,"Vaca seca",IF(I2598="Youngstock","Bezerra/recria","Novilha"))))</f>
        <v>Bezerra/recria</v>
      </c>
      <c r="X2598" s="0" t="str">
        <f aca="false">IF(AND(B2598&gt;=1,B2598&lt;=6),"Tanque",IF(B2598=10,"Descarte",""))</f>
        <v/>
      </c>
    </row>
    <row r="2599" customFormat="false" ht="15" hidden="false" customHeight="false" outlineLevel="0" collapsed="false">
      <c r="A2599" s="22" t="n">
        <v>46309</v>
      </c>
      <c r="B2599" s="0" t="n">
        <v>13</v>
      </c>
      <c r="C2599" s="0" t="n">
        <v>6978</v>
      </c>
      <c r="E2599" s="0" t="n">
        <v>0</v>
      </c>
      <c r="F2599" s="23" t="s">
        <v>1272</v>
      </c>
      <c r="I2599" s="23" t="s">
        <v>1249</v>
      </c>
      <c r="U2599" s="0" t="n">
        <v>388</v>
      </c>
      <c r="V2599" s="0" t="n">
        <v>0</v>
      </c>
      <c r="W2599" s="0" t="str">
        <f aca="false">IF(OR(AND(B2599&gt;=1,B2599&lt;=6),B2599=10),"Vaca em lactação",IF(I2599="Male","Macho",IF(E2599&gt;=1,"Vaca seca",IF(I2599="Youngstock","Bezerra/recria","Novilha"))))</f>
        <v>Bezerra/recria</v>
      </c>
      <c r="X2599" s="0" t="str">
        <f aca="false">IF(AND(B2599&gt;=1,B2599&lt;=6),"Tanque",IF(B2599=10,"Descarte",""))</f>
        <v/>
      </c>
    </row>
    <row r="2600" customFormat="false" ht="15" hidden="false" customHeight="false" outlineLevel="0" collapsed="false">
      <c r="A2600" s="22" t="n">
        <v>46309</v>
      </c>
      <c r="B2600" s="0" t="n">
        <v>13</v>
      </c>
      <c r="C2600" s="0" t="n">
        <v>6977</v>
      </c>
      <c r="E2600" s="0" t="n">
        <v>0</v>
      </c>
      <c r="F2600" s="23" t="s">
        <v>1272</v>
      </c>
      <c r="I2600" s="23" t="s">
        <v>1249</v>
      </c>
      <c r="U2600" s="0" t="n">
        <v>388</v>
      </c>
      <c r="V2600" s="0" t="n">
        <v>0</v>
      </c>
      <c r="W2600" s="0" t="str">
        <f aca="false">IF(OR(AND(B2600&gt;=1,B2600&lt;=6),B2600=10),"Vaca em lactação",IF(I2600="Male","Macho",IF(E2600&gt;=1,"Vaca seca",IF(I2600="Youngstock","Bezerra/recria","Novilha"))))</f>
        <v>Bezerra/recria</v>
      </c>
      <c r="X2600" s="0" t="str">
        <f aca="false">IF(AND(B2600&gt;=1,B2600&lt;=6),"Tanque",IF(B2600=10,"Descarte",""))</f>
        <v/>
      </c>
    </row>
    <row r="2601" customFormat="false" ht="15" hidden="false" customHeight="false" outlineLevel="0" collapsed="false">
      <c r="A2601" s="22" t="n">
        <v>46309</v>
      </c>
      <c r="B2601" s="0" t="n">
        <v>13</v>
      </c>
      <c r="C2601" s="0" t="n">
        <v>6975</v>
      </c>
      <c r="E2601" s="0" t="n">
        <v>0</v>
      </c>
      <c r="F2601" s="23" t="s">
        <v>1272</v>
      </c>
      <c r="I2601" s="23" t="s">
        <v>1249</v>
      </c>
      <c r="U2601" s="0" t="n">
        <v>388</v>
      </c>
      <c r="V2601" s="0" t="n">
        <v>0</v>
      </c>
      <c r="W2601" s="0" t="str">
        <f aca="false">IF(OR(AND(B2601&gt;=1,B2601&lt;=6),B2601=10),"Vaca em lactação",IF(I2601="Male","Macho",IF(E2601&gt;=1,"Vaca seca",IF(I2601="Youngstock","Bezerra/recria","Novilha"))))</f>
        <v>Bezerra/recria</v>
      </c>
      <c r="X2601" s="0" t="str">
        <f aca="false">IF(AND(B2601&gt;=1,B2601&lt;=6),"Tanque",IF(B2601=10,"Descarte",""))</f>
        <v/>
      </c>
    </row>
    <row r="2602" customFormat="false" ht="15" hidden="false" customHeight="false" outlineLevel="0" collapsed="false">
      <c r="A2602" s="22" t="n">
        <v>46309</v>
      </c>
      <c r="B2602" s="0" t="n">
        <v>13</v>
      </c>
      <c r="C2602" s="0" t="n">
        <v>6974</v>
      </c>
      <c r="E2602" s="0" t="n">
        <v>0</v>
      </c>
      <c r="F2602" s="23" t="s">
        <v>1271</v>
      </c>
      <c r="I2602" s="23" t="s">
        <v>1249</v>
      </c>
      <c r="U2602" s="0" t="n">
        <v>389</v>
      </c>
      <c r="V2602" s="0" t="n">
        <v>0</v>
      </c>
      <c r="W2602" s="0" t="str">
        <f aca="false">IF(OR(AND(B2602&gt;=1,B2602&lt;=6),B2602=10),"Vaca em lactação",IF(I2602="Male","Macho",IF(E2602&gt;=1,"Vaca seca",IF(I2602="Youngstock","Bezerra/recria","Novilha"))))</f>
        <v>Bezerra/recria</v>
      </c>
      <c r="X2602" s="0" t="str">
        <f aca="false">IF(AND(B2602&gt;=1,B2602&lt;=6),"Tanque",IF(B2602=10,"Descarte",""))</f>
        <v/>
      </c>
    </row>
    <row r="2603" customFormat="false" ht="15" hidden="false" customHeight="false" outlineLevel="0" collapsed="false">
      <c r="A2603" s="22" t="n">
        <v>46309</v>
      </c>
      <c r="B2603" s="0" t="n">
        <v>13</v>
      </c>
      <c r="C2603" s="0" t="n">
        <v>6973</v>
      </c>
      <c r="E2603" s="0" t="n">
        <v>0</v>
      </c>
      <c r="F2603" s="23" t="s">
        <v>1271</v>
      </c>
      <c r="I2603" s="23" t="s">
        <v>1249</v>
      </c>
      <c r="U2603" s="0" t="n">
        <v>389</v>
      </c>
      <c r="V2603" s="0" t="n">
        <v>0</v>
      </c>
      <c r="W2603" s="0" t="str">
        <f aca="false">IF(OR(AND(B2603&gt;=1,B2603&lt;=6),B2603=10),"Vaca em lactação",IF(I2603="Male","Macho",IF(E2603&gt;=1,"Vaca seca",IF(I2603="Youngstock","Bezerra/recria","Novilha"))))</f>
        <v>Bezerra/recria</v>
      </c>
      <c r="X2603" s="0" t="str">
        <f aca="false">IF(AND(B2603&gt;=1,B2603&lt;=6),"Tanque",IF(B2603=10,"Descarte",""))</f>
        <v/>
      </c>
    </row>
    <row r="2604" customFormat="false" ht="15" hidden="false" customHeight="false" outlineLevel="0" collapsed="false">
      <c r="A2604" s="22" t="n">
        <v>46309</v>
      </c>
      <c r="B2604" s="0" t="n">
        <v>13</v>
      </c>
      <c r="C2604" s="0" t="n">
        <v>6980</v>
      </c>
      <c r="E2604" s="0" t="n">
        <v>0</v>
      </c>
      <c r="F2604" s="23" t="s">
        <v>1273</v>
      </c>
      <c r="I2604" s="23" t="s">
        <v>1249</v>
      </c>
      <c r="U2604" s="0" t="n">
        <v>387</v>
      </c>
      <c r="V2604" s="0" t="n">
        <v>0</v>
      </c>
      <c r="W2604" s="0" t="str">
        <f aca="false">IF(OR(AND(B2604&gt;=1,B2604&lt;=6),B2604=10),"Vaca em lactação",IF(I2604="Male","Macho",IF(E2604&gt;=1,"Vaca seca",IF(I2604="Youngstock","Bezerra/recria","Novilha"))))</f>
        <v>Bezerra/recria</v>
      </c>
      <c r="X2604" s="0" t="str">
        <f aca="false">IF(AND(B2604&gt;=1,B2604&lt;=6),"Tanque",IF(B2604=10,"Descarte",""))</f>
        <v/>
      </c>
    </row>
    <row r="2605" customFormat="false" ht="15" hidden="false" customHeight="false" outlineLevel="0" collapsed="false">
      <c r="A2605" s="22" t="n">
        <v>46309</v>
      </c>
      <c r="B2605" s="0" t="n">
        <v>13</v>
      </c>
      <c r="C2605" s="0" t="n">
        <v>6979</v>
      </c>
      <c r="E2605" s="0" t="n">
        <v>0</v>
      </c>
      <c r="F2605" s="23" t="s">
        <v>1272</v>
      </c>
      <c r="I2605" s="23" t="s">
        <v>1249</v>
      </c>
      <c r="U2605" s="0" t="n">
        <v>388</v>
      </c>
      <c r="V2605" s="0" t="n">
        <v>0</v>
      </c>
      <c r="W2605" s="0" t="str">
        <f aca="false">IF(OR(AND(B2605&gt;=1,B2605&lt;=6),B2605=10),"Vaca em lactação",IF(I2605="Male","Macho",IF(E2605&gt;=1,"Vaca seca",IF(I2605="Youngstock","Bezerra/recria","Novilha"))))</f>
        <v>Bezerra/recria</v>
      </c>
      <c r="X2605" s="0" t="str">
        <f aca="false">IF(AND(B2605&gt;=1,B2605&lt;=6),"Tanque",IF(B2605=10,"Descarte",""))</f>
        <v/>
      </c>
    </row>
    <row r="2606" customFormat="false" ht="15" hidden="false" customHeight="false" outlineLevel="0" collapsed="false">
      <c r="A2606" s="22" t="n">
        <v>46309</v>
      </c>
      <c r="B2606" s="0" t="n">
        <v>13</v>
      </c>
      <c r="C2606" s="0" t="n">
        <v>6964</v>
      </c>
      <c r="E2606" s="0" t="n">
        <v>0</v>
      </c>
      <c r="F2606" s="23" t="s">
        <v>1269</v>
      </c>
      <c r="I2606" s="23" t="s">
        <v>1249</v>
      </c>
      <c r="U2606" s="0" t="n">
        <v>390</v>
      </c>
      <c r="V2606" s="0" t="n">
        <v>0</v>
      </c>
      <c r="W2606" s="0" t="str">
        <f aca="false">IF(OR(AND(B2606&gt;=1,B2606&lt;=6),B2606=10),"Vaca em lactação",IF(I2606="Male","Macho",IF(E2606&gt;=1,"Vaca seca",IF(I2606="Youngstock","Bezerra/recria","Novilha"))))</f>
        <v>Bezerra/recria</v>
      </c>
      <c r="X2606" s="0" t="str">
        <f aca="false">IF(AND(B2606&gt;=1,B2606&lt;=6),"Tanque",IF(B2606=10,"Descarte",""))</f>
        <v/>
      </c>
    </row>
    <row r="2607" customFormat="false" ht="15" hidden="false" customHeight="false" outlineLevel="0" collapsed="false">
      <c r="A2607" s="22" t="n">
        <v>46309</v>
      </c>
      <c r="B2607" s="0" t="n">
        <v>13</v>
      </c>
      <c r="C2607" s="0" t="n">
        <v>6983</v>
      </c>
      <c r="E2607" s="0" t="n">
        <v>0</v>
      </c>
      <c r="F2607" s="23" t="s">
        <v>1262</v>
      </c>
      <c r="I2607" s="23" t="s">
        <v>1249</v>
      </c>
      <c r="U2607" s="0" t="n">
        <v>385</v>
      </c>
      <c r="V2607" s="0" t="n">
        <v>0</v>
      </c>
      <c r="W2607" s="0" t="str">
        <f aca="false">IF(OR(AND(B2607&gt;=1,B2607&lt;=6),B2607=10),"Vaca em lactação",IF(I2607="Male","Macho",IF(E2607&gt;=1,"Vaca seca",IF(I2607="Youngstock","Bezerra/recria","Novilha"))))</f>
        <v>Bezerra/recria</v>
      </c>
      <c r="X2607" s="0" t="str">
        <f aca="false">IF(AND(B2607&gt;=1,B2607&lt;=6),"Tanque",IF(B2607=10,"Descarte",""))</f>
        <v/>
      </c>
    </row>
    <row r="2608" customFormat="false" ht="15" hidden="false" customHeight="false" outlineLevel="0" collapsed="false">
      <c r="A2608" s="22" t="n">
        <v>46309</v>
      </c>
      <c r="B2608" s="0" t="n">
        <v>13</v>
      </c>
      <c r="C2608" s="0" t="n">
        <v>6984</v>
      </c>
      <c r="E2608" s="0" t="n">
        <v>0</v>
      </c>
      <c r="F2608" s="23" t="s">
        <v>1262</v>
      </c>
      <c r="I2608" s="23" t="s">
        <v>1249</v>
      </c>
      <c r="U2608" s="0" t="n">
        <v>385</v>
      </c>
      <c r="V2608" s="0" t="n">
        <v>0</v>
      </c>
      <c r="W2608" s="0" t="str">
        <f aca="false">IF(OR(AND(B2608&gt;=1,B2608&lt;=6),B2608=10),"Vaca em lactação",IF(I2608="Male","Macho",IF(E2608&gt;=1,"Vaca seca",IF(I2608="Youngstock","Bezerra/recria","Novilha"))))</f>
        <v>Bezerra/recria</v>
      </c>
      <c r="X2608" s="0" t="str">
        <f aca="false">IF(AND(B2608&gt;=1,B2608&lt;=6),"Tanque",IF(B2608=10,"Descarte",""))</f>
        <v/>
      </c>
    </row>
    <row r="2609" customFormat="false" ht="15" hidden="false" customHeight="false" outlineLevel="0" collapsed="false">
      <c r="A2609" s="22" t="n">
        <v>46309</v>
      </c>
      <c r="B2609" s="0" t="n">
        <v>13</v>
      </c>
      <c r="C2609" s="0" t="n">
        <v>6982</v>
      </c>
      <c r="E2609" s="0" t="n">
        <v>0</v>
      </c>
      <c r="F2609" s="23" t="s">
        <v>1262</v>
      </c>
      <c r="I2609" s="23" t="s">
        <v>1249</v>
      </c>
      <c r="U2609" s="0" t="n">
        <v>385</v>
      </c>
      <c r="V2609" s="0" t="n">
        <v>0</v>
      </c>
      <c r="W2609" s="0" t="str">
        <f aca="false">IF(OR(AND(B2609&gt;=1,B2609&lt;=6),B2609=10),"Vaca em lactação",IF(I2609="Male","Macho",IF(E2609&gt;=1,"Vaca seca",IF(I2609="Youngstock","Bezerra/recria","Novilha"))))</f>
        <v>Bezerra/recria</v>
      </c>
      <c r="X2609" s="0" t="str">
        <f aca="false">IF(AND(B2609&gt;=1,B2609&lt;=6),"Tanque",IF(B2609=10,"Descarte",""))</f>
        <v/>
      </c>
    </row>
    <row r="2610" customFormat="false" ht="15" hidden="false" customHeight="false" outlineLevel="0" collapsed="false">
      <c r="A2610" s="22" t="n">
        <v>46309</v>
      </c>
      <c r="B2610" s="0" t="n">
        <v>13</v>
      </c>
      <c r="C2610" s="0" t="n">
        <v>7090</v>
      </c>
      <c r="E2610" s="0" t="n">
        <v>0</v>
      </c>
      <c r="F2610" s="23" t="s">
        <v>1274</v>
      </c>
      <c r="I2610" s="23" t="s">
        <v>1249</v>
      </c>
      <c r="U2610" s="0" t="n">
        <v>347</v>
      </c>
      <c r="V2610" s="0" t="n">
        <v>0</v>
      </c>
      <c r="W2610" s="0" t="str">
        <f aca="false">IF(OR(AND(B2610&gt;=1,B2610&lt;=6),B2610=10),"Vaca em lactação",IF(I2610="Male","Macho",IF(E2610&gt;=1,"Vaca seca",IF(I2610="Youngstock","Bezerra/recria","Novilha"))))</f>
        <v>Bezerra/recria</v>
      </c>
      <c r="X2610" s="0" t="str">
        <f aca="false">IF(AND(B2610&gt;=1,B2610&lt;=6),"Tanque",IF(B2610=10,"Descarte",""))</f>
        <v/>
      </c>
    </row>
    <row r="2611" customFormat="false" ht="15" hidden="false" customHeight="false" outlineLevel="0" collapsed="false">
      <c r="A2611" s="22" t="n">
        <v>46309</v>
      </c>
      <c r="B2611" s="0" t="n">
        <v>13</v>
      </c>
      <c r="C2611" s="0" t="n">
        <v>7089</v>
      </c>
      <c r="E2611" s="0" t="n">
        <v>0</v>
      </c>
      <c r="F2611" s="23" t="s">
        <v>1274</v>
      </c>
      <c r="I2611" s="23" t="s">
        <v>1249</v>
      </c>
      <c r="U2611" s="0" t="n">
        <v>347</v>
      </c>
      <c r="V2611" s="0" t="n">
        <v>0</v>
      </c>
      <c r="W2611" s="0" t="str">
        <f aca="false">IF(OR(AND(B2611&gt;=1,B2611&lt;=6),B2611=10),"Vaca em lactação",IF(I2611="Male","Macho",IF(E2611&gt;=1,"Vaca seca",IF(I2611="Youngstock","Bezerra/recria","Novilha"))))</f>
        <v>Bezerra/recria</v>
      </c>
      <c r="X2611" s="0" t="str">
        <f aca="false">IF(AND(B2611&gt;=1,B2611&lt;=6),"Tanque",IF(B2611=10,"Descarte",""))</f>
        <v/>
      </c>
    </row>
    <row r="2612" customFormat="false" ht="15" hidden="false" customHeight="false" outlineLevel="0" collapsed="false">
      <c r="A2612" s="22" t="n">
        <v>46309</v>
      </c>
      <c r="B2612" s="0" t="n">
        <v>13</v>
      </c>
      <c r="C2612" s="0" t="n">
        <v>7092</v>
      </c>
      <c r="E2612" s="0" t="n">
        <v>0</v>
      </c>
      <c r="F2612" s="23" t="s">
        <v>1275</v>
      </c>
      <c r="I2612" s="23" t="s">
        <v>1249</v>
      </c>
      <c r="U2612" s="0" t="n">
        <v>346</v>
      </c>
      <c r="V2612" s="0" t="n">
        <v>0</v>
      </c>
      <c r="W2612" s="0" t="str">
        <f aca="false">IF(OR(AND(B2612&gt;=1,B2612&lt;=6),B2612=10),"Vaca em lactação",IF(I2612="Male","Macho",IF(E2612&gt;=1,"Vaca seca",IF(I2612="Youngstock","Bezerra/recria","Novilha"))))</f>
        <v>Bezerra/recria</v>
      </c>
      <c r="X2612" s="0" t="str">
        <f aca="false">IF(AND(B2612&gt;=1,B2612&lt;=6),"Tanque",IF(B2612=10,"Descarte",""))</f>
        <v/>
      </c>
    </row>
    <row r="2613" customFormat="false" ht="15" hidden="false" customHeight="false" outlineLevel="0" collapsed="false">
      <c r="A2613" s="22" t="n">
        <v>46309</v>
      </c>
      <c r="B2613" s="0" t="n">
        <v>13</v>
      </c>
      <c r="C2613" s="0" t="n">
        <v>7091</v>
      </c>
      <c r="E2613" s="0" t="n">
        <v>0</v>
      </c>
      <c r="F2613" s="23" t="s">
        <v>1275</v>
      </c>
      <c r="I2613" s="23" t="s">
        <v>1249</v>
      </c>
      <c r="U2613" s="0" t="n">
        <v>346</v>
      </c>
      <c r="V2613" s="0" t="n">
        <v>0</v>
      </c>
      <c r="W2613" s="0" t="str">
        <f aca="false">IF(OR(AND(B2613&gt;=1,B2613&lt;=6),B2613=10),"Vaca em lactação",IF(I2613="Male","Macho",IF(E2613&gt;=1,"Vaca seca",IF(I2613="Youngstock","Bezerra/recria","Novilha"))))</f>
        <v>Bezerra/recria</v>
      </c>
      <c r="X2613" s="0" t="str">
        <f aca="false">IF(AND(B2613&gt;=1,B2613&lt;=6),"Tanque",IF(B2613=10,"Descarte",""))</f>
        <v/>
      </c>
    </row>
    <row r="2614" customFormat="false" ht="15" hidden="false" customHeight="false" outlineLevel="0" collapsed="false">
      <c r="A2614" s="22" t="n">
        <v>46309</v>
      </c>
      <c r="B2614" s="0" t="n">
        <v>13</v>
      </c>
      <c r="C2614" s="0" t="n">
        <v>7083</v>
      </c>
      <c r="E2614" s="0" t="n">
        <v>0</v>
      </c>
      <c r="F2614" s="23" t="s">
        <v>1276</v>
      </c>
      <c r="I2614" s="23" t="s">
        <v>1249</v>
      </c>
      <c r="U2614" s="0" t="n">
        <v>348</v>
      </c>
      <c r="V2614" s="0" t="n">
        <v>0</v>
      </c>
      <c r="W2614" s="0" t="str">
        <f aca="false">IF(OR(AND(B2614&gt;=1,B2614&lt;=6),B2614=10),"Vaca em lactação",IF(I2614="Male","Macho",IF(E2614&gt;=1,"Vaca seca",IF(I2614="Youngstock","Bezerra/recria","Novilha"))))</f>
        <v>Bezerra/recria</v>
      </c>
      <c r="X2614" s="0" t="str">
        <f aca="false">IF(AND(B2614&gt;=1,B2614&lt;=6),"Tanque",IF(B2614=10,"Descarte",""))</f>
        <v/>
      </c>
    </row>
    <row r="2615" customFormat="false" ht="15" hidden="false" customHeight="false" outlineLevel="0" collapsed="false">
      <c r="A2615" s="22" t="n">
        <v>46309</v>
      </c>
      <c r="B2615" s="0" t="n">
        <v>13</v>
      </c>
      <c r="C2615" s="0" t="n">
        <v>7082</v>
      </c>
      <c r="E2615" s="0" t="n">
        <v>0</v>
      </c>
      <c r="F2615" s="23" t="s">
        <v>1276</v>
      </c>
      <c r="I2615" s="23" t="s">
        <v>1249</v>
      </c>
      <c r="U2615" s="0" t="n">
        <v>348</v>
      </c>
      <c r="V2615" s="0" t="n">
        <v>0</v>
      </c>
      <c r="W2615" s="0" t="str">
        <f aca="false">IF(OR(AND(B2615&gt;=1,B2615&lt;=6),B2615=10),"Vaca em lactação",IF(I2615="Male","Macho",IF(E2615&gt;=1,"Vaca seca",IF(I2615="Youngstock","Bezerra/recria","Novilha"))))</f>
        <v>Bezerra/recria</v>
      </c>
      <c r="X2615" s="0" t="str">
        <f aca="false">IF(AND(B2615&gt;=1,B2615&lt;=6),"Tanque",IF(B2615=10,"Descarte",""))</f>
        <v/>
      </c>
    </row>
    <row r="2616" customFormat="false" ht="15" hidden="false" customHeight="false" outlineLevel="0" collapsed="false">
      <c r="A2616" s="22" t="n">
        <v>46309</v>
      </c>
      <c r="B2616" s="0" t="n">
        <v>13</v>
      </c>
      <c r="C2616" s="0" t="n">
        <v>7081</v>
      </c>
      <c r="E2616" s="0" t="n">
        <v>0</v>
      </c>
      <c r="F2616" s="23" t="s">
        <v>1276</v>
      </c>
      <c r="I2616" s="23" t="s">
        <v>1249</v>
      </c>
      <c r="U2616" s="0" t="n">
        <v>348</v>
      </c>
      <c r="V2616" s="0" t="n">
        <v>0</v>
      </c>
      <c r="W2616" s="0" t="str">
        <f aca="false">IF(OR(AND(B2616&gt;=1,B2616&lt;=6),B2616=10),"Vaca em lactação",IF(I2616="Male","Macho",IF(E2616&gt;=1,"Vaca seca",IF(I2616="Youngstock","Bezerra/recria","Novilha"))))</f>
        <v>Bezerra/recria</v>
      </c>
      <c r="X2616" s="0" t="str">
        <f aca="false">IF(AND(B2616&gt;=1,B2616&lt;=6),"Tanque",IF(B2616=10,"Descarte",""))</f>
        <v/>
      </c>
    </row>
    <row r="2617" customFormat="false" ht="15" hidden="false" customHeight="false" outlineLevel="0" collapsed="false">
      <c r="A2617" s="22" t="n">
        <v>46309</v>
      </c>
      <c r="B2617" s="0" t="n">
        <v>13</v>
      </c>
      <c r="C2617" s="0" t="n">
        <v>7080</v>
      </c>
      <c r="E2617" s="0" t="n">
        <v>0</v>
      </c>
      <c r="F2617" s="23" t="s">
        <v>1277</v>
      </c>
      <c r="I2617" s="23" t="s">
        <v>1249</v>
      </c>
      <c r="U2617" s="0" t="n">
        <v>349</v>
      </c>
      <c r="V2617" s="0" t="n">
        <v>0</v>
      </c>
      <c r="W2617" s="0" t="str">
        <f aca="false">IF(OR(AND(B2617&gt;=1,B2617&lt;=6),B2617=10),"Vaca em lactação",IF(I2617="Male","Macho",IF(E2617&gt;=1,"Vaca seca",IF(I2617="Youngstock","Bezerra/recria","Novilha"))))</f>
        <v>Bezerra/recria</v>
      </c>
      <c r="X2617" s="0" t="str">
        <f aca="false">IF(AND(B2617&gt;=1,B2617&lt;=6),"Tanque",IF(B2617=10,"Descarte",""))</f>
        <v/>
      </c>
    </row>
    <row r="2618" customFormat="false" ht="15" hidden="false" customHeight="false" outlineLevel="0" collapsed="false">
      <c r="A2618" s="22" t="n">
        <v>46309</v>
      </c>
      <c r="B2618" s="0" t="n">
        <v>13</v>
      </c>
      <c r="C2618" s="0" t="n">
        <v>7085</v>
      </c>
      <c r="E2618" s="0" t="n">
        <v>0</v>
      </c>
      <c r="F2618" s="23" t="s">
        <v>1274</v>
      </c>
      <c r="I2618" s="23" t="s">
        <v>1249</v>
      </c>
      <c r="U2618" s="0" t="n">
        <v>347</v>
      </c>
      <c r="V2618" s="0" t="n">
        <v>0</v>
      </c>
      <c r="W2618" s="0" t="str">
        <f aca="false">IF(OR(AND(B2618&gt;=1,B2618&lt;=6),B2618=10),"Vaca em lactação",IF(I2618="Male","Macho",IF(E2618&gt;=1,"Vaca seca",IF(I2618="Youngstock","Bezerra/recria","Novilha"))))</f>
        <v>Bezerra/recria</v>
      </c>
      <c r="X2618" s="0" t="str">
        <f aca="false">IF(AND(B2618&gt;=1,B2618&lt;=6),"Tanque",IF(B2618=10,"Descarte",""))</f>
        <v/>
      </c>
    </row>
    <row r="2619" customFormat="false" ht="15" hidden="false" customHeight="false" outlineLevel="0" collapsed="false">
      <c r="A2619" s="22" t="n">
        <v>46309</v>
      </c>
      <c r="B2619" s="0" t="n">
        <v>13</v>
      </c>
      <c r="C2619" s="0" t="n">
        <v>7084</v>
      </c>
      <c r="E2619" s="0" t="n">
        <v>0</v>
      </c>
      <c r="F2619" s="23" t="s">
        <v>1276</v>
      </c>
      <c r="I2619" s="23" t="s">
        <v>1249</v>
      </c>
      <c r="U2619" s="0" t="n">
        <v>348</v>
      </c>
      <c r="V2619" s="0" t="n">
        <v>0</v>
      </c>
      <c r="W2619" s="0" t="str">
        <f aca="false">IF(OR(AND(B2619&gt;=1,B2619&lt;=6),B2619=10),"Vaca em lactação",IF(I2619="Male","Macho",IF(E2619&gt;=1,"Vaca seca",IF(I2619="Youngstock","Bezerra/recria","Novilha"))))</f>
        <v>Bezerra/recria</v>
      </c>
      <c r="X2619" s="0" t="str">
        <f aca="false">IF(AND(B2619&gt;=1,B2619&lt;=6),"Tanque",IF(B2619=10,"Descarte",""))</f>
        <v/>
      </c>
    </row>
    <row r="2620" customFormat="false" ht="15" hidden="false" customHeight="false" outlineLevel="0" collapsed="false">
      <c r="A2620" s="22" t="n">
        <v>46309</v>
      </c>
      <c r="B2620" s="0" t="n">
        <v>13</v>
      </c>
      <c r="C2620" s="0" t="n">
        <v>7087</v>
      </c>
      <c r="E2620" s="0" t="n">
        <v>0</v>
      </c>
      <c r="F2620" s="23" t="s">
        <v>1274</v>
      </c>
      <c r="I2620" s="23" t="s">
        <v>1249</v>
      </c>
      <c r="U2620" s="0" t="n">
        <v>347</v>
      </c>
      <c r="V2620" s="0" t="n">
        <v>0</v>
      </c>
      <c r="W2620" s="0" t="str">
        <f aca="false">IF(OR(AND(B2620&gt;=1,B2620&lt;=6),B2620=10),"Vaca em lactação",IF(I2620="Male","Macho",IF(E2620&gt;=1,"Vaca seca",IF(I2620="Youngstock","Bezerra/recria","Novilha"))))</f>
        <v>Bezerra/recria</v>
      </c>
      <c r="X2620" s="0" t="str">
        <f aca="false">IF(AND(B2620&gt;=1,B2620&lt;=6),"Tanque",IF(B2620=10,"Descarte",""))</f>
        <v/>
      </c>
    </row>
    <row r="2621" customFormat="false" ht="15" hidden="false" customHeight="false" outlineLevel="0" collapsed="false">
      <c r="A2621" s="22" t="n">
        <v>46309</v>
      </c>
      <c r="B2621" s="0" t="n">
        <v>13</v>
      </c>
      <c r="C2621" s="0" t="n">
        <v>7086</v>
      </c>
      <c r="E2621" s="0" t="n">
        <v>0</v>
      </c>
      <c r="F2621" s="23" t="s">
        <v>1274</v>
      </c>
      <c r="I2621" s="23" t="s">
        <v>1249</v>
      </c>
      <c r="U2621" s="0" t="n">
        <v>347</v>
      </c>
      <c r="V2621" s="0" t="n">
        <v>0</v>
      </c>
      <c r="W2621" s="0" t="str">
        <f aca="false">IF(OR(AND(B2621&gt;=1,B2621&lt;=6),B2621=10),"Vaca em lactação",IF(I2621="Male","Macho",IF(E2621&gt;=1,"Vaca seca",IF(I2621="Youngstock","Bezerra/recria","Novilha"))))</f>
        <v>Bezerra/recria</v>
      </c>
      <c r="X2621" s="0" t="str">
        <f aca="false">IF(AND(B2621&gt;=1,B2621&lt;=6),"Tanque",IF(B2621=10,"Descarte",""))</f>
        <v/>
      </c>
    </row>
    <row r="2622" customFormat="false" ht="15" hidden="false" customHeight="false" outlineLevel="0" collapsed="false">
      <c r="A2622" s="22" t="n">
        <v>46309</v>
      </c>
      <c r="B2622" s="0" t="n">
        <v>13</v>
      </c>
      <c r="C2622" s="0" t="n">
        <v>7099</v>
      </c>
      <c r="E2622" s="0" t="n">
        <v>0</v>
      </c>
      <c r="F2622" s="23" t="s">
        <v>1278</v>
      </c>
      <c r="I2622" s="23" t="s">
        <v>1249</v>
      </c>
      <c r="U2622" s="0" t="n">
        <v>345</v>
      </c>
      <c r="V2622" s="0" t="n">
        <v>0</v>
      </c>
      <c r="W2622" s="0" t="str">
        <f aca="false">IF(OR(AND(B2622&gt;=1,B2622&lt;=6),B2622=10),"Vaca em lactação",IF(I2622="Male","Macho",IF(E2622&gt;=1,"Vaca seca",IF(I2622="Youngstock","Bezerra/recria","Novilha"))))</f>
        <v>Bezerra/recria</v>
      </c>
      <c r="X2622" s="0" t="str">
        <f aca="false">IF(AND(B2622&gt;=1,B2622&lt;=6),"Tanque",IF(B2622=10,"Descarte",""))</f>
        <v/>
      </c>
    </row>
    <row r="2623" customFormat="false" ht="15" hidden="false" customHeight="false" outlineLevel="0" collapsed="false">
      <c r="A2623" s="22" t="n">
        <v>46309</v>
      </c>
      <c r="B2623" s="0" t="n">
        <v>13</v>
      </c>
      <c r="C2623" s="0" t="n">
        <v>7097</v>
      </c>
      <c r="E2623" s="0" t="n">
        <v>0</v>
      </c>
      <c r="F2623" s="23" t="s">
        <v>1275</v>
      </c>
      <c r="I2623" s="23" t="s">
        <v>1249</v>
      </c>
      <c r="U2623" s="0" t="n">
        <v>346</v>
      </c>
      <c r="V2623" s="0" t="n">
        <v>0</v>
      </c>
      <c r="W2623" s="0" t="str">
        <f aca="false">IF(OR(AND(B2623&gt;=1,B2623&lt;=6),B2623=10),"Vaca em lactação",IF(I2623="Male","Macho",IF(E2623&gt;=1,"Vaca seca",IF(I2623="Youngstock","Bezerra/recria","Novilha"))))</f>
        <v>Bezerra/recria</v>
      </c>
      <c r="X2623" s="0" t="str">
        <f aca="false">IF(AND(B2623&gt;=1,B2623&lt;=6),"Tanque",IF(B2623=10,"Descarte",""))</f>
        <v/>
      </c>
    </row>
    <row r="2624" customFormat="false" ht="15" hidden="false" customHeight="false" outlineLevel="0" collapsed="false">
      <c r="A2624" s="22" t="n">
        <v>46309</v>
      </c>
      <c r="B2624" s="0" t="n">
        <v>13</v>
      </c>
      <c r="C2624" s="0" t="n">
        <v>7096</v>
      </c>
      <c r="E2624" s="0" t="n">
        <v>0</v>
      </c>
      <c r="F2624" s="23" t="s">
        <v>1275</v>
      </c>
      <c r="I2624" s="23" t="s">
        <v>1249</v>
      </c>
      <c r="U2624" s="0" t="n">
        <v>346</v>
      </c>
      <c r="V2624" s="0" t="n">
        <v>0</v>
      </c>
      <c r="W2624" s="0" t="str">
        <f aca="false">IF(OR(AND(B2624&gt;=1,B2624&lt;=6),B2624=10),"Vaca em lactação",IF(I2624="Male","Macho",IF(E2624&gt;=1,"Vaca seca",IF(I2624="Youngstock","Bezerra/recria","Novilha"))))</f>
        <v>Bezerra/recria</v>
      </c>
      <c r="X2624" s="0" t="str">
        <f aca="false">IF(AND(B2624&gt;=1,B2624&lt;=6),"Tanque",IF(B2624=10,"Descarte",""))</f>
        <v/>
      </c>
    </row>
    <row r="2625" customFormat="false" ht="15" hidden="false" customHeight="false" outlineLevel="0" collapsed="false">
      <c r="A2625" s="22" t="n">
        <v>46309</v>
      </c>
      <c r="B2625" s="0" t="n">
        <v>13</v>
      </c>
      <c r="C2625" s="0" t="n">
        <v>7095</v>
      </c>
      <c r="E2625" s="0" t="n">
        <v>0</v>
      </c>
      <c r="F2625" s="23" t="s">
        <v>1275</v>
      </c>
      <c r="I2625" s="23" t="s">
        <v>1249</v>
      </c>
      <c r="U2625" s="0" t="n">
        <v>346</v>
      </c>
      <c r="V2625" s="0" t="n">
        <v>0</v>
      </c>
      <c r="W2625" s="0" t="str">
        <f aca="false">IF(OR(AND(B2625&gt;=1,B2625&lt;=6),B2625=10),"Vaca em lactação",IF(I2625="Male","Macho",IF(E2625&gt;=1,"Vaca seca",IF(I2625="Youngstock","Bezerra/recria","Novilha"))))</f>
        <v>Bezerra/recria</v>
      </c>
      <c r="X2625" s="0" t="str">
        <f aca="false">IF(AND(B2625&gt;=1,B2625&lt;=6),"Tanque",IF(B2625=10,"Descarte",""))</f>
        <v/>
      </c>
    </row>
    <row r="2626" customFormat="false" ht="15" hidden="false" customHeight="false" outlineLevel="0" collapsed="false">
      <c r="A2626" s="22" t="n">
        <v>46309</v>
      </c>
      <c r="B2626" s="0" t="n">
        <v>13</v>
      </c>
      <c r="C2626" s="0" t="n">
        <v>7094</v>
      </c>
      <c r="E2626" s="0" t="n">
        <v>0</v>
      </c>
      <c r="F2626" s="23" t="s">
        <v>1275</v>
      </c>
      <c r="I2626" s="23" t="s">
        <v>1249</v>
      </c>
      <c r="U2626" s="0" t="n">
        <v>346</v>
      </c>
      <c r="V2626" s="0" t="n">
        <v>0</v>
      </c>
      <c r="W2626" s="0" t="str">
        <f aca="false">IF(OR(AND(B2626&gt;=1,B2626&lt;=6),B2626=10),"Vaca em lactação",IF(I2626="Male","Macho",IF(E2626&gt;=1,"Vaca seca",IF(I2626="Youngstock","Bezerra/recria","Novilha"))))</f>
        <v>Bezerra/recria</v>
      </c>
      <c r="X2626" s="0" t="str">
        <f aca="false">IF(AND(B2626&gt;=1,B2626&lt;=6),"Tanque",IF(B2626=10,"Descarte",""))</f>
        <v/>
      </c>
    </row>
    <row r="2627" customFormat="false" ht="15" hidden="false" customHeight="false" outlineLevel="0" collapsed="false">
      <c r="A2627" s="22" t="n">
        <v>46309</v>
      </c>
      <c r="B2627" s="0" t="n">
        <v>13</v>
      </c>
      <c r="C2627" s="0" t="n">
        <v>7093</v>
      </c>
      <c r="E2627" s="0" t="n">
        <v>0</v>
      </c>
      <c r="F2627" s="23" t="s">
        <v>1275</v>
      </c>
      <c r="I2627" s="23" t="s">
        <v>1249</v>
      </c>
      <c r="U2627" s="0" t="n">
        <v>346</v>
      </c>
      <c r="V2627" s="0" t="n">
        <v>0</v>
      </c>
      <c r="W2627" s="0" t="str">
        <f aca="false">IF(OR(AND(B2627&gt;=1,B2627&lt;=6),B2627=10),"Vaca em lactação",IF(I2627="Male","Macho",IF(E2627&gt;=1,"Vaca seca",IF(I2627="Youngstock","Bezerra/recria","Novilha"))))</f>
        <v>Bezerra/recria</v>
      </c>
      <c r="X2627" s="0" t="str">
        <f aca="false">IF(AND(B2627&gt;=1,B2627&lt;=6),"Tanque",IF(B2627=10,"Descarte",""))</f>
        <v/>
      </c>
    </row>
    <row r="2628" customFormat="false" ht="15" hidden="false" customHeight="false" outlineLevel="0" collapsed="false">
      <c r="A2628" s="22" t="n">
        <v>46309</v>
      </c>
      <c r="B2628" s="0" t="n">
        <v>13</v>
      </c>
      <c r="C2628" s="0" t="n">
        <v>7103</v>
      </c>
      <c r="E2628" s="0" t="n">
        <v>0</v>
      </c>
      <c r="F2628" s="23" t="s">
        <v>1279</v>
      </c>
      <c r="I2628" s="23" t="s">
        <v>1249</v>
      </c>
      <c r="U2628" s="0" t="n">
        <v>344</v>
      </c>
      <c r="V2628" s="0" t="n">
        <v>0</v>
      </c>
      <c r="W2628" s="0" t="str">
        <f aca="false">IF(OR(AND(B2628&gt;=1,B2628&lt;=6),B2628=10),"Vaca em lactação",IF(I2628="Male","Macho",IF(E2628&gt;=1,"Vaca seca",IF(I2628="Youngstock","Bezerra/recria","Novilha"))))</f>
        <v>Bezerra/recria</v>
      </c>
      <c r="X2628" s="0" t="str">
        <f aca="false">IF(AND(B2628&gt;=1,B2628&lt;=6),"Tanque",IF(B2628=10,"Descarte",""))</f>
        <v/>
      </c>
    </row>
    <row r="2629" customFormat="false" ht="15" hidden="false" customHeight="false" outlineLevel="0" collapsed="false">
      <c r="A2629" s="22" t="n">
        <v>46309</v>
      </c>
      <c r="B2629" s="0" t="n">
        <v>13</v>
      </c>
      <c r="C2629" s="0" t="n">
        <v>7102</v>
      </c>
      <c r="E2629" s="0" t="n">
        <v>0</v>
      </c>
      <c r="F2629" s="23" t="s">
        <v>1278</v>
      </c>
      <c r="I2629" s="23" t="s">
        <v>1249</v>
      </c>
      <c r="U2629" s="0" t="n">
        <v>345</v>
      </c>
      <c r="V2629" s="0" t="n">
        <v>0</v>
      </c>
      <c r="W2629" s="0" t="str">
        <f aca="false">IF(OR(AND(B2629&gt;=1,B2629&lt;=6),B2629=10),"Vaca em lactação",IF(I2629="Male","Macho",IF(E2629&gt;=1,"Vaca seca",IF(I2629="Youngstock","Bezerra/recria","Novilha"))))</f>
        <v>Bezerra/recria</v>
      </c>
      <c r="X2629" s="0" t="str">
        <f aca="false">IF(AND(B2629&gt;=1,B2629&lt;=6),"Tanque",IF(B2629=10,"Descarte",""))</f>
        <v/>
      </c>
    </row>
    <row r="2630" customFormat="false" ht="15" hidden="false" customHeight="false" outlineLevel="0" collapsed="false">
      <c r="A2630" s="22" t="n">
        <v>46309</v>
      </c>
      <c r="B2630" s="0" t="n">
        <v>13</v>
      </c>
      <c r="C2630" s="0" t="n">
        <v>7101</v>
      </c>
      <c r="E2630" s="0" t="n">
        <v>0</v>
      </c>
      <c r="F2630" s="23" t="s">
        <v>1278</v>
      </c>
      <c r="I2630" s="23" t="s">
        <v>1249</v>
      </c>
      <c r="U2630" s="0" t="n">
        <v>345</v>
      </c>
      <c r="V2630" s="0" t="n">
        <v>0</v>
      </c>
      <c r="W2630" s="0" t="str">
        <f aca="false">IF(OR(AND(B2630&gt;=1,B2630&lt;=6),B2630=10),"Vaca em lactação",IF(I2630="Male","Macho",IF(E2630&gt;=1,"Vaca seca",IF(I2630="Youngstock","Bezerra/recria","Novilha"))))</f>
        <v>Bezerra/recria</v>
      </c>
      <c r="X2630" s="0" t="str">
        <f aca="false">IF(AND(B2630&gt;=1,B2630&lt;=6),"Tanque",IF(B2630=10,"Descarte",""))</f>
        <v/>
      </c>
    </row>
    <row r="2631" customFormat="false" ht="15" hidden="false" customHeight="false" outlineLevel="0" collapsed="false">
      <c r="A2631" s="22" t="n">
        <v>46309</v>
      </c>
      <c r="B2631" s="0" t="n">
        <v>13</v>
      </c>
      <c r="C2631" s="0" t="n">
        <v>7100</v>
      </c>
      <c r="E2631" s="0" t="n">
        <v>0</v>
      </c>
      <c r="F2631" s="23" t="s">
        <v>1278</v>
      </c>
      <c r="I2631" s="23" t="s">
        <v>1249</v>
      </c>
      <c r="U2631" s="0" t="n">
        <v>345</v>
      </c>
      <c r="V2631" s="0" t="n">
        <v>0</v>
      </c>
      <c r="W2631" s="0" t="str">
        <f aca="false">IF(OR(AND(B2631&gt;=1,B2631&lt;=6),B2631=10),"Vaca em lactação",IF(I2631="Male","Macho",IF(E2631&gt;=1,"Vaca seca",IF(I2631="Youngstock","Bezerra/recria","Novilha"))))</f>
        <v>Bezerra/recria</v>
      </c>
      <c r="X2631" s="0" t="str">
        <f aca="false">IF(AND(B2631&gt;=1,B2631&lt;=6),"Tanque",IF(B2631=10,"Descarte",""))</f>
        <v/>
      </c>
    </row>
    <row r="2632" customFormat="false" ht="15" hidden="false" customHeight="false" outlineLevel="0" collapsed="false">
      <c r="A2632" s="22" t="n">
        <v>46309</v>
      </c>
      <c r="B2632" s="0" t="n">
        <v>13</v>
      </c>
      <c r="C2632" s="0" t="n">
        <v>7104</v>
      </c>
      <c r="E2632" s="0" t="n">
        <v>0</v>
      </c>
      <c r="F2632" s="23" t="s">
        <v>1279</v>
      </c>
      <c r="I2632" s="23" t="s">
        <v>1249</v>
      </c>
      <c r="U2632" s="0" t="n">
        <v>344</v>
      </c>
      <c r="V2632" s="0" t="n">
        <v>0</v>
      </c>
      <c r="W2632" s="0" t="str">
        <f aca="false">IF(OR(AND(B2632&gt;=1,B2632&lt;=6),B2632=10),"Vaca em lactação",IF(I2632="Male","Macho",IF(E2632&gt;=1,"Vaca seca",IF(I2632="Youngstock","Bezerra/recria","Novilha"))))</f>
        <v>Bezerra/recria</v>
      </c>
      <c r="X2632" s="0" t="str">
        <f aca="false">IF(AND(B2632&gt;=1,B2632&lt;=6),"Tanque",IF(B2632=10,"Descarte",""))</f>
        <v/>
      </c>
    </row>
    <row r="2633" customFormat="false" ht="15" hidden="false" customHeight="false" outlineLevel="0" collapsed="false">
      <c r="A2633" s="22" t="n">
        <v>46309</v>
      </c>
      <c r="B2633" s="0" t="n">
        <v>13</v>
      </c>
      <c r="C2633" s="0" t="n">
        <v>7106</v>
      </c>
      <c r="E2633" s="0" t="n">
        <v>0</v>
      </c>
      <c r="F2633" s="23" t="s">
        <v>1280</v>
      </c>
      <c r="I2633" s="23" t="s">
        <v>1249</v>
      </c>
      <c r="U2633" s="0" t="n">
        <v>343</v>
      </c>
      <c r="V2633" s="0" t="n">
        <v>0</v>
      </c>
      <c r="W2633" s="0" t="str">
        <f aca="false">IF(OR(AND(B2633&gt;=1,B2633&lt;=6),B2633=10),"Vaca em lactação",IF(I2633="Male","Macho",IF(E2633&gt;=1,"Vaca seca",IF(I2633="Youngstock","Bezerra/recria","Novilha"))))</f>
        <v>Bezerra/recria</v>
      </c>
      <c r="X2633" s="0" t="str">
        <f aca="false">IF(AND(B2633&gt;=1,B2633&lt;=6),"Tanque",IF(B2633=10,"Descarte",""))</f>
        <v/>
      </c>
    </row>
    <row r="2634" customFormat="false" ht="15" hidden="false" customHeight="false" outlineLevel="0" collapsed="false">
      <c r="A2634" s="22" t="n">
        <v>46309</v>
      </c>
      <c r="B2634" s="0" t="n">
        <v>13</v>
      </c>
      <c r="C2634" s="0" t="n">
        <v>7105</v>
      </c>
      <c r="E2634" s="0" t="n">
        <v>0</v>
      </c>
      <c r="F2634" s="23" t="s">
        <v>1280</v>
      </c>
      <c r="I2634" s="23" t="s">
        <v>1249</v>
      </c>
      <c r="U2634" s="0" t="n">
        <v>343</v>
      </c>
      <c r="V2634" s="0" t="n">
        <v>0</v>
      </c>
      <c r="W2634" s="0" t="str">
        <f aca="false">IF(OR(AND(B2634&gt;=1,B2634&lt;=6),B2634=10),"Vaca em lactação",IF(I2634="Male","Macho",IF(E2634&gt;=1,"Vaca seca",IF(I2634="Youngstock","Bezerra/recria","Novilha"))))</f>
        <v>Bezerra/recria</v>
      </c>
      <c r="X2634" s="0" t="str">
        <f aca="false">IF(AND(B2634&gt;=1,B2634&lt;=6),"Tanque",IF(B2634=10,"Descarte",""))</f>
        <v/>
      </c>
    </row>
    <row r="2635" customFormat="false" ht="15" hidden="false" customHeight="false" outlineLevel="0" collapsed="false">
      <c r="A2635" s="22" t="n">
        <v>46309</v>
      </c>
      <c r="B2635" s="0" t="n">
        <v>13</v>
      </c>
      <c r="C2635" s="0" t="n">
        <v>7065</v>
      </c>
      <c r="E2635" s="0" t="n">
        <v>0</v>
      </c>
      <c r="F2635" s="23" t="s">
        <v>1281</v>
      </c>
      <c r="I2635" s="23" t="s">
        <v>1249</v>
      </c>
      <c r="U2635" s="0" t="n">
        <v>354</v>
      </c>
      <c r="V2635" s="0" t="n">
        <v>0</v>
      </c>
      <c r="W2635" s="0" t="str">
        <f aca="false">IF(OR(AND(B2635&gt;=1,B2635&lt;=6),B2635=10),"Vaca em lactação",IF(I2635="Male","Macho",IF(E2635&gt;=1,"Vaca seca",IF(I2635="Youngstock","Bezerra/recria","Novilha"))))</f>
        <v>Bezerra/recria</v>
      </c>
      <c r="X2635" s="0" t="str">
        <f aca="false">IF(AND(B2635&gt;=1,B2635&lt;=6),"Tanque",IF(B2635=10,"Descarte",""))</f>
        <v/>
      </c>
    </row>
    <row r="2636" customFormat="false" ht="15" hidden="false" customHeight="false" outlineLevel="0" collapsed="false">
      <c r="A2636" s="22" t="n">
        <v>46309</v>
      </c>
      <c r="B2636" s="0" t="n">
        <v>13</v>
      </c>
      <c r="C2636" s="0" t="n">
        <v>7064</v>
      </c>
      <c r="E2636" s="0" t="n">
        <v>0</v>
      </c>
      <c r="F2636" s="23" t="s">
        <v>1281</v>
      </c>
      <c r="I2636" s="23" t="s">
        <v>1249</v>
      </c>
      <c r="U2636" s="0" t="n">
        <v>354</v>
      </c>
      <c r="V2636" s="0" t="n">
        <v>0</v>
      </c>
      <c r="W2636" s="0" t="str">
        <f aca="false">IF(OR(AND(B2636&gt;=1,B2636&lt;=6),B2636=10),"Vaca em lactação",IF(I2636="Male","Macho",IF(E2636&gt;=1,"Vaca seca",IF(I2636="Youngstock","Bezerra/recria","Novilha"))))</f>
        <v>Bezerra/recria</v>
      </c>
      <c r="X2636" s="0" t="str">
        <f aca="false">IF(AND(B2636&gt;=1,B2636&lt;=6),"Tanque",IF(B2636=10,"Descarte",""))</f>
        <v/>
      </c>
    </row>
    <row r="2637" customFormat="false" ht="15" hidden="false" customHeight="false" outlineLevel="0" collapsed="false">
      <c r="A2637" s="22" t="n">
        <v>46309</v>
      </c>
      <c r="B2637" s="0" t="n">
        <v>13</v>
      </c>
      <c r="C2637" s="0" t="n">
        <v>7063</v>
      </c>
      <c r="E2637" s="0" t="n">
        <v>0</v>
      </c>
      <c r="F2637" s="23" t="s">
        <v>1282</v>
      </c>
      <c r="I2637" s="23" t="s">
        <v>1249</v>
      </c>
      <c r="U2637" s="0" t="n">
        <v>355</v>
      </c>
      <c r="V2637" s="0" t="n">
        <v>0</v>
      </c>
      <c r="W2637" s="0" t="str">
        <f aca="false">IF(OR(AND(B2637&gt;=1,B2637&lt;=6),B2637=10),"Vaca em lactação",IF(I2637="Male","Macho",IF(E2637&gt;=1,"Vaca seca",IF(I2637="Youngstock","Bezerra/recria","Novilha"))))</f>
        <v>Bezerra/recria</v>
      </c>
      <c r="X2637" s="0" t="str">
        <f aca="false">IF(AND(B2637&gt;=1,B2637&lt;=6),"Tanque",IF(B2637=10,"Descarte",""))</f>
        <v/>
      </c>
    </row>
    <row r="2638" customFormat="false" ht="15" hidden="false" customHeight="false" outlineLevel="0" collapsed="false">
      <c r="A2638" s="22" t="n">
        <v>46309</v>
      </c>
      <c r="B2638" s="0" t="n">
        <v>13</v>
      </c>
      <c r="C2638" s="0" t="n">
        <v>7062</v>
      </c>
      <c r="E2638" s="0" t="n">
        <v>0</v>
      </c>
      <c r="F2638" s="23" t="s">
        <v>1283</v>
      </c>
      <c r="I2638" s="23" t="s">
        <v>1249</v>
      </c>
      <c r="U2638" s="0" t="n">
        <v>356</v>
      </c>
      <c r="V2638" s="0" t="n">
        <v>0</v>
      </c>
      <c r="W2638" s="0" t="str">
        <f aca="false">IF(OR(AND(B2638&gt;=1,B2638&lt;=6),B2638=10),"Vaca em lactação",IF(I2638="Male","Macho",IF(E2638&gt;=1,"Vaca seca",IF(I2638="Youngstock","Bezerra/recria","Novilha"))))</f>
        <v>Bezerra/recria</v>
      </c>
      <c r="X2638" s="0" t="str">
        <f aca="false">IF(AND(B2638&gt;=1,B2638&lt;=6),"Tanque",IF(B2638=10,"Descarte",""))</f>
        <v/>
      </c>
    </row>
    <row r="2639" customFormat="false" ht="15" hidden="false" customHeight="false" outlineLevel="0" collapsed="false">
      <c r="A2639" s="22" t="n">
        <v>46309</v>
      </c>
      <c r="B2639" s="0" t="n">
        <v>13</v>
      </c>
      <c r="C2639" s="0" t="n">
        <v>7069</v>
      </c>
      <c r="E2639" s="0" t="n">
        <v>0</v>
      </c>
      <c r="F2639" s="23" t="s">
        <v>1284</v>
      </c>
      <c r="I2639" s="23" t="s">
        <v>1249</v>
      </c>
      <c r="U2639" s="0" t="n">
        <v>353</v>
      </c>
      <c r="V2639" s="0" t="n">
        <v>0</v>
      </c>
      <c r="W2639" s="0" t="str">
        <f aca="false">IF(OR(AND(B2639&gt;=1,B2639&lt;=6),B2639=10),"Vaca em lactação",IF(I2639="Male","Macho",IF(E2639&gt;=1,"Vaca seca",IF(I2639="Youngstock","Bezerra/recria","Novilha"))))</f>
        <v>Bezerra/recria</v>
      </c>
      <c r="X2639" s="0" t="str">
        <f aca="false">IF(AND(B2639&gt;=1,B2639&lt;=6),"Tanque",IF(B2639=10,"Descarte",""))</f>
        <v/>
      </c>
    </row>
    <row r="2640" customFormat="false" ht="15" hidden="false" customHeight="false" outlineLevel="0" collapsed="false">
      <c r="A2640" s="22" t="n">
        <v>46309</v>
      </c>
      <c r="B2640" s="0" t="n">
        <v>13</v>
      </c>
      <c r="C2640" s="0" t="n">
        <v>7068</v>
      </c>
      <c r="E2640" s="0" t="n">
        <v>0</v>
      </c>
      <c r="F2640" s="23" t="s">
        <v>1284</v>
      </c>
      <c r="I2640" s="23" t="s">
        <v>1249</v>
      </c>
      <c r="U2640" s="0" t="n">
        <v>353</v>
      </c>
      <c r="V2640" s="0" t="n">
        <v>0</v>
      </c>
      <c r="W2640" s="0" t="str">
        <f aca="false">IF(OR(AND(B2640&gt;=1,B2640&lt;=6),B2640=10),"Vaca em lactação",IF(I2640="Male","Macho",IF(E2640&gt;=1,"Vaca seca",IF(I2640="Youngstock","Bezerra/recria","Novilha"))))</f>
        <v>Bezerra/recria</v>
      </c>
      <c r="X2640" s="0" t="str">
        <f aca="false">IF(AND(B2640&gt;=1,B2640&lt;=6),"Tanque",IF(B2640=10,"Descarte",""))</f>
        <v/>
      </c>
    </row>
    <row r="2641" customFormat="false" ht="15" hidden="false" customHeight="false" outlineLevel="0" collapsed="false">
      <c r="A2641" s="22" t="n">
        <v>46309</v>
      </c>
      <c r="B2641" s="0" t="n">
        <v>13</v>
      </c>
      <c r="C2641" s="0" t="n">
        <v>7067</v>
      </c>
      <c r="E2641" s="0" t="n">
        <v>0</v>
      </c>
      <c r="F2641" s="23" t="s">
        <v>1281</v>
      </c>
      <c r="I2641" s="23" t="s">
        <v>1249</v>
      </c>
      <c r="U2641" s="0" t="n">
        <v>354</v>
      </c>
      <c r="V2641" s="0" t="n">
        <v>0</v>
      </c>
      <c r="W2641" s="0" t="str">
        <f aca="false">IF(OR(AND(B2641&gt;=1,B2641&lt;=6),B2641=10),"Vaca em lactação",IF(I2641="Male","Macho",IF(E2641&gt;=1,"Vaca seca",IF(I2641="Youngstock","Bezerra/recria","Novilha"))))</f>
        <v>Bezerra/recria</v>
      </c>
      <c r="X2641" s="0" t="str">
        <f aca="false">IF(AND(B2641&gt;=1,B2641&lt;=6),"Tanque",IF(B2641=10,"Descarte",""))</f>
        <v/>
      </c>
    </row>
    <row r="2642" customFormat="false" ht="15" hidden="false" customHeight="false" outlineLevel="0" collapsed="false">
      <c r="A2642" s="22" t="n">
        <v>46309</v>
      </c>
      <c r="B2642" s="0" t="n">
        <v>13</v>
      </c>
      <c r="C2642" s="0" t="n">
        <v>7066</v>
      </c>
      <c r="E2642" s="0" t="n">
        <v>0</v>
      </c>
      <c r="F2642" s="23" t="s">
        <v>1281</v>
      </c>
      <c r="I2642" s="23" t="s">
        <v>1249</v>
      </c>
      <c r="U2642" s="0" t="n">
        <v>354</v>
      </c>
      <c r="V2642" s="0" t="n">
        <v>0</v>
      </c>
      <c r="W2642" s="0" t="str">
        <f aca="false">IF(OR(AND(B2642&gt;=1,B2642&lt;=6),B2642=10),"Vaca em lactação",IF(I2642="Male","Macho",IF(E2642&gt;=1,"Vaca seca",IF(I2642="Youngstock","Bezerra/recria","Novilha"))))</f>
        <v>Bezerra/recria</v>
      </c>
      <c r="X2642" s="0" t="str">
        <f aca="false">IF(AND(B2642&gt;=1,B2642&lt;=6),"Tanque",IF(B2642=10,"Descarte",""))</f>
        <v/>
      </c>
    </row>
    <row r="2643" customFormat="false" ht="15" hidden="false" customHeight="false" outlineLevel="0" collapsed="false">
      <c r="A2643" s="22" t="n">
        <v>46309</v>
      </c>
      <c r="B2643" s="0" t="n">
        <v>13</v>
      </c>
      <c r="C2643" s="0" t="n">
        <v>7072</v>
      </c>
      <c r="E2643" s="0" t="n">
        <v>0</v>
      </c>
      <c r="F2643" s="23" t="s">
        <v>1285</v>
      </c>
      <c r="I2643" s="23" t="s">
        <v>1249</v>
      </c>
      <c r="U2643" s="0" t="n">
        <v>352</v>
      </c>
      <c r="V2643" s="0" t="n">
        <v>0</v>
      </c>
      <c r="W2643" s="0" t="str">
        <f aca="false">IF(OR(AND(B2643&gt;=1,B2643&lt;=6),B2643=10),"Vaca em lactação",IF(I2643="Male","Macho",IF(E2643&gt;=1,"Vaca seca",IF(I2643="Youngstock","Bezerra/recria","Novilha"))))</f>
        <v>Bezerra/recria</v>
      </c>
      <c r="X2643" s="0" t="str">
        <f aca="false">IF(AND(B2643&gt;=1,B2643&lt;=6),"Tanque",IF(B2643=10,"Descarte",""))</f>
        <v/>
      </c>
    </row>
    <row r="2644" customFormat="false" ht="15" hidden="false" customHeight="false" outlineLevel="0" collapsed="false">
      <c r="A2644" s="22" t="n">
        <v>46309</v>
      </c>
      <c r="B2644" s="0" t="n">
        <v>13</v>
      </c>
      <c r="C2644" s="0" t="n">
        <v>7071</v>
      </c>
      <c r="E2644" s="0" t="n">
        <v>0</v>
      </c>
      <c r="F2644" s="23" t="s">
        <v>1285</v>
      </c>
      <c r="I2644" s="23" t="s">
        <v>1249</v>
      </c>
      <c r="U2644" s="0" t="n">
        <v>352</v>
      </c>
      <c r="V2644" s="0" t="n">
        <v>0</v>
      </c>
      <c r="W2644" s="0" t="str">
        <f aca="false">IF(OR(AND(B2644&gt;=1,B2644&lt;=6),B2644=10),"Vaca em lactação",IF(I2644="Male","Macho",IF(E2644&gt;=1,"Vaca seca",IF(I2644="Youngstock","Bezerra/recria","Novilha"))))</f>
        <v>Bezerra/recria</v>
      </c>
      <c r="X2644" s="0" t="str">
        <f aca="false">IF(AND(B2644&gt;=1,B2644&lt;=6),"Tanque",IF(B2644=10,"Descarte",""))</f>
        <v/>
      </c>
    </row>
    <row r="2645" customFormat="false" ht="15" hidden="false" customHeight="false" outlineLevel="0" collapsed="false">
      <c r="A2645" s="22" t="n">
        <v>46309</v>
      </c>
      <c r="B2645" s="0" t="n">
        <v>13</v>
      </c>
      <c r="C2645" s="0" t="n">
        <v>7070</v>
      </c>
      <c r="E2645" s="0" t="n">
        <v>0</v>
      </c>
      <c r="F2645" s="23" t="s">
        <v>1285</v>
      </c>
      <c r="I2645" s="23" t="s">
        <v>1249</v>
      </c>
      <c r="U2645" s="0" t="n">
        <v>352</v>
      </c>
      <c r="V2645" s="0" t="n">
        <v>0</v>
      </c>
      <c r="W2645" s="0" t="str">
        <f aca="false">IF(OR(AND(B2645&gt;=1,B2645&lt;=6),B2645=10),"Vaca em lactação",IF(I2645="Male","Macho",IF(E2645&gt;=1,"Vaca seca",IF(I2645="Youngstock","Bezerra/recria","Novilha"))))</f>
        <v>Bezerra/recria</v>
      </c>
      <c r="X2645" s="0" t="str">
        <f aca="false">IF(AND(B2645&gt;=1,B2645&lt;=6),"Tanque",IF(B2645=10,"Descarte",""))</f>
        <v/>
      </c>
    </row>
    <row r="2646" customFormat="false" ht="15" hidden="false" customHeight="false" outlineLevel="0" collapsed="false">
      <c r="A2646" s="22" t="n">
        <v>46309</v>
      </c>
      <c r="B2646" s="0" t="n">
        <v>13</v>
      </c>
      <c r="C2646" s="0" t="n">
        <v>7075</v>
      </c>
      <c r="E2646" s="0" t="n">
        <v>0</v>
      </c>
      <c r="F2646" s="23" t="s">
        <v>1286</v>
      </c>
      <c r="I2646" s="23" t="s">
        <v>1249</v>
      </c>
      <c r="U2646" s="0" t="n">
        <v>351</v>
      </c>
      <c r="V2646" s="0" t="n">
        <v>0</v>
      </c>
      <c r="W2646" s="0" t="str">
        <f aca="false">IF(OR(AND(B2646&gt;=1,B2646&lt;=6),B2646=10),"Vaca em lactação",IF(I2646="Male","Macho",IF(E2646&gt;=1,"Vaca seca",IF(I2646="Youngstock","Bezerra/recria","Novilha"))))</f>
        <v>Bezerra/recria</v>
      </c>
      <c r="X2646" s="0" t="str">
        <f aca="false">IF(AND(B2646&gt;=1,B2646&lt;=6),"Tanque",IF(B2646=10,"Descarte",""))</f>
        <v/>
      </c>
    </row>
    <row r="2647" customFormat="false" ht="15" hidden="false" customHeight="false" outlineLevel="0" collapsed="false">
      <c r="A2647" s="22" t="n">
        <v>46309</v>
      </c>
      <c r="B2647" s="0" t="n">
        <v>13</v>
      </c>
      <c r="C2647" s="0" t="n">
        <v>7074</v>
      </c>
      <c r="E2647" s="0" t="n">
        <v>0</v>
      </c>
      <c r="F2647" s="23" t="s">
        <v>1286</v>
      </c>
      <c r="I2647" s="23" t="s">
        <v>1249</v>
      </c>
      <c r="U2647" s="0" t="n">
        <v>351</v>
      </c>
      <c r="V2647" s="0" t="n">
        <v>0</v>
      </c>
      <c r="W2647" s="0" t="str">
        <f aca="false">IF(OR(AND(B2647&gt;=1,B2647&lt;=6),B2647=10),"Vaca em lactação",IF(I2647="Male","Macho",IF(E2647&gt;=1,"Vaca seca",IF(I2647="Youngstock","Bezerra/recria","Novilha"))))</f>
        <v>Bezerra/recria</v>
      </c>
      <c r="X2647" s="0" t="str">
        <f aca="false">IF(AND(B2647&gt;=1,B2647&lt;=6),"Tanque",IF(B2647=10,"Descarte",""))</f>
        <v/>
      </c>
    </row>
    <row r="2648" customFormat="false" ht="15" hidden="false" customHeight="false" outlineLevel="0" collapsed="false">
      <c r="A2648" s="22" t="n">
        <v>46309</v>
      </c>
      <c r="B2648" s="0" t="n">
        <v>13</v>
      </c>
      <c r="C2648" s="0" t="n">
        <v>7076</v>
      </c>
      <c r="E2648" s="0" t="n">
        <v>0</v>
      </c>
      <c r="F2648" s="23" t="s">
        <v>1286</v>
      </c>
      <c r="I2648" s="23" t="s">
        <v>1249</v>
      </c>
      <c r="U2648" s="0" t="n">
        <v>351</v>
      </c>
      <c r="V2648" s="0" t="n">
        <v>0</v>
      </c>
      <c r="W2648" s="0" t="str">
        <f aca="false">IF(OR(AND(B2648&gt;=1,B2648&lt;=6),B2648=10),"Vaca em lactação",IF(I2648="Male","Macho",IF(E2648&gt;=1,"Vaca seca",IF(I2648="Youngstock","Bezerra/recria","Novilha"))))</f>
        <v>Bezerra/recria</v>
      </c>
      <c r="X2648" s="0" t="str">
        <f aca="false">IF(AND(B2648&gt;=1,B2648&lt;=6),"Tanque",IF(B2648=10,"Descarte",""))</f>
        <v/>
      </c>
    </row>
    <row r="2649" customFormat="false" ht="15" hidden="false" customHeight="false" outlineLevel="0" collapsed="false">
      <c r="A2649" s="22" t="n">
        <v>46309</v>
      </c>
      <c r="B2649" s="0" t="n">
        <v>13</v>
      </c>
      <c r="C2649" s="0" t="n">
        <v>7079</v>
      </c>
      <c r="E2649" s="0" t="n">
        <v>0</v>
      </c>
      <c r="F2649" s="23" t="s">
        <v>1287</v>
      </c>
      <c r="I2649" s="23" t="s">
        <v>1249</v>
      </c>
      <c r="U2649" s="0" t="n">
        <v>350</v>
      </c>
      <c r="V2649" s="0" t="n">
        <v>0</v>
      </c>
      <c r="W2649" s="0" t="str">
        <f aca="false">IF(OR(AND(B2649&gt;=1,B2649&lt;=6),B2649=10),"Vaca em lactação",IF(I2649="Male","Macho",IF(E2649&gt;=1,"Vaca seca",IF(I2649="Youngstock","Bezerra/recria","Novilha"))))</f>
        <v>Bezerra/recria</v>
      </c>
      <c r="X2649" s="0" t="str">
        <f aca="false">IF(AND(B2649&gt;=1,B2649&lt;=6),"Tanque",IF(B2649=10,"Descarte",""))</f>
        <v/>
      </c>
    </row>
    <row r="2650" customFormat="false" ht="15" hidden="false" customHeight="false" outlineLevel="0" collapsed="false">
      <c r="A2650" s="22" t="n">
        <v>46309</v>
      </c>
      <c r="B2650" s="0" t="n">
        <v>13</v>
      </c>
      <c r="C2650" s="0" t="n">
        <v>7078</v>
      </c>
      <c r="E2650" s="0" t="n">
        <v>0</v>
      </c>
      <c r="F2650" s="23" t="s">
        <v>1287</v>
      </c>
      <c r="I2650" s="23" t="s">
        <v>1249</v>
      </c>
      <c r="U2650" s="0" t="n">
        <v>350</v>
      </c>
      <c r="V2650" s="0" t="n">
        <v>0</v>
      </c>
      <c r="W2650" s="0" t="str">
        <f aca="false">IF(OR(AND(B2650&gt;=1,B2650&lt;=6),B2650=10),"Vaca em lactação",IF(I2650="Male","Macho",IF(E2650&gt;=1,"Vaca seca",IF(I2650="Youngstock","Bezerra/recria","Novilha"))))</f>
        <v>Bezerra/recria</v>
      </c>
      <c r="X2650" s="0" t="str">
        <f aca="false">IF(AND(B2650&gt;=1,B2650&lt;=6),"Tanque",IF(B2650=10,"Descarte",""))</f>
        <v/>
      </c>
    </row>
    <row r="2651" customFormat="false" ht="15" hidden="false" customHeight="false" outlineLevel="0" collapsed="false">
      <c r="A2651" s="22" t="n">
        <v>46309</v>
      </c>
      <c r="B2651" s="0" t="n">
        <v>13</v>
      </c>
      <c r="C2651" s="0" t="n">
        <v>7077</v>
      </c>
      <c r="E2651" s="0" t="n">
        <v>0</v>
      </c>
      <c r="F2651" s="23" t="s">
        <v>1287</v>
      </c>
      <c r="I2651" s="23" t="s">
        <v>1249</v>
      </c>
      <c r="U2651" s="0" t="n">
        <v>350</v>
      </c>
      <c r="V2651" s="0" t="n">
        <v>0</v>
      </c>
      <c r="W2651" s="0" t="str">
        <f aca="false">IF(OR(AND(B2651&gt;=1,B2651&lt;=6),B2651=10),"Vaca em lactação",IF(I2651="Male","Macho",IF(E2651&gt;=1,"Vaca seca",IF(I2651="Youngstock","Bezerra/recria","Novilha"))))</f>
        <v>Bezerra/recria</v>
      </c>
      <c r="X2651" s="0" t="str">
        <f aca="false">IF(AND(B2651&gt;=1,B2651&lt;=6),"Tanque",IF(B2651=10,"Descarte",""))</f>
        <v/>
      </c>
    </row>
    <row r="2652" customFormat="false" ht="15" hidden="false" customHeight="false" outlineLevel="0" collapsed="false">
      <c r="A2652" s="22" t="n">
        <v>46309</v>
      </c>
      <c r="B2652" s="0" t="n">
        <v>13</v>
      </c>
      <c r="C2652" s="0" t="n">
        <v>7052</v>
      </c>
      <c r="E2652" s="0" t="n">
        <v>0</v>
      </c>
      <c r="F2652" s="23" t="s">
        <v>1288</v>
      </c>
      <c r="I2652" s="23" t="s">
        <v>1249</v>
      </c>
      <c r="U2652" s="0" t="n">
        <v>360</v>
      </c>
      <c r="V2652" s="0" t="n">
        <v>0</v>
      </c>
      <c r="W2652" s="0" t="str">
        <f aca="false">IF(OR(AND(B2652&gt;=1,B2652&lt;=6),B2652=10),"Vaca em lactação",IF(I2652="Male","Macho",IF(E2652&gt;=1,"Vaca seca",IF(I2652="Youngstock","Bezerra/recria","Novilha"))))</f>
        <v>Bezerra/recria</v>
      </c>
      <c r="X2652" s="0" t="str">
        <f aca="false">IF(AND(B2652&gt;=1,B2652&lt;=6),"Tanque",IF(B2652=10,"Descarte",""))</f>
        <v/>
      </c>
    </row>
    <row r="2653" customFormat="false" ht="15" hidden="false" customHeight="false" outlineLevel="0" collapsed="false">
      <c r="A2653" s="22" t="n">
        <v>46309</v>
      </c>
      <c r="B2653" s="0" t="n">
        <v>13</v>
      </c>
      <c r="C2653" s="0" t="n">
        <v>7051</v>
      </c>
      <c r="E2653" s="0" t="n">
        <v>0</v>
      </c>
      <c r="F2653" s="23" t="s">
        <v>1289</v>
      </c>
      <c r="I2653" s="23" t="s">
        <v>1249</v>
      </c>
      <c r="U2653" s="0" t="n">
        <v>361</v>
      </c>
      <c r="V2653" s="0" t="n">
        <v>0</v>
      </c>
      <c r="W2653" s="0" t="str">
        <f aca="false">IF(OR(AND(B2653&gt;=1,B2653&lt;=6),B2653=10),"Vaca em lactação",IF(I2653="Male","Macho",IF(E2653&gt;=1,"Vaca seca",IF(I2653="Youngstock","Bezerra/recria","Novilha"))))</f>
        <v>Bezerra/recria</v>
      </c>
      <c r="X2653" s="0" t="str">
        <f aca="false">IF(AND(B2653&gt;=1,B2653&lt;=6),"Tanque",IF(B2653=10,"Descarte",""))</f>
        <v/>
      </c>
    </row>
    <row r="2654" customFormat="false" ht="15" hidden="false" customHeight="false" outlineLevel="0" collapsed="false">
      <c r="A2654" s="22" t="n">
        <v>46309</v>
      </c>
      <c r="B2654" s="0" t="n">
        <v>13</v>
      </c>
      <c r="C2654" s="0" t="n">
        <v>7050</v>
      </c>
      <c r="E2654" s="0" t="n">
        <v>0</v>
      </c>
      <c r="F2654" s="23" t="s">
        <v>1288</v>
      </c>
      <c r="I2654" s="23" t="s">
        <v>1249</v>
      </c>
      <c r="U2654" s="0" t="n">
        <v>360</v>
      </c>
      <c r="V2654" s="0" t="n">
        <v>0</v>
      </c>
      <c r="W2654" s="0" t="str">
        <f aca="false">IF(OR(AND(B2654&gt;=1,B2654&lt;=6),B2654=10),"Vaca em lactação",IF(I2654="Male","Macho",IF(E2654&gt;=1,"Vaca seca",IF(I2654="Youngstock","Bezerra/recria","Novilha"))))</f>
        <v>Bezerra/recria</v>
      </c>
      <c r="X2654" s="0" t="str">
        <f aca="false">IF(AND(B2654&gt;=1,B2654&lt;=6),"Tanque",IF(B2654=10,"Descarte",""))</f>
        <v/>
      </c>
    </row>
    <row r="2655" customFormat="false" ht="15" hidden="false" customHeight="false" outlineLevel="0" collapsed="false">
      <c r="A2655" s="22" t="n">
        <v>46309</v>
      </c>
      <c r="B2655" s="0" t="n">
        <v>13</v>
      </c>
      <c r="C2655" s="0" t="n">
        <v>7049</v>
      </c>
      <c r="E2655" s="0" t="n">
        <v>0</v>
      </c>
      <c r="F2655" s="23" t="s">
        <v>1289</v>
      </c>
      <c r="I2655" s="23" t="s">
        <v>1249</v>
      </c>
      <c r="U2655" s="0" t="n">
        <v>361</v>
      </c>
      <c r="V2655" s="0" t="n">
        <v>0</v>
      </c>
      <c r="W2655" s="0" t="str">
        <f aca="false">IF(OR(AND(B2655&gt;=1,B2655&lt;=6),B2655=10),"Vaca em lactação",IF(I2655="Male","Macho",IF(E2655&gt;=1,"Vaca seca",IF(I2655="Youngstock","Bezerra/recria","Novilha"))))</f>
        <v>Bezerra/recria</v>
      </c>
      <c r="X2655" s="0" t="str">
        <f aca="false">IF(AND(B2655&gt;=1,B2655&lt;=6),"Tanque",IF(B2655=10,"Descarte",""))</f>
        <v/>
      </c>
    </row>
    <row r="2656" customFormat="false" ht="15" hidden="false" customHeight="false" outlineLevel="0" collapsed="false">
      <c r="A2656" s="22" t="n">
        <v>46309</v>
      </c>
      <c r="B2656" s="0" t="n">
        <v>13</v>
      </c>
      <c r="C2656" s="0" t="n">
        <v>7048</v>
      </c>
      <c r="E2656" s="0" t="n">
        <v>0</v>
      </c>
      <c r="F2656" s="23" t="s">
        <v>1289</v>
      </c>
      <c r="I2656" s="23" t="s">
        <v>1249</v>
      </c>
      <c r="U2656" s="0" t="n">
        <v>361</v>
      </c>
      <c r="V2656" s="0" t="n">
        <v>0</v>
      </c>
      <c r="W2656" s="0" t="str">
        <f aca="false">IF(OR(AND(B2656&gt;=1,B2656&lt;=6),B2656=10),"Vaca em lactação",IF(I2656="Male","Macho",IF(E2656&gt;=1,"Vaca seca",IF(I2656="Youngstock","Bezerra/recria","Novilha"))))</f>
        <v>Bezerra/recria</v>
      </c>
      <c r="X2656" s="0" t="str">
        <f aca="false">IF(AND(B2656&gt;=1,B2656&lt;=6),"Tanque",IF(B2656=10,"Descarte",""))</f>
        <v/>
      </c>
    </row>
    <row r="2657" customFormat="false" ht="15" hidden="false" customHeight="false" outlineLevel="0" collapsed="false">
      <c r="A2657" s="22" t="n">
        <v>46309</v>
      </c>
      <c r="B2657" s="0" t="n">
        <v>13</v>
      </c>
      <c r="C2657" s="0" t="n">
        <v>7053</v>
      </c>
      <c r="E2657" s="0" t="n">
        <v>0</v>
      </c>
      <c r="F2657" s="23" t="s">
        <v>1290</v>
      </c>
      <c r="I2657" s="23" t="s">
        <v>1249</v>
      </c>
      <c r="U2657" s="0" t="n">
        <v>359</v>
      </c>
      <c r="V2657" s="0" t="n">
        <v>0</v>
      </c>
      <c r="W2657" s="0" t="str">
        <f aca="false">IF(OR(AND(B2657&gt;=1,B2657&lt;=6),B2657=10),"Vaca em lactação",IF(I2657="Male","Macho",IF(E2657&gt;=1,"Vaca seca",IF(I2657="Youngstock","Bezerra/recria","Novilha"))))</f>
        <v>Bezerra/recria</v>
      </c>
      <c r="X2657" s="0" t="str">
        <f aca="false">IF(AND(B2657&gt;=1,B2657&lt;=6),"Tanque",IF(B2657=10,"Descarte",""))</f>
        <v/>
      </c>
    </row>
    <row r="2658" customFormat="false" ht="15" hidden="false" customHeight="false" outlineLevel="0" collapsed="false">
      <c r="A2658" s="22" t="n">
        <v>46309</v>
      </c>
      <c r="B2658" s="0" t="n">
        <v>13</v>
      </c>
      <c r="C2658" s="0" t="n">
        <v>7054</v>
      </c>
      <c r="E2658" s="0" t="n">
        <v>0</v>
      </c>
      <c r="F2658" s="23" t="s">
        <v>1291</v>
      </c>
      <c r="I2658" s="23" t="s">
        <v>1249</v>
      </c>
      <c r="U2658" s="0" t="n">
        <v>358</v>
      </c>
      <c r="V2658" s="0" t="n">
        <v>0</v>
      </c>
      <c r="W2658" s="0" t="str">
        <f aca="false">IF(OR(AND(B2658&gt;=1,B2658&lt;=6),B2658=10),"Vaca em lactação",IF(I2658="Male","Macho",IF(E2658&gt;=1,"Vaca seca",IF(I2658="Youngstock","Bezerra/recria","Novilha"))))</f>
        <v>Bezerra/recria</v>
      </c>
      <c r="X2658" s="0" t="str">
        <f aca="false">IF(AND(B2658&gt;=1,B2658&lt;=6),"Tanque",IF(B2658=10,"Descarte",""))</f>
        <v/>
      </c>
    </row>
    <row r="2659" customFormat="false" ht="15" hidden="false" customHeight="false" outlineLevel="0" collapsed="false">
      <c r="A2659" s="22" t="n">
        <v>46309</v>
      </c>
      <c r="B2659" s="0" t="n">
        <v>13</v>
      </c>
      <c r="C2659" s="0" t="n">
        <v>997050</v>
      </c>
      <c r="E2659" s="0" t="n">
        <v>0</v>
      </c>
      <c r="F2659" s="23" t="s">
        <v>1288</v>
      </c>
      <c r="I2659" s="23" t="s">
        <v>1249</v>
      </c>
      <c r="U2659" s="0" t="n">
        <v>360</v>
      </c>
      <c r="V2659" s="0" t="n">
        <v>0</v>
      </c>
      <c r="W2659" s="0" t="str">
        <f aca="false">IF(OR(AND(B2659&gt;=1,B2659&lt;=6),B2659=10),"Vaca em lactação",IF(I2659="Male","Macho",IF(E2659&gt;=1,"Vaca seca",IF(I2659="Youngstock","Bezerra/recria","Novilha"))))</f>
        <v>Bezerra/recria</v>
      </c>
      <c r="X2659" s="0" t="str">
        <f aca="false">IF(AND(B2659&gt;=1,B2659&lt;=6),"Tanque",IF(B2659=10,"Descarte",""))</f>
        <v/>
      </c>
    </row>
    <row r="2660" customFormat="false" ht="15" hidden="false" customHeight="false" outlineLevel="0" collapsed="false">
      <c r="A2660" s="22" t="n">
        <v>46309</v>
      </c>
      <c r="B2660" s="0" t="n">
        <v>13</v>
      </c>
      <c r="C2660" s="0" t="n">
        <v>7047</v>
      </c>
      <c r="E2660" s="0" t="n">
        <v>0</v>
      </c>
      <c r="F2660" s="23" t="s">
        <v>1292</v>
      </c>
      <c r="I2660" s="23" t="s">
        <v>1249</v>
      </c>
      <c r="U2660" s="0" t="n">
        <v>362</v>
      </c>
      <c r="V2660" s="0" t="n">
        <v>0</v>
      </c>
      <c r="W2660" s="0" t="str">
        <f aca="false">IF(OR(AND(B2660&gt;=1,B2660&lt;=6),B2660=10),"Vaca em lactação",IF(I2660="Male","Macho",IF(E2660&gt;=1,"Vaca seca",IF(I2660="Youngstock","Bezerra/recria","Novilha"))))</f>
        <v>Bezerra/recria</v>
      </c>
      <c r="X2660" s="0" t="str">
        <f aca="false">IF(AND(B2660&gt;=1,B2660&lt;=6),"Tanque",IF(B2660=10,"Descarte",""))</f>
        <v/>
      </c>
    </row>
    <row r="2661" customFormat="false" ht="15" hidden="false" customHeight="false" outlineLevel="0" collapsed="false">
      <c r="A2661" s="22" t="n">
        <v>46309</v>
      </c>
      <c r="B2661" s="0" t="n">
        <v>13</v>
      </c>
      <c r="C2661" s="0" t="n">
        <v>7060</v>
      </c>
      <c r="E2661" s="0" t="n">
        <v>0</v>
      </c>
      <c r="F2661" s="23" t="s">
        <v>1283</v>
      </c>
      <c r="I2661" s="23" t="s">
        <v>1249</v>
      </c>
      <c r="U2661" s="0" t="n">
        <v>356</v>
      </c>
      <c r="V2661" s="0" t="n">
        <v>0</v>
      </c>
      <c r="W2661" s="0" t="str">
        <f aca="false">IF(OR(AND(B2661&gt;=1,B2661&lt;=6),B2661=10),"Vaca em lactação",IF(I2661="Male","Macho",IF(E2661&gt;=1,"Vaca seca",IF(I2661="Youngstock","Bezerra/recria","Novilha"))))</f>
        <v>Bezerra/recria</v>
      </c>
      <c r="X2661" s="0" t="str">
        <f aca="false">IF(AND(B2661&gt;=1,B2661&lt;=6),"Tanque",IF(B2661=10,"Descarte",""))</f>
        <v/>
      </c>
    </row>
    <row r="2662" customFormat="false" ht="15" hidden="false" customHeight="false" outlineLevel="0" collapsed="false">
      <c r="A2662" s="22" t="n">
        <v>46309</v>
      </c>
      <c r="B2662" s="0" t="n">
        <v>13</v>
      </c>
      <c r="C2662" s="0" t="n">
        <v>7059</v>
      </c>
      <c r="E2662" s="0" t="n">
        <v>0</v>
      </c>
      <c r="F2662" s="23" t="s">
        <v>1283</v>
      </c>
      <c r="I2662" s="23" t="s">
        <v>1249</v>
      </c>
      <c r="U2662" s="0" t="n">
        <v>356</v>
      </c>
      <c r="V2662" s="0" t="n">
        <v>0</v>
      </c>
      <c r="W2662" s="0" t="str">
        <f aca="false">IF(OR(AND(B2662&gt;=1,B2662&lt;=6),B2662=10),"Vaca em lactação",IF(I2662="Male","Macho",IF(E2662&gt;=1,"Vaca seca",IF(I2662="Youngstock","Bezerra/recria","Novilha"))))</f>
        <v>Bezerra/recria</v>
      </c>
      <c r="X2662" s="0" t="str">
        <f aca="false">IF(AND(B2662&gt;=1,B2662&lt;=6),"Tanque",IF(B2662=10,"Descarte",""))</f>
        <v/>
      </c>
    </row>
    <row r="2663" customFormat="false" ht="15" hidden="false" customHeight="false" outlineLevel="0" collapsed="false">
      <c r="A2663" s="22" t="n">
        <v>46309</v>
      </c>
      <c r="B2663" s="0" t="n">
        <v>13</v>
      </c>
      <c r="C2663" s="0" t="n">
        <v>7058</v>
      </c>
      <c r="E2663" s="0" t="n">
        <v>0</v>
      </c>
      <c r="F2663" s="23" t="s">
        <v>1293</v>
      </c>
      <c r="I2663" s="23" t="s">
        <v>1249</v>
      </c>
      <c r="U2663" s="0" t="n">
        <v>357</v>
      </c>
      <c r="V2663" s="0" t="n">
        <v>0</v>
      </c>
      <c r="W2663" s="0" t="str">
        <f aca="false">IF(OR(AND(B2663&gt;=1,B2663&lt;=6),B2663=10),"Vaca em lactação",IF(I2663="Male","Macho",IF(E2663&gt;=1,"Vaca seca",IF(I2663="Youngstock","Bezerra/recria","Novilha"))))</f>
        <v>Bezerra/recria</v>
      </c>
      <c r="X2663" s="0" t="str">
        <f aca="false">IF(AND(B2663&gt;=1,B2663&lt;=6),"Tanque",IF(B2663=10,"Descarte",""))</f>
        <v/>
      </c>
    </row>
    <row r="2664" customFormat="false" ht="15" hidden="false" customHeight="false" outlineLevel="0" collapsed="false">
      <c r="A2664" s="22" t="n">
        <v>46309</v>
      </c>
      <c r="B2664" s="0" t="n">
        <v>13</v>
      </c>
      <c r="C2664" s="0" t="n">
        <v>7057</v>
      </c>
      <c r="E2664" s="0" t="n">
        <v>0</v>
      </c>
      <c r="F2664" s="23" t="s">
        <v>1293</v>
      </c>
      <c r="I2664" s="23" t="s">
        <v>1249</v>
      </c>
      <c r="U2664" s="0" t="n">
        <v>357</v>
      </c>
      <c r="V2664" s="0" t="n">
        <v>0</v>
      </c>
      <c r="W2664" s="0" t="str">
        <f aca="false">IF(OR(AND(B2664&gt;=1,B2664&lt;=6),B2664=10),"Vaca em lactação",IF(I2664="Male","Macho",IF(E2664&gt;=1,"Vaca seca",IF(I2664="Youngstock","Bezerra/recria","Novilha"))))</f>
        <v>Bezerra/recria</v>
      </c>
      <c r="X2664" s="0" t="str">
        <f aca="false">IF(AND(B2664&gt;=1,B2664&lt;=6),"Tanque",IF(B2664=10,"Descarte",""))</f>
        <v/>
      </c>
    </row>
    <row r="2665" customFormat="false" ht="15" hidden="false" customHeight="false" outlineLevel="0" collapsed="false">
      <c r="A2665" s="22" t="n">
        <v>46309</v>
      </c>
      <c r="B2665" s="0" t="n">
        <v>13</v>
      </c>
      <c r="C2665" s="0" t="n">
        <v>7056</v>
      </c>
      <c r="E2665" s="0" t="n">
        <v>0</v>
      </c>
      <c r="F2665" s="23" t="s">
        <v>1293</v>
      </c>
      <c r="I2665" s="23" t="s">
        <v>1249</v>
      </c>
      <c r="U2665" s="0" t="n">
        <v>357</v>
      </c>
      <c r="V2665" s="0" t="n">
        <v>0</v>
      </c>
      <c r="W2665" s="0" t="str">
        <f aca="false">IF(OR(AND(B2665&gt;=1,B2665&lt;=6),B2665=10),"Vaca em lactação",IF(I2665="Male","Macho",IF(E2665&gt;=1,"Vaca seca",IF(I2665="Youngstock","Bezerra/recria","Novilha"))))</f>
        <v>Bezerra/recria</v>
      </c>
      <c r="X2665" s="0" t="str">
        <f aca="false">IF(AND(B2665&gt;=1,B2665&lt;=6),"Tanque",IF(B2665=10,"Descarte",""))</f>
        <v/>
      </c>
    </row>
    <row r="2666" customFormat="false" ht="15" hidden="false" customHeight="false" outlineLevel="0" collapsed="false">
      <c r="A2666" s="22" t="n">
        <v>46309</v>
      </c>
      <c r="B2666" s="0" t="n">
        <v>13</v>
      </c>
      <c r="C2666" s="0" t="n">
        <v>7061</v>
      </c>
      <c r="E2666" s="0" t="n">
        <v>0</v>
      </c>
      <c r="F2666" s="23" t="s">
        <v>1283</v>
      </c>
      <c r="I2666" s="23" t="s">
        <v>1249</v>
      </c>
      <c r="U2666" s="0" t="n">
        <v>356</v>
      </c>
      <c r="V2666" s="0" t="n">
        <v>0</v>
      </c>
      <c r="W2666" s="0" t="str">
        <f aca="false">IF(OR(AND(B2666&gt;=1,B2666&lt;=6),B2666=10),"Vaca em lactação",IF(I2666="Male","Macho",IF(E2666&gt;=1,"Vaca seca",IF(I2666="Youngstock","Bezerra/recria","Novilha"))))</f>
        <v>Bezerra/recria</v>
      </c>
      <c r="X2666" s="0" t="str">
        <f aca="false">IF(AND(B2666&gt;=1,B2666&lt;=6),"Tanque",IF(B2666=10,"Descarte",""))</f>
        <v/>
      </c>
    </row>
    <row r="2667" customFormat="false" ht="15" hidden="false" customHeight="false" outlineLevel="0" collapsed="false">
      <c r="A2667" s="22" t="n">
        <v>46309</v>
      </c>
      <c r="B2667" s="0" t="n">
        <v>13</v>
      </c>
      <c r="C2667" s="0" t="n">
        <v>7039</v>
      </c>
      <c r="E2667" s="0" t="n">
        <v>0</v>
      </c>
      <c r="F2667" s="23" t="s">
        <v>1294</v>
      </c>
      <c r="I2667" s="23" t="s">
        <v>1249</v>
      </c>
      <c r="U2667" s="0" t="n">
        <v>364</v>
      </c>
      <c r="V2667" s="0" t="n">
        <v>0</v>
      </c>
      <c r="W2667" s="0" t="str">
        <f aca="false">IF(OR(AND(B2667&gt;=1,B2667&lt;=6),B2667=10),"Vaca em lactação",IF(I2667="Male","Macho",IF(E2667&gt;=1,"Vaca seca",IF(I2667="Youngstock","Bezerra/recria","Novilha"))))</f>
        <v>Bezerra/recria</v>
      </c>
      <c r="X2667" s="0" t="str">
        <f aca="false">IF(AND(B2667&gt;=1,B2667&lt;=6),"Tanque",IF(B2667=10,"Descarte",""))</f>
        <v/>
      </c>
    </row>
    <row r="2668" customFormat="false" ht="15" hidden="false" customHeight="false" outlineLevel="0" collapsed="false">
      <c r="A2668" s="22" t="n">
        <v>46309</v>
      </c>
      <c r="B2668" s="0" t="n">
        <v>13</v>
      </c>
      <c r="C2668" s="0" t="n">
        <v>7038</v>
      </c>
      <c r="E2668" s="0" t="n">
        <v>0</v>
      </c>
      <c r="F2668" s="23" t="s">
        <v>1295</v>
      </c>
      <c r="I2668" s="23" t="s">
        <v>1249</v>
      </c>
      <c r="U2668" s="0" t="n">
        <v>365</v>
      </c>
      <c r="V2668" s="0" t="n">
        <v>0</v>
      </c>
      <c r="W2668" s="0" t="str">
        <f aca="false">IF(OR(AND(B2668&gt;=1,B2668&lt;=6),B2668=10),"Vaca em lactação",IF(I2668="Male","Macho",IF(E2668&gt;=1,"Vaca seca",IF(I2668="Youngstock","Bezerra/recria","Novilha"))))</f>
        <v>Bezerra/recria</v>
      </c>
      <c r="X2668" s="0" t="str">
        <f aca="false">IF(AND(B2668&gt;=1,B2668&lt;=6),"Tanque",IF(B2668=10,"Descarte",""))</f>
        <v/>
      </c>
    </row>
    <row r="2669" customFormat="false" ht="15" hidden="false" customHeight="false" outlineLevel="0" collapsed="false">
      <c r="A2669" s="22" t="n">
        <v>46309</v>
      </c>
      <c r="B2669" s="0" t="n">
        <v>13</v>
      </c>
      <c r="C2669" s="0" t="n">
        <v>7037</v>
      </c>
      <c r="E2669" s="0" t="n">
        <v>0</v>
      </c>
      <c r="F2669" s="23" t="s">
        <v>1296</v>
      </c>
      <c r="I2669" s="23" t="s">
        <v>1249</v>
      </c>
      <c r="U2669" s="0" t="n">
        <v>366</v>
      </c>
      <c r="V2669" s="0" t="n">
        <v>0</v>
      </c>
      <c r="W2669" s="0" t="str">
        <f aca="false">IF(OR(AND(B2669&gt;=1,B2669&lt;=6),B2669=10),"Vaca em lactação",IF(I2669="Male","Macho",IF(E2669&gt;=1,"Vaca seca",IF(I2669="Youngstock","Bezerra/recria","Novilha"))))</f>
        <v>Bezerra/recria</v>
      </c>
      <c r="X2669" s="0" t="str">
        <f aca="false">IF(AND(B2669&gt;=1,B2669&lt;=6),"Tanque",IF(B2669=10,"Descarte",""))</f>
        <v/>
      </c>
    </row>
    <row r="2670" customFormat="false" ht="15" hidden="false" customHeight="false" outlineLevel="0" collapsed="false">
      <c r="A2670" s="22" t="n">
        <v>46309</v>
      </c>
      <c r="B2670" s="0" t="n">
        <v>13</v>
      </c>
      <c r="C2670" s="0" t="n">
        <v>7036</v>
      </c>
      <c r="E2670" s="0" t="n">
        <v>0</v>
      </c>
      <c r="F2670" s="23" t="s">
        <v>1296</v>
      </c>
      <c r="I2670" s="23" t="s">
        <v>1249</v>
      </c>
      <c r="U2670" s="0" t="n">
        <v>366</v>
      </c>
      <c r="V2670" s="0" t="n">
        <v>0</v>
      </c>
      <c r="W2670" s="0" t="str">
        <f aca="false">IF(OR(AND(B2670&gt;=1,B2670&lt;=6),B2670=10),"Vaca em lactação",IF(I2670="Male","Macho",IF(E2670&gt;=1,"Vaca seca",IF(I2670="Youngstock","Bezerra/recria","Novilha"))))</f>
        <v>Bezerra/recria</v>
      </c>
      <c r="X2670" s="0" t="str">
        <f aca="false">IF(AND(B2670&gt;=1,B2670&lt;=6),"Tanque",IF(B2670=10,"Descarte",""))</f>
        <v/>
      </c>
    </row>
    <row r="2671" customFormat="false" ht="15" hidden="false" customHeight="false" outlineLevel="0" collapsed="false">
      <c r="A2671" s="22" t="n">
        <v>46309</v>
      </c>
      <c r="B2671" s="0" t="n">
        <v>13</v>
      </c>
      <c r="C2671" s="0" t="n">
        <v>7035</v>
      </c>
      <c r="E2671" s="0" t="n">
        <v>0</v>
      </c>
      <c r="F2671" s="23" t="s">
        <v>1297</v>
      </c>
      <c r="I2671" s="23" t="s">
        <v>1249</v>
      </c>
      <c r="U2671" s="0" t="n">
        <v>367</v>
      </c>
      <c r="V2671" s="0" t="n">
        <v>0</v>
      </c>
      <c r="W2671" s="0" t="str">
        <f aca="false">IF(OR(AND(B2671&gt;=1,B2671&lt;=6),B2671=10),"Vaca em lactação",IF(I2671="Male","Macho",IF(E2671&gt;=1,"Vaca seca",IF(I2671="Youngstock","Bezerra/recria","Novilha"))))</f>
        <v>Bezerra/recria</v>
      </c>
      <c r="X2671" s="0" t="str">
        <f aca="false">IF(AND(B2671&gt;=1,B2671&lt;=6),"Tanque",IF(B2671=10,"Descarte",""))</f>
        <v/>
      </c>
    </row>
    <row r="2672" customFormat="false" ht="15" hidden="false" customHeight="false" outlineLevel="0" collapsed="false">
      <c r="A2672" s="22" t="n">
        <v>46309</v>
      </c>
      <c r="B2672" s="0" t="n">
        <v>13</v>
      </c>
      <c r="C2672" s="0" t="n">
        <v>7040</v>
      </c>
      <c r="E2672" s="0" t="n">
        <v>0</v>
      </c>
      <c r="F2672" s="23" t="s">
        <v>1292</v>
      </c>
      <c r="I2672" s="23" t="s">
        <v>1249</v>
      </c>
      <c r="U2672" s="0" t="n">
        <v>362</v>
      </c>
      <c r="V2672" s="0" t="n">
        <v>0</v>
      </c>
      <c r="W2672" s="0" t="str">
        <f aca="false">IF(OR(AND(B2672&gt;=1,B2672&lt;=6),B2672=10),"Vaca em lactação",IF(I2672="Male","Macho",IF(E2672&gt;=1,"Vaca seca",IF(I2672="Youngstock","Bezerra/recria","Novilha"))))</f>
        <v>Bezerra/recria</v>
      </c>
      <c r="X2672" s="0" t="str">
        <f aca="false">IF(AND(B2672&gt;=1,B2672&lt;=6),"Tanque",IF(B2672=10,"Descarte",""))</f>
        <v/>
      </c>
    </row>
    <row r="2673" customFormat="false" ht="15" hidden="false" customHeight="false" outlineLevel="0" collapsed="false">
      <c r="A2673" s="22" t="n">
        <v>46309</v>
      </c>
      <c r="B2673" s="0" t="n">
        <v>13</v>
      </c>
      <c r="C2673" s="0" t="n">
        <v>7046</v>
      </c>
      <c r="E2673" s="0" t="n">
        <v>0</v>
      </c>
      <c r="F2673" s="23" t="s">
        <v>1292</v>
      </c>
      <c r="I2673" s="23" t="s">
        <v>1249</v>
      </c>
      <c r="U2673" s="0" t="n">
        <v>362</v>
      </c>
      <c r="V2673" s="0" t="n">
        <v>0</v>
      </c>
      <c r="W2673" s="0" t="str">
        <f aca="false">IF(OR(AND(B2673&gt;=1,B2673&lt;=6),B2673=10),"Vaca em lactação",IF(I2673="Male","Macho",IF(E2673&gt;=1,"Vaca seca",IF(I2673="Youngstock","Bezerra/recria","Novilha"))))</f>
        <v>Bezerra/recria</v>
      </c>
      <c r="X2673" s="0" t="str">
        <f aca="false">IF(AND(B2673&gt;=1,B2673&lt;=6),"Tanque",IF(B2673=10,"Descarte",""))</f>
        <v/>
      </c>
    </row>
    <row r="2674" customFormat="false" ht="15" hidden="false" customHeight="false" outlineLevel="0" collapsed="false">
      <c r="A2674" s="22" t="n">
        <v>46309</v>
      </c>
      <c r="B2674" s="0" t="n">
        <v>13</v>
      </c>
      <c r="C2674" s="0" t="n">
        <v>7045</v>
      </c>
      <c r="E2674" s="0" t="n">
        <v>0</v>
      </c>
      <c r="F2674" s="23" t="s">
        <v>1298</v>
      </c>
      <c r="I2674" s="23" t="s">
        <v>1249</v>
      </c>
      <c r="U2674" s="0" t="n">
        <v>363</v>
      </c>
      <c r="V2674" s="0" t="n">
        <v>0</v>
      </c>
      <c r="W2674" s="0" t="str">
        <f aca="false">IF(OR(AND(B2674&gt;=1,B2674&lt;=6),B2674=10),"Vaca em lactação",IF(I2674="Male","Macho",IF(E2674&gt;=1,"Vaca seca",IF(I2674="Youngstock","Bezerra/recria","Novilha"))))</f>
        <v>Bezerra/recria</v>
      </c>
      <c r="X2674" s="0" t="str">
        <f aca="false">IF(AND(B2674&gt;=1,B2674&lt;=6),"Tanque",IF(B2674=10,"Descarte",""))</f>
        <v/>
      </c>
    </row>
    <row r="2675" customFormat="false" ht="15" hidden="false" customHeight="false" outlineLevel="0" collapsed="false">
      <c r="A2675" s="22" t="n">
        <v>46309</v>
      </c>
      <c r="B2675" s="0" t="n">
        <v>13</v>
      </c>
      <c r="C2675" s="0" t="n">
        <v>7044</v>
      </c>
      <c r="E2675" s="0" t="n">
        <v>0</v>
      </c>
      <c r="F2675" s="23" t="s">
        <v>1294</v>
      </c>
      <c r="I2675" s="23" t="s">
        <v>1249</v>
      </c>
      <c r="U2675" s="0" t="n">
        <v>364</v>
      </c>
      <c r="V2675" s="0" t="n">
        <v>0</v>
      </c>
      <c r="W2675" s="0" t="str">
        <f aca="false">IF(OR(AND(B2675&gt;=1,B2675&lt;=6),B2675=10),"Vaca em lactação",IF(I2675="Male","Macho",IF(E2675&gt;=1,"Vaca seca",IF(I2675="Youngstock","Bezerra/recria","Novilha"))))</f>
        <v>Bezerra/recria</v>
      </c>
      <c r="X2675" s="0" t="str">
        <f aca="false">IF(AND(B2675&gt;=1,B2675&lt;=6),"Tanque",IF(B2675=10,"Descarte",""))</f>
        <v/>
      </c>
    </row>
    <row r="2676" customFormat="false" ht="15" hidden="false" customHeight="false" outlineLevel="0" collapsed="false">
      <c r="A2676" s="22" t="n">
        <v>46309</v>
      </c>
      <c r="B2676" s="0" t="n">
        <v>13</v>
      </c>
      <c r="C2676" s="0" t="n">
        <v>7043</v>
      </c>
      <c r="E2676" s="0" t="n">
        <v>0</v>
      </c>
      <c r="F2676" s="23" t="s">
        <v>1294</v>
      </c>
      <c r="I2676" s="23" t="s">
        <v>1249</v>
      </c>
      <c r="U2676" s="0" t="n">
        <v>364</v>
      </c>
      <c r="V2676" s="0" t="n">
        <v>0</v>
      </c>
      <c r="W2676" s="0" t="str">
        <f aca="false">IF(OR(AND(B2676&gt;=1,B2676&lt;=6),B2676=10),"Vaca em lactação",IF(I2676="Male","Macho",IF(E2676&gt;=1,"Vaca seca",IF(I2676="Youngstock","Bezerra/recria","Novilha"))))</f>
        <v>Bezerra/recria</v>
      </c>
      <c r="X2676" s="0" t="str">
        <f aca="false">IF(AND(B2676&gt;=1,B2676&lt;=6),"Tanque",IF(B2676=10,"Descarte",""))</f>
        <v/>
      </c>
    </row>
    <row r="2677" customFormat="false" ht="15" hidden="false" customHeight="false" outlineLevel="0" collapsed="false">
      <c r="A2677" s="22" t="n">
        <v>46309</v>
      </c>
      <c r="B2677" s="0" t="n">
        <v>13</v>
      </c>
      <c r="C2677" s="0" t="n">
        <v>7042</v>
      </c>
      <c r="E2677" s="0" t="n">
        <v>0</v>
      </c>
      <c r="F2677" s="23" t="s">
        <v>1294</v>
      </c>
      <c r="I2677" s="23" t="s">
        <v>1249</v>
      </c>
      <c r="U2677" s="0" t="n">
        <v>364</v>
      </c>
      <c r="V2677" s="0" t="n">
        <v>0</v>
      </c>
      <c r="W2677" s="0" t="str">
        <f aca="false">IF(OR(AND(B2677&gt;=1,B2677&lt;=6),B2677=10),"Vaca em lactação",IF(I2677="Male","Macho",IF(E2677&gt;=1,"Vaca seca",IF(I2677="Youngstock","Bezerra/recria","Novilha"))))</f>
        <v>Bezerra/recria</v>
      </c>
      <c r="X2677" s="0" t="str">
        <f aca="false">IF(AND(B2677&gt;=1,B2677&lt;=6),"Tanque",IF(B2677=10,"Descarte",""))</f>
        <v/>
      </c>
    </row>
    <row r="2678" customFormat="false" ht="15" hidden="false" customHeight="false" outlineLevel="0" collapsed="false">
      <c r="A2678" s="22" t="n">
        <v>46309</v>
      </c>
      <c r="B2678" s="0" t="n">
        <v>13</v>
      </c>
      <c r="C2678" s="0" t="n">
        <v>7041</v>
      </c>
      <c r="E2678" s="0" t="n">
        <v>0</v>
      </c>
      <c r="F2678" s="23" t="s">
        <v>1294</v>
      </c>
      <c r="I2678" s="23" t="s">
        <v>1249</v>
      </c>
      <c r="U2678" s="0" t="n">
        <v>364</v>
      </c>
      <c r="V2678" s="0" t="n">
        <v>0</v>
      </c>
      <c r="W2678" s="0" t="str">
        <f aca="false">IF(OR(AND(B2678&gt;=1,B2678&lt;=6),B2678=10),"Vaca em lactação",IF(I2678="Male","Macho",IF(E2678&gt;=1,"Vaca seca",IF(I2678="Youngstock","Bezerra/recria","Novilha"))))</f>
        <v>Bezerra/recria</v>
      </c>
      <c r="X2678" s="0" t="str">
        <f aca="false">IF(AND(B2678&gt;=1,B2678&lt;=6),"Tanque",IF(B2678=10,"Descarte",""))</f>
        <v/>
      </c>
    </row>
    <row r="2679" customFormat="false" ht="15" hidden="false" customHeight="false" outlineLevel="0" collapsed="false">
      <c r="A2679" s="22" t="n">
        <v>46309</v>
      </c>
      <c r="B2679" s="0" t="n">
        <v>13</v>
      </c>
      <c r="C2679" s="0" t="n">
        <v>7168</v>
      </c>
      <c r="E2679" s="0" t="n">
        <v>0</v>
      </c>
      <c r="F2679" s="23" t="s">
        <v>1299</v>
      </c>
      <c r="I2679" s="23" t="s">
        <v>1249</v>
      </c>
      <c r="U2679" s="0" t="n">
        <v>323</v>
      </c>
      <c r="V2679" s="0" t="n">
        <v>0</v>
      </c>
      <c r="W2679" s="0" t="str">
        <f aca="false">IF(OR(AND(B2679&gt;=1,B2679&lt;=6),B2679=10),"Vaca em lactação",IF(I2679="Male","Macho",IF(E2679&gt;=1,"Vaca seca",IF(I2679="Youngstock","Bezerra/recria","Novilha"))))</f>
        <v>Bezerra/recria</v>
      </c>
      <c r="X2679" s="0" t="str">
        <f aca="false">IF(AND(B2679&gt;=1,B2679&lt;=6),"Tanque",IF(B2679=10,"Descarte",""))</f>
        <v/>
      </c>
    </row>
    <row r="2680" customFormat="false" ht="15" hidden="false" customHeight="false" outlineLevel="0" collapsed="false">
      <c r="A2680" s="22" t="n">
        <v>46309</v>
      </c>
      <c r="B2680" s="0" t="n">
        <v>13</v>
      </c>
      <c r="C2680" s="0" t="n">
        <v>7172</v>
      </c>
      <c r="E2680" s="0" t="n">
        <v>0</v>
      </c>
      <c r="F2680" s="23" t="s">
        <v>1300</v>
      </c>
      <c r="I2680" s="23" t="s">
        <v>1249</v>
      </c>
      <c r="U2680" s="0" t="n">
        <v>321</v>
      </c>
      <c r="V2680" s="0" t="n">
        <v>0</v>
      </c>
      <c r="W2680" s="0" t="str">
        <f aca="false">IF(OR(AND(B2680&gt;=1,B2680&lt;=6),B2680=10),"Vaca em lactação",IF(I2680="Male","Macho",IF(E2680&gt;=1,"Vaca seca",IF(I2680="Youngstock","Bezerra/recria","Novilha"))))</f>
        <v>Bezerra/recria</v>
      </c>
      <c r="X2680" s="0" t="str">
        <f aca="false">IF(AND(B2680&gt;=1,B2680&lt;=6),"Tanque",IF(B2680=10,"Descarte",""))</f>
        <v/>
      </c>
    </row>
    <row r="2681" customFormat="false" ht="15" hidden="false" customHeight="false" outlineLevel="0" collapsed="false">
      <c r="A2681" s="22" t="n">
        <v>46309</v>
      </c>
      <c r="B2681" s="0" t="n">
        <v>13</v>
      </c>
      <c r="C2681" s="0" t="n">
        <v>7171</v>
      </c>
      <c r="E2681" s="0" t="n">
        <v>0</v>
      </c>
      <c r="F2681" s="23" t="s">
        <v>1301</v>
      </c>
      <c r="I2681" s="23" t="s">
        <v>1249</v>
      </c>
      <c r="U2681" s="0" t="n">
        <v>322</v>
      </c>
      <c r="V2681" s="0" t="n">
        <v>0</v>
      </c>
      <c r="W2681" s="0" t="str">
        <f aca="false">IF(OR(AND(B2681&gt;=1,B2681&lt;=6),B2681=10),"Vaca em lactação",IF(I2681="Male","Macho",IF(E2681&gt;=1,"Vaca seca",IF(I2681="Youngstock","Bezerra/recria","Novilha"))))</f>
        <v>Bezerra/recria</v>
      </c>
      <c r="X2681" s="0" t="str">
        <f aca="false">IF(AND(B2681&gt;=1,B2681&lt;=6),"Tanque",IF(B2681=10,"Descarte",""))</f>
        <v/>
      </c>
    </row>
    <row r="2682" customFormat="false" ht="15" hidden="false" customHeight="false" outlineLevel="0" collapsed="false">
      <c r="A2682" s="22" t="n">
        <v>46309</v>
      </c>
      <c r="B2682" s="0" t="n">
        <v>13</v>
      </c>
      <c r="C2682" s="0" t="n">
        <v>7170</v>
      </c>
      <c r="E2682" s="0" t="n">
        <v>0</v>
      </c>
      <c r="F2682" s="23" t="s">
        <v>1301</v>
      </c>
      <c r="I2682" s="23" t="s">
        <v>1249</v>
      </c>
      <c r="U2682" s="0" t="n">
        <v>322</v>
      </c>
      <c r="V2682" s="0" t="n">
        <v>0</v>
      </c>
      <c r="W2682" s="0" t="str">
        <f aca="false">IF(OR(AND(B2682&gt;=1,B2682&lt;=6),B2682=10),"Vaca em lactação",IF(I2682="Male","Macho",IF(E2682&gt;=1,"Vaca seca",IF(I2682="Youngstock","Bezerra/recria","Novilha"))))</f>
        <v>Bezerra/recria</v>
      </c>
      <c r="X2682" s="0" t="str">
        <f aca="false">IF(AND(B2682&gt;=1,B2682&lt;=6),"Tanque",IF(B2682=10,"Descarte",""))</f>
        <v/>
      </c>
    </row>
    <row r="2683" customFormat="false" ht="15" hidden="false" customHeight="false" outlineLevel="0" collapsed="false">
      <c r="A2683" s="22" t="n">
        <v>46309</v>
      </c>
      <c r="B2683" s="0" t="n">
        <v>13</v>
      </c>
      <c r="C2683" s="0" t="n">
        <v>7169</v>
      </c>
      <c r="E2683" s="0" t="n">
        <v>0</v>
      </c>
      <c r="F2683" s="23" t="s">
        <v>1300</v>
      </c>
      <c r="I2683" s="23" t="s">
        <v>1249</v>
      </c>
      <c r="U2683" s="0" t="n">
        <v>321</v>
      </c>
      <c r="V2683" s="0" t="n">
        <v>0</v>
      </c>
      <c r="W2683" s="0" t="str">
        <f aca="false">IF(OR(AND(B2683&gt;=1,B2683&lt;=6),B2683=10),"Vaca em lactação",IF(I2683="Male","Macho",IF(E2683&gt;=1,"Vaca seca",IF(I2683="Youngstock","Bezerra/recria","Novilha"))))</f>
        <v>Bezerra/recria</v>
      </c>
      <c r="X2683" s="0" t="str">
        <f aca="false">IF(AND(B2683&gt;=1,B2683&lt;=6),"Tanque",IF(B2683=10,"Descarte",""))</f>
        <v/>
      </c>
    </row>
    <row r="2684" customFormat="false" ht="15" hidden="false" customHeight="false" outlineLevel="0" collapsed="false">
      <c r="A2684" s="22" t="n">
        <v>46309</v>
      </c>
      <c r="B2684" s="0" t="n">
        <v>13</v>
      </c>
      <c r="C2684" s="0" t="n">
        <v>7176</v>
      </c>
      <c r="E2684" s="0" t="n">
        <v>0</v>
      </c>
      <c r="F2684" s="23" t="s">
        <v>1302</v>
      </c>
      <c r="I2684" s="23" t="s">
        <v>1249</v>
      </c>
      <c r="U2684" s="0" t="n">
        <v>320</v>
      </c>
      <c r="V2684" s="0" t="n">
        <v>0</v>
      </c>
      <c r="W2684" s="0" t="str">
        <f aca="false">IF(OR(AND(B2684&gt;=1,B2684&lt;=6),B2684=10),"Vaca em lactação",IF(I2684="Male","Macho",IF(E2684&gt;=1,"Vaca seca",IF(I2684="Youngstock","Bezerra/recria","Novilha"))))</f>
        <v>Bezerra/recria</v>
      </c>
      <c r="X2684" s="0" t="str">
        <f aca="false">IF(AND(B2684&gt;=1,B2684&lt;=6),"Tanque",IF(B2684=10,"Descarte",""))</f>
        <v/>
      </c>
    </row>
    <row r="2685" customFormat="false" ht="15" hidden="false" customHeight="false" outlineLevel="0" collapsed="false">
      <c r="A2685" s="22" t="n">
        <v>46309</v>
      </c>
      <c r="B2685" s="0" t="n">
        <v>13</v>
      </c>
      <c r="C2685" s="0" t="n">
        <v>7175</v>
      </c>
      <c r="E2685" s="0" t="n">
        <v>0</v>
      </c>
      <c r="F2685" s="23" t="s">
        <v>1302</v>
      </c>
      <c r="I2685" s="23" t="s">
        <v>1249</v>
      </c>
      <c r="U2685" s="0" t="n">
        <v>320</v>
      </c>
      <c r="V2685" s="0" t="n">
        <v>0</v>
      </c>
      <c r="W2685" s="0" t="str">
        <f aca="false">IF(OR(AND(B2685&gt;=1,B2685&lt;=6),B2685=10),"Vaca em lactação",IF(I2685="Male","Macho",IF(E2685&gt;=1,"Vaca seca",IF(I2685="Youngstock","Bezerra/recria","Novilha"))))</f>
        <v>Bezerra/recria</v>
      </c>
      <c r="X2685" s="0" t="str">
        <f aca="false">IF(AND(B2685&gt;=1,B2685&lt;=6),"Tanque",IF(B2685=10,"Descarte",""))</f>
        <v/>
      </c>
    </row>
    <row r="2686" customFormat="false" ht="15" hidden="false" customHeight="false" outlineLevel="0" collapsed="false">
      <c r="A2686" s="22" t="n">
        <v>46309</v>
      </c>
      <c r="B2686" s="0" t="n">
        <v>13</v>
      </c>
      <c r="C2686" s="0" t="n">
        <v>7174</v>
      </c>
      <c r="E2686" s="0" t="n">
        <v>0</v>
      </c>
      <c r="F2686" s="23" t="s">
        <v>1302</v>
      </c>
      <c r="I2686" s="23" t="s">
        <v>1249</v>
      </c>
      <c r="U2686" s="0" t="n">
        <v>320</v>
      </c>
      <c r="V2686" s="0" t="n">
        <v>0</v>
      </c>
      <c r="W2686" s="0" t="str">
        <f aca="false">IF(OR(AND(B2686&gt;=1,B2686&lt;=6),B2686=10),"Vaca em lactação",IF(I2686="Male","Macho",IF(E2686&gt;=1,"Vaca seca",IF(I2686="Youngstock","Bezerra/recria","Novilha"))))</f>
        <v>Bezerra/recria</v>
      </c>
      <c r="X2686" s="0" t="str">
        <f aca="false">IF(AND(B2686&gt;=1,B2686&lt;=6),"Tanque",IF(B2686=10,"Descarte",""))</f>
        <v/>
      </c>
    </row>
    <row r="2687" customFormat="false" ht="15" hidden="false" customHeight="false" outlineLevel="0" collapsed="false">
      <c r="A2687" s="22" t="n">
        <v>46309</v>
      </c>
      <c r="B2687" s="0" t="n">
        <v>13</v>
      </c>
      <c r="C2687" s="0" t="n">
        <v>7180</v>
      </c>
      <c r="E2687" s="0" t="n">
        <v>0</v>
      </c>
      <c r="F2687" s="23" t="s">
        <v>1303</v>
      </c>
      <c r="I2687" s="23" t="s">
        <v>1249</v>
      </c>
      <c r="U2687" s="0" t="n">
        <v>318</v>
      </c>
      <c r="V2687" s="0" t="n">
        <v>0</v>
      </c>
      <c r="W2687" s="0" t="str">
        <f aca="false">IF(OR(AND(B2687&gt;=1,B2687&lt;=6),B2687=10),"Vaca em lactação",IF(I2687="Male","Macho",IF(E2687&gt;=1,"Vaca seca",IF(I2687="Youngstock","Bezerra/recria","Novilha"))))</f>
        <v>Bezerra/recria</v>
      </c>
      <c r="X2687" s="0" t="str">
        <f aca="false">IF(AND(B2687&gt;=1,B2687&lt;=6),"Tanque",IF(B2687=10,"Descarte",""))</f>
        <v/>
      </c>
    </row>
    <row r="2688" customFormat="false" ht="15" hidden="false" customHeight="false" outlineLevel="0" collapsed="false">
      <c r="A2688" s="22" t="n">
        <v>46309</v>
      </c>
      <c r="B2688" s="0" t="n">
        <v>13</v>
      </c>
      <c r="C2688" s="0" t="n">
        <v>7178</v>
      </c>
      <c r="E2688" s="0" t="n">
        <v>0</v>
      </c>
      <c r="F2688" s="23" t="s">
        <v>1304</v>
      </c>
      <c r="I2688" s="23" t="s">
        <v>1249</v>
      </c>
      <c r="U2688" s="0" t="n">
        <v>319</v>
      </c>
      <c r="V2688" s="0" t="n">
        <v>0</v>
      </c>
      <c r="W2688" s="0" t="str">
        <f aca="false">IF(OR(AND(B2688&gt;=1,B2688&lt;=6),B2688=10),"Vaca em lactação",IF(I2688="Male","Macho",IF(E2688&gt;=1,"Vaca seca",IF(I2688="Youngstock","Bezerra/recria","Novilha"))))</f>
        <v>Bezerra/recria</v>
      </c>
      <c r="X2688" s="0" t="str">
        <f aca="false">IF(AND(B2688&gt;=1,B2688&lt;=6),"Tanque",IF(B2688=10,"Descarte",""))</f>
        <v/>
      </c>
    </row>
    <row r="2689" customFormat="false" ht="15" hidden="false" customHeight="false" outlineLevel="0" collapsed="false">
      <c r="A2689" s="22" t="n">
        <v>46309</v>
      </c>
      <c r="B2689" s="0" t="n">
        <v>13</v>
      </c>
      <c r="C2689" s="0" t="n">
        <v>7177</v>
      </c>
      <c r="E2689" s="0" t="n">
        <v>0</v>
      </c>
      <c r="F2689" s="23" t="s">
        <v>1304</v>
      </c>
      <c r="I2689" s="23" t="s">
        <v>1249</v>
      </c>
      <c r="U2689" s="0" t="n">
        <v>319</v>
      </c>
      <c r="V2689" s="0" t="n">
        <v>0</v>
      </c>
      <c r="W2689" s="0" t="str">
        <f aca="false">IF(OR(AND(B2689&gt;=1,B2689&lt;=6),B2689=10),"Vaca em lactação",IF(I2689="Male","Macho",IF(E2689&gt;=1,"Vaca seca",IF(I2689="Youngstock","Bezerra/recria","Novilha"))))</f>
        <v>Bezerra/recria</v>
      </c>
      <c r="X2689" s="0" t="str">
        <f aca="false">IF(AND(B2689&gt;=1,B2689&lt;=6),"Tanque",IF(B2689=10,"Descarte",""))</f>
        <v/>
      </c>
    </row>
    <row r="2690" customFormat="false" ht="15" hidden="false" customHeight="false" outlineLevel="0" collapsed="false">
      <c r="A2690" s="22" t="n">
        <v>46309</v>
      </c>
      <c r="B2690" s="0" t="n">
        <v>13</v>
      </c>
      <c r="C2690" s="0" t="n">
        <v>7138</v>
      </c>
      <c r="E2690" s="0" t="n">
        <v>0</v>
      </c>
      <c r="F2690" s="23" t="s">
        <v>1305</v>
      </c>
      <c r="I2690" s="23" t="s">
        <v>1249</v>
      </c>
      <c r="U2690" s="0" t="n">
        <v>331</v>
      </c>
      <c r="V2690" s="0" t="n">
        <v>0</v>
      </c>
      <c r="W2690" s="0" t="str">
        <f aca="false">IF(OR(AND(B2690&gt;=1,B2690&lt;=6),B2690=10),"Vaca em lactação",IF(I2690="Male","Macho",IF(E2690&gt;=1,"Vaca seca",IF(I2690="Youngstock","Bezerra/recria","Novilha"))))</f>
        <v>Bezerra/recria</v>
      </c>
      <c r="X2690" s="0" t="str">
        <f aca="false">IF(AND(B2690&gt;=1,B2690&lt;=6),"Tanque",IF(B2690=10,"Descarte",""))</f>
        <v/>
      </c>
    </row>
    <row r="2691" customFormat="false" ht="15" hidden="false" customHeight="false" outlineLevel="0" collapsed="false">
      <c r="A2691" s="22" t="n">
        <v>46309</v>
      </c>
      <c r="B2691" s="0" t="n">
        <v>13</v>
      </c>
      <c r="C2691" s="0" t="n">
        <v>7137</v>
      </c>
      <c r="E2691" s="0" t="n">
        <v>0</v>
      </c>
      <c r="F2691" s="23" t="s">
        <v>1305</v>
      </c>
      <c r="I2691" s="23" t="s">
        <v>1249</v>
      </c>
      <c r="U2691" s="0" t="n">
        <v>331</v>
      </c>
      <c r="V2691" s="0" t="n">
        <v>0</v>
      </c>
      <c r="W2691" s="0" t="str">
        <f aca="false">IF(OR(AND(B2691&gt;=1,B2691&lt;=6),B2691=10),"Vaca em lactação",IF(I2691="Male","Macho",IF(E2691&gt;=1,"Vaca seca",IF(I2691="Youngstock","Bezerra/recria","Novilha"))))</f>
        <v>Bezerra/recria</v>
      </c>
      <c r="X2691" s="0" t="str">
        <f aca="false">IF(AND(B2691&gt;=1,B2691&lt;=6),"Tanque",IF(B2691=10,"Descarte",""))</f>
        <v/>
      </c>
    </row>
    <row r="2692" customFormat="false" ht="15" hidden="false" customHeight="false" outlineLevel="0" collapsed="false">
      <c r="A2692" s="22" t="n">
        <v>46309</v>
      </c>
      <c r="B2692" s="0" t="n">
        <v>13</v>
      </c>
      <c r="C2692" s="0" t="n">
        <v>7141</v>
      </c>
      <c r="E2692" s="0" t="n">
        <v>0</v>
      </c>
      <c r="F2692" s="23" t="s">
        <v>1305</v>
      </c>
      <c r="I2692" s="23" t="s">
        <v>1249</v>
      </c>
      <c r="U2692" s="0" t="n">
        <v>331</v>
      </c>
      <c r="V2692" s="0" t="n">
        <v>0</v>
      </c>
      <c r="W2692" s="0" t="str">
        <f aca="false">IF(OR(AND(B2692&gt;=1,B2692&lt;=6),B2692=10),"Vaca em lactação",IF(I2692="Male","Macho",IF(E2692&gt;=1,"Vaca seca",IF(I2692="Youngstock","Bezerra/recria","Novilha"))))</f>
        <v>Bezerra/recria</v>
      </c>
      <c r="X2692" s="0" t="str">
        <f aca="false">IF(AND(B2692&gt;=1,B2692&lt;=6),"Tanque",IF(B2692=10,"Descarte",""))</f>
        <v/>
      </c>
    </row>
    <row r="2693" customFormat="false" ht="15" hidden="false" customHeight="false" outlineLevel="0" collapsed="false">
      <c r="A2693" s="22" t="n">
        <v>46309</v>
      </c>
      <c r="B2693" s="0" t="n">
        <v>13</v>
      </c>
      <c r="C2693" s="0" t="n">
        <v>7140</v>
      </c>
      <c r="E2693" s="0" t="n">
        <v>0</v>
      </c>
      <c r="F2693" s="23" t="s">
        <v>1305</v>
      </c>
      <c r="I2693" s="23" t="s">
        <v>1249</v>
      </c>
      <c r="U2693" s="0" t="n">
        <v>331</v>
      </c>
      <c r="V2693" s="0" t="n">
        <v>0</v>
      </c>
      <c r="W2693" s="0" t="str">
        <f aca="false">IF(OR(AND(B2693&gt;=1,B2693&lt;=6),B2693=10),"Vaca em lactação",IF(I2693="Male","Macho",IF(E2693&gt;=1,"Vaca seca",IF(I2693="Youngstock","Bezerra/recria","Novilha"))))</f>
        <v>Bezerra/recria</v>
      </c>
      <c r="X2693" s="0" t="str">
        <f aca="false">IF(AND(B2693&gt;=1,B2693&lt;=6),"Tanque",IF(B2693=10,"Descarte",""))</f>
        <v/>
      </c>
    </row>
    <row r="2694" customFormat="false" ht="15" hidden="false" customHeight="false" outlineLevel="0" collapsed="false">
      <c r="A2694" s="22" t="n">
        <v>46309</v>
      </c>
      <c r="B2694" s="0" t="n">
        <v>13</v>
      </c>
      <c r="C2694" s="0" t="n">
        <v>7139</v>
      </c>
      <c r="E2694" s="0" t="n">
        <v>0</v>
      </c>
      <c r="F2694" s="23" t="s">
        <v>1305</v>
      </c>
      <c r="I2694" s="23" t="s">
        <v>1249</v>
      </c>
      <c r="U2694" s="0" t="n">
        <v>331</v>
      </c>
      <c r="V2694" s="0" t="n">
        <v>0</v>
      </c>
      <c r="W2694" s="0" t="str">
        <f aca="false">IF(OR(AND(B2694&gt;=1,B2694&lt;=6),B2694=10),"Vaca em lactação",IF(I2694="Male","Macho",IF(E2694&gt;=1,"Vaca seca",IF(I2694="Youngstock","Bezerra/recria","Novilha"))))</f>
        <v>Bezerra/recria</v>
      </c>
      <c r="X2694" s="0" t="str">
        <f aca="false">IF(AND(B2694&gt;=1,B2694&lt;=6),"Tanque",IF(B2694=10,"Descarte",""))</f>
        <v/>
      </c>
    </row>
    <row r="2695" customFormat="false" ht="15" hidden="false" customHeight="false" outlineLevel="0" collapsed="false">
      <c r="A2695" s="22" t="n">
        <v>46309</v>
      </c>
      <c r="B2695" s="0" t="n">
        <v>13</v>
      </c>
      <c r="C2695" s="0" t="n">
        <v>7148</v>
      </c>
      <c r="E2695" s="0" t="n">
        <v>0</v>
      </c>
      <c r="F2695" s="23" t="s">
        <v>1306</v>
      </c>
      <c r="I2695" s="23" t="s">
        <v>1249</v>
      </c>
      <c r="U2695" s="0" t="n">
        <v>329</v>
      </c>
      <c r="V2695" s="0" t="n">
        <v>0</v>
      </c>
      <c r="W2695" s="0" t="str">
        <f aca="false">IF(OR(AND(B2695&gt;=1,B2695&lt;=6),B2695=10),"Vaca em lactação",IF(I2695="Male","Macho",IF(E2695&gt;=1,"Vaca seca",IF(I2695="Youngstock","Bezerra/recria","Novilha"))))</f>
        <v>Bezerra/recria</v>
      </c>
      <c r="X2695" s="0" t="str">
        <f aca="false">IF(AND(B2695&gt;=1,B2695&lt;=6),"Tanque",IF(B2695=10,"Descarte",""))</f>
        <v/>
      </c>
    </row>
    <row r="2696" customFormat="false" ht="15" hidden="false" customHeight="false" outlineLevel="0" collapsed="false">
      <c r="A2696" s="22" t="n">
        <v>46309</v>
      </c>
      <c r="B2696" s="0" t="n">
        <v>13</v>
      </c>
      <c r="C2696" s="0" t="n">
        <v>7147</v>
      </c>
      <c r="E2696" s="0" t="n">
        <v>0</v>
      </c>
      <c r="F2696" s="23" t="s">
        <v>1306</v>
      </c>
      <c r="I2696" s="23" t="s">
        <v>1249</v>
      </c>
      <c r="U2696" s="0" t="n">
        <v>329</v>
      </c>
      <c r="V2696" s="0" t="n">
        <v>0</v>
      </c>
      <c r="W2696" s="0" t="str">
        <f aca="false">IF(OR(AND(B2696&gt;=1,B2696&lt;=6),B2696=10),"Vaca em lactação",IF(I2696="Male","Macho",IF(E2696&gt;=1,"Vaca seca",IF(I2696="Youngstock","Bezerra/recria","Novilha"))))</f>
        <v>Bezerra/recria</v>
      </c>
      <c r="X2696" s="0" t="str">
        <f aca="false">IF(AND(B2696&gt;=1,B2696&lt;=6),"Tanque",IF(B2696=10,"Descarte",""))</f>
        <v/>
      </c>
    </row>
    <row r="2697" customFormat="false" ht="15" hidden="false" customHeight="false" outlineLevel="0" collapsed="false">
      <c r="A2697" s="22" t="n">
        <v>46309</v>
      </c>
      <c r="B2697" s="0" t="n">
        <v>13</v>
      </c>
      <c r="C2697" s="0" t="n">
        <v>7146</v>
      </c>
      <c r="E2697" s="0" t="n">
        <v>0</v>
      </c>
      <c r="F2697" s="23" t="s">
        <v>1306</v>
      </c>
      <c r="I2697" s="23" t="s">
        <v>1249</v>
      </c>
      <c r="U2697" s="0" t="n">
        <v>329</v>
      </c>
      <c r="V2697" s="0" t="n">
        <v>0</v>
      </c>
      <c r="W2697" s="0" t="str">
        <f aca="false">IF(OR(AND(B2697&gt;=1,B2697&lt;=6),B2697=10),"Vaca em lactação",IF(I2697="Male","Macho",IF(E2697&gt;=1,"Vaca seca",IF(I2697="Youngstock","Bezerra/recria","Novilha"))))</f>
        <v>Bezerra/recria</v>
      </c>
      <c r="X2697" s="0" t="str">
        <f aca="false">IF(AND(B2697&gt;=1,B2697&lt;=6),"Tanque",IF(B2697=10,"Descarte",""))</f>
        <v/>
      </c>
    </row>
    <row r="2698" customFormat="false" ht="15" hidden="false" customHeight="false" outlineLevel="0" collapsed="false">
      <c r="A2698" s="22" t="n">
        <v>46309</v>
      </c>
      <c r="B2698" s="0" t="n">
        <v>13</v>
      </c>
      <c r="C2698" s="0" t="n">
        <v>7144</v>
      </c>
      <c r="E2698" s="0" t="n">
        <v>0</v>
      </c>
      <c r="F2698" s="23" t="s">
        <v>1307</v>
      </c>
      <c r="I2698" s="23" t="s">
        <v>1249</v>
      </c>
      <c r="U2698" s="0" t="n">
        <v>330</v>
      </c>
      <c r="V2698" s="0" t="n">
        <v>0</v>
      </c>
      <c r="W2698" s="0" t="str">
        <f aca="false">IF(OR(AND(B2698&gt;=1,B2698&lt;=6),B2698=10),"Vaca em lactação",IF(I2698="Male","Macho",IF(E2698&gt;=1,"Vaca seca",IF(I2698="Youngstock","Bezerra/recria","Novilha"))))</f>
        <v>Bezerra/recria</v>
      </c>
      <c r="X2698" s="0" t="str">
        <f aca="false">IF(AND(B2698&gt;=1,B2698&lt;=6),"Tanque",IF(B2698=10,"Descarte",""))</f>
        <v/>
      </c>
    </row>
    <row r="2699" customFormat="false" ht="15" hidden="false" customHeight="false" outlineLevel="0" collapsed="false">
      <c r="A2699" s="22" t="n">
        <v>46309</v>
      </c>
      <c r="B2699" s="0" t="n">
        <v>13</v>
      </c>
      <c r="C2699" s="0" t="n">
        <v>7143</v>
      </c>
      <c r="E2699" s="0" t="n">
        <v>0</v>
      </c>
      <c r="F2699" s="23" t="s">
        <v>1307</v>
      </c>
      <c r="I2699" s="23" t="s">
        <v>1249</v>
      </c>
      <c r="U2699" s="0" t="n">
        <v>330</v>
      </c>
      <c r="V2699" s="0" t="n">
        <v>0</v>
      </c>
      <c r="W2699" s="0" t="str">
        <f aca="false">IF(OR(AND(B2699&gt;=1,B2699&lt;=6),B2699=10),"Vaca em lactação",IF(I2699="Male","Macho",IF(E2699&gt;=1,"Vaca seca",IF(I2699="Youngstock","Bezerra/recria","Novilha"))))</f>
        <v>Bezerra/recria</v>
      </c>
      <c r="X2699" s="0" t="str">
        <f aca="false">IF(AND(B2699&gt;=1,B2699&lt;=6),"Tanque",IF(B2699=10,"Descarte",""))</f>
        <v/>
      </c>
    </row>
    <row r="2700" customFormat="false" ht="15" hidden="false" customHeight="false" outlineLevel="0" collapsed="false">
      <c r="A2700" s="22" t="n">
        <v>46309</v>
      </c>
      <c r="B2700" s="0" t="n">
        <v>13</v>
      </c>
      <c r="C2700" s="0" t="n">
        <v>7142</v>
      </c>
      <c r="E2700" s="0" t="n">
        <v>0</v>
      </c>
      <c r="F2700" s="23" t="s">
        <v>1307</v>
      </c>
      <c r="I2700" s="23" t="s">
        <v>1249</v>
      </c>
      <c r="U2700" s="0" t="n">
        <v>330</v>
      </c>
      <c r="V2700" s="0" t="n">
        <v>0</v>
      </c>
      <c r="W2700" s="0" t="str">
        <f aca="false">IF(OR(AND(B2700&gt;=1,B2700&lt;=6),B2700=10),"Vaca em lactação",IF(I2700="Male","Macho",IF(E2700&gt;=1,"Vaca seca",IF(I2700="Youngstock","Bezerra/recria","Novilha"))))</f>
        <v>Bezerra/recria</v>
      </c>
      <c r="X2700" s="0" t="str">
        <f aca="false">IF(AND(B2700&gt;=1,B2700&lt;=6),"Tanque",IF(B2700=10,"Descarte",""))</f>
        <v/>
      </c>
    </row>
    <row r="2701" customFormat="false" ht="15" hidden="false" customHeight="false" outlineLevel="0" collapsed="false">
      <c r="A2701" s="22" t="n">
        <v>46309</v>
      </c>
      <c r="B2701" s="0" t="n">
        <v>13</v>
      </c>
      <c r="C2701" s="0" t="n">
        <v>7151</v>
      </c>
      <c r="E2701" s="0" t="n">
        <v>0</v>
      </c>
      <c r="F2701" s="23" t="s">
        <v>1306</v>
      </c>
      <c r="I2701" s="23" t="s">
        <v>1249</v>
      </c>
      <c r="U2701" s="0" t="n">
        <v>329</v>
      </c>
      <c r="V2701" s="0" t="n">
        <v>0</v>
      </c>
      <c r="W2701" s="0" t="str">
        <f aca="false">IF(OR(AND(B2701&gt;=1,B2701&lt;=6),B2701=10),"Vaca em lactação",IF(I2701="Male","Macho",IF(E2701&gt;=1,"Vaca seca",IF(I2701="Youngstock","Bezerra/recria","Novilha"))))</f>
        <v>Bezerra/recria</v>
      </c>
      <c r="X2701" s="0" t="str">
        <f aca="false">IF(AND(B2701&gt;=1,B2701&lt;=6),"Tanque",IF(B2701=10,"Descarte",""))</f>
        <v/>
      </c>
    </row>
    <row r="2702" customFormat="false" ht="15" hidden="false" customHeight="false" outlineLevel="0" collapsed="false">
      <c r="A2702" s="22" t="n">
        <v>46309</v>
      </c>
      <c r="B2702" s="0" t="n">
        <v>13</v>
      </c>
      <c r="C2702" s="0" t="n">
        <v>7150</v>
      </c>
      <c r="E2702" s="0" t="n">
        <v>0</v>
      </c>
      <c r="F2702" s="23" t="s">
        <v>1306</v>
      </c>
      <c r="I2702" s="23" t="s">
        <v>1249</v>
      </c>
      <c r="U2702" s="0" t="n">
        <v>329</v>
      </c>
      <c r="V2702" s="0" t="n">
        <v>0</v>
      </c>
      <c r="W2702" s="0" t="str">
        <f aca="false">IF(OR(AND(B2702&gt;=1,B2702&lt;=6),B2702=10),"Vaca em lactação",IF(I2702="Male","Macho",IF(E2702&gt;=1,"Vaca seca",IF(I2702="Youngstock","Bezerra/recria","Novilha"))))</f>
        <v>Bezerra/recria</v>
      </c>
      <c r="X2702" s="0" t="str">
        <f aca="false">IF(AND(B2702&gt;=1,B2702&lt;=6),"Tanque",IF(B2702=10,"Descarte",""))</f>
        <v/>
      </c>
    </row>
    <row r="2703" customFormat="false" ht="15" hidden="false" customHeight="false" outlineLevel="0" collapsed="false">
      <c r="A2703" s="22" t="n">
        <v>46309</v>
      </c>
      <c r="B2703" s="0" t="n">
        <v>13</v>
      </c>
      <c r="C2703" s="0" t="n">
        <v>7153</v>
      </c>
      <c r="E2703" s="0" t="n">
        <v>0</v>
      </c>
      <c r="F2703" s="23" t="s">
        <v>1308</v>
      </c>
      <c r="I2703" s="23" t="s">
        <v>1249</v>
      </c>
      <c r="U2703" s="0" t="n">
        <v>327</v>
      </c>
      <c r="V2703" s="0" t="n">
        <v>0</v>
      </c>
      <c r="W2703" s="0" t="str">
        <f aca="false">IF(OR(AND(B2703&gt;=1,B2703&lt;=6),B2703=10),"Vaca em lactação",IF(I2703="Male","Macho",IF(E2703&gt;=1,"Vaca seca",IF(I2703="Youngstock","Bezerra/recria","Novilha"))))</f>
        <v>Bezerra/recria</v>
      </c>
      <c r="X2703" s="0" t="str">
        <f aca="false">IF(AND(B2703&gt;=1,B2703&lt;=6),"Tanque",IF(B2703=10,"Descarte",""))</f>
        <v/>
      </c>
    </row>
    <row r="2704" customFormat="false" ht="15" hidden="false" customHeight="false" outlineLevel="0" collapsed="false">
      <c r="A2704" s="22" t="n">
        <v>46309</v>
      </c>
      <c r="B2704" s="0" t="n">
        <v>13</v>
      </c>
      <c r="C2704" s="0" t="n">
        <v>7152</v>
      </c>
      <c r="E2704" s="0" t="n">
        <v>0</v>
      </c>
      <c r="F2704" s="23" t="s">
        <v>1309</v>
      </c>
      <c r="I2704" s="23" t="s">
        <v>1249</v>
      </c>
      <c r="U2704" s="0" t="n">
        <v>328</v>
      </c>
      <c r="V2704" s="0" t="n">
        <v>0</v>
      </c>
      <c r="W2704" s="0" t="str">
        <f aca="false">IF(OR(AND(B2704&gt;=1,B2704&lt;=6),B2704=10),"Vaca em lactação",IF(I2704="Male","Macho",IF(E2704&gt;=1,"Vaca seca",IF(I2704="Youngstock","Bezerra/recria","Novilha"))))</f>
        <v>Bezerra/recria</v>
      </c>
      <c r="X2704" s="0" t="str">
        <f aca="false">IF(AND(B2704&gt;=1,B2704&lt;=6),"Tanque",IF(B2704=10,"Descarte",""))</f>
        <v/>
      </c>
    </row>
    <row r="2705" customFormat="false" ht="15" hidden="false" customHeight="false" outlineLevel="0" collapsed="false">
      <c r="A2705" s="22" t="n">
        <v>46309</v>
      </c>
      <c r="B2705" s="0" t="n">
        <v>13</v>
      </c>
      <c r="C2705" s="0" t="n">
        <v>7155</v>
      </c>
      <c r="E2705" s="0" t="n">
        <v>0</v>
      </c>
      <c r="F2705" s="23" t="s">
        <v>1310</v>
      </c>
      <c r="I2705" s="23" t="s">
        <v>1249</v>
      </c>
      <c r="U2705" s="0" t="n">
        <v>326</v>
      </c>
      <c r="V2705" s="0" t="n">
        <v>0</v>
      </c>
      <c r="W2705" s="0" t="str">
        <f aca="false">IF(OR(AND(B2705&gt;=1,B2705&lt;=6),B2705=10),"Vaca em lactação",IF(I2705="Male","Macho",IF(E2705&gt;=1,"Vaca seca",IF(I2705="Youngstock","Bezerra/recria","Novilha"))))</f>
        <v>Bezerra/recria</v>
      </c>
      <c r="X2705" s="0" t="str">
        <f aca="false">IF(AND(B2705&gt;=1,B2705&lt;=6),"Tanque",IF(B2705=10,"Descarte",""))</f>
        <v/>
      </c>
    </row>
    <row r="2706" customFormat="false" ht="15" hidden="false" customHeight="false" outlineLevel="0" collapsed="false">
      <c r="A2706" s="22" t="n">
        <v>46309</v>
      </c>
      <c r="B2706" s="0" t="n">
        <v>13</v>
      </c>
      <c r="C2706" s="0" t="n">
        <v>7154</v>
      </c>
      <c r="E2706" s="0" t="n">
        <v>0</v>
      </c>
      <c r="F2706" s="23" t="s">
        <v>1308</v>
      </c>
      <c r="I2706" s="23" t="s">
        <v>1249</v>
      </c>
      <c r="U2706" s="0" t="n">
        <v>327</v>
      </c>
      <c r="V2706" s="0" t="n">
        <v>0</v>
      </c>
      <c r="W2706" s="0" t="str">
        <f aca="false">IF(OR(AND(B2706&gt;=1,B2706&lt;=6),B2706=10),"Vaca em lactação",IF(I2706="Male","Macho",IF(E2706&gt;=1,"Vaca seca",IF(I2706="Youngstock","Bezerra/recria","Novilha"))))</f>
        <v>Bezerra/recria</v>
      </c>
      <c r="X2706" s="0" t="str">
        <f aca="false">IF(AND(B2706&gt;=1,B2706&lt;=6),"Tanque",IF(B2706=10,"Descarte",""))</f>
        <v/>
      </c>
    </row>
    <row r="2707" customFormat="false" ht="15" hidden="false" customHeight="false" outlineLevel="0" collapsed="false">
      <c r="A2707" s="22" t="n">
        <v>46309</v>
      </c>
      <c r="B2707" s="0" t="n">
        <v>13</v>
      </c>
      <c r="C2707" s="0" t="n">
        <v>7157</v>
      </c>
      <c r="E2707" s="0" t="n">
        <v>0</v>
      </c>
      <c r="F2707" s="23" t="s">
        <v>1310</v>
      </c>
      <c r="I2707" s="23" t="s">
        <v>1249</v>
      </c>
      <c r="U2707" s="0" t="n">
        <v>326</v>
      </c>
      <c r="V2707" s="0" t="n">
        <v>0</v>
      </c>
      <c r="W2707" s="0" t="str">
        <f aca="false">IF(OR(AND(B2707&gt;=1,B2707&lt;=6),B2707=10),"Vaca em lactação",IF(I2707="Male","Macho",IF(E2707&gt;=1,"Vaca seca",IF(I2707="Youngstock","Bezerra/recria","Novilha"))))</f>
        <v>Bezerra/recria</v>
      </c>
      <c r="X2707" s="0" t="str">
        <f aca="false">IF(AND(B2707&gt;=1,B2707&lt;=6),"Tanque",IF(B2707=10,"Descarte",""))</f>
        <v/>
      </c>
    </row>
    <row r="2708" customFormat="false" ht="15" hidden="false" customHeight="false" outlineLevel="0" collapsed="false">
      <c r="A2708" s="22" t="n">
        <v>46309</v>
      </c>
      <c r="B2708" s="0" t="n">
        <v>13</v>
      </c>
      <c r="C2708" s="0" t="n">
        <v>7156</v>
      </c>
      <c r="E2708" s="0" t="n">
        <v>0</v>
      </c>
      <c r="F2708" s="23" t="s">
        <v>1310</v>
      </c>
      <c r="I2708" s="23" t="s">
        <v>1249</v>
      </c>
      <c r="U2708" s="0" t="n">
        <v>326</v>
      </c>
      <c r="V2708" s="0" t="n">
        <v>0</v>
      </c>
      <c r="W2708" s="0" t="str">
        <f aca="false">IF(OR(AND(B2708&gt;=1,B2708&lt;=6),B2708=10),"Vaca em lactação",IF(I2708="Male","Macho",IF(E2708&gt;=1,"Vaca seca",IF(I2708="Youngstock","Bezerra/recria","Novilha"))))</f>
        <v>Bezerra/recria</v>
      </c>
      <c r="X2708" s="0" t="str">
        <f aca="false">IF(AND(B2708&gt;=1,B2708&lt;=6),"Tanque",IF(B2708=10,"Descarte",""))</f>
        <v/>
      </c>
    </row>
    <row r="2709" customFormat="false" ht="15" hidden="false" customHeight="false" outlineLevel="0" collapsed="false">
      <c r="A2709" s="22" t="n">
        <v>46309</v>
      </c>
      <c r="B2709" s="0" t="n">
        <v>13</v>
      </c>
      <c r="C2709" s="0" t="n">
        <v>7161</v>
      </c>
      <c r="E2709" s="0" t="n">
        <v>0</v>
      </c>
      <c r="F2709" s="23" t="s">
        <v>223</v>
      </c>
      <c r="I2709" s="23" t="s">
        <v>1249</v>
      </c>
      <c r="U2709" s="0" t="n">
        <v>325</v>
      </c>
      <c r="V2709" s="0" t="n">
        <v>0</v>
      </c>
      <c r="W2709" s="0" t="str">
        <f aca="false">IF(OR(AND(B2709&gt;=1,B2709&lt;=6),B2709=10),"Vaca em lactação",IF(I2709="Male","Macho",IF(E2709&gt;=1,"Vaca seca",IF(I2709="Youngstock","Bezerra/recria","Novilha"))))</f>
        <v>Bezerra/recria</v>
      </c>
      <c r="X2709" s="0" t="str">
        <f aca="false">IF(AND(B2709&gt;=1,B2709&lt;=6),"Tanque",IF(B2709=10,"Descarte",""))</f>
        <v/>
      </c>
    </row>
    <row r="2710" customFormat="false" ht="15" hidden="false" customHeight="false" outlineLevel="0" collapsed="false">
      <c r="A2710" s="22" t="n">
        <v>46309</v>
      </c>
      <c r="B2710" s="0" t="n">
        <v>13</v>
      </c>
      <c r="C2710" s="0" t="n">
        <v>7159</v>
      </c>
      <c r="E2710" s="0" t="n">
        <v>0</v>
      </c>
      <c r="F2710" s="23" t="s">
        <v>223</v>
      </c>
      <c r="I2710" s="23" t="s">
        <v>1249</v>
      </c>
      <c r="U2710" s="0" t="n">
        <v>325</v>
      </c>
      <c r="V2710" s="0" t="n">
        <v>0</v>
      </c>
      <c r="W2710" s="0" t="str">
        <f aca="false">IF(OR(AND(B2710&gt;=1,B2710&lt;=6),B2710=10),"Vaca em lactação",IF(I2710="Male","Macho",IF(E2710&gt;=1,"Vaca seca",IF(I2710="Youngstock","Bezerra/recria","Novilha"))))</f>
        <v>Bezerra/recria</v>
      </c>
      <c r="X2710" s="0" t="str">
        <f aca="false">IF(AND(B2710&gt;=1,B2710&lt;=6),"Tanque",IF(B2710=10,"Descarte",""))</f>
        <v/>
      </c>
    </row>
    <row r="2711" customFormat="false" ht="15" hidden="false" customHeight="false" outlineLevel="0" collapsed="false">
      <c r="A2711" s="22" t="n">
        <v>46309</v>
      </c>
      <c r="B2711" s="0" t="n">
        <v>13</v>
      </c>
      <c r="C2711" s="0" t="n">
        <v>7158</v>
      </c>
      <c r="E2711" s="0" t="n">
        <v>0</v>
      </c>
      <c r="F2711" s="23" t="s">
        <v>223</v>
      </c>
      <c r="I2711" s="23" t="s">
        <v>1249</v>
      </c>
      <c r="U2711" s="0" t="n">
        <v>325</v>
      </c>
      <c r="V2711" s="0" t="n">
        <v>0</v>
      </c>
      <c r="W2711" s="0" t="str">
        <f aca="false">IF(OR(AND(B2711&gt;=1,B2711&lt;=6),B2711=10),"Vaca em lactação",IF(I2711="Male","Macho",IF(E2711&gt;=1,"Vaca seca",IF(I2711="Youngstock","Bezerra/recria","Novilha"))))</f>
        <v>Bezerra/recria</v>
      </c>
      <c r="X2711" s="0" t="str">
        <f aca="false">IF(AND(B2711&gt;=1,B2711&lt;=6),"Tanque",IF(B2711=10,"Descarte",""))</f>
        <v/>
      </c>
    </row>
    <row r="2712" customFormat="false" ht="15" hidden="false" customHeight="false" outlineLevel="0" collapsed="false">
      <c r="A2712" s="22" t="n">
        <v>46309</v>
      </c>
      <c r="B2712" s="0" t="n">
        <v>13</v>
      </c>
      <c r="C2712" s="0" t="n">
        <v>7167</v>
      </c>
      <c r="E2712" s="0" t="n">
        <v>0</v>
      </c>
      <c r="F2712" s="23" t="s">
        <v>1299</v>
      </c>
      <c r="I2712" s="23" t="s">
        <v>1249</v>
      </c>
      <c r="U2712" s="0" t="n">
        <v>323</v>
      </c>
      <c r="V2712" s="0" t="n">
        <v>0</v>
      </c>
      <c r="W2712" s="0" t="str">
        <f aca="false">IF(OR(AND(B2712&gt;=1,B2712&lt;=6),B2712=10),"Vaca em lactação",IF(I2712="Male","Macho",IF(E2712&gt;=1,"Vaca seca",IF(I2712="Youngstock","Bezerra/recria","Novilha"))))</f>
        <v>Bezerra/recria</v>
      </c>
      <c r="X2712" s="0" t="str">
        <f aca="false">IF(AND(B2712&gt;=1,B2712&lt;=6),"Tanque",IF(B2712=10,"Descarte",""))</f>
        <v/>
      </c>
    </row>
    <row r="2713" customFormat="false" ht="15" hidden="false" customHeight="false" outlineLevel="0" collapsed="false">
      <c r="A2713" s="22" t="n">
        <v>46309</v>
      </c>
      <c r="B2713" s="0" t="n">
        <v>13</v>
      </c>
      <c r="C2713" s="0" t="n">
        <v>7166</v>
      </c>
      <c r="E2713" s="0" t="n">
        <v>0</v>
      </c>
      <c r="F2713" s="23" t="s">
        <v>1299</v>
      </c>
      <c r="I2713" s="23" t="s">
        <v>1249</v>
      </c>
      <c r="U2713" s="0" t="n">
        <v>323</v>
      </c>
      <c r="V2713" s="0" t="n">
        <v>0</v>
      </c>
      <c r="W2713" s="0" t="str">
        <f aca="false">IF(OR(AND(B2713&gt;=1,B2713&lt;=6),B2713=10),"Vaca em lactação",IF(I2713="Male","Macho",IF(E2713&gt;=1,"Vaca seca",IF(I2713="Youngstock","Bezerra/recria","Novilha"))))</f>
        <v>Bezerra/recria</v>
      </c>
      <c r="X2713" s="0" t="str">
        <f aca="false">IF(AND(B2713&gt;=1,B2713&lt;=6),"Tanque",IF(B2713=10,"Descarte",""))</f>
        <v/>
      </c>
    </row>
    <row r="2714" customFormat="false" ht="15" hidden="false" customHeight="false" outlineLevel="0" collapsed="false">
      <c r="A2714" s="22" t="n">
        <v>46309</v>
      </c>
      <c r="B2714" s="0" t="n">
        <v>13</v>
      </c>
      <c r="C2714" s="0" t="n">
        <v>7165</v>
      </c>
      <c r="E2714" s="0" t="n">
        <v>0</v>
      </c>
      <c r="F2714" s="23" t="s">
        <v>1299</v>
      </c>
      <c r="I2714" s="23" t="s">
        <v>1249</v>
      </c>
      <c r="U2714" s="0" t="n">
        <v>323</v>
      </c>
      <c r="V2714" s="0" t="n">
        <v>0</v>
      </c>
      <c r="W2714" s="0" t="str">
        <f aca="false">IF(OR(AND(B2714&gt;=1,B2714&lt;=6),B2714=10),"Vaca em lactação",IF(I2714="Male","Macho",IF(E2714&gt;=1,"Vaca seca",IF(I2714="Youngstock","Bezerra/recria","Novilha"))))</f>
        <v>Bezerra/recria</v>
      </c>
      <c r="X2714" s="0" t="str">
        <f aca="false">IF(AND(B2714&gt;=1,B2714&lt;=6),"Tanque",IF(B2714=10,"Descarte",""))</f>
        <v/>
      </c>
    </row>
    <row r="2715" customFormat="false" ht="15" hidden="false" customHeight="false" outlineLevel="0" collapsed="false">
      <c r="A2715" s="22" t="n">
        <v>46309</v>
      </c>
      <c r="B2715" s="0" t="n">
        <v>13</v>
      </c>
      <c r="C2715" s="0" t="n">
        <v>7163</v>
      </c>
      <c r="E2715" s="0" t="n">
        <v>0</v>
      </c>
      <c r="F2715" s="23" t="s">
        <v>1311</v>
      </c>
      <c r="I2715" s="23" t="s">
        <v>1249</v>
      </c>
      <c r="U2715" s="0" t="n">
        <v>324</v>
      </c>
      <c r="V2715" s="0" t="n">
        <v>0</v>
      </c>
      <c r="W2715" s="0" t="str">
        <f aca="false">IF(OR(AND(B2715&gt;=1,B2715&lt;=6),B2715=10),"Vaca em lactação",IF(I2715="Male","Macho",IF(E2715&gt;=1,"Vaca seca",IF(I2715="Youngstock","Bezerra/recria","Novilha"))))</f>
        <v>Bezerra/recria</v>
      </c>
      <c r="X2715" s="0" t="str">
        <f aca="false">IF(AND(B2715&gt;=1,B2715&lt;=6),"Tanque",IF(B2715=10,"Descarte",""))</f>
        <v/>
      </c>
    </row>
    <row r="2716" customFormat="false" ht="15" hidden="false" customHeight="false" outlineLevel="0" collapsed="false">
      <c r="A2716" s="22" t="n">
        <v>46309</v>
      </c>
      <c r="B2716" s="0" t="n">
        <v>13</v>
      </c>
      <c r="C2716" s="0" t="n">
        <v>7128</v>
      </c>
      <c r="E2716" s="0" t="n">
        <v>0</v>
      </c>
      <c r="F2716" s="23" t="s">
        <v>1312</v>
      </c>
      <c r="I2716" s="23" t="s">
        <v>1249</v>
      </c>
      <c r="U2716" s="0" t="n">
        <v>335</v>
      </c>
      <c r="V2716" s="0" t="n">
        <v>0</v>
      </c>
      <c r="W2716" s="0" t="str">
        <f aca="false">IF(OR(AND(B2716&gt;=1,B2716&lt;=6),B2716=10),"Vaca em lactação",IF(I2716="Male","Macho",IF(E2716&gt;=1,"Vaca seca",IF(I2716="Youngstock","Bezerra/recria","Novilha"))))</f>
        <v>Bezerra/recria</v>
      </c>
      <c r="X2716" s="0" t="str">
        <f aca="false">IF(AND(B2716&gt;=1,B2716&lt;=6),"Tanque",IF(B2716=10,"Descarte",""))</f>
        <v/>
      </c>
    </row>
    <row r="2717" customFormat="false" ht="15" hidden="false" customHeight="false" outlineLevel="0" collapsed="false">
      <c r="A2717" s="22" t="n">
        <v>46309</v>
      </c>
      <c r="B2717" s="0" t="n">
        <v>13</v>
      </c>
      <c r="C2717" s="0" t="n">
        <v>7127</v>
      </c>
      <c r="E2717" s="0" t="n">
        <v>0</v>
      </c>
      <c r="F2717" s="23" t="s">
        <v>1312</v>
      </c>
      <c r="I2717" s="23" t="s">
        <v>1249</v>
      </c>
      <c r="U2717" s="0" t="n">
        <v>335</v>
      </c>
      <c r="V2717" s="0" t="n">
        <v>0</v>
      </c>
      <c r="W2717" s="0" t="str">
        <f aca="false">IF(OR(AND(B2717&gt;=1,B2717&lt;=6),B2717=10),"Vaca em lactação",IF(I2717="Male","Macho",IF(E2717&gt;=1,"Vaca seca",IF(I2717="Youngstock","Bezerra/recria","Novilha"))))</f>
        <v>Bezerra/recria</v>
      </c>
      <c r="X2717" s="0" t="str">
        <f aca="false">IF(AND(B2717&gt;=1,B2717&lt;=6),"Tanque",IF(B2717=10,"Descarte",""))</f>
        <v/>
      </c>
    </row>
    <row r="2718" customFormat="false" ht="15" hidden="false" customHeight="false" outlineLevel="0" collapsed="false">
      <c r="A2718" s="22" t="n">
        <v>46309</v>
      </c>
      <c r="B2718" s="0" t="n">
        <v>13</v>
      </c>
      <c r="C2718" s="0" t="n">
        <v>7126</v>
      </c>
      <c r="E2718" s="0" t="n">
        <v>0</v>
      </c>
      <c r="F2718" s="23" t="s">
        <v>1313</v>
      </c>
      <c r="I2718" s="23" t="s">
        <v>1249</v>
      </c>
      <c r="U2718" s="0" t="n">
        <v>336</v>
      </c>
      <c r="V2718" s="0" t="n">
        <v>0</v>
      </c>
      <c r="W2718" s="0" t="str">
        <f aca="false">IF(OR(AND(B2718&gt;=1,B2718&lt;=6),B2718=10),"Vaca em lactação",IF(I2718="Male","Macho",IF(E2718&gt;=1,"Vaca seca",IF(I2718="Youngstock","Bezerra/recria","Novilha"))))</f>
        <v>Bezerra/recria</v>
      </c>
      <c r="X2718" s="0" t="str">
        <f aca="false">IF(AND(B2718&gt;=1,B2718&lt;=6),"Tanque",IF(B2718=10,"Descarte",""))</f>
        <v/>
      </c>
    </row>
    <row r="2719" customFormat="false" ht="15" hidden="false" customHeight="false" outlineLevel="0" collapsed="false">
      <c r="A2719" s="22" t="n">
        <v>46309</v>
      </c>
      <c r="B2719" s="0" t="n">
        <v>13</v>
      </c>
      <c r="C2719" s="0" t="n">
        <v>7129</v>
      </c>
      <c r="E2719" s="0" t="n">
        <v>0</v>
      </c>
      <c r="F2719" s="23" t="s">
        <v>1312</v>
      </c>
      <c r="I2719" s="23" t="s">
        <v>1249</v>
      </c>
      <c r="U2719" s="0" t="n">
        <v>335</v>
      </c>
      <c r="V2719" s="0" t="n">
        <v>0</v>
      </c>
      <c r="W2719" s="0" t="str">
        <f aca="false">IF(OR(AND(B2719&gt;=1,B2719&lt;=6),B2719=10),"Vaca em lactação",IF(I2719="Male","Macho",IF(E2719&gt;=1,"Vaca seca",IF(I2719="Youngstock","Bezerra/recria","Novilha"))))</f>
        <v>Bezerra/recria</v>
      </c>
      <c r="X2719" s="0" t="str">
        <f aca="false">IF(AND(B2719&gt;=1,B2719&lt;=6),"Tanque",IF(B2719=10,"Descarte",""))</f>
        <v/>
      </c>
    </row>
    <row r="2720" customFormat="false" ht="15" hidden="false" customHeight="false" outlineLevel="0" collapsed="false">
      <c r="A2720" s="22" t="n">
        <v>46309</v>
      </c>
      <c r="B2720" s="0" t="n">
        <v>13</v>
      </c>
      <c r="C2720" s="0" t="n">
        <v>7135</v>
      </c>
      <c r="E2720" s="0" t="n">
        <v>0</v>
      </c>
      <c r="F2720" s="23" t="s">
        <v>1314</v>
      </c>
      <c r="I2720" s="23" t="s">
        <v>1249</v>
      </c>
      <c r="U2720" s="0" t="n">
        <v>332</v>
      </c>
      <c r="V2720" s="0" t="n">
        <v>0</v>
      </c>
      <c r="W2720" s="0" t="str">
        <f aca="false">IF(OR(AND(B2720&gt;=1,B2720&lt;=6),B2720=10),"Vaca em lactação",IF(I2720="Male","Macho",IF(E2720&gt;=1,"Vaca seca",IF(I2720="Youngstock","Bezerra/recria","Novilha"))))</f>
        <v>Bezerra/recria</v>
      </c>
      <c r="X2720" s="0" t="str">
        <f aca="false">IF(AND(B2720&gt;=1,B2720&lt;=6),"Tanque",IF(B2720=10,"Descarte",""))</f>
        <v/>
      </c>
    </row>
    <row r="2721" customFormat="false" ht="15" hidden="false" customHeight="false" outlineLevel="0" collapsed="false">
      <c r="A2721" s="22" t="n">
        <v>46309</v>
      </c>
      <c r="B2721" s="0" t="n">
        <v>13</v>
      </c>
      <c r="C2721" s="0" t="n">
        <v>7131</v>
      </c>
      <c r="E2721" s="0" t="n">
        <v>0</v>
      </c>
      <c r="F2721" s="23" t="s">
        <v>1315</v>
      </c>
      <c r="I2721" s="23" t="s">
        <v>1249</v>
      </c>
      <c r="U2721" s="0" t="n">
        <v>333</v>
      </c>
      <c r="V2721" s="0" t="n">
        <v>0</v>
      </c>
      <c r="W2721" s="0" t="str">
        <f aca="false">IF(OR(AND(B2721&gt;=1,B2721&lt;=6),B2721=10),"Vaca em lactação",IF(I2721="Male","Macho",IF(E2721&gt;=1,"Vaca seca",IF(I2721="Youngstock","Bezerra/recria","Novilha"))))</f>
        <v>Bezerra/recria</v>
      </c>
      <c r="X2721" s="0" t="str">
        <f aca="false">IF(AND(B2721&gt;=1,B2721&lt;=6),"Tanque",IF(B2721=10,"Descarte",""))</f>
        <v/>
      </c>
    </row>
    <row r="2722" customFormat="false" ht="15" hidden="false" customHeight="false" outlineLevel="0" collapsed="false">
      <c r="A2722" s="22" t="n">
        <v>46309</v>
      </c>
      <c r="B2722" s="0" t="n">
        <v>13</v>
      </c>
      <c r="C2722" s="0" t="n">
        <v>7133</v>
      </c>
      <c r="E2722" s="0" t="n">
        <v>0</v>
      </c>
      <c r="F2722" s="23" t="s">
        <v>1314</v>
      </c>
      <c r="I2722" s="23" t="s">
        <v>1249</v>
      </c>
      <c r="U2722" s="0" t="n">
        <v>332</v>
      </c>
      <c r="V2722" s="0" t="n">
        <v>0</v>
      </c>
      <c r="W2722" s="0" t="str">
        <f aca="false">IF(OR(AND(B2722&gt;=1,B2722&lt;=6),B2722=10),"Vaca em lactação",IF(I2722="Male","Macho",IF(E2722&gt;=1,"Vaca seca",IF(I2722="Youngstock","Bezerra/recria","Novilha"))))</f>
        <v>Bezerra/recria</v>
      </c>
      <c r="X2722" s="0" t="str">
        <f aca="false">IF(AND(B2722&gt;=1,B2722&lt;=6),"Tanque",IF(B2722=10,"Descarte",""))</f>
        <v/>
      </c>
    </row>
    <row r="2723" customFormat="false" ht="15" hidden="false" customHeight="false" outlineLevel="0" collapsed="false">
      <c r="A2723" s="22" t="n">
        <v>46309</v>
      </c>
      <c r="B2723" s="0" t="n">
        <v>13</v>
      </c>
      <c r="C2723" s="0" t="n">
        <v>7132</v>
      </c>
      <c r="E2723" s="0" t="n">
        <v>0</v>
      </c>
      <c r="F2723" s="23" t="s">
        <v>1315</v>
      </c>
      <c r="I2723" s="23" t="s">
        <v>1249</v>
      </c>
      <c r="U2723" s="0" t="n">
        <v>333</v>
      </c>
      <c r="V2723" s="0" t="n">
        <v>0</v>
      </c>
      <c r="W2723" s="0" t="str">
        <f aca="false">IF(OR(AND(B2723&gt;=1,B2723&lt;=6),B2723=10),"Vaca em lactação",IF(I2723="Male","Macho",IF(E2723&gt;=1,"Vaca seca",IF(I2723="Youngstock","Bezerra/recria","Novilha"))))</f>
        <v>Bezerra/recria</v>
      </c>
      <c r="X2723" s="0" t="str">
        <f aca="false">IF(AND(B2723&gt;=1,B2723&lt;=6),"Tanque",IF(B2723=10,"Descarte",""))</f>
        <v/>
      </c>
    </row>
    <row r="2724" customFormat="false" ht="15" hidden="false" customHeight="false" outlineLevel="0" collapsed="false">
      <c r="A2724" s="22" t="n">
        <v>46309</v>
      </c>
      <c r="B2724" s="0" t="n">
        <v>13</v>
      </c>
      <c r="C2724" s="0" t="n">
        <v>7110</v>
      </c>
      <c r="E2724" s="0" t="n">
        <v>0</v>
      </c>
      <c r="F2724" s="23" t="s">
        <v>1316</v>
      </c>
      <c r="I2724" s="23" t="s">
        <v>1249</v>
      </c>
      <c r="U2724" s="0" t="n">
        <v>341</v>
      </c>
      <c r="V2724" s="0" t="n">
        <v>0</v>
      </c>
      <c r="W2724" s="0" t="str">
        <f aca="false">IF(OR(AND(B2724&gt;=1,B2724&lt;=6),B2724=10),"Vaca em lactação",IF(I2724="Male","Macho",IF(E2724&gt;=1,"Vaca seca",IF(I2724="Youngstock","Bezerra/recria","Novilha"))))</f>
        <v>Bezerra/recria</v>
      </c>
      <c r="X2724" s="0" t="str">
        <f aca="false">IF(AND(B2724&gt;=1,B2724&lt;=6),"Tanque",IF(B2724=10,"Descarte",""))</f>
        <v/>
      </c>
    </row>
    <row r="2725" customFormat="false" ht="15" hidden="false" customHeight="false" outlineLevel="0" collapsed="false">
      <c r="A2725" s="22" t="n">
        <v>46309</v>
      </c>
      <c r="B2725" s="0" t="n">
        <v>13</v>
      </c>
      <c r="C2725" s="0" t="n">
        <v>7109</v>
      </c>
      <c r="E2725" s="0" t="n">
        <v>0</v>
      </c>
      <c r="F2725" s="23" t="s">
        <v>1317</v>
      </c>
      <c r="I2725" s="23" t="s">
        <v>1249</v>
      </c>
      <c r="U2725" s="0" t="n">
        <v>342</v>
      </c>
      <c r="V2725" s="0" t="n">
        <v>0</v>
      </c>
      <c r="W2725" s="0" t="str">
        <f aca="false">IF(OR(AND(B2725&gt;=1,B2725&lt;=6),B2725=10),"Vaca em lactação",IF(I2725="Male","Macho",IF(E2725&gt;=1,"Vaca seca",IF(I2725="Youngstock","Bezerra/recria","Novilha"))))</f>
        <v>Bezerra/recria</v>
      </c>
      <c r="X2725" s="0" t="str">
        <f aca="false">IF(AND(B2725&gt;=1,B2725&lt;=6),"Tanque",IF(B2725=10,"Descarte",""))</f>
        <v/>
      </c>
    </row>
    <row r="2726" customFormat="false" ht="15" hidden="false" customHeight="false" outlineLevel="0" collapsed="false">
      <c r="A2726" s="22" t="n">
        <v>46309</v>
      </c>
      <c r="B2726" s="0" t="n">
        <v>13</v>
      </c>
      <c r="C2726" s="0" t="n">
        <v>7108</v>
      </c>
      <c r="E2726" s="0" t="n">
        <v>0</v>
      </c>
      <c r="F2726" s="23" t="s">
        <v>1317</v>
      </c>
      <c r="I2726" s="23" t="s">
        <v>1249</v>
      </c>
      <c r="U2726" s="0" t="n">
        <v>342</v>
      </c>
      <c r="V2726" s="0" t="n">
        <v>0</v>
      </c>
      <c r="W2726" s="0" t="str">
        <f aca="false">IF(OR(AND(B2726&gt;=1,B2726&lt;=6),B2726=10),"Vaca em lactação",IF(I2726="Male","Macho",IF(E2726&gt;=1,"Vaca seca",IF(I2726="Youngstock","Bezerra/recria","Novilha"))))</f>
        <v>Bezerra/recria</v>
      </c>
      <c r="X2726" s="0" t="str">
        <f aca="false">IF(AND(B2726&gt;=1,B2726&lt;=6),"Tanque",IF(B2726=10,"Descarte",""))</f>
        <v/>
      </c>
    </row>
    <row r="2727" customFormat="false" ht="15" hidden="false" customHeight="false" outlineLevel="0" collapsed="false">
      <c r="A2727" s="22" t="n">
        <v>46309</v>
      </c>
      <c r="B2727" s="0" t="n">
        <v>13</v>
      </c>
      <c r="C2727" s="0" t="n">
        <v>7107</v>
      </c>
      <c r="E2727" s="0" t="n">
        <v>0</v>
      </c>
      <c r="F2727" s="23" t="s">
        <v>1317</v>
      </c>
      <c r="I2727" s="23" t="s">
        <v>1249</v>
      </c>
      <c r="U2727" s="0" t="n">
        <v>342</v>
      </c>
      <c r="V2727" s="0" t="n">
        <v>0</v>
      </c>
      <c r="W2727" s="0" t="str">
        <f aca="false">IF(OR(AND(B2727&gt;=1,B2727&lt;=6),B2727=10),"Vaca em lactação",IF(I2727="Male","Macho",IF(E2727&gt;=1,"Vaca seca",IF(I2727="Youngstock","Bezerra/recria","Novilha"))))</f>
        <v>Bezerra/recria</v>
      </c>
      <c r="X2727" s="0" t="str">
        <f aca="false">IF(AND(B2727&gt;=1,B2727&lt;=6),"Tanque",IF(B2727=10,"Descarte",""))</f>
        <v/>
      </c>
    </row>
    <row r="2728" customFormat="false" ht="15" hidden="false" customHeight="false" outlineLevel="0" collapsed="false">
      <c r="A2728" s="22" t="n">
        <v>46309</v>
      </c>
      <c r="B2728" s="0" t="n">
        <v>13</v>
      </c>
      <c r="C2728" s="0" t="n">
        <v>7112</v>
      </c>
      <c r="E2728" s="0" t="n">
        <v>0</v>
      </c>
      <c r="F2728" s="23" t="s">
        <v>1316</v>
      </c>
      <c r="I2728" s="23" t="s">
        <v>1249</v>
      </c>
      <c r="U2728" s="0" t="n">
        <v>341</v>
      </c>
      <c r="V2728" s="0" t="n">
        <v>0</v>
      </c>
      <c r="W2728" s="0" t="str">
        <f aca="false">IF(OR(AND(B2728&gt;=1,B2728&lt;=6),B2728=10),"Vaca em lactação",IF(I2728="Male","Macho",IF(E2728&gt;=1,"Vaca seca",IF(I2728="Youngstock","Bezerra/recria","Novilha"))))</f>
        <v>Bezerra/recria</v>
      </c>
      <c r="X2728" s="0" t="str">
        <f aca="false">IF(AND(B2728&gt;=1,B2728&lt;=6),"Tanque",IF(B2728=10,"Descarte",""))</f>
        <v/>
      </c>
    </row>
    <row r="2729" customFormat="false" ht="15" hidden="false" customHeight="false" outlineLevel="0" collapsed="false">
      <c r="A2729" s="22" t="n">
        <v>46309</v>
      </c>
      <c r="B2729" s="0" t="n">
        <v>13</v>
      </c>
      <c r="C2729" s="0" t="n">
        <v>7111</v>
      </c>
      <c r="E2729" s="0" t="n">
        <v>0</v>
      </c>
      <c r="F2729" s="23" t="s">
        <v>1316</v>
      </c>
      <c r="I2729" s="23" t="s">
        <v>1249</v>
      </c>
      <c r="U2729" s="0" t="n">
        <v>341</v>
      </c>
      <c r="V2729" s="0" t="n">
        <v>0</v>
      </c>
      <c r="W2729" s="0" t="str">
        <f aca="false">IF(OR(AND(B2729&gt;=1,B2729&lt;=6),B2729=10),"Vaca em lactação",IF(I2729="Male","Macho",IF(E2729&gt;=1,"Vaca seca",IF(I2729="Youngstock","Bezerra/recria","Novilha"))))</f>
        <v>Bezerra/recria</v>
      </c>
      <c r="X2729" s="0" t="str">
        <f aca="false">IF(AND(B2729&gt;=1,B2729&lt;=6),"Tanque",IF(B2729=10,"Descarte",""))</f>
        <v/>
      </c>
    </row>
    <row r="2730" customFormat="false" ht="15" hidden="false" customHeight="false" outlineLevel="0" collapsed="false">
      <c r="A2730" s="22" t="n">
        <v>46309</v>
      </c>
      <c r="B2730" s="0" t="n">
        <v>13</v>
      </c>
      <c r="C2730" s="0" t="n">
        <v>7113</v>
      </c>
      <c r="E2730" s="0" t="n">
        <v>0</v>
      </c>
      <c r="F2730" s="23" t="s">
        <v>1318</v>
      </c>
      <c r="I2730" s="23" t="s">
        <v>1249</v>
      </c>
      <c r="U2730" s="0" t="n">
        <v>340</v>
      </c>
      <c r="V2730" s="0" t="n">
        <v>0</v>
      </c>
      <c r="W2730" s="0" t="str">
        <f aca="false">IF(OR(AND(B2730&gt;=1,B2730&lt;=6),B2730=10),"Vaca em lactação",IF(I2730="Male","Macho",IF(E2730&gt;=1,"Vaca seca",IF(I2730="Youngstock","Bezerra/recria","Novilha"))))</f>
        <v>Bezerra/recria</v>
      </c>
      <c r="X2730" s="0" t="str">
        <f aca="false">IF(AND(B2730&gt;=1,B2730&lt;=6),"Tanque",IF(B2730=10,"Descarte",""))</f>
        <v/>
      </c>
    </row>
    <row r="2731" customFormat="false" ht="15" hidden="false" customHeight="false" outlineLevel="0" collapsed="false">
      <c r="A2731" s="22" t="n">
        <v>46309</v>
      </c>
      <c r="B2731" s="0" t="n">
        <v>13</v>
      </c>
      <c r="C2731" s="0" t="n">
        <v>7115</v>
      </c>
      <c r="E2731" s="0" t="n">
        <v>0</v>
      </c>
      <c r="F2731" s="23" t="s">
        <v>1319</v>
      </c>
      <c r="I2731" s="23" t="s">
        <v>1249</v>
      </c>
      <c r="U2731" s="0" t="n">
        <v>339</v>
      </c>
      <c r="V2731" s="0" t="n">
        <v>0</v>
      </c>
      <c r="W2731" s="0" t="str">
        <f aca="false">IF(OR(AND(B2731&gt;=1,B2731&lt;=6),B2731=10),"Vaca em lactação",IF(I2731="Male","Macho",IF(E2731&gt;=1,"Vaca seca",IF(I2731="Youngstock","Bezerra/recria","Novilha"))))</f>
        <v>Bezerra/recria</v>
      </c>
      <c r="X2731" s="0" t="str">
        <f aca="false">IF(AND(B2731&gt;=1,B2731&lt;=6),"Tanque",IF(B2731=10,"Descarte",""))</f>
        <v/>
      </c>
    </row>
    <row r="2732" customFormat="false" ht="15" hidden="false" customHeight="false" outlineLevel="0" collapsed="false">
      <c r="A2732" s="22" t="n">
        <v>46309</v>
      </c>
      <c r="B2732" s="0" t="n">
        <v>13</v>
      </c>
      <c r="C2732" s="0" t="n">
        <v>7114</v>
      </c>
      <c r="E2732" s="0" t="n">
        <v>0</v>
      </c>
      <c r="F2732" s="23" t="s">
        <v>1318</v>
      </c>
      <c r="I2732" s="23" t="s">
        <v>1249</v>
      </c>
      <c r="U2732" s="0" t="n">
        <v>340</v>
      </c>
      <c r="V2732" s="0" t="n">
        <v>0</v>
      </c>
      <c r="W2732" s="0" t="str">
        <f aca="false">IF(OR(AND(B2732&gt;=1,B2732&lt;=6),B2732=10),"Vaca em lactação",IF(I2732="Male","Macho",IF(E2732&gt;=1,"Vaca seca",IF(I2732="Youngstock","Bezerra/recria","Novilha"))))</f>
        <v>Bezerra/recria</v>
      </c>
      <c r="X2732" s="0" t="str">
        <f aca="false">IF(AND(B2732&gt;=1,B2732&lt;=6),"Tanque",IF(B2732=10,"Descarte",""))</f>
        <v/>
      </c>
    </row>
    <row r="2733" customFormat="false" ht="15" hidden="false" customHeight="false" outlineLevel="0" collapsed="false">
      <c r="A2733" s="22" t="n">
        <v>46309</v>
      </c>
      <c r="B2733" s="0" t="n">
        <v>13</v>
      </c>
      <c r="C2733" s="0" t="n">
        <v>7117</v>
      </c>
      <c r="E2733" s="0" t="n">
        <v>0</v>
      </c>
      <c r="F2733" s="23" t="s">
        <v>1319</v>
      </c>
      <c r="I2733" s="23" t="s">
        <v>1249</v>
      </c>
      <c r="U2733" s="0" t="n">
        <v>339</v>
      </c>
      <c r="V2733" s="0" t="n">
        <v>0</v>
      </c>
      <c r="W2733" s="0" t="str">
        <f aca="false">IF(OR(AND(B2733&gt;=1,B2733&lt;=6),B2733=10),"Vaca em lactação",IF(I2733="Male","Macho",IF(E2733&gt;=1,"Vaca seca",IF(I2733="Youngstock","Bezerra/recria","Novilha"))))</f>
        <v>Bezerra/recria</v>
      </c>
      <c r="X2733" s="0" t="str">
        <f aca="false">IF(AND(B2733&gt;=1,B2733&lt;=6),"Tanque",IF(B2733=10,"Descarte",""))</f>
        <v/>
      </c>
    </row>
    <row r="2734" customFormat="false" ht="15" hidden="false" customHeight="false" outlineLevel="0" collapsed="false">
      <c r="A2734" s="22" t="n">
        <v>46309</v>
      </c>
      <c r="B2734" s="0" t="n">
        <v>13</v>
      </c>
      <c r="C2734" s="0" t="n">
        <v>7120</v>
      </c>
      <c r="E2734" s="0" t="n">
        <v>0</v>
      </c>
      <c r="F2734" s="23" t="s">
        <v>1320</v>
      </c>
      <c r="I2734" s="23" t="s">
        <v>1249</v>
      </c>
      <c r="U2734" s="0" t="n">
        <v>338</v>
      </c>
      <c r="V2734" s="0" t="n">
        <v>0</v>
      </c>
      <c r="W2734" s="0" t="str">
        <f aca="false">IF(OR(AND(B2734&gt;=1,B2734&lt;=6),B2734=10),"Vaca em lactação",IF(I2734="Male","Macho",IF(E2734&gt;=1,"Vaca seca",IF(I2734="Youngstock","Bezerra/recria","Novilha"))))</f>
        <v>Bezerra/recria</v>
      </c>
      <c r="X2734" s="0" t="str">
        <f aca="false">IF(AND(B2734&gt;=1,B2734&lt;=6),"Tanque",IF(B2734=10,"Descarte",""))</f>
        <v/>
      </c>
    </row>
    <row r="2735" customFormat="false" ht="15" hidden="false" customHeight="false" outlineLevel="0" collapsed="false">
      <c r="A2735" s="22" t="n">
        <v>46309</v>
      </c>
      <c r="B2735" s="0" t="n">
        <v>13</v>
      </c>
      <c r="C2735" s="0" t="n">
        <v>7119</v>
      </c>
      <c r="E2735" s="0" t="n">
        <v>0</v>
      </c>
      <c r="F2735" s="23" t="s">
        <v>1319</v>
      </c>
      <c r="I2735" s="23" t="s">
        <v>1249</v>
      </c>
      <c r="U2735" s="0" t="n">
        <v>339</v>
      </c>
      <c r="V2735" s="0" t="n">
        <v>0</v>
      </c>
      <c r="W2735" s="0" t="str">
        <f aca="false">IF(OR(AND(B2735&gt;=1,B2735&lt;=6),B2735=10),"Vaca em lactação",IF(I2735="Male","Macho",IF(E2735&gt;=1,"Vaca seca",IF(I2735="Youngstock","Bezerra/recria","Novilha"))))</f>
        <v>Bezerra/recria</v>
      </c>
      <c r="X2735" s="0" t="str">
        <f aca="false">IF(AND(B2735&gt;=1,B2735&lt;=6),"Tanque",IF(B2735=10,"Descarte",""))</f>
        <v/>
      </c>
    </row>
    <row r="2736" customFormat="false" ht="15" hidden="false" customHeight="false" outlineLevel="0" collapsed="false">
      <c r="A2736" s="22" t="n">
        <v>46309</v>
      </c>
      <c r="B2736" s="0" t="n">
        <v>13</v>
      </c>
      <c r="C2736" s="0" t="n">
        <v>7123</v>
      </c>
      <c r="E2736" s="0" t="n">
        <v>0</v>
      </c>
      <c r="F2736" s="23" t="s">
        <v>1320</v>
      </c>
      <c r="I2736" s="23" t="s">
        <v>1249</v>
      </c>
      <c r="U2736" s="0" t="n">
        <v>338</v>
      </c>
      <c r="V2736" s="0" t="n">
        <v>0</v>
      </c>
      <c r="W2736" s="0" t="str">
        <f aca="false">IF(OR(AND(B2736&gt;=1,B2736&lt;=6),B2736=10),"Vaca em lactação",IF(I2736="Male","Macho",IF(E2736&gt;=1,"Vaca seca",IF(I2736="Youngstock","Bezerra/recria","Novilha"))))</f>
        <v>Bezerra/recria</v>
      </c>
      <c r="X2736" s="0" t="str">
        <f aca="false">IF(AND(B2736&gt;=1,B2736&lt;=6),"Tanque",IF(B2736=10,"Descarte",""))</f>
        <v/>
      </c>
    </row>
    <row r="2737" customFormat="false" ht="15" hidden="false" customHeight="false" outlineLevel="0" collapsed="false">
      <c r="A2737" s="22" t="n">
        <v>46309</v>
      </c>
      <c r="B2737" s="0" t="n">
        <v>13</v>
      </c>
      <c r="C2737" s="0" t="n">
        <v>7122</v>
      </c>
      <c r="E2737" s="0" t="n">
        <v>0</v>
      </c>
      <c r="F2737" s="23" t="s">
        <v>1320</v>
      </c>
      <c r="I2737" s="23" t="s">
        <v>1249</v>
      </c>
      <c r="U2737" s="0" t="n">
        <v>338</v>
      </c>
      <c r="V2737" s="0" t="n">
        <v>0</v>
      </c>
      <c r="W2737" s="0" t="str">
        <f aca="false">IF(OR(AND(B2737&gt;=1,B2737&lt;=6),B2737=10),"Vaca em lactação",IF(I2737="Male","Macho",IF(E2737&gt;=1,"Vaca seca",IF(I2737="Youngstock","Bezerra/recria","Novilha"))))</f>
        <v>Bezerra/recria</v>
      </c>
      <c r="X2737" s="0" t="str">
        <f aca="false">IF(AND(B2737&gt;=1,B2737&lt;=6),"Tanque",IF(B2737=10,"Descarte",""))</f>
        <v/>
      </c>
    </row>
    <row r="2738" customFormat="false" ht="15" hidden="false" customHeight="false" outlineLevel="0" collapsed="false">
      <c r="A2738" s="22" t="n">
        <v>46309</v>
      </c>
      <c r="B2738" s="0" t="n">
        <v>13</v>
      </c>
      <c r="C2738" s="0" t="n">
        <v>7118</v>
      </c>
      <c r="E2738" s="0" t="n">
        <v>0</v>
      </c>
      <c r="F2738" s="23" t="s">
        <v>1319</v>
      </c>
      <c r="I2738" s="23" t="s">
        <v>1249</v>
      </c>
      <c r="U2738" s="0" t="n">
        <v>339</v>
      </c>
      <c r="V2738" s="0" t="n">
        <v>0</v>
      </c>
      <c r="W2738" s="0" t="str">
        <f aca="false">IF(OR(AND(B2738&gt;=1,B2738&lt;=6),B2738=10),"Vaca em lactação",IF(I2738="Male","Macho",IF(E2738&gt;=1,"Vaca seca",IF(I2738="Youngstock","Bezerra/recria","Novilha"))))</f>
        <v>Bezerra/recria</v>
      </c>
      <c r="X2738" s="0" t="str">
        <f aca="false">IF(AND(B2738&gt;=1,B2738&lt;=6),"Tanque",IF(B2738=10,"Descarte",""))</f>
        <v/>
      </c>
    </row>
    <row r="2739" customFormat="false" ht="15" hidden="false" customHeight="false" outlineLevel="0" collapsed="false">
      <c r="A2739" s="22" t="n">
        <v>46309</v>
      </c>
      <c r="B2739" s="0" t="n">
        <v>13</v>
      </c>
      <c r="C2739" s="0" t="n">
        <v>7231</v>
      </c>
      <c r="E2739" s="0" t="n">
        <v>0</v>
      </c>
      <c r="F2739" s="23" t="s">
        <v>1321</v>
      </c>
      <c r="I2739" s="23" t="s">
        <v>1249</v>
      </c>
      <c r="U2739" s="0" t="n">
        <v>303</v>
      </c>
      <c r="V2739" s="0" t="n">
        <v>0</v>
      </c>
      <c r="W2739" s="0" t="str">
        <f aca="false">IF(OR(AND(B2739&gt;=1,B2739&lt;=6),B2739=10),"Vaca em lactação",IF(I2739="Male","Macho",IF(E2739&gt;=1,"Vaca seca",IF(I2739="Youngstock","Bezerra/recria","Novilha"))))</f>
        <v>Bezerra/recria</v>
      </c>
      <c r="X2739" s="0" t="str">
        <f aca="false">IF(AND(B2739&gt;=1,B2739&lt;=6),"Tanque",IF(B2739=10,"Descarte",""))</f>
        <v/>
      </c>
    </row>
    <row r="2740" customFormat="false" ht="15" hidden="false" customHeight="false" outlineLevel="0" collapsed="false">
      <c r="A2740" s="22" t="n">
        <v>46309</v>
      </c>
      <c r="B2740" s="0" t="n">
        <v>13</v>
      </c>
      <c r="C2740" s="0" t="n">
        <v>7230</v>
      </c>
      <c r="E2740" s="0" t="n">
        <v>0</v>
      </c>
      <c r="F2740" s="23" t="s">
        <v>1321</v>
      </c>
      <c r="I2740" s="23" t="s">
        <v>1249</v>
      </c>
      <c r="U2740" s="0" t="n">
        <v>303</v>
      </c>
      <c r="V2740" s="0" t="n">
        <v>0</v>
      </c>
      <c r="W2740" s="0" t="str">
        <f aca="false">IF(OR(AND(B2740&gt;=1,B2740&lt;=6),B2740=10),"Vaca em lactação",IF(I2740="Male","Macho",IF(E2740&gt;=1,"Vaca seca",IF(I2740="Youngstock","Bezerra/recria","Novilha"))))</f>
        <v>Bezerra/recria</v>
      </c>
      <c r="X2740" s="0" t="str">
        <f aca="false">IF(AND(B2740&gt;=1,B2740&lt;=6),"Tanque",IF(B2740=10,"Descarte",""))</f>
        <v/>
      </c>
    </row>
    <row r="2741" customFormat="false" ht="15" hidden="false" customHeight="false" outlineLevel="0" collapsed="false">
      <c r="A2741" s="22" t="n">
        <v>46309</v>
      </c>
      <c r="B2741" s="0" t="n">
        <v>13</v>
      </c>
      <c r="C2741" s="0" t="n">
        <v>7229</v>
      </c>
      <c r="E2741" s="0" t="n">
        <v>0</v>
      </c>
      <c r="F2741" s="23" t="s">
        <v>1321</v>
      </c>
      <c r="I2741" s="23" t="s">
        <v>1249</v>
      </c>
      <c r="U2741" s="0" t="n">
        <v>303</v>
      </c>
      <c r="V2741" s="0" t="n">
        <v>0</v>
      </c>
      <c r="W2741" s="0" t="str">
        <f aca="false">IF(OR(AND(B2741&gt;=1,B2741&lt;=6),B2741=10),"Vaca em lactação",IF(I2741="Male","Macho",IF(E2741&gt;=1,"Vaca seca",IF(I2741="Youngstock","Bezerra/recria","Novilha"))))</f>
        <v>Bezerra/recria</v>
      </c>
      <c r="X2741" s="0" t="str">
        <f aca="false">IF(AND(B2741&gt;=1,B2741&lt;=6),"Tanque",IF(B2741=10,"Descarte",""))</f>
        <v/>
      </c>
    </row>
    <row r="2742" customFormat="false" ht="15" hidden="false" customHeight="false" outlineLevel="0" collapsed="false">
      <c r="A2742" s="22" t="n">
        <v>46309</v>
      </c>
      <c r="B2742" s="0" t="n">
        <v>13</v>
      </c>
      <c r="C2742" s="0" t="n">
        <v>7237</v>
      </c>
      <c r="E2742" s="0" t="n">
        <v>0</v>
      </c>
      <c r="F2742" s="23" t="s">
        <v>1322</v>
      </c>
      <c r="I2742" s="23" t="s">
        <v>1249</v>
      </c>
      <c r="U2742" s="0" t="n">
        <v>300</v>
      </c>
      <c r="V2742" s="0" t="n">
        <v>0</v>
      </c>
      <c r="W2742" s="0" t="str">
        <f aca="false">IF(OR(AND(B2742&gt;=1,B2742&lt;=6),B2742=10),"Vaca em lactação",IF(I2742="Male","Macho",IF(E2742&gt;=1,"Vaca seca",IF(I2742="Youngstock","Bezerra/recria","Novilha"))))</f>
        <v>Bezerra/recria</v>
      </c>
      <c r="X2742" s="0" t="str">
        <f aca="false">IF(AND(B2742&gt;=1,B2742&lt;=6),"Tanque",IF(B2742=10,"Descarte",""))</f>
        <v/>
      </c>
    </row>
    <row r="2743" customFormat="false" ht="15" hidden="false" customHeight="false" outlineLevel="0" collapsed="false">
      <c r="A2743" s="22" t="n">
        <v>46309</v>
      </c>
      <c r="B2743" s="0" t="n">
        <v>13</v>
      </c>
      <c r="C2743" s="0" t="n">
        <v>7235</v>
      </c>
      <c r="E2743" s="0" t="n">
        <v>0</v>
      </c>
      <c r="F2743" s="23" t="s">
        <v>1323</v>
      </c>
      <c r="I2743" s="23" t="s">
        <v>1249</v>
      </c>
      <c r="U2743" s="0" t="n">
        <v>302</v>
      </c>
      <c r="V2743" s="0" t="n">
        <v>0</v>
      </c>
      <c r="W2743" s="0" t="str">
        <f aca="false">IF(OR(AND(B2743&gt;=1,B2743&lt;=6),B2743=10),"Vaca em lactação",IF(I2743="Male","Macho",IF(E2743&gt;=1,"Vaca seca",IF(I2743="Youngstock","Bezerra/recria","Novilha"))))</f>
        <v>Bezerra/recria</v>
      </c>
      <c r="X2743" s="0" t="str">
        <f aca="false">IF(AND(B2743&gt;=1,B2743&lt;=6),"Tanque",IF(B2743=10,"Descarte",""))</f>
        <v/>
      </c>
    </row>
    <row r="2744" customFormat="false" ht="15" hidden="false" customHeight="false" outlineLevel="0" collapsed="false">
      <c r="A2744" s="22" t="n">
        <v>46309</v>
      </c>
      <c r="B2744" s="0" t="n">
        <v>13</v>
      </c>
      <c r="C2744" s="0" t="n">
        <v>7234</v>
      </c>
      <c r="E2744" s="0" t="n">
        <v>0</v>
      </c>
      <c r="F2744" s="23" t="s">
        <v>1323</v>
      </c>
      <c r="I2744" s="23" t="s">
        <v>1249</v>
      </c>
      <c r="U2744" s="0" t="n">
        <v>302</v>
      </c>
      <c r="V2744" s="0" t="n">
        <v>0</v>
      </c>
      <c r="W2744" s="0" t="str">
        <f aca="false">IF(OR(AND(B2744&gt;=1,B2744&lt;=6),B2744=10),"Vaca em lactação",IF(I2744="Male","Macho",IF(E2744&gt;=1,"Vaca seca",IF(I2744="Youngstock","Bezerra/recria","Novilha"))))</f>
        <v>Bezerra/recria</v>
      </c>
      <c r="X2744" s="0" t="str">
        <f aca="false">IF(AND(B2744&gt;=1,B2744&lt;=6),"Tanque",IF(B2744=10,"Descarte",""))</f>
        <v/>
      </c>
    </row>
    <row r="2745" customFormat="false" ht="15" hidden="false" customHeight="false" outlineLevel="0" collapsed="false">
      <c r="A2745" s="22" t="n">
        <v>46309</v>
      </c>
      <c r="B2745" s="0" t="n">
        <v>13</v>
      </c>
      <c r="C2745" s="0" t="n">
        <v>7233</v>
      </c>
      <c r="E2745" s="0" t="n">
        <v>0</v>
      </c>
      <c r="F2745" s="23" t="s">
        <v>1323</v>
      </c>
      <c r="I2745" s="23" t="s">
        <v>1249</v>
      </c>
      <c r="U2745" s="0" t="n">
        <v>302</v>
      </c>
      <c r="V2745" s="0" t="n">
        <v>0</v>
      </c>
      <c r="W2745" s="0" t="str">
        <f aca="false">IF(OR(AND(B2745&gt;=1,B2745&lt;=6),B2745=10),"Vaca em lactação",IF(I2745="Male","Macho",IF(E2745&gt;=1,"Vaca seca",IF(I2745="Youngstock","Bezerra/recria","Novilha"))))</f>
        <v>Bezerra/recria</v>
      </c>
      <c r="X2745" s="0" t="str">
        <f aca="false">IF(AND(B2745&gt;=1,B2745&lt;=6),"Tanque",IF(B2745=10,"Descarte",""))</f>
        <v/>
      </c>
    </row>
    <row r="2746" customFormat="false" ht="15" hidden="false" customHeight="false" outlineLevel="0" collapsed="false">
      <c r="A2746" s="22" t="n">
        <v>46309</v>
      </c>
      <c r="B2746" s="0" t="n">
        <v>13</v>
      </c>
      <c r="C2746" s="0" t="n">
        <v>7232</v>
      </c>
      <c r="E2746" s="0" t="n">
        <v>0</v>
      </c>
      <c r="F2746" s="23" t="s">
        <v>1323</v>
      </c>
      <c r="I2746" s="23" t="s">
        <v>1249</v>
      </c>
      <c r="U2746" s="0" t="n">
        <v>302</v>
      </c>
      <c r="V2746" s="0" t="n">
        <v>0</v>
      </c>
      <c r="W2746" s="0" t="str">
        <f aca="false">IF(OR(AND(B2746&gt;=1,B2746&lt;=6),B2746=10),"Vaca em lactação",IF(I2746="Male","Macho",IF(E2746&gt;=1,"Vaca seca",IF(I2746="Youngstock","Bezerra/recria","Novilha"))))</f>
        <v>Bezerra/recria</v>
      </c>
      <c r="X2746" s="0" t="str">
        <f aca="false">IF(AND(B2746&gt;=1,B2746&lt;=6),"Tanque",IF(B2746=10,"Descarte",""))</f>
        <v/>
      </c>
    </row>
    <row r="2747" customFormat="false" ht="15" hidden="false" customHeight="false" outlineLevel="0" collapsed="false">
      <c r="A2747" s="22" t="n">
        <v>46309</v>
      </c>
      <c r="B2747" s="0" t="n">
        <v>13</v>
      </c>
      <c r="C2747" s="0" t="n">
        <v>7241</v>
      </c>
      <c r="E2747" s="0" t="n">
        <v>0</v>
      </c>
      <c r="F2747" s="23" t="s">
        <v>1324</v>
      </c>
      <c r="I2747" s="23" t="s">
        <v>1249</v>
      </c>
      <c r="U2747" s="0" t="n">
        <v>299</v>
      </c>
      <c r="V2747" s="0" t="n">
        <v>0</v>
      </c>
      <c r="W2747" s="0" t="str">
        <f aca="false">IF(OR(AND(B2747&gt;=1,B2747&lt;=6),B2747=10),"Vaca em lactação",IF(I2747="Male","Macho",IF(E2747&gt;=1,"Vaca seca",IF(I2747="Youngstock","Bezerra/recria","Novilha"))))</f>
        <v>Bezerra/recria</v>
      </c>
      <c r="X2747" s="0" t="str">
        <f aca="false">IF(AND(B2747&gt;=1,B2747&lt;=6),"Tanque",IF(B2747=10,"Descarte",""))</f>
        <v/>
      </c>
    </row>
    <row r="2748" customFormat="false" ht="15" hidden="false" customHeight="false" outlineLevel="0" collapsed="false">
      <c r="A2748" s="22" t="n">
        <v>46309</v>
      </c>
      <c r="B2748" s="0" t="n">
        <v>13</v>
      </c>
      <c r="C2748" s="0" t="n">
        <v>7242</v>
      </c>
      <c r="E2748" s="0" t="n">
        <v>0</v>
      </c>
      <c r="F2748" s="23" t="s">
        <v>1325</v>
      </c>
      <c r="I2748" s="23" t="s">
        <v>1249</v>
      </c>
      <c r="U2748" s="0" t="n">
        <v>298</v>
      </c>
      <c r="V2748" s="0" t="n">
        <v>0</v>
      </c>
      <c r="W2748" s="0" t="str">
        <f aca="false">IF(OR(AND(B2748&gt;=1,B2748&lt;=6),B2748=10),"Vaca em lactação",IF(I2748="Male","Macho",IF(E2748&gt;=1,"Vaca seca",IF(I2748="Youngstock","Bezerra/recria","Novilha"))))</f>
        <v>Bezerra/recria</v>
      </c>
      <c r="X2748" s="0" t="str">
        <f aca="false">IF(AND(B2748&gt;=1,B2748&lt;=6),"Tanque",IF(B2748=10,"Descarte",""))</f>
        <v/>
      </c>
    </row>
    <row r="2749" customFormat="false" ht="15" hidden="false" customHeight="false" outlineLevel="0" collapsed="false">
      <c r="A2749" s="22" t="n">
        <v>46309</v>
      </c>
      <c r="B2749" s="0" t="n">
        <v>13</v>
      </c>
      <c r="C2749" s="0" t="n">
        <v>7239</v>
      </c>
      <c r="E2749" s="0" t="n">
        <v>0</v>
      </c>
      <c r="F2749" s="23" t="s">
        <v>1322</v>
      </c>
      <c r="I2749" s="23" t="s">
        <v>1249</v>
      </c>
      <c r="U2749" s="0" t="n">
        <v>300</v>
      </c>
      <c r="V2749" s="0" t="n">
        <v>0</v>
      </c>
      <c r="W2749" s="0" t="str">
        <f aca="false">IF(OR(AND(B2749&gt;=1,B2749&lt;=6),B2749=10),"Vaca em lactação",IF(I2749="Male","Macho",IF(E2749&gt;=1,"Vaca seca",IF(I2749="Youngstock","Bezerra/recria","Novilha"))))</f>
        <v>Bezerra/recria</v>
      </c>
      <c r="X2749" s="0" t="str">
        <f aca="false">IF(AND(B2749&gt;=1,B2749&lt;=6),"Tanque",IF(B2749=10,"Descarte",""))</f>
        <v/>
      </c>
    </row>
    <row r="2750" customFormat="false" ht="15" hidden="false" customHeight="false" outlineLevel="0" collapsed="false">
      <c r="A2750" s="22" t="n">
        <v>46309</v>
      </c>
      <c r="B2750" s="0" t="n">
        <v>13</v>
      </c>
      <c r="C2750" s="0" t="n">
        <v>7240</v>
      </c>
      <c r="E2750" s="0" t="n">
        <v>0</v>
      </c>
      <c r="F2750" s="23" t="s">
        <v>1324</v>
      </c>
      <c r="I2750" s="23" t="s">
        <v>1249</v>
      </c>
      <c r="U2750" s="0" t="n">
        <v>299</v>
      </c>
      <c r="V2750" s="0" t="n">
        <v>0</v>
      </c>
      <c r="W2750" s="0" t="str">
        <f aca="false">IF(OR(AND(B2750&gt;=1,B2750&lt;=6),B2750=10),"Vaca em lactação",IF(I2750="Male","Macho",IF(E2750&gt;=1,"Vaca seca",IF(I2750="Youngstock","Bezerra/recria","Novilha"))))</f>
        <v>Bezerra/recria</v>
      </c>
      <c r="X2750" s="0" t="str">
        <f aca="false">IF(AND(B2750&gt;=1,B2750&lt;=6),"Tanque",IF(B2750=10,"Descarte",""))</f>
        <v/>
      </c>
    </row>
    <row r="2751" customFormat="false" ht="15" hidden="false" customHeight="false" outlineLevel="0" collapsed="false">
      <c r="A2751" s="22" t="n">
        <v>46309</v>
      </c>
      <c r="B2751" s="0" t="n">
        <v>13</v>
      </c>
      <c r="C2751" s="0" t="n">
        <v>7245</v>
      </c>
      <c r="E2751" s="0" t="n">
        <v>0</v>
      </c>
      <c r="F2751" s="23" t="s">
        <v>1326</v>
      </c>
      <c r="I2751" s="23" t="s">
        <v>1249</v>
      </c>
      <c r="U2751" s="0" t="n">
        <v>297</v>
      </c>
      <c r="V2751" s="0" t="n">
        <v>0</v>
      </c>
      <c r="W2751" s="0" t="str">
        <f aca="false">IF(OR(AND(B2751&gt;=1,B2751&lt;=6),B2751=10),"Vaca em lactação",IF(I2751="Male","Macho",IF(E2751&gt;=1,"Vaca seca",IF(I2751="Youngstock","Bezerra/recria","Novilha"))))</f>
        <v>Bezerra/recria</v>
      </c>
      <c r="X2751" s="0" t="str">
        <f aca="false">IF(AND(B2751&gt;=1,B2751&lt;=6),"Tanque",IF(B2751=10,"Descarte",""))</f>
        <v/>
      </c>
    </row>
    <row r="2752" customFormat="false" ht="15" hidden="false" customHeight="false" outlineLevel="0" collapsed="false">
      <c r="A2752" s="22" t="n">
        <v>46309</v>
      </c>
      <c r="B2752" s="0" t="n">
        <v>13</v>
      </c>
      <c r="C2752" s="0" t="n">
        <v>7243</v>
      </c>
      <c r="E2752" s="0" t="n">
        <v>0</v>
      </c>
      <c r="F2752" s="23" t="s">
        <v>1325</v>
      </c>
      <c r="I2752" s="23" t="s">
        <v>1249</v>
      </c>
      <c r="U2752" s="0" t="n">
        <v>298</v>
      </c>
      <c r="V2752" s="0" t="n">
        <v>0</v>
      </c>
      <c r="W2752" s="0" t="str">
        <f aca="false">IF(OR(AND(B2752&gt;=1,B2752&lt;=6),B2752=10),"Vaca em lactação",IF(I2752="Male","Macho",IF(E2752&gt;=1,"Vaca seca",IF(I2752="Youngstock","Bezerra/recria","Novilha"))))</f>
        <v>Bezerra/recria</v>
      </c>
      <c r="X2752" s="0" t="str">
        <f aca="false">IF(AND(B2752&gt;=1,B2752&lt;=6),"Tanque",IF(B2752=10,"Descarte",""))</f>
        <v/>
      </c>
    </row>
    <row r="2753" customFormat="false" ht="15" hidden="false" customHeight="false" outlineLevel="0" collapsed="false">
      <c r="A2753" s="22" t="n">
        <v>46309</v>
      </c>
      <c r="B2753" s="0" t="n">
        <v>13</v>
      </c>
      <c r="C2753" s="0" t="n">
        <v>7247</v>
      </c>
      <c r="E2753" s="0" t="n">
        <v>0</v>
      </c>
      <c r="F2753" s="23" t="s">
        <v>1308</v>
      </c>
      <c r="I2753" s="23" t="s">
        <v>1249</v>
      </c>
      <c r="U2753" s="0" t="n">
        <v>327</v>
      </c>
      <c r="V2753" s="0" t="n">
        <v>0</v>
      </c>
      <c r="W2753" s="0" t="str">
        <f aca="false">IF(OR(AND(B2753&gt;=1,B2753&lt;=6),B2753=10),"Vaca em lactação",IF(I2753="Male","Macho",IF(E2753&gt;=1,"Vaca seca",IF(I2753="Youngstock","Bezerra/recria","Novilha"))))</f>
        <v>Bezerra/recria</v>
      </c>
      <c r="X2753" s="0" t="str">
        <f aca="false">IF(AND(B2753&gt;=1,B2753&lt;=6),"Tanque",IF(B2753=10,"Descarte",""))</f>
        <v/>
      </c>
    </row>
    <row r="2754" customFormat="false" ht="15" hidden="false" customHeight="false" outlineLevel="0" collapsed="false">
      <c r="A2754" s="22" t="n">
        <v>46309</v>
      </c>
      <c r="B2754" s="0" t="n">
        <v>13</v>
      </c>
      <c r="C2754" s="0" t="n">
        <v>7249</v>
      </c>
      <c r="E2754" s="0" t="n">
        <v>0</v>
      </c>
      <c r="F2754" s="23" t="s">
        <v>1327</v>
      </c>
      <c r="I2754" s="23" t="s">
        <v>1249</v>
      </c>
      <c r="U2754" s="0" t="n">
        <v>296</v>
      </c>
      <c r="V2754" s="0" t="n">
        <v>0</v>
      </c>
      <c r="W2754" s="0" t="str">
        <f aca="false">IF(OR(AND(B2754&gt;=1,B2754&lt;=6),B2754=10),"Vaca em lactação",IF(I2754="Male","Macho",IF(E2754&gt;=1,"Vaca seca",IF(I2754="Youngstock","Bezerra/recria","Novilha"))))</f>
        <v>Bezerra/recria</v>
      </c>
      <c r="X2754" s="0" t="str">
        <f aca="false">IF(AND(B2754&gt;=1,B2754&lt;=6),"Tanque",IF(B2754=10,"Descarte",""))</f>
        <v/>
      </c>
    </row>
    <row r="2755" customFormat="false" ht="15" hidden="false" customHeight="false" outlineLevel="0" collapsed="false">
      <c r="A2755" s="22" t="n">
        <v>46309</v>
      </c>
      <c r="B2755" s="0" t="n">
        <v>13</v>
      </c>
      <c r="C2755" s="0" t="n">
        <v>7248</v>
      </c>
      <c r="E2755" s="0" t="n">
        <v>0</v>
      </c>
      <c r="F2755" s="23" t="s">
        <v>1326</v>
      </c>
      <c r="I2755" s="23" t="s">
        <v>1249</v>
      </c>
      <c r="U2755" s="0" t="n">
        <v>297</v>
      </c>
      <c r="V2755" s="0" t="n">
        <v>0</v>
      </c>
      <c r="W2755" s="0" t="str">
        <f aca="false">IF(OR(AND(B2755&gt;=1,B2755&lt;=6),B2755=10),"Vaca em lactação",IF(I2755="Male","Macho",IF(E2755&gt;=1,"Vaca seca",IF(I2755="Youngstock","Bezerra/recria","Novilha"))))</f>
        <v>Bezerra/recria</v>
      </c>
      <c r="X2755" s="0" t="str">
        <f aca="false">IF(AND(B2755&gt;=1,B2755&lt;=6),"Tanque",IF(B2755=10,"Descarte",""))</f>
        <v/>
      </c>
    </row>
    <row r="2756" customFormat="false" ht="15" hidden="false" customHeight="false" outlineLevel="0" collapsed="false">
      <c r="A2756" s="22" t="n">
        <v>46309</v>
      </c>
      <c r="B2756" s="0" t="n">
        <v>13</v>
      </c>
      <c r="C2756" s="0" t="n">
        <v>7253</v>
      </c>
      <c r="E2756" s="0" t="n">
        <v>0</v>
      </c>
      <c r="F2756" s="23" t="s">
        <v>1328</v>
      </c>
      <c r="I2756" s="23" t="s">
        <v>1249</v>
      </c>
      <c r="U2756" s="0" t="n">
        <v>295</v>
      </c>
      <c r="V2756" s="0" t="n">
        <v>0</v>
      </c>
      <c r="W2756" s="0" t="str">
        <f aca="false">IF(OR(AND(B2756&gt;=1,B2756&lt;=6),B2756=10),"Vaca em lactação",IF(I2756="Male","Macho",IF(E2756&gt;=1,"Vaca seca",IF(I2756="Youngstock","Bezerra/recria","Novilha"))))</f>
        <v>Bezerra/recria</v>
      </c>
      <c r="X2756" s="0" t="str">
        <f aca="false">IF(AND(B2756&gt;=1,B2756&lt;=6),"Tanque",IF(B2756=10,"Descarte",""))</f>
        <v/>
      </c>
    </row>
    <row r="2757" customFormat="false" ht="15" hidden="false" customHeight="false" outlineLevel="0" collapsed="false">
      <c r="A2757" s="22" t="n">
        <v>46309</v>
      </c>
      <c r="B2757" s="0" t="n">
        <v>13</v>
      </c>
      <c r="C2757" s="0" t="n">
        <v>7252</v>
      </c>
      <c r="E2757" s="0" t="n">
        <v>0</v>
      </c>
      <c r="F2757" s="23" t="s">
        <v>1327</v>
      </c>
      <c r="I2757" s="23" t="s">
        <v>1249</v>
      </c>
      <c r="U2757" s="0" t="n">
        <v>296</v>
      </c>
      <c r="V2757" s="0" t="n">
        <v>0</v>
      </c>
      <c r="W2757" s="0" t="str">
        <f aca="false">IF(OR(AND(B2757&gt;=1,B2757&lt;=6),B2757=10),"Vaca em lactação",IF(I2757="Male","Macho",IF(E2757&gt;=1,"Vaca seca",IF(I2757="Youngstock","Bezerra/recria","Novilha"))))</f>
        <v>Bezerra/recria</v>
      </c>
      <c r="X2757" s="0" t="str">
        <f aca="false">IF(AND(B2757&gt;=1,B2757&lt;=6),"Tanque",IF(B2757=10,"Descarte",""))</f>
        <v/>
      </c>
    </row>
    <row r="2758" customFormat="false" ht="15" hidden="false" customHeight="false" outlineLevel="0" collapsed="false">
      <c r="A2758" s="22" t="n">
        <v>46309</v>
      </c>
      <c r="B2758" s="0" t="n">
        <v>13</v>
      </c>
      <c r="C2758" s="0" t="n">
        <v>7251</v>
      </c>
      <c r="E2758" s="0" t="n">
        <v>0</v>
      </c>
      <c r="F2758" s="23" t="s">
        <v>1327</v>
      </c>
      <c r="I2758" s="23" t="s">
        <v>1249</v>
      </c>
      <c r="U2758" s="0" t="n">
        <v>296</v>
      </c>
      <c r="V2758" s="0" t="n">
        <v>0</v>
      </c>
      <c r="W2758" s="0" t="str">
        <f aca="false">IF(OR(AND(B2758&gt;=1,B2758&lt;=6),B2758=10),"Vaca em lactação",IF(I2758="Male","Macho",IF(E2758&gt;=1,"Vaca seca",IF(I2758="Youngstock","Bezerra/recria","Novilha"))))</f>
        <v>Bezerra/recria</v>
      </c>
      <c r="X2758" s="0" t="str">
        <f aca="false">IF(AND(B2758&gt;=1,B2758&lt;=6),"Tanque",IF(B2758=10,"Descarte",""))</f>
        <v/>
      </c>
    </row>
    <row r="2759" customFormat="false" ht="15" hidden="false" customHeight="false" outlineLevel="0" collapsed="false">
      <c r="A2759" s="22" t="n">
        <v>46309</v>
      </c>
      <c r="B2759" s="0" t="n">
        <v>13</v>
      </c>
      <c r="C2759" s="0" t="n">
        <v>7250</v>
      </c>
      <c r="E2759" s="0" t="n">
        <v>0</v>
      </c>
      <c r="F2759" s="23" t="s">
        <v>1327</v>
      </c>
      <c r="I2759" s="23" t="s">
        <v>1249</v>
      </c>
      <c r="U2759" s="0" t="n">
        <v>296</v>
      </c>
      <c r="V2759" s="0" t="n">
        <v>0</v>
      </c>
      <c r="W2759" s="0" t="str">
        <f aca="false">IF(OR(AND(B2759&gt;=1,B2759&lt;=6),B2759=10),"Vaca em lactação",IF(I2759="Male","Macho",IF(E2759&gt;=1,"Vaca seca",IF(I2759="Youngstock","Bezerra/recria","Novilha"))))</f>
        <v>Bezerra/recria</v>
      </c>
      <c r="X2759" s="0" t="str">
        <f aca="false">IF(AND(B2759&gt;=1,B2759&lt;=6),"Tanque",IF(B2759=10,"Descarte",""))</f>
        <v/>
      </c>
    </row>
    <row r="2760" customFormat="false" ht="15" hidden="false" customHeight="false" outlineLevel="0" collapsed="false">
      <c r="A2760" s="22" t="n">
        <v>46309</v>
      </c>
      <c r="B2760" s="0" t="n">
        <v>13</v>
      </c>
      <c r="C2760" s="0" t="n">
        <v>7208</v>
      </c>
      <c r="E2760" s="0" t="n">
        <v>0</v>
      </c>
      <c r="F2760" s="23" t="s">
        <v>1329</v>
      </c>
      <c r="I2760" s="23" t="s">
        <v>1249</v>
      </c>
      <c r="U2760" s="0" t="n">
        <v>310</v>
      </c>
      <c r="V2760" s="0" t="n">
        <v>0</v>
      </c>
      <c r="W2760" s="0" t="str">
        <f aca="false">IF(OR(AND(B2760&gt;=1,B2760&lt;=6),B2760=10),"Vaca em lactação",IF(I2760="Male","Macho",IF(E2760&gt;=1,"Vaca seca",IF(I2760="Youngstock","Bezerra/recria","Novilha"))))</f>
        <v>Bezerra/recria</v>
      </c>
      <c r="X2760" s="0" t="str">
        <f aca="false">IF(AND(B2760&gt;=1,B2760&lt;=6),"Tanque",IF(B2760=10,"Descarte",""))</f>
        <v/>
      </c>
    </row>
    <row r="2761" customFormat="false" ht="15" hidden="false" customHeight="false" outlineLevel="0" collapsed="false">
      <c r="A2761" s="22" t="n">
        <v>46309</v>
      </c>
      <c r="B2761" s="0" t="n">
        <v>13</v>
      </c>
      <c r="C2761" s="0" t="n">
        <v>7211</v>
      </c>
      <c r="E2761" s="0" t="n">
        <v>0</v>
      </c>
      <c r="F2761" s="23" t="s">
        <v>1330</v>
      </c>
      <c r="I2761" s="23" t="s">
        <v>1249</v>
      </c>
      <c r="U2761" s="0" t="n">
        <v>309</v>
      </c>
      <c r="V2761" s="0" t="n">
        <v>0</v>
      </c>
      <c r="W2761" s="0" t="str">
        <f aca="false">IF(OR(AND(B2761&gt;=1,B2761&lt;=6),B2761=10),"Vaca em lactação",IF(I2761="Male","Macho",IF(E2761&gt;=1,"Vaca seca",IF(I2761="Youngstock","Bezerra/recria","Novilha"))))</f>
        <v>Bezerra/recria</v>
      </c>
      <c r="X2761" s="0" t="str">
        <f aca="false">IF(AND(B2761&gt;=1,B2761&lt;=6),"Tanque",IF(B2761=10,"Descarte",""))</f>
        <v/>
      </c>
    </row>
    <row r="2762" customFormat="false" ht="15" hidden="false" customHeight="false" outlineLevel="0" collapsed="false">
      <c r="A2762" s="22" t="n">
        <v>46309</v>
      </c>
      <c r="B2762" s="0" t="n">
        <v>13</v>
      </c>
      <c r="C2762" s="0" t="n">
        <v>7210</v>
      </c>
      <c r="E2762" s="0" t="n">
        <v>0</v>
      </c>
      <c r="F2762" s="23" t="s">
        <v>1330</v>
      </c>
      <c r="I2762" s="23" t="s">
        <v>1249</v>
      </c>
      <c r="U2762" s="0" t="n">
        <v>309</v>
      </c>
      <c r="V2762" s="0" t="n">
        <v>0</v>
      </c>
      <c r="W2762" s="0" t="str">
        <f aca="false">IF(OR(AND(B2762&gt;=1,B2762&lt;=6),B2762=10),"Vaca em lactação",IF(I2762="Male","Macho",IF(E2762&gt;=1,"Vaca seca",IF(I2762="Youngstock","Bezerra/recria","Novilha"))))</f>
        <v>Bezerra/recria</v>
      </c>
      <c r="X2762" s="0" t="str">
        <f aca="false">IF(AND(B2762&gt;=1,B2762&lt;=6),"Tanque",IF(B2762=10,"Descarte",""))</f>
        <v/>
      </c>
    </row>
    <row r="2763" customFormat="false" ht="15" hidden="false" customHeight="false" outlineLevel="0" collapsed="false">
      <c r="A2763" s="22" t="n">
        <v>46309</v>
      </c>
      <c r="B2763" s="0" t="n">
        <v>13</v>
      </c>
      <c r="C2763" s="0" t="n">
        <v>7209</v>
      </c>
      <c r="E2763" s="0" t="n">
        <v>0</v>
      </c>
      <c r="F2763" s="23" t="s">
        <v>1330</v>
      </c>
      <c r="I2763" s="23" t="s">
        <v>1249</v>
      </c>
      <c r="U2763" s="0" t="n">
        <v>309</v>
      </c>
      <c r="V2763" s="0" t="n">
        <v>0</v>
      </c>
      <c r="W2763" s="0" t="str">
        <f aca="false">IF(OR(AND(B2763&gt;=1,B2763&lt;=6),B2763=10),"Vaca em lactação",IF(I2763="Male","Macho",IF(E2763&gt;=1,"Vaca seca",IF(I2763="Youngstock","Bezerra/recria","Novilha"))))</f>
        <v>Bezerra/recria</v>
      </c>
      <c r="X2763" s="0" t="str">
        <f aca="false">IF(AND(B2763&gt;=1,B2763&lt;=6),"Tanque",IF(B2763=10,"Descarte",""))</f>
        <v/>
      </c>
    </row>
    <row r="2764" customFormat="false" ht="15" hidden="false" customHeight="false" outlineLevel="0" collapsed="false">
      <c r="A2764" s="22" t="n">
        <v>46309</v>
      </c>
      <c r="B2764" s="0" t="n">
        <v>13</v>
      </c>
      <c r="C2764" s="0" t="n">
        <v>7213</v>
      </c>
      <c r="E2764" s="0" t="n">
        <v>0</v>
      </c>
      <c r="F2764" s="23" t="s">
        <v>1331</v>
      </c>
      <c r="I2764" s="23" t="s">
        <v>1249</v>
      </c>
      <c r="U2764" s="0" t="n">
        <v>308</v>
      </c>
      <c r="V2764" s="0" t="n">
        <v>0</v>
      </c>
      <c r="W2764" s="0" t="str">
        <f aca="false">IF(OR(AND(B2764&gt;=1,B2764&lt;=6),B2764=10),"Vaca em lactação",IF(I2764="Male","Macho",IF(E2764&gt;=1,"Vaca seca",IF(I2764="Youngstock","Bezerra/recria","Novilha"))))</f>
        <v>Bezerra/recria</v>
      </c>
      <c r="X2764" s="0" t="str">
        <f aca="false">IF(AND(B2764&gt;=1,B2764&lt;=6),"Tanque",IF(B2764=10,"Descarte",""))</f>
        <v/>
      </c>
    </row>
    <row r="2765" customFormat="false" ht="15" hidden="false" customHeight="false" outlineLevel="0" collapsed="false">
      <c r="A2765" s="22" t="n">
        <v>46309</v>
      </c>
      <c r="B2765" s="0" t="n">
        <v>13</v>
      </c>
      <c r="C2765" s="0" t="n">
        <v>7212</v>
      </c>
      <c r="E2765" s="0" t="n">
        <v>0</v>
      </c>
      <c r="F2765" s="23" t="s">
        <v>1331</v>
      </c>
      <c r="I2765" s="23" t="s">
        <v>1249</v>
      </c>
      <c r="U2765" s="0" t="n">
        <v>308</v>
      </c>
      <c r="V2765" s="0" t="n">
        <v>0</v>
      </c>
      <c r="W2765" s="0" t="str">
        <f aca="false">IF(OR(AND(B2765&gt;=1,B2765&lt;=6),B2765=10),"Vaca em lactação",IF(I2765="Male","Macho",IF(E2765&gt;=1,"Vaca seca",IF(I2765="Youngstock","Bezerra/recria","Novilha"))))</f>
        <v>Bezerra/recria</v>
      </c>
      <c r="X2765" s="0" t="str">
        <f aca="false">IF(AND(B2765&gt;=1,B2765&lt;=6),"Tanque",IF(B2765=10,"Descarte",""))</f>
        <v/>
      </c>
    </row>
    <row r="2766" customFormat="false" ht="15" hidden="false" customHeight="false" outlineLevel="0" collapsed="false">
      <c r="A2766" s="22" t="n">
        <v>46309</v>
      </c>
      <c r="B2766" s="0" t="n">
        <v>13</v>
      </c>
      <c r="C2766" s="0" t="n">
        <v>7214</v>
      </c>
      <c r="E2766" s="0" t="n">
        <v>0</v>
      </c>
      <c r="F2766" s="23" t="s">
        <v>1332</v>
      </c>
      <c r="I2766" s="23" t="s">
        <v>1249</v>
      </c>
      <c r="U2766" s="0" t="n">
        <v>307</v>
      </c>
      <c r="V2766" s="0" t="n">
        <v>0</v>
      </c>
      <c r="W2766" s="0" t="str">
        <f aca="false">IF(OR(AND(B2766&gt;=1,B2766&lt;=6),B2766=10),"Vaca em lactação",IF(I2766="Male","Macho",IF(E2766&gt;=1,"Vaca seca",IF(I2766="Youngstock","Bezerra/recria","Novilha"))))</f>
        <v>Bezerra/recria</v>
      </c>
      <c r="X2766" s="0" t="str">
        <f aca="false">IF(AND(B2766&gt;=1,B2766&lt;=6),"Tanque",IF(B2766=10,"Descarte",""))</f>
        <v/>
      </c>
    </row>
    <row r="2767" customFormat="false" ht="15" hidden="false" customHeight="false" outlineLevel="0" collapsed="false">
      <c r="A2767" s="22" t="n">
        <v>46309</v>
      </c>
      <c r="B2767" s="0" t="n">
        <v>13</v>
      </c>
      <c r="C2767" s="0" t="n">
        <v>7216</v>
      </c>
      <c r="E2767" s="0" t="n">
        <v>0</v>
      </c>
      <c r="F2767" s="23" t="s">
        <v>1332</v>
      </c>
      <c r="I2767" s="23" t="s">
        <v>1249</v>
      </c>
      <c r="U2767" s="0" t="n">
        <v>307</v>
      </c>
      <c r="V2767" s="0" t="n">
        <v>0</v>
      </c>
      <c r="W2767" s="0" t="str">
        <f aca="false">IF(OR(AND(B2767&gt;=1,B2767&lt;=6),B2767=10),"Vaca em lactação",IF(I2767="Male","Macho",IF(E2767&gt;=1,"Vaca seca",IF(I2767="Youngstock","Bezerra/recria","Novilha"))))</f>
        <v>Bezerra/recria</v>
      </c>
      <c r="X2767" s="0" t="str">
        <f aca="false">IF(AND(B2767&gt;=1,B2767&lt;=6),"Tanque",IF(B2767=10,"Descarte",""))</f>
        <v/>
      </c>
    </row>
    <row r="2768" customFormat="false" ht="15" hidden="false" customHeight="false" outlineLevel="0" collapsed="false">
      <c r="A2768" s="22" t="n">
        <v>46309</v>
      </c>
      <c r="B2768" s="0" t="n">
        <v>13</v>
      </c>
      <c r="C2768" s="0" t="n">
        <v>7215</v>
      </c>
      <c r="E2768" s="0" t="n">
        <v>0</v>
      </c>
      <c r="F2768" s="23" t="s">
        <v>1332</v>
      </c>
      <c r="I2768" s="23" t="s">
        <v>1249</v>
      </c>
      <c r="U2768" s="0" t="n">
        <v>307</v>
      </c>
      <c r="V2768" s="0" t="n">
        <v>0</v>
      </c>
      <c r="W2768" s="0" t="str">
        <f aca="false">IF(OR(AND(B2768&gt;=1,B2768&lt;=6),B2768=10),"Vaca em lactação",IF(I2768="Male","Macho",IF(E2768&gt;=1,"Vaca seca",IF(I2768="Youngstock","Bezerra/recria","Novilha"))))</f>
        <v>Bezerra/recria</v>
      </c>
      <c r="X2768" s="0" t="str">
        <f aca="false">IF(AND(B2768&gt;=1,B2768&lt;=6),"Tanque",IF(B2768=10,"Descarte",""))</f>
        <v/>
      </c>
    </row>
    <row r="2769" customFormat="false" ht="15" hidden="false" customHeight="false" outlineLevel="0" collapsed="false">
      <c r="A2769" s="22" t="n">
        <v>46309</v>
      </c>
      <c r="B2769" s="0" t="n">
        <v>13</v>
      </c>
      <c r="C2769" s="0" t="n">
        <v>7218</v>
      </c>
      <c r="E2769" s="0" t="n">
        <v>0</v>
      </c>
      <c r="F2769" s="23" t="s">
        <v>1333</v>
      </c>
      <c r="I2769" s="23" t="s">
        <v>1249</v>
      </c>
      <c r="U2769" s="0" t="n">
        <v>306</v>
      </c>
      <c r="V2769" s="0" t="n">
        <v>0</v>
      </c>
      <c r="W2769" s="0" t="str">
        <f aca="false">IF(OR(AND(B2769&gt;=1,B2769&lt;=6),B2769=10),"Vaca em lactação",IF(I2769="Male","Macho",IF(E2769&gt;=1,"Vaca seca",IF(I2769="Youngstock","Bezerra/recria","Novilha"))))</f>
        <v>Bezerra/recria</v>
      </c>
      <c r="X2769" s="0" t="str">
        <f aca="false">IF(AND(B2769&gt;=1,B2769&lt;=6),"Tanque",IF(B2769=10,"Descarte",""))</f>
        <v/>
      </c>
    </row>
    <row r="2770" customFormat="false" ht="15" hidden="false" customHeight="false" outlineLevel="0" collapsed="false">
      <c r="A2770" s="22" t="n">
        <v>46309</v>
      </c>
      <c r="B2770" s="0" t="n">
        <v>13</v>
      </c>
      <c r="C2770" s="0" t="n">
        <v>7217</v>
      </c>
      <c r="E2770" s="0" t="n">
        <v>0</v>
      </c>
      <c r="F2770" s="23" t="s">
        <v>1333</v>
      </c>
      <c r="I2770" s="23" t="s">
        <v>1249</v>
      </c>
      <c r="U2770" s="0" t="n">
        <v>306</v>
      </c>
      <c r="V2770" s="0" t="n">
        <v>0</v>
      </c>
      <c r="W2770" s="0" t="str">
        <f aca="false">IF(OR(AND(B2770&gt;=1,B2770&lt;=6),B2770=10),"Vaca em lactação",IF(I2770="Male","Macho",IF(E2770&gt;=1,"Vaca seca",IF(I2770="Youngstock","Bezerra/recria","Novilha"))))</f>
        <v>Bezerra/recria</v>
      </c>
      <c r="X2770" s="0" t="str">
        <f aca="false">IF(AND(B2770&gt;=1,B2770&lt;=6),"Tanque",IF(B2770=10,"Descarte",""))</f>
        <v/>
      </c>
    </row>
    <row r="2771" customFormat="false" ht="15" hidden="false" customHeight="false" outlineLevel="0" collapsed="false">
      <c r="A2771" s="22" t="n">
        <v>46309</v>
      </c>
      <c r="B2771" s="0" t="n">
        <v>13</v>
      </c>
      <c r="C2771" s="0" t="n">
        <v>7220</v>
      </c>
      <c r="E2771" s="0" t="n">
        <v>0</v>
      </c>
      <c r="F2771" s="23" t="s">
        <v>1333</v>
      </c>
      <c r="I2771" s="23" t="s">
        <v>1249</v>
      </c>
      <c r="U2771" s="0" t="n">
        <v>306</v>
      </c>
      <c r="V2771" s="0" t="n">
        <v>0</v>
      </c>
      <c r="W2771" s="0" t="str">
        <f aca="false">IF(OR(AND(B2771&gt;=1,B2771&lt;=6),B2771=10),"Vaca em lactação",IF(I2771="Male","Macho",IF(E2771&gt;=1,"Vaca seca",IF(I2771="Youngstock","Bezerra/recria","Novilha"))))</f>
        <v>Bezerra/recria</v>
      </c>
      <c r="X2771" s="0" t="str">
        <f aca="false">IF(AND(B2771&gt;=1,B2771&lt;=6),"Tanque",IF(B2771=10,"Descarte",""))</f>
        <v/>
      </c>
    </row>
    <row r="2772" customFormat="false" ht="15" hidden="false" customHeight="false" outlineLevel="0" collapsed="false">
      <c r="A2772" s="22" t="n">
        <v>46309</v>
      </c>
      <c r="B2772" s="0" t="n">
        <v>13</v>
      </c>
      <c r="C2772" s="0" t="n">
        <v>7219</v>
      </c>
      <c r="E2772" s="0" t="n">
        <v>0</v>
      </c>
      <c r="F2772" s="23" t="s">
        <v>1333</v>
      </c>
      <c r="I2772" s="23" t="s">
        <v>1249</v>
      </c>
      <c r="U2772" s="0" t="n">
        <v>306</v>
      </c>
      <c r="V2772" s="0" t="n">
        <v>0</v>
      </c>
      <c r="W2772" s="0" t="str">
        <f aca="false">IF(OR(AND(B2772&gt;=1,B2772&lt;=6),B2772=10),"Vaca em lactação",IF(I2772="Male","Macho",IF(E2772&gt;=1,"Vaca seca",IF(I2772="Youngstock","Bezerra/recria","Novilha"))))</f>
        <v>Bezerra/recria</v>
      </c>
      <c r="X2772" s="0" t="str">
        <f aca="false">IF(AND(B2772&gt;=1,B2772&lt;=6),"Tanque",IF(B2772=10,"Descarte",""))</f>
        <v/>
      </c>
    </row>
    <row r="2773" customFormat="false" ht="15" hidden="false" customHeight="false" outlineLevel="0" collapsed="false">
      <c r="A2773" s="22" t="n">
        <v>46309</v>
      </c>
      <c r="B2773" s="0" t="n">
        <v>13</v>
      </c>
      <c r="C2773" s="0" t="n">
        <v>7222</v>
      </c>
      <c r="E2773" s="0" t="n">
        <v>0</v>
      </c>
      <c r="F2773" s="23" t="s">
        <v>1333</v>
      </c>
      <c r="I2773" s="23" t="s">
        <v>1249</v>
      </c>
      <c r="U2773" s="0" t="n">
        <v>306</v>
      </c>
      <c r="V2773" s="0" t="n">
        <v>0</v>
      </c>
      <c r="W2773" s="0" t="str">
        <f aca="false">IF(OR(AND(B2773&gt;=1,B2773&lt;=6),B2773=10),"Vaca em lactação",IF(I2773="Male","Macho",IF(E2773&gt;=1,"Vaca seca",IF(I2773="Youngstock","Bezerra/recria","Novilha"))))</f>
        <v>Bezerra/recria</v>
      </c>
      <c r="X2773" s="0" t="str">
        <f aca="false">IF(AND(B2773&gt;=1,B2773&lt;=6),"Tanque",IF(B2773=10,"Descarte",""))</f>
        <v/>
      </c>
    </row>
    <row r="2774" customFormat="false" ht="15" hidden="false" customHeight="false" outlineLevel="0" collapsed="false">
      <c r="A2774" s="22" t="n">
        <v>46309</v>
      </c>
      <c r="B2774" s="0" t="n">
        <v>13</v>
      </c>
      <c r="C2774" s="0" t="n">
        <v>7221</v>
      </c>
      <c r="E2774" s="0" t="n">
        <v>0</v>
      </c>
      <c r="F2774" s="23" t="s">
        <v>1333</v>
      </c>
      <c r="I2774" s="23" t="s">
        <v>1249</v>
      </c>
      <c r="U2774" s="0" t="n">
        <v>306</v>
      </c>
      <c r="V2774" s="0" t="n">
        <v>0</v>
      </c>
      <c r="W2774" s="0" t="str">
        <f aca="false">IF(OR(AND(B2774&gt;=1,B2774&lt;=6),B2774=10),"Vaca em lactação",IF(I2774="Male","Macho",IF(E2774&gt;=1,"Vaca seca",IF(I2774="Youngstock","Bezerra/recria","Novilha"))))</f>
        <v>Bezerra/recria</v>
      </c>
      <c r="X2774" s="0" t="str">
        <f aca="false">IF(AND(B2774&gt;=1,B2774&lt;=6),"Tanque",IF(B2774=10,"Descarte",""))</f>
        <v/>
      </c>
    </row>
    <row r="2775" customFormat="false" ht="15" hidden="false" customHeight="false" outlineLevel="0" collapsed="false">
      <c r="A2775" s="22" t="n">
        <v>46309</v>
      </c>
      <c r="B2775" s="0" t="n">
        <v>13</v>
      </c>
      <c r="C2775" s="0" t="n">
        <v>7224</v>
      </c>
      <c r="E2775" s="0" t="n">
        <v>0</v>
      </c>
      <c r="F2775" s="23" t="s">
        <v>1334</v>
      </c>
      <c r="I2775" s="23" t="s">
        <v>1249</v>
      </c>
      <c r="U2775" s="0" t="n">
        <v>305</v>
      </c>
      <c r="V2775" s="0" t="n">
        <v>0</v>
      </c>
      <c r="W2775" s="0" t="str">
        <f aca="false">IF(OR(AND(B2775&gt;=1,B2775&lt;=6),B2775=10),"Vaca em lactação",IF(I2775="Male","Macho",IF(E2775&gt;=1,"Vaca seca",IF(I2775="Youngstock","Bezerra/recria","Novilha"))))</f>
        <v>Bezerra/recria</v>
      </c>
      <c r="X2775" s="0" t="str">
        <f aca="false">IF(AND(B2775&gt;=1,B2775&lt;=6),"Tanque",IF(B2775=10,"Descarte",""))</f>
        <v/>
      </c>
    </row>
    <row r="2776" customFormat="false" ht="15" hidden="false" customHeight="false" outlineLevel="0" collapsed="false">
      <c r="A2776" s="22" t="n">
        <v>46309</v>
      </c>
      <c r="B2776" s="0" t="n">
        <v>13</v>
      </c>
      <c r="C2776" s="0" t="n">
        <v>7223</v>
      </c>
      <c r="E2776" s="0" t="n">
        <v>0</v>
      </c>
      <c r="F2776" s="23" t="s">
        <v>1333</v>
      </c>
      <c r="I2776" s="23" t="s">
        <v>1249</v>
      </c>
      <c r="U2776" s="0" t="n">
        <v>306</v>
      </c>
      <c r="V2776" s="0" t="n">
        <v>0</v>
      </c>
      <c r="W2776" s="0" t="str">
        <f aca="false">IF(OR(AND(B2776&gt;=1,B2776&lt;=6),B2776=10),"Vaca em lactação",IF(I2776="Male","Macho",IF(E2776&gt;=1,"Vaca seca",IF(I2776="Youngstock","Bezerra/recria","Novilha"))))</f>
        <v>Bezerra/recria</v>
      </c>
      <c r="X2776" s="0" t="str">
        <f aca="false">IF(AND(B2776&gt;=1,B2776&lt;=6),"Tanque",IF(B2776=10,"Descarte",""))</f>
        <v/>
      </c>
    </row>
    <row r="2777" customFormat="false" ht="15" hidden="false" customHeight="false" outlineLevel="0" collapsed="false">
      <c r="A2777" s="22" t="n">
        <v>46309</v>
      </c>
      <c r="B2777" s="0" t="n">
        <v>13</v>
      </c>
      <c r="C2777" s="0" t="n">
        <v>7225</v>
      </c>
      <c r="E2777" s="0" t="n">
        <v>0</v>
      </c>
      <c r="F2777" s="23" t="s">
        <v>1334</v>
      </c>
      <c r="I2777" s="23" t="s">
        <v>1249</v>
      </c>
      <c r="U2777" s="0" t="n">
        <v>305</v>
      </c>
      <c r="V2777" s="0" t="n">
        <v>0</v>
      </c>
      <c r="W2777" s="0" t="str">
        <f aca="false">IF(OR(AND(B2777&gt;=1,B2777&lt;=6),B2777=10),"Vaca em lactação",IF(I2777="Male","Macho",IF(E2777&gt;=1,"Vaca seca",IF(I2777="Youngstock","Bezerra/recria","Novilha"))))</f>
        <v>Bezerra/recria</v>
      </c>
      <c r="X2777" s="0" t="str">
        <f aca="false">IF(AND(B2777&gt;=1,B2777&lt;=6),"Tanque",IF(B2777=10,"Descarte",""))</f>
        <v/>
      </c>
    </row>
    <row r="2778" customFormat="false" ht="15" hidden="false" customHeight="false" outlineLevel="0" collapsed="false">
      <c r="A2778" s="22" t="n">
        <v>46309</v>
      </c>
      <c r="B2778" s="0" t="n">
        <v>13</v>
      </c>
      <c r="C2778" s="0" t="n">
        <v>7228</v>
      </c>
      <c r="E2778" s="0" t="n">
        <v>0</v>
      </c>
      <c r="F2778" s="23" t="s">
        <v>1335</v>
      </c>
      <c r="I2778" s="23" t="s">
        <v>1249</v>
      </c>
      <c r="U2778" s="0" t="n">
        <v>304</v>
      </c>
      <c r="V2778" s="0" t="n">
        <v>0</v>
      </c>
      <c r="W2778" s="0" t="str">
        <f aca="false">IF(OR(AND(B2778&gt;=1,B2778&lt;=6),B2778=10),"Vaca em lactação",IF(I2778="Male","Macho",IF(E2778&gt;=1,"Vaca seca",IF(I2778="Youngstock","Bezerra/recria","Novilha"))))</f>
        <v>Bezerra/recria</v>
      </c>
      <c r="X2778" s="0" t="str">
        <f aca="false">IF(AND(B2778&gt;=1,B2778&lt;=6),"Tanque",IF(B2778=10,"Descarte",""))</f>
        <v/>
      </c>
    </row>
    <row r="2779" customFormat="false" ht="15" hidden="false" customHeight="false" outlineLevel="0" collapsed="false">
      <c r="A2779" s="22" t="n">
        <v>46309</v>
      </c>
      <c r="B2779" s="0" t="n">
        <v>13</v>
      </c>
      <c r="C2779" s="0" t="n">
        <v>7227</v>
      </c>
      <c r="E2779" s="0" t="n">
        <v>0</v>
      </c>
      <c r="F2779" s="23" t="s">
        <v>1334</v>
      </c>
      <c r="I2779" s="23" t="s">
        <v>1249</v>
      </c>
      <c r="U2779" s="0" t="n">
        <v>305</v>
      </c>
      <c r="V2779" s="0" t="n">
        <v>0</v>
      </c>
      <c r="W2779" s="0" t="str">
        <f aca="false">IF(OR(AND(B2779&gt;=1,B2779&lt;=6),B2779=10),"Vaca em lactação",IF(I2779="Male","Macho",IF(E2779&gt;=1,"Vaca seca",IF(I2779="Youngstock","Bezerra/recria","Novilha"))))</f>
        <v>Bezerra/recria</v>
      </c>
      <c r="X2779" s="0" t="str">
        <f aca="false">IF(AND(B2779&gt;=1,B2779&lt;=6),"Tanque",IF(B2779=10,"Descarte",""))</f>
        <v/>
      </c>
    </row>
    <row r="2780" customFormat="false" ht="15" hidden="false" customHeight="false" outlineLevel="0" collapsed="false">
      <c r="A2780" s="22" t="n">
        <v>46309</v>
      </c>
      <c r="B2780" s="0" t="n">
        <v>13</v>
      </c>
      <c r="C2780" s="0" t="n">
        <v>7226</v>
      </c>
      <c r="E2780" s="0" t="n">
        <v>0</v>
      </c>
      <c r="F2780" s="23" t="s">
        <v>1334</v>
      </c>
      <c r="I2780" s="23" t="s">
        <v>1249</v>
      </c>
      <c r="U2780" s="0" t="n">
        <v>305</v>
      </c>
      <c r="V2780" s="0" t="n">
        <v>0</v>
      </c>
      <c r="W2780" s="0" t="str">
        <f aca="false">IF(OR(AND(B2780&gt;=1,B2780&lt;=6),B2780=10),"Vaca em lactação",IF(I2780="Male","Macho",IF(E2780&gt;=1,"Vaca seca",IF(I2780="Youngstock","Bezerra/recria","Novilha"))))</f>
        <v>Bezerra/recria</v>
      </c>
      <c r="X2780" s="0" t="str">
        <f aca="false">IF(AND(B2780&gt;=1,B2780&lt;=6),"Tanque",IF(B2780=10,"Descarte",""))</f>
        <v/>
      </c>
    </row>
    <row r="2781" customFormat="false" ht="15" hidden="false" customHeight="false" outlineLevel="0" collapsed="false">
      <c r="A2781" s="22" t="n">
        <v>46309</v>
      </c>
      <c r="B2781" s="0" t="n">
        <v>13</v>
      </c>
      <c r="C2781" s="0" t="n">
        <v>7201</v>
      </c>
      <c r="E2781" s="0" t="n">
        <v>0</v>
      </c>
      <c r="F2781" s="23" t="s">
        <v>1336</v>
      </c>
      <c r="I2781" s="23" t="s">
        <v>1249</v>
      </c>
      <c r="U2781" s="0" t="n">
        <v>313</v>
      </c>
      <c r="V2781" s="0" t="n">
        <v>0</v>
      </c>
      <c r="W2781" s="0" t="str">
        <f aca="false">IF(OR(AND(B2781&gt;=1,B2781&lt;=6),B2781=10),"Vaca em lactação",IF(I2781="Male","Macho",IF(E2781&gt;=1,"Vaca seca",IF(I2781="Youngstock","Bezerra/recria","Novilha"))))</f>
        <v>Bezerra/recria</v>
      </c>
      <c r="X2781" s="0" t="str">
        <f aca="false">IF(AND(B2781&gt;=1,B2781&lt;=6),"Tanque",IF(B2781=10,"Descarte",""))</f>
        <v/>
      </c>
    </row>
    <row r="2782" customFormat="false" ht="15" hidden="false" customHeight="false" outlineLevel="0" collapsed="false">
      <c r="A2782" s="22" t="n">
        <v>46309</v>
      </c>
      <c r="B2782" s="0" t="n">
        <v>13</v>
      </c>
      <c r="C2782" s="0" t="n">
        <v>7200</v>
      </c>
      <c r="E2782" s="0" t="n">
        <v>0</v>
      </c>
      <c r="F2782" s="23" t="s">
        <v>1336</v>
      </c>
      <c r="I2782" s="23" t="s">
        <v>1249</v>
      </c>
      <c r="U2782" s="0" t="n">
        <v>313</v>
      </c>
      <c r="V2782" s="0" t="n">
        <v>0</v>
      </c>
      <c r="W2782" s="0" t="str">
        <f aca="false">IF(OR(AND(B2782&gt;=1,B2782&lt;=6),B2782=10),"Vaca em lactação",IF(I2782="Male","Macho",IF(E2782&gt;=1,"Vaca seca",IF(I2782="Youngstock","Bezerra/recria","Novilha"))))</f>
        <v>Bezerra/recria</v>
      </c>
      <c r="X2782" s="0" t="str">
        <f aca="false">IF(AND(B2782&gt;=1,B2782&lt;=6),"Tanque",IF(B2782=10,"Descarte",""))</f>
        <v/>
      </c>
    </row>
    <row r="2783" customFormat="false" ht="15" hidden="false" customHeight="false" outlineLevel="0" collapsed="false">
      <c r="A2783" s="22" t="n">
        <v>46309</v>
      </c>
      <c r="B2783" s="0" t="n">
        <v>13</v>
      </c>
      <c r="C2783" s="0" t="n">
        <v>7204</v>
      </c>
      <c r="E2783" s="0" t="n">
        <v>0</v>
      </c>
      <c r="F2783" s="23" t="s">
        <v>1337</v>
      </c>
      <c r="I2783" s="23" t="s">
        <v>1249</v>
      </c>
      <c r="U2783" s="0" t="n">
        <v>311</v>
      </c>
      <c r="V2783" s="0" t="n">
        <v>0</v>
      </c>
      <c r="W2783" s="0" t="str">
        <f aca="false">IF(OR(AND(B2783&gt;=1,B2783&lt;=6),B2783=10),"Vaca em lactação",IF(I2783="Male","Macho",IF(E2783&gt;=1,"Vaca seca",IF(I2783="Youngstock","Bezerra/recria","Novilha"))))</f>
        <v>Bezerra/recria</v>
      </c>
      <c r="X2783" s="0" t="str">
        <f aca="false">IF(AND(B2783&gt;=1,B2783&lt;=6),"Tanque",IF(B2783=10,"Descarte",""))</f>
        <v/>
      </c>
    </row>
    <row r="2784" customFormat="false" ht="15" hidden="false" customHeight="false" outlineLevel="0" collapsed="false">
      <c r="A2784" s="22" t="n">
        <v>46309</v>
      </c>
      <c r="B2784" s="0" t="n">
        <v>13</v>
      </c>
      <c r="C2784" s="0" t="n">
        <v>7203</v>
      </c>
      <c r="E2784" s="0" t="n">
        <v>0</v>
      </c>
      <c r="F2784" s="23" t="s">
        <v>1336</v>
      </c>
      <c r="I2784" s="23" t="s">
        <v>1249</v>
      </c>
      <c r="U2784" s="0" t="n">
        <v>313</v>
      </c>
      <c r="V2784" s="0" t="n">
        <v>0</v>
      </c>
      <c r="W2784" s="0" t="str">
        <f aca="false">IF(OR(AND(B2784&gt;=1,B2784&lt;=6),B2784=10),"Vaca em lactação",IF(I2784="Male","Macho",IF(E2784&gt;=1,"Vaca seca",IF(I2784="Youngstock","Bezerra/recria","Novilha"))))</f>
        <v>Bezerra/recria</v>
      </c>
      <c r="X2784" s="0" t="str">
        <f aca="false">IF(AND(B2784&gt;=1,B2784&lt;=6),"Tanque",IF(B2784=10,"Descarte",""))</f>
        <v/>
      </c>
    </row>
    <row r="2785" customFormat="false" ht="15" hidden="false" customHeight="false" outlineLevel="0" collapsed="false">
      <c r="A2785" s="22" t="n">
        <v>46309</v>
      </c>
      <c r="B2785" s="0" t="n">
        <v>13</v>
      </c>
      <c r="C2785" s="0" t="n">
        <v>7202</v>
      </c>
      <c r="E2785" s="0" t="n">
        <v>0</v>
      </c>
      <c r="F2785" s="23" t="s">
        <v>1336</v>
      </c>
      <c r="I2785" s="23" t="s">
        <v>1249</v>
      </c>
      <c r="U2785" s="0" t="n">
        <v>313</v>
      </c>
      <c r="V2785" s="0" t="n">
        <v>0</v>
      </c>
      <c r="W2785" s="0" t="str">
        <f aca="false">IF(OR(AND(B2785&gt;=1,B2785&lt;=6),B2785=10),"Vaca em lactação",IF(I2785="Male","Macho",IF(E2785&gt;=1,"Vaca seca",IF(I2785="Youngstock","Bezerra/recria","Novilha"))))</f>
        <v>Bezerra/recria</v>
      </c>
      <c r="X2785" s="0" t="str">
        <f aca="false">IF(AND(B2785&gt;=1,B2785&lt;=6),"Tanque",IF(B2785=10,"Descarte",""))</f>
        <v/>
      </c>
    </row>
    <row r="2786" customFormat="false" ht="15" hidden="false" customHeight="false" outlineLevel="0" collapsed="false">
      <c r="A2786" s="22" t="n">
        <v>46309</v>
      </c>
      <c r="B2786" s="0" t="n">
        <v>13</v>
      </c>
      <c r="C2786" s="0" t="n">
        <v>7207</v>
      </c>
      <c r="E2786" s="0" t="n">
        <v>0</v>
      </c>
      <c r="F2786" s="23" t="s">
        <v>1337</v>
      </c>
      <c r="I2786" s="23" t="s">
        <v>1249</v>
      </c>
      <c r="U2786" s="0" t="n">
        <v>311</v>
      </c>
      <c r="V2786" s="0" t="n">
        <v>0</v>
      </c>
      <c r="W2786" s="0" t="str">
        <f aca="false">IF(OR(AND(B2786&gt;=1,B2786&lt;=6),B2786=10),"Vaca em lactação",IF(I2786="Male","Macho",IF(E2786&gt;=1,"Vaca seca",IF(I2786="Youngstock","Bezerra/recria","Novilha"))))</f>
        <v>Bezerra/recria</v>
      </c>
      <c r="X2786" s="0" t="str">
        <f aca="false">IF(AND(B2786&gt;=1,B2786&lt;=6),"Tanque",IF(B2786=10,"Descarte",""))</f>
        <v/>
      </c>
    </row>
    <row r="2787" customFormat="false" ht="15" hidden="false" customHeight="false" outlineLevel="0" collapsed="false">
      <c r="A2787" s="22" t="n">
        <v>46309</v>
      </c>
      <c r="B2787" s="0" t="n">
        <v>13</v>
      </c>
      <c r="C2787" s="0" t="n">
        <v>7205</v>
      </c>
      <c r="E2787" s="0" t="n">
        <v>0</v>
      </c>
      <c r="F2787" s="23" t="s">
        <v>1337</v>
      </c>
      <c r="I2787" s="23" t="s">
        <v>1249</v>
      </c>
      <c r="U2787" s="0" t="n">
        <v>311</v>
      </c>
      <c r="V2787" s="0" t="n">
        <v>0</v>
      </c>
      <c r="W2787" s="0" t="str">
        <f aca="false">IF(OR(AND(B2787&gt;=1,B2787&lt;=6),B2787=10),"Vaca em lactação",IF(I2787="Male","Macho",IF(E2787&gt;=1,"Vaca seca",IF(I2787="Youngstock","Bezerra/recria","Novilha"))))</f>
        <v>Bezerra/recria</v>
      </c>
      <c r="X2787" s="0" t="str">
        <f aca="false">IF(AND(B2787&gt;=1,B2787&lt;=6),"Tanque",IF(B2787=10,"Descarte",""))</f>
        <v/>
      </c>
    </row>
    <row r="2788" customFormat="false" ht="15" hidden="false" customHeight="false" outlineLevel="0" collapsed="false">
      <c r="A2788" s="22" t="n">
        <v>46309</v>
      </c>
      <c r="B2788" s="0" t="n">
        <v>13</v>
      </c>
      <c r="C2788" s="0" t="n">
        <v>7181</v>
      </c>
      <c r="E2788" s="0" t="n">
        <v>0</v>
      </c>
      <c r="F2788" s="23" t="s">
        <v>1303</v>
      </c>
      <c r="I2788" s="23" t="s">
        <v>1249</v>
      </c>
      <c r="U2788" s="0" t="n">
        <v>318</v>
      </c>
      <c r="V2788" s="0" t="n">
        <v>0</v>
      </c>
      <c r="W2788" s="0" t="str">
        <f aca="false">IF(OR(AND(B2788&gt;=1,B2788&lt;=6),B2788=10),"Vaca em lactação",IF(I2788="Male","Macho",IF(E2788&gt;=1,"Vaca seca",IF(I2788="Youngstock","Bezerra/recria","Novilha"))))</f>
        <v>Bezerra/recria</v>
      </c>
      <c r="X2788" s="0" t="str">
        <f aca="false">IF(AND(B2788&gt;=1,B2788&lt;=6),"Tanque",IF(B2788=10,"Descarte",""))</f>
        <v/>
      </c>
    </row>
    <row r="2789" customFormat="false" ht="15" hidden="false" customHeight="false" outlineLevel="0" collapsed="false">
      <c r="A2789" s="22" t="n">
        <v>46309</v>
      </c>
      <c r="B2789" s="0" t="n">
        <v>13</v>
      </c>
      <c r="C2789" s="0" t="n">
        <v>7182</v>
      </c>
      <c r="E2789" s="0" t="n">
        <v>0</v>
      </c>
      <c r="F2789" s="23" t="s">
        <v>1303</v>
      </c>
      <c r="I2789" s="23" t="s">
        <v>1249</v>
      </c>
      <c r="U2789" s="0" t="n">
        <v>318</v>
      </c>
      <c r="V2789" s="0" t="n">
        <v>0</v>
      </c>
      <c r="W2789" s="0" t="str">
        <f aca="false">IF(OR(AND(B2789&gt;=1,B2789&lt;=6),B2789=10),"Vaca em lactação",IF(I2789="Male","Macho",IF(E2789&gt;=1,"Vaca seca",IF(I2789="Youngstock","Bezerra/recria","Novilha"))))</f>
        <v>Bezerra/recria</v>
      </c>
      <c r="X2789" s="0" t="str">
        <f aca="false">IF(AND(B2789&gt;=1,B2789&lt;=6),"Tanque",IF(B2789=10,"Descarte",""))</f>
        <v/>
      </c>
    </row>
    <row r="2790" customFormat="false" ht="15" hidden="false" customHeight="false" outlineLevel="0" collapsed="false">
      <c r="A2790" s="22" t="n">
        <v>46309</v>
      </c>
      <c r="B2790" s="0" t="n">
        <v>13</v>
      </c>
      <c r="C2790" s="0" t="n">
        <v>7184</v>
      </c>
      <c r="E2790" s="0" t="n">
        <v>0</v>
      </c>
      <c r="F2790" s="23" t="s">
        <v>1303</v>
      </c>
      <c r="I2790" s="23" t="s">
        <v>1249</v>
      </c>
      <c r="U2790" s="0" t="n">
        <v>318</v>
      </c>
      <c r="V2790" s="0" t="n">
        <v>0</v>
      </c>
      <c r="W2790" s="0" t="str">
        <f aca="false">IF(OR(AND(B2790&gt;=1,B2790&lt;=6),B2790=10),"Vaca em lactação",IF(I2790="Male","Macho",IF(E2790&gt;=1,"Vaca seca",IF(I2790="Youngstock","Bezerra/recria","Novilha"))))</f>
        <v>Bezerra/recria</v>
      </c>
      <c r="X2790" s="0" t="str">
        <f aca="false">IF(AND(B2790&gt;=1,B2790&lt;=6),"Tanque",IF(B2790=10,"Descarte",""))</f>
        <v/>
      </c>
    </row>
    <row r="2791" customFormat="false" ht="15" hidden="false" customHeight="false" outlineLevel="0" collapsed="false">
      <c r="A2791" s="22" t="n">
        <v>46309</v>
      </c>
      <c r="B2791" s="0" t="n">
        <v>13</v>
      </c>
      <c r="C2791" s="0" t="n">
        <v>7183</v>
      </c>
      <c r="E2791" s="0" t="n">
        <v>0</v>
      </c>
      <c r="F2791" s="23" t="s">
        <v>1303</v>
      </c>
      <c r="I2791" s="23" t="s">
        <v>1249</v>
      </c>
      <c r="U2791" s="0" t="n">
        <v>318</v>
      </c>
      <c r="V2791" s="0" t="n">
        <v>0</v>
      </c>
      <c r="W2791" s="0" t="str">
        <f aca="false">IF(OR(AND(B2791&gt;=1,B2791&lt;=6),B2791=10),"Vaca em lactação",IF(I2791="Male","Macho",IF(E2791&gt;=1,"Vaca seca",IF(I2791="Youngstock","Bezerra/recria","Novilha"))))</f>
        <v>Bezerra/recria</v>
      </c>
      <c r="X2791" s="0" t="str">
        <f aca="false">IF(AND(B2791&gt;=1,B2791&lt;=6),"Tanque",IF(B2791=10,"Descarte",""))</f>
        <v/>
      </c>
    </row>
    <row r="2792" customFormat="false" ht="15" hidden="false" customHeight="false" outlineLevel="0" collapsed="false">
      <c r="A2792" s="22" t="n">
        <v>46309</v>
      </c>
      <c r="B2792" s="0" t="n">
        <v>13</v>
      </c>
      <c r="C2792" s="0" t="n">
        <v>7190</v>
      </c>
      <c r="E2792" s="0" t="n">
        <v>0</v>
      </c>
      <c r="F2792" s="23" t="s">
        <v>1338</v>
      </c>
      <c r="I2792" s="23" t="s">
        <v>1249</v>
      </c>
      <c r="U2792" s="0" t="n">
        <v>315</v>
      </c>
      <c r="V2792" s="0" t="n">
        <v>0</v>
      </c>
      <c r="W2792" s="0" t="str">
        <f aca="false">IF(OR(AND(B2792&gt;=1,B2792&lt;=6),B2792=10),"Vaca em lactação",IF(I2792="Male","Macho",IF(E2792&gt;=1,"Vaca seca",IF(I2792="Youngstock","Bezerra/recria","Novilha"))))</f>
        <v>Bezerra/recria</v>
      </c>
      <c r="X2792" s="0" t="str">
        <f aca="false">IF(AND(B2792&gt;=1,B2792&lt;=6),"Tanque",IF(B2792=10,"Descarte",""))</f>
        <v/>
      </c>
    </row>
    <row r="2793" customFormat="false" ht="15" hidden="false" customHeight="false" outlineLevel="0" collapsed="false">
      <c r="A2793" s="22" t="n">
        <v>46309</v>
      </c>
      <c r="B2793" s="0" t="n">
        <v>13</v>
      </c>
      <c r="C2793" s="0" t="n">
        <v>7189</v>
      </c>
      <c r="E2793" s="0" t="n">
        <v>0</v>
      </c>
      <c r="F2793" s="23" t="s">
        <v>1339</v>
      </c>
      <c r="I2793" s="23" t="s">
        <v>1249</v>
      </c>
      <c r="U2793" s="0" t="n">
        <v>316</v>
      </c>
      <c r="V2793" s="0" t="n">
        <v>0</v>
      </c>
      <c r="W2793" s="0" t="str">
        <f aca="false">IF(OR(AND(B2793&gt;=1,B2793&lt;=6),B2793=10),"Vaca em lactação",IF(I2793="Male","Macho",IF(E2793&gt;=1,"Vaca seca",IF(I2793="Youngstock","Bezerra/recria","Novilha"))))</f>
        <v>Bezerra/recria</v>
      </c>
      <c r="X2793" s="0" t="str">
        <f aca="false">IF(AND(B2793&gt;=1,B2793&lt;=6),"Tanque",IF(B2793=10,"Descarte",""))</f>
        <v/>
      </c>
    </row>
    <row r="2794" customFormat="false" ht="15" hidden="false" customHeight="false" outlineLevel="0" collapsed="false">
      <c r="A2794" s="22" t="n">
        <v>46309</v>
      </c>
      <c r="B2794" s="0" t="n">
        <v>13</v>
      </c>
      <c r="C2794" s="0" t="n">
        <v>7188</v>
      </c>
      <c r="E2794" s="0" t="n">
        <v>0</v>
      </c>
      <c r="F2794" s="23" t="s">
        <v>1339</v>
      </c>
      <c r="I2794" s="23" t="s">
        <v>1249</v>
      </c>
      <c r="U2794" s="0" t="n">
        <v>316</v>
      </c>
      <c r="V2794" s="0" t="n">
        <v>0</v>
      </c>
      <c r="W2794" s="0" t="str">
        <f aca="false">IF(OR(AND(B2794&gt;=1,B2794&lt;=6),B2794=10),"Vaca em lactação",IF(I2794="Male","Macho",IF(E2794&gt;=1,"Vaca seca",IF(I2794="Youngstock","Bezerra/recria","Novilha"))))</f>
        <v>Bezerra/recria</v>
      </c>
      <c r="X2794" s="0" t="str">
        <f aca="false">IF(AND(B2794&gt;=1,B2794&lt;=6),"Tanque",IF(B2794=10,"Descarte",""))</f>
        <v/>
      </c>
    </row>
    <row r="2795" customFormat="false" ht="15" hidden="false" customHeight="false" outlineLevel="0" collapsed="false">
      <c r="A2795" s="22" t="n">
        <v>46309</v>
      </c>
      <c r="B2795" s="0" t="n">
        <v>13</v>
      </c>
      <c r="C2795" s="0" t="n">
        <v>7187</v>
      </c>
      <c r="E2795" s="0" t="n">
        <v>0</v>
      </c>
      <c r="F2795" s="23" t="s">
        <v>1339</v>
      </c>
      <c r="I2795" s="23" t="s">
        <v>1249</v>
      </c>
      <c r="U2795" s="0" t="n">
        <v>316</v>
      </c>
      <c r="V2795" s="0" t="n">
        <v>0</v>
      </c>
      <c r="W2795" s="0" t="str">
        <f aca="false">IF(OR(AND(B2795&gt;=1,B2795&lt;=6),B2795=10),"Vaca em lactação",IF(I2795="Male","Macho",IF(E2795&gt;=1,"Vaca seca",IF(I2795="Youngstock","Bezerra/recria","Novilha"))))</f>
        <v>Bezerra/recria</v>
      </c>
      <c r="X2795" s="0" t="str">
        <f aca="false">IF(AND(B2795&gt;=1,B2795&lt;=6),"Tanque",IF(B2795=10,"Descarte",""))</f>
        <v/>
      </c>
    </row>
    <row r="2796" customFormat="false" ht="15" hidden="false" customHeight="false" outlineLevel="0" collapsed="false">
      <c r="A2796" s="22" t="n">
        <v>46309</v>
      </c>
      <c r="B2796" s="0" t="n">
        <v>13</v>
      </c>
      <c r="C2796" s="0" t="n">
        <v>7186</v>
      </c>
      <c r="E2796" s="0" t="n">
        <v>0</v>
      </c>
      <c r="F2796" s="23" t="s">
        <v>1339</v>
      </c>
      <c r="I2796" s="23" t="s">
        <v>1249</v>
      </c>
      <c r="U2796" s="0" t="n">
        <v>316</v>
      </c>
      <c r="V2796" s="0" t="n">
        <v>0</v>
      </c>
      <c r="W2796" s="0" t="str">
        <f aca="false">IF(OR(AND(B2796&gt;=1,B2796&lt;=6),B2796=10),"Vaca em lactação",IF(I2796="Male","Macho",IF(E2796&gt;=1,"Vaca seca",IF(I2796="Youngstock","Bezerra/recria","Novilha"))))</f>
        <v>Bezerra/recria</v>
      </c>
      <c r="X2796" s="0" t="str">
        <f aca="false">IF(AND(B2796&gt;=1,B2796&lt;=6),"Tanque",IF(B2796=10,"Descarte",""))</f>
        <v/>
      </c>
    </row>
    <row r="2797" customFormat="false" ht="15" hidden="false" customHeight="false" outlineLevel="0" collapsed="false">
      <c r="A2797" s="22" t="n">
        <v>46309</v>
      </c>
      <c r="B2797" s="0" t="n">
        <v>13</v>
      </c>
      <c r="C2797" s="0" t="n">
        <v>7195</v>
      </c>
      <c r="E2797" s="0" t="n">
        <v>0</v>
      </c>
      <c r="F2797" s="23" t="s">
        <v>1338</v>
      </c>
      <c r="I2797" s="23" t="s">
        <v>1249</v>
      </c>
      <c r="U2797" s="0" t="n">
        <v>315</v>
      </c>
      <c r="V2797" s="0" t="n">
        <v>0</v>
      </c>
      <c r="W2797" s="0" t="str">
        <f aca="false">IF(OR(AND(B2797&gt;=1,B2797&lt;=6),B2797=10),"Vaca em lactação",IF(I2797="Male","Macho",IF(E2797&gt;=1,"Vaca seca",IF(I2797="Youngstock","Bezerra/recria","Novilha"))))</f>
        <v>Bezerra/recria</v>
      </c>
      <c r="X2797" s="0" t="str">
        <f aca="false">IF(AND(B2797&gt;=1,B2797&lt;=6),"Tanque",IF(B2797=10,"Descarte",""))</f>
        <v/>
      </c>
    </row>
    <row r="2798" customFormat="false" ht="15" hidden="false" customHeight="false" outlineLevel="0" collapsed="false">
      <c r="A2798" s="22" t="n">
        <v>46309</v>
      </c>
      <c r="B2798" s="0" t="n">
        <v>13</v>
      </c>
      <c r="C2798" s="0" t="n">
        <v>7194</v>
      </c>
      <c r="E2798" s="0" t="n">
        <v>0</v>
      </c>
      <c r="F2798" s="23" t="s">
        <v>1338</v>
      </c>
      <c r="I2798" s="23" t="s">
        <v>1249</v>
      </c>
      <c r="U2798" s="0" t="n">
        <v>315</v>
      </c>
      <c r="V2798" s="0" t="n">
        <v>0</v>
      </c>
      <c r="W2798" s="0" t="str">
        <f aca="false">IF(OR(AND(B2798&gt;=1,B2798&lt;=6),B2798=10),"Vaca em lactação",IF(I2798="Male","Macho",IF(E2798&gt;=1,"Vaca seca",IF(I2798="Youngstock","Bezerra/recria","Novilha"))))</f>
        <v>Bezerra/recria</v>
      </c>
      <c r="X2798" s="0" t="str">
        <f aca="false">IF(AND(B2798&gt;=1,B2798&lt;=6),"Tanque",IF(B2798=10,"Descarte",""))</f>
        <v/>
      </c>
    </row>
    <row r="2799" customFormat="false" ht="15" hidden="false" customHeight="false" outlineLevel="0" collapsed="false">
      <c r="A2799" s="22" t="n">
        <v>46309</v>
      </c>
      <c r="B2799" s="0" t="n">
        <v>13</v>
      </c>
      <c r="C2799" s="0" t="n">
        <v>7193</v>
      </c>
      <c r="E2799" s="0" t="n">
        <v>0</v>
      </c>
      <c r="F2799" s="23" t="s">
        <v>1338</v>
      </c>
      <c r="I2799" s="23" t="s">
        <v>1249</v>
      </c>
      <c r="U2799" s="0" t="n">
        <v>315</v>
      </c>
      <c r="V2799" s="0" t="n">
        <v>0</v>
      </c>
      <c r="W2799" s="0" t="str">
        <f aca="false">IF(OR(AND(B2799&gt;=1,B2799&lt;=6),B2799=10),"Vaca em lactação",IF(I2799="Male","Macho",IF(E2799&gt;=1,"Vaca seca",IF(I2799="Youngstock","Bezerra/recria","Novilha"))))</f>
        <v>Bezerra/recria</v>
      </c>
      <c r="X2799" s="0" t="str">
        <f aca="false">IF(AND(B2799&gt;=1,B2799&lt;=6),"Tanque",IF(B2799=10,"Descarte",""))</f>
        <v/>
      </c>
    </row>
    <row r="2800" customFormat="false" ht="15" hidden="false" customHeight="false" outlineLevel="0" collapsed="false">
      <c r="A2800" s="22" t="n">
        <v>46309</v>
      </c>
      <c r="B2800" s="0" t="n">
        <v>13</v>
      </c>
      <c r="C2800" s="0" t="n">
        <v>7192</v>
      </c>
      <c r="E2800" s="0" t="n">
        <v>0</v>
      </c>
      <c r="F2800" s="23" t="s">
        <v>1338</v>
      </c>
      <c r="I2800" s="23" t="s">
        <v>1249</v>
      </c>
      <c r="U2800" s="0" t="n">
        <v>315</v>
      </c>
      <c r="V2800" s="0" t="n">
        <v>0</v>
      </c>
      <c r="W2800" s="0" t="str">
        <f aca="false">IF(OR(AND(B2800&gt;=1,B2800&lt;=6),B2800=10),"Vaca em lactação",IF(I2800="Male","Macho",IF(E2800&gt;=1,"Vaca seca",IF(I2800="Youngstock","Bezerra/recria","Novilha"))))</f>
        <v>Bezerra/recria</v>
      </c>
      <c r="X2800" s="0" t="str">
        <f aca="false">IF(AND(B2800&gt;=1,B2800&lt;=6),"Tanque",IF(B2800=10,"Descarte",""))</f>
        <v/>
      </c>
    </row>
    <row r="2801" customFormat="false" ht="15" hidden="false" customHeight="false" outlineLevel="0" collapsed="false">
      <c r="A2801" s="22" t="n">
        <v>46309</v>
      </c>
      <c r="B2801" s="0" t="n">
        <v>13</v>
      </c>
      <c r="C2801" s="0" t="n">
        <v>7198</v>
      </c>
      <c r="E2801" s="0" t="n">
        <v>0</v>
      </c>
      <c r="F2801" s="23" t="s">
        <v>1340</v>
      </c>
      <c r="I2801" s="23" t="s">
        <v>1249</v>
      </c>
      <c r="U2801" s="0" t="n">
        <v>314</v>
      </c>
      <c r="V2801" s="0" t="n">
        <v>0</v>
      </c>
      <c r="W2801" s="0" t="str">
        <f aca="false">IF(OR(AND(B2801&gt;=1,B2801&lt;=6),B2801=10),"Vaca em lactação",IF(I2801="Male","Macho",IF(E2801&gt;=1,"Vaca seca",IF(I2801="Youngstock","Bezerra/recria","Novilha"))))</f>
        <v>Bezerra/recria</v>
      </c>
      <c r="X2801" s="0" t="str">
        <f aca="false">IF(AND(B2801&gt;=1,B2801&lt;=6),"Tanque",IF(B2801=10,"Descarte",""))</f>
        <v/>
      </c>
    </row>
    <row r="2802" customFormat="false" ht="15" hidden="false" customHeight="false" outlineLevel="0" collapsed="false">
      <c r="A2802" s="22" t="n">
        <v>46309</v>
      </c>
      <c r="B2802" s="0" t="n">
        <v>13</v>
      </c>
      <c r="C2802" s="0" t="n">
        <v>7196</v>
      </c>
      <c r="E2802" s="0" t="n">
        <v>0</v>
      </c>
      <c r="F2802" s="23" t="s">
        <v>1340</v>
      </c>
      <c r="I2802" s="23" t="s">
        <v>1249</v>
      </c>
      <c r="U2802" s="0" t="n">
        <v>314</v>
      </c>
      <c r="V2802" s="0" t="n">
        <v>0</v>
      </c>
      <c r="W2802" s="0" t="str">
        <f aca="false">IF(OR(AND(B2802&gt;=1,B2802&lt;=6),B2802=10),"Vaca em lactação",IF(I2802="Male","Macho",IF(E2802&gt;=1,"Vaca seca",IF(I2802="Youngstock","Bezerra/recria","Novilha"))))</f>
        <v>Bezerra/recria</v>
      </c>
      <c r="X2802" s="0" t="str">
        <f aca="false">IF(AND(B2802&gt;=1,B2802&lt;=6),"Tanque",IF(B2802=10,"Descarte",""))</f>
        <v/>
      </c>
    </row>
    <row r="2803" customFormat="false" ht="15" hidden="false" customHeight="false" outlineLevel="0" collapsed="false">
      <c r="A2803" s="22" t="n">
        <v>46309</v>
      </c>
      <c r="B2803" s="0" t="n">
        <v>13</v>
      </c>
      <c r="C2803" s="0" t="n">
        <v>7185</v>
      </c>
      <c r="E2803" s="0" t="n">
        <v>0</v>
      </c>
      <c r="F2803" s="23" t="s">
        <v>1208</v>
      </c>
      <c r="I2803" s="23" t="s">
        <v>1249</v>
      </c>
      <c r="U2803" s="0" t="n">
        <v>317</v>
      </c>
      <c r="V2803" s="0" t="n">
        <v>0</v>
      </c>
      <c r="W2803" s="0" t="str">
        <f aca="false">IF(OR(AND(B2803&gt;=1,B2803&lt;=6),B2803=10),"Vaca em lactação",IF(I2803="Male","Macho",IF(E2803&gt;=1,"Vaca seca",IF(I2803="Youngstock","Bezerra/recria","Novilha"))))</f>
        <v>Bezerra/recria</v>
      </c>
      <c r="X2803" s="0" t="str">
        <f aca="false">IF(AND(B2803&gt;=1,B2803&lt;=6),"Tanque",IF(B2803=10,"Descarte",""))</f>
        <v/>
      </c>
    </row>
    <row r="2804" customFormat="false" ht="15" hidden="false" customHeight="false" outlineLevel="0" collapsed="false">
      <c r="A2804" s="22" t="n">
        <v>46309</v>
      </c>
      <c r="B2804" s="0" t="n">
        <v>13</v>
      </c>
      <c r="C2804" s="0" t="n">
        <v>7327</v>
      </c>
      <c r="E2804" s="0" t="n">
        <v>0</v>
      </c>
      <c r="F2804" s="23" t="s">
        <v>1341</v>
      </c>
      <c r="I2804" s="23" t="s">
        <v>1249</v>
      </c>
      <c r="U2804" s="0" t="n">
        <v>272</v>
      </c>
      <c r="V2804" s="0" t="n">
        <v>0</v>
      </c>
      <c r="W2804" s="0" t="str">
        <f aca="false">IF(OR(AND(B2804&gt;=1,B2804&lt;=6),B2804=10),"Vaca em lactação",IF(I2804="Male","Macho",IF(E2804&gt;=1,"Vaca seca",IF(I2804="Youngstock","Bezerra/recria","Novilha"))))</f>
        <v>Bezerra/recria</v>
      </c>
      <c r="X2804" s="0" t="str">
        <f aca="false">IF(AND(B2804&gt;=1,B2804&lt;=6),"Tanque",IF(B2804=10,"Descarte",""))</f>
        <v/>
      </c>
    </row>
    <row r="2805" customFormat="false" ht="15" hidden="false" customHeight="false" outlineLevel="0" collapsed="false">
      <c r="A2805" s="22" t="n">
        <v>46309</v>
      </c>
      <c r="B2805" s="0" t="n">
        <v>13</v>
      </c>
      <c r="C2805" s="0" t="n">
        <v>7326</v>
      </c>
      <c r="E2805" s="0" t="n">
        <v>0</v>
      </c>
      <c r="F2805" s="23" t="s">
        <v>1342</v>
      </c>
      <c r="I2805" s="23" t="s">
        <v>1249</v>
      </c>
      <c r="U2805" s="0" t="n">
        <v>273</v>
      </c>
      <c r="V2805" s="0" t="n">
        <v>0</v>
      </c>
      <c r="W2805" s="0" t="str">
        <f aca="false">IF(OR(AND(B2805&gt;=1,B2805&lt;=6),B2805=10),"Vaca em lactação",IF(I2805="Male","Macho",IF(E2805&gt;=1,"Vaca seca",IF(I2805="Youngstock","Bezerra/recria","Novilha"))))</f>
        <v>Bezerra/recria</v>
      </c>
      <c r="X2805" s="0" t="str">
        <f aca="false">IF(AND(B2805&gt;=1,B2805&lt;=6),"Tanque",IF(B2805=10,"Descarte",""))</f>
        <v/>
      </c>
    </row>
    <row r="2806" customFormat="false" ht="15" hidden="false" customHeight="false" outlineLevel="0" collapsed="false">
      <c r="A2806" s="22" t="n">
        <v>46309</v>
      </c>
      <c r="B2806" s="0" t="n">
        <v>13</v>
      </c>
      <c r="C2806" s="0" t="n">
        <v>7333</v>
      </c>
      <c r="E2806" s="0" t="n">
        <v>0</v>
      </c>
      <c r="F2806" s="23" t="s">
        <v>1343</v>
      </c>
      <c r="I2806" s="23" t="s">
        <v>1249</v>
      </c>
      <c r="U2806" s="0" t="n">
        <v>270</v>
      </c>
      <c r="V2806" s="0" t="n">
        <v>0</v>
      </c>
      <c r="W2806" s="0" t="str">
        <f aca="false">IF(OR(AND(B2806&gt;=1,B2806&lt;=6),B2806=10),"Vaca em lactação",IF(I2806="Male","Macho",IF(E2806&gt;=1,"Vaca seca",IF(I2806="Youngstock","Bezerra/recria","Novilha"))))</f>
        <v>Bezerra/recria</v>
      </c>
      <c r="X2806" s="0" t="str">
        <f aca="false">IF(AND(B2806&gt;=1,B2806&lt;=6),"Tanque",IF(B2806=10,"Descarte",""))</f>
        <v/>
      </c>
    </row>
    <row r="2807" customFormat="false" ht="15" hidden="false" customHeight="false" outlineLevel="0" collapsed="false">
      <c r="A2807" s="22" t="n">
        <v>46309</v>
      </c>
      <c r="B2807" s="0" t="n">
        <v>13</v>
      </c>
      <c r="C2807" s="0" t="n">
        <v>7332</v>
      </c>
      <c r="E2807" s="0" t="n">
        <v>0</v>
      </c>
      <c r="F2807" s="23" t="s">
        <v>1343</v>
      </c>
      <c r="I2807" s="23" t="s">
        <v>1249</v>
      </c>
      <c r="U2807" s="0" t="n">
        <v>270</v>
      </c>
      <c r="V2807" s="0" t="n">
        <v>0</v>
      </c>
      <c r="W2807" s="0" t="str">
        <f aca="false">IF(OR(AND(B2807&gt;=1,B2807&lt;=6),B2807=10),"Vaca em lactação",IF(I2807="Male","Macho",IF(E2807&gt;=1,"Vaca seca",IF(I2807="Youngstock","Bezerra/recria","Novilha"))))</f>
        <v>Bezerra/recria</v>
      </c>
      <c r="X2807" s="0" t="str">
        <f aca="false">IF(AND(B2807&gt;=1,B2807&lt;=6),"Tanque",IF(B2807=10,"Descarte",""))</f>
        <v/>
      </c>
    </row>
    <row r="2808" customFormat="false" ht="15" hidden="false" customHeight="false" outlineLevel="0" collapsed="false">
      <c r="A2808" s="22" t="n">
        <v>46309</v>
      </c>
      <c r="B2808" s="0" t="n">
        <v>13</v>
      </c>
      <c r="C2808" s="0" t="n">
        <v>7331</v>
      </c>
      <c r="E2808" s="0" t="n">
        <v>0</v>
      </c>
      <c r="F2808" s="23" t="s">
        <v>1344</v>
      </c>
      <c r="I2808" s="23" t="s">
        <v>1249</v>
      </c>
      <c r="U2808" s="0" t="n">
        <v>271</v>
      </c>
      <c r="V2808" s="0" t="n">
        <v>0</v>
      </c>
      <c r="W2808" s="0" t="str">
        <f aca="false">IF(OR(AND(B2808&gt;=1,B2808&lt;=6),B2808=10),"Vaca em lactação",IF(I2808="Male","Macho",IF(E2808&gt;=1,"Vaca seca",IF(I2808="Youngstock","Bezerra/recria","Novilha"))))</f>
        <v>Bezerra/recria</v>
      </c>
      <c r="X2808" s="0" t="str">
        <f aca="false">IF(AND(B2808&gt;=1,B2808&lt;=6),"Tanque",IF(B2808=10,"Descarte",""))</f>
        <v/>
      </c>
    </row>
    <row r="2809" customFormat="false" ht="15" hidden="false" customHeight="false" outlineLevel="0" collapsed="false">
      <c r="A2809" s="22" t="n">
        <v>46309</v>
      </c>
      <c r="B2809" s="0" t="n">
        <v>13</v>
      </c>
      <c r="C2809" s="0" t="n">
        <v>7330</v>
      </c>
      <c r="E2809" s="0" t="n">
        <v>0</v>
      </c>
      <c r="F2809" s="23" t="s">
        <v>1344</v>
      </c>
      <c r="I2809" s="23" t="s">
        <v>1249</v>
      </c>
      <c r="U2809" s="0" t="n">
        <v>271</v>
      </c>
      <c r="V2809" s="0" t="n">
        <v>0</v>
      </c>
      <c r="W2809" s="0" t="str">
        <f aca="false">IF(OR(AND(B2809&gt;=1,B2809&lt;=6),B2809=10),"Vaca em lactação",IF(I2809="Male","Macho",IF(E2809&gt;=1,"Vaca seca",IF(I2809="Youngstock","Bezerra/recria","Novilha"))))</f>
        <v>Bezerra/recria</v>
      </c>
      <c r="X2809" s="0" t="str">
        <f aca="false">IF(AND(B2809&gt;=1,B2809&lt;=6),"Tanque",IF(B2809=10,"Descarte",""))</f>
        <v/>
      </c>
    </row>
    <row r="2810" customFormat="false" ht="15" hidden="false" customHeight="false" outlineLevel="0" collapsed="false">
      <c r="A2810" s="22" t="n">
        <v>46309</v>
      </c>
      <c r="B2810" s="0" t="n">
        <v>13</v>
      </c>
      <c r="C2810" s="0" t="n">
        <v>7329</v>
      </c>
      <c r="E2810" s="0" t="n">
        <v>0</v>
      </c>
      <c r="F2810" s="23" t="s">
        <v>1344</v>
      </c>
      <c r="I2810" s="23" t="s">
        <v>1249</v>
      </c>
      <c r="U2810" s="0" t="n">
        <v>271</v>
      </c>
      <c r="V2810" s="0" t="n">
        <v>0</v>
      </c>
      <c r="W2810" s="0" t="str">
        <f aca="false">IF(OR(AND(B2810&gt;=1,B2810&lt;=6),B2810=10),"Vaca em lactação",IF(I2810="Male","Macho",IF(E2810&gt;=1,"Vaca seca",IF(I2810="Youngstock","Bezerra/recria","Novilha"))))</f>
        <v>Bezerra/recria</v>
      </c>
      <c r="X2810" s="0" t="str">
        <f aca="false">IF(AND(B2810&gt;=1,B2810&lt;=6),"Tanque",IF(B2810=10,"Descarte",""))</f>
        <v/>
      </c>
    </row>
    <row r="2811" customFormat="false" ht="15" hidden="false" customHeight="false" outlineLevel="0" collapsed="false">
      <c r="A2811" s="22" t="n">
        <v>46309</v>
      </c>
      <c r="B2811" s="0" t="n">
        <v>13</v>
      </c>
      <c r="C2811" s="0" t="n">
        <v>7328</v>
      </c>
      <c r="E2811" s="0" t="n">
        <v>0</v>
      </c>
      <c r="F2811" s="23" t="s">
        <v>1344</v>
      </c>
      <c r="I2811" s="23" t="s">
        <v>1249</v>
      </c>
      <c r="U2811" s="0" t="n">
        <v>271</v>
      </c>
      <c r="V2811" s="0" t="n">
        <v>0</v>
      </c>
      <c r="W2811" s="0" t="str">
        <f aca="false">IF(OR(AND(B2811&gt;=1,B2811&lt;=6),B2811=10),"Vaca em lactação",IF(I2811="Male","Macho",IF(E2811&gt;=1,"Vaca seca",IF(I2811="Youngstock","Bezerra/recria","Novilha"))))</f>
        <v>Bezerra/recria</v>
      </c>
      <c r="X2811" s="0" t="str">
        <f aca="false">IF(AND(B2811&gt;=1,B2811&lt;=6),"Tanque",IF(B2811=10,"Descarte",""))</f>
        <v/>
      </c>
    </row>
    <row r="2812" customFormat="false" ht="15" hidden="false" customHeight="false" outlineLevel="0" collapsed="false">
      <c r="A2812" s="22" t="n">
        <v>46309</v>
      </c>
      <c r="B2812" s="0" t="n">
        <v>13</v>
      </c>
      <c r="C2812" s="0" t="n">
        <v>7337</v>
      </c>
      <c r="E2812" s="0" t="n">
        <v>0</v>
      </c>
      <c r="F2812" s="23" t="s">
        <v>1343</v>
      </c>
      <c r="I2812" s="23" t="s">
        <v>1249</v>
      </c>
      <c r="U2812" s="0" t="n">
        <v>270</v>
      </c>
      <c r="V2812" s="0" t="n">
        <v>0</v>
      </c>
      <c r="W2812" s="0" t="str">
        <f aca="false">IF(OR(AND(B2812&gt;=1,B2812&lt;=6),B2812=10),"Vaca em lactação",IF(I2812="Male","Macho",IF(E2812&gt;=1,"Vaca seca",IF(I2812="Youngstock","Bezerra/recria","Novilha"))))</f>
        <v>Bezerra/recria</v>
      </c>
      <c r="X2812" s="0" t="str">
        <f aca="false">IF(AND(B2812&gt;=1,B2812&lt;=6),"Tanque",IF(B2812=10,"Descarte",""))</f>
        <v/>
      </c>
    </row>
    <row r="2813" customFormat="false" ht="15" hidden="false" customHeight="false" outlineLevel="0" collapsed="false">
      <c r="A2813" s="22" t="n">
        <v>46309</v>
      </c>
      <c r="B2813" s="0" t="n">
        <v>13</v>
      </c>
      <c r="C2813" s="0" t="n">
        <v>7336</v>
      </c>
      <c r="E2813" s="0" t="n">
        <v>0</v>
      </c>
      <c r="F2813" s="23" t="s">
        <v>1343</v>
      </c>
      <c r="I2813" s="23" t="s">
        <v>1249</v>
      </c>
      <c r="U2813" s="0" t="n">
        <v>270</v>
      </c>
      <c r="V2813" s="0" t="n">
        <v>0</v>
      </c>
      <c r="W2813" s="0" t="str">
        <f aca="false">IF(OR(AND(B2813&gt;=1,B2813&lt;=6),B2813=10),"Vaca em lactação",IF(I2813="Male","Macho",IF(E2813&gt;=1,"Vaca seca",IF(I2813="Youngstock","Bezerra/recria","Novilha"))))</f>
        <v>Bezerra/recria</v>
      </c>
      <c r="X2813" s="0" t="str">
        <f aca="false">IF(AND(B2813&gt;=1,B2813&lt;=6),"Tanque",IF(B2813=10,"Descarte",""))</f>
        <v/>
      </c>
    </row>
    <row r="2814" customFormat="false" ht="15" hidden="false" customHeight="false" outlineLevel="0" collapsed="false">
      <c r="A2814" s="22" t="n">
        <v>46309</v>
      </c>
      <c r="B2814" s="0" t="n">
        <v>13</v>
      </c>
      <c r="C2814" s="0" t="n">
        <v>7335</v>
      </c>
      <c r="E2814" s="0" t="n">
        <v>0</v>
      </c>
      <c r="F2814" s="23" t="s">
        <v>1343</v>
      </c>
      <c r="I2814" s="23" t="s">
        <v>1249</v>
      </c>
      <c r="U2814" s="0" t="n">
        <v>270</v>
      </c>
      <c r="V2814" s="0" t="n">
        <v>0</v>
      </c>
      <c r="W2814" s="0" t="str">
        <f aca="false">IF(OR(AND(B2814&gt;=1,B2814&lt;=6),B2814=10),"Vaca em lactação",IF(I2814="Male","Macho",IF(E2814&gt;=1,"Vaca seca",IF(I2814="Youngstock","Bezerra/recria","Novilha"))))</f>
        <v>Bezerra/recria</v>
      </c>
      <c r="X2814" s="0" t="str">
        <f aca="false">IF(AND(B2814&gt;=1,B2814&lt;=6),"Tanque",IF(B2814=10,"Descarte",""))</f>
        <v/>
      </c>
    </row>
    <row r="2815" customFormat="false" ht="15" hidden="false" customHeight="false" outlineLevel="0" collapsed="false">
      <c r="A2815" s="22" t="n">
        <v>46309</v>
      </c>
      <c r="B2815" s="0" t="n">
        <v>13</v>
      </c>
      <c r="C2815" s="0" t="n">
        <v>7334</v>
      </c>
      <c r="E2815" s="0" t="n">
        <v>0</v>
      </c>
      <c r="F2815" s="23" t="s">
        <v>1343</v>
      </c>
      <c r="I2815" s="23" t="s">
        <v>1249</v>
      </c>
      <c r="U2815" s="0" t="n">
        <v>270</v>
      </c>
      <c r="V2815" s="0" t="n">
        <v>0</v>
      </c>
      <c r="W2815" s="0" t="str">
        <f aca="false">IF(OR(AND(B2815&gt;=1,B2815&lt;=6),B2815=10),"Vaca em lactação",IF(I2815="Male","Macho",IF(E2815&gt;=1,"Vaca seca",IF(I2815="Youngstock","Bezerra/recria","Novilha"))))</f>
        <v>Bezerra/recria</v>
      </c>
      <c r="X2815" s="0" t="str">
        <f aca="false">IF(AND(B2815&gt;=1,B2815&lt;=6),"Tanque",IF(B2815=10,"Descarte",""))</f>
        <v/>
      </c>
    </row>
    <row r="2816" customFormat="false" ht="15" hidden="false" customHeight="false" outlineLevel="0" collapsed="false">
      <c r="A2816" s="22" t="n">
        <v>46309</v>
      </c>
      <c r="B2816" s="0" t="n">
        <v>13</v>
      </c>
      <c r="C2816" s="0" t="n">
        <v>7341</v>
      </c>
      <c r="E2816" s="0" t="n">
        <v>0</v>
      </c>
      <c r="F2816" s="23" t="s">
        <v>1345</v>
      </c>
      <c r="I2816" s="23" t="s">
        <v>1249</v>
      </c>
      <c r="U2816" s="0" t="n">
        <v>268</v>
      </c>
      <c r="V2816" s="0" t="n">
        <v>0</v>
      </c>
      <c r="W2816" s="0" t="str">
        <f aca="false">IF(OR(AND(B2816&gt;=1,B2816&lt;=6),B2816=10),"Vaca em lactação",IF(I2816="Male","Macho",IF(E2816&gt;=1,"Vaca seca",IF(I2816="Youngstock","Bezerra/recria","Novilha"))))</f>
        <v>Bezerra/recria</v>
      </c>
      <c r="X2816" s="0" t="str">
        <f aca="false">IF(AND(B2816&gt;=1,B2816&lt;=6),"Tanque",IF(B2816=10,"Descarte",""))</f>
        <v/>
      </c>
    </row>
    <row r="2817" customFormat="false" ht="15" hidden="false" customHeight="false" outlineLevel="0" collapsed="false">
      <c r="A2817" s="22" t="n">
        <v>46309</v>
      </c>
      <c r="B2817" s="0" t="n">
        <v>13</v>
      </c>
      <c r="C2817" s="0" t="n">
        <v>7340</v>
      </c>
      <c r="E2817" s="0" t="n">
        <v>0</v>
      </c>
      <c r="F2817" s="23" t="s">
        <v>1345</v>
      </c>
      <c r="I2817" s="23" t="s">
        <v>1249</v>
      </c>
      <c r="U2817" s="0" t="n">
        <v>268</v>
      </c>
      <c r="V2817" s="0" t="n">
        <v>0</v>
      </c>
      <c r="W2817" s="0" t="str">
        <f aca="false">IF(OR(AND(B2817&gt;=1,B2817&lt;=6),B2817=10),"Vaca em lactação",IF(I2817="Male","Macho",IF(E2817&gt;=1,"Vaca seca",IF(I2817="Youngstock","Bezerra/recria","Novilha"))))</f>
        <v>Bezerra/recria</v>
      </c>
      <c r="X2817" s="0" t="str">
        <f aca="false">IF(AND(B2817&gt;=1,B2817&lt;=6),"Tanque",IF(B2817=10,"Descarte",""))</f>
        <v/>
      </c>
    </row>
    <row r="2818" customFormat="false" ht="15" hidden="false" customHeight="false" outlineLevel="0" collapsed="false">
      <c r="A2818" s="22" t="n">
        <v>46309</v>
      </c>
      <c r="B2818" s="0" t="n">
        <v>13</v>
      </c>
      <c r="C2818" s="0" t="n">
        <v>7339</v>
      </c>
      <c r="E2818" s="0" t="n">
        <v>0</v>
      </c>
      <c r="F2818" s="23" t="s">
        <v>1345</v>
      </c>
      <c r="I2818" s="23" t="s">
        <v>1249</v>
      </c>
      <c r="U2818" s="0" t="n">
        <v>268</v>
      </c>
      <c r="V2818" s="0" t="n">
        <v>0</v>
      </c>
      <c r="W2818" s="0" t="str">
        <f aca="false">IF(OR(AND(B2818&gt;=1,B2818&lt;=6),B2818=10),"Vaca em lactação",IF(I2818="Male","Macho",IF(E2818&gt;=1,"Vaca seca",IF(I2818="Youngstock","Bezerra/recria","Novilha"))))</f>
        <v>Bezerra/recria</v>
      </c>
      <c r="X2818" s="0" t="str">
        <f aca="false">IF(AND(B2818&gt;=1,B2818&lt;=6),"Tanque",IF(B2818=10,"Descarte",""))</f>
        <v/>
      </c>
    </row>
    <row r="2819" customFormat="false" ht="15" hidden="false" customHeight="false" outlineLevel="0" collapsed="false">
      <c r="A2819" s="22" t="n">
        <v>46309</v>
      </c>
      <c r="B2819" s="0" t="n">
        <v>13</v>
      </c>
      <c r="C2819" s="0" t="n">
        <v>7342</v>
      </c>
      <c r="E2819" s="0" t="n">
        <v>0</v>
      </c>
      <c r="F2819" s="23" t="s">
        <v>1346</v>
      </c>
      <c r="I2819" s="23" t="s">
        <v>1249</v>
      </c>
      <c r="U2819" s="0" t="n">
        <v>267</v>
      </c>
      <c r="V2819" s="0" t="n">
        <v>0</v>
      </c>
      <c r="W2819" s="0" t="str">
        <f aca="false">IF(OR(AND(B2819&gt;=1,B2819&lt;=6),B2819=10),"Vaca em lactação",IF(I2819="Male","Macho",IF(E2819&gt;=1,"Vaca seca",IF(I2819="Youngstock","Bezerra/recria","Novilha"))))</f>
        <v>Bezerra/recria</v>
      </c>
      <c r="X2819" s="0" t="str">
        <f aca="false">IF(AND(B2819&gt;=1,B2819&lt;=6),"Tanque",IF(B2819=10,"Descarte",""))</f>
        <v/>
      </c>
    </row>
    <row r="2820" customFormat="false" ht="15" hidden="false" customHeight="false" outlineLevel="0" collapsed="false">
      <c r="A2820" s="22" t="n">
        <v>46309</v>
      </c>
      <c r="B2820" s="0" t="n">
        <v>13</v>
      </c>
      <c r="C2820" s="0" t="n">
        <v>7317</v>
      </c>
      <c r="E2820" s="0" t="n">
        <v>0</v>
      </c>
      <c r="F2820" s="23" t="s">
        <v>1347</v>
      </c>
      <c r="I2820" s="23" t="s">
        <v>1249</v>
      </c>
      <c r="U2820" s="0" t="n">
        <v>277</v>
      </c>
      <c r="V2820" s="0" t="n">
        <v>0</v>
      </c>
      <c r="W2820" s="0" t="str">
        <f aca="false">IF(OR(AND(B2820&gt;=1,B2820&lt;=6),B2820=10),"Vaca em lactação",IF(I2820="Male","Macho",IF(E2820&gt;=1,"Vaca seca",IF(I2820="Youngstock","Bezerra/recria","Novilha"))))</f>
        <v>Bezerra/recria</v>
      </c>
      <c r="X2820" s="0" t="str">
        <f aca="false">IF(AND(B2820&gt;=1,B2820&lt;=6),"Tanque",IF(B2820=10,"Descarte",""))</f>
        <v/>
      </c>
    </row>
    <row r="2821" customFormat="false" ht="15" hidden="false" customHeight="false" outlineLevel="0" collapsed="false">
      <c r="A2821" s="22" t="n">
        <v>46309</v>
      </c>
      <c r="B2821" s="0" t="n">
        <v>13</v>
      </c>
      <c r="C2821" s="0" t="n">
        <v>7306</v>
      </c>
      <c r="E2821" s="0" t="n">
        <v>0</v>
      </c>
      <c r="F2821" s="23" t="s">
        <v>1348</v>
      </c>
      <c r="I2821" s="23" t="s">
        <v>1249</v>
      </c>
      <c r="U2821" s="0" t="n">
        <v>279</v>
      </c>
      <c r="V2821" s="0" t="n">
        <v>0</v>
      </c>
      <c r="W2821" s="0" t="str">
        <f aca="false">IF(OR(AND(B2821&gt;=1,B2821&lt;=6),B2821=10),"Vaca em lactação",IF(I2821="Male","Macho",IF(E2821&gt;=1,"Vaca seca",IF(I2821="Youngstock","Bezerra/recria","Novilha"))))</f>
        <v>Bezerra/recria</v>
      </c>
      <c r="X2821" s="0" t="str">
        <f aca="false">IF(AND(B2821&gt;=1,B2821&lt;=6),"Tanque",IF(B2821=10,"Descarte",""))</f>
        <v/>
      </c>
    </row>
    <row r="2822" customFormat="false" ht="15" hidden="false" customHeight="false" outlineLevel="0" collapsed="false">
      <c r="A2822" s="22" t="n">
        <v>46309</v>
      </c>
      <c r="B2822" s="0" t="n">
        <v>13</v>
      </c>
      <c r="C2822" s="0" t="n">
        <v>7305</v>
      </c>
      <c r="E2822" s="0" t="n">
        <v>0</v>
      </c>
      <c r="F2822" s="23" t="s">
        <v>1348</v>
      </c>
      <c r="I2822" s="23" t="s">
        <v>1249</v>
      </c>
      <c r="U2822" s="0" t="n">
        <v>279</v>
      </c>
      <c r="V2822" s="0" t="n">
        <v>0</v>
      </c>
      <c r="W2822" s="0" t="str">
        <f aca="false">IF(OR(AND(B2822&gt;=1,B2822&lt;=6),B2822=10),"Vaca em lactação",IF(I2822="Male","Macho",IF(E2822&gt;=1,"Vaca seca",IF(I2822="Youngstock","Bezerra/recria","Novilha"))))</f>
        <v>Bezerra/recria</v>
      </c>
      <c r="X2822" s="0" t="str">
        <f aca="false">IF(AND(B2822&gt;=1,B2822&lt;=6),"Tanque",IF(B2822=10,"Descarte",""))</f>
        <v/>
      </c>
    </row>
    <row r="2823" customFormat="false" ht="15" hidden="false" customHeight="false" outlineLevel="0" collapsed="false">
      <c r="A2823" s="22" t="n">
        <v>46309</v>
      </c>
      <c r="B2823" s="0" t="n">
        <v>13</v>
      </c>
      <c r="C2823" s="0" t="n">
        <v>7304</v>
      </c>
      <c r="E2823" s="0" t="n">
        <v>0</v>
      </c>
      <c r="F2823" s="23" t="s">
        <v>1348</v>
      </c>
      <c r="I2823" s="23" t="s">
        <v>1249</v>
      </c>
      <c r="U2823" s="0" t="n">
        <v>279</v>
      </c>
      <c r="V2823" s="0" t="n">
        <v>0</v>
      </c>
      <c r="W2823" s="0" t="str">
        <f aca="false">IF(OR(AND(B2823&gt;=1,B2823&lt;=6),B2823=10),"Vaca em lactação",IF(I2823="Male","Macho",IF(E2823&gt;=1,"Vaca seca",IF(I2823="Youngstock","Bezerra/recria","Novilha"))))</f>
        <v>Bezerra/recria</v>
      </c>
      <c r="X2823" s="0" t="str">
        <f aca="false">IF(AND(B2823&gt;=1,B2823&lt;=6),"Tanque",IF(B2823=10,"Descarte",""))</f>
        <v/>
      </c>
    </row>
    <row r="2824" customFormat="false" ht="15" hidden="false" customHeight="false" outlineLevel="0" collapsed="false">
      <c r="A2824" s="22" t="n">
        <v>46309</v>
      </c>
      <c r="B2824" s="0" t="n">
        <v>13</v>
      </c>
      <c r="C2824" s="0" t="n">
        <v>7309</v>
      </c>
      <c r="E2824" s="0" t="n">
        <v>0</v>
      </c>
      <c r="F2824" s="23" t="s">
        <v>1349</v>
      </c>
      <c r="I2824" s="23" t="s">
        <v>1249</v>
      </c>
      <c r="U2824" s="0" t="n">
        <v>278</v>
      </c>
      <c r="V2824" s="0" t="n">
        <v>0</v>
      </c>
      <c r="W2824" s="0" t="str">
        <f aca="false">IF(OR(AND(B2824&gt;=1,B2824&lt;=6),B2824=10),"Vaca em lactação",IF(I2824="Male","Macho",IF(E2824&gt;=1,"Vaca seca",IF(I2824="Youngstock","Bezerra/recria","Novilha"))))</f>
        <v>Bezerra/recria</v>
      </c>
      <c r="X2824" s="0" t="str">
        <f aca="false">IF(AND(B2824&gt;=1,B2824&lt;=6),"Tanque",IF(B2824=10,"Descarte",""))</f>
        <v/>
      </c>
    </row>
    <row r="2825" customFormat="false" ht="15" hidden="false" customHeight="false" outlineLevel="0" collapsed="false">
      <c r="A2825" s="22" t="n">
        <v>46309</v>
      </c>
      <c r="B2825" s="0" t="n">
        <v>13</v>
      </c>
      <c r="C2825" s="0" t="n">
        <v>7308</v>
      </c>
      <c r="E2825" s="0" t="n">
        <v>0</v>
      </c>
      <c r="F2825" s="23" t="s">
        <v>1348</v>
      </c>
      <c r="I2825" s="23" t="s">
        <v>1249</v>
      </c>
      <c r="U2825" s="0" t="n">
        <v>279</v>
      </c>
      <c r="V2825" s="0" t="n">
        <v>0</v>
      </c>
      <c r="W2825" s="0" t="str">
        <f aca="false">IF(OR(AND(B2825&gt;=1,B2825&lt;=6),B2825=10),"Vaca em lactação",IF(I2825="Male","Macho",IF(E2825&gt;=1,"Vaca seca",IF(I2825="Youngstock","Bezerra/recria","Novilha"))))</f>
        <v>Bezerra/recria</v>
      </c>
      <c r="X2825" s="0" t="str">
        <f aca="false">IF(AND(B2825&gt;=1,B2825&lt;=6),"Tanque",IF(B2825=10,"Descarte",""))</f>
        <v/>
      </c>
    </row>
    <row r="2826" customFormat="false" ht="15" hidden="false" customHeight="false" outlineLevel="0" collapsed="false">
      <c r="A2826" s="22" t="n">
        <v>46309</v>
      </c>
      <c r="B2826" s="0" t="n">
        <v>13</v>
      </c>
      <c r="C2826" s="0" t="n">
        <v>7307</v>
      </c>
      <c r="E2826" s="0" t="n">
        <v>0</v>
      </c>
      <c r="F2826" s="23" t="s">
        <v>1348</v>
      </c>
      <c r="I2826" s="23" t="s">
        <v>1249</v>
      </c>
      <c r="U2826" s="0" t="n">
        <v>279</v>
      </c>
      <c r="V2826" s="0" t="n">
        <v>0</v>
      </c>
      <c r="W2826" s="0" t="str">
        <f aca="false">IF(OR(AND(B2826&gt;=1,B2826&lt;=6),B2826=10),"Vaca em lactação",IF(I2826="Male","Macho",IF(E2826&gt;=1,"Vaca seca",IF(I2826="Youngstock","Bezerra/recria","Novilha"))))</f>
        <v>Bezerra/recria</v>
      </c>
      <c r="X2826" s="0" t="str">
        <f aca="false">IF(AND(B2826&gt;=1,B2826&lt;=6),"Tanque",IF(B2826=10,"Descarte",""))</f>
        <v/>
      </c>
    </row>
    <row r="2827" customFormat="false" ht="15" hidden="false" customHeight="false" outlineLevel="0" collapsed="false">
      <c r="A2827" s="22" t="n">
        <v>46309</v>
      </c>
      <c r="B2827" s="0" t="n">
        <v>13</v>
      </c>
      <c r="C2827" s="0" t="n">
        <v>7313</v>
      </c>
      <c r="E2827" s="0" t="n">
        <v>0</v>
      </c>
      <c r="F2827" s="23" t="s">
        <v>1349</v>
      </c>
      <c r="I2827" s="23" t="s">
        <v>1249</v>
      </c>
      <c r="U2827" s="0" t="n">
        <v>278</v>
      </c>
      <c r="V2827" s="0" t="n">
        <v>0</v>
      </c>
      <c r="W2827" s="0" t="str">
        <f aca="false">IF(OR(AND(B2827&gt;=1,B2827&lt;=6),B2827=10),"Vaca em lactação",IF(I2827="Male","Macho",IF(E2827&gt;=1,"Vaca seca",IF(I2827="Youngstock","Bezerra/recria","Novilha"))))</f>
        <v>Bezerra/recria</v>
      </c>
      <c r="X2827" s="0" t="str">
        <f aca="false">IF(AND(B2827&gt;=1,B2827&lt;=6),"Tanque",IF(B2827=10,"Descarte",""))</f>
        <v/>
      </c>
    </row>
    <row r="2828" customFormat="false" ht="15" hidden="false" customHeight="false" outlineLevel="0" collapsed="false">
      <c r="A2828" s="22" t="n">
        <v>46309</v>
      </c>
      <c r="B2828" s="0" t="n">
        <v>13</v>
      </c>
      <c r="C2828" s="0" t="n">
        <v>7312</v>
      </c>
      <c r="E2828" s="0" t="n">
        <v>0</v>
      </c>
      <c r="F2828" s="23" t="s">
        <v>1349</v>
      </c>
      <c r="I2828" s="23" t="s">
        <v>1249</v>
      </c>
      <c r="U2828" s="0" t="n">
        <v>278</v>
      </c>
      <c r="V2828" s="0" t="n">
        <v>0</v>
      </c>
      <c r="W2828" s="0" t="str">
        <f aca="false">IF(OR(AND(B2828&gt;=1,B2828&lt;=6),B2828=10),"Vaca em lactação",IF(I2828="Male","Macho",IF(E2828&gt;=1,"Vaca seca",IF(I2828="Youngstock","Bezerra/recria","Novilha"))))</f>
        <v>Bezerra/recria</v>
      </c>
      <c r="X2828" s="0" t="str">
        <f aca="false">IF(AND(B2828&gt;=1,B2828&lt;=6),"Tanque",IF(B2828=10,"Descarte",""))</f>
        <v/>
      </c>
    </row>
    <row r="2829" customFormat="false" ht="15" hidden="false" customHeight="false" outlineLevel="0" collapsed="false">
      <c r="A2829" s="22" t="n">
        <v>46309</v>
      </c>
      <c r="B2829" s="0" t="n">
        <v>13</v>
      </c>
      <c r="C2829" s="0" t="n">
        <v>7311</v>
      </c>
      <c r="E2829" s="0" t="n">
        <v>0</v>
      </c>
      <c r="F2829" s="23" t="s">
        <v>1349</v>
      </c>
      <c r="I2829" s="23" t="s">
        <v>1249</v>
      </c>
      <c r="U2829" s="0" t="n">
        <v>278</v>
      </c>
      <c r="V2829" s="0" t="n">
        <v>0</v>
      </c>
      <c r="W2829" s="0" t="str">
        <f aca="false">IF(OR(AND(B2829&gt;=1,B2829&lt;=6),B2829=10),"Vaca em lactação",IF(I2829="Male","Macho",IF(E2829&gt;=1,"Vaca seca",IF(I2829="Youngstock","Bezerra/recria","Novilha"))))</f>
        <v>Bezerra/recria</v>
      </c>
      <c r="X2829" s="0" t="str">
        <f aca="false">IF(AND(B2829&gt;=1,B2829&lt;=6),"Tanque",IF(B2829=10,"Descarte",""))</f>
        <v/>
      </c>
    </row>
    <row r="2830" customFormat="false" ht="15" hidden="false" customHeight="false" outlineLevel="0" collapsed="false">
      <c r="A2830" s="22" t="n">
        <v>46309</v>
      </c>
      <c r="B2830" s="0" t="n">
        <v>13</v>
      </c>
      <c r="C2830" s="0" t="n">
        <v>7310</v>
      </c>
      <c r="E2830" s="0" t="n">
        <v>0</v>
      </c>
      <c r="F2830" s="23" t="s">
        <v>1349</v>
      </c>
      <c r="I2830" s="23" t="s">
        <v>1249</v>
      </c>
      <c r="U2830" s="0" t="n">
        <v>278</v>
      </c>
      <c r="V2830" s="0" t="n">
        <v>0</v>
      </c>
      <c r="W2830" s="0" t="str">
        <f aca="false">IF(OR(AND(B2830&gt;=1,B2830&lt;=6),B2830=10),"Vaca em lactação",IF(I2830="Male","Macho",IF(E2830&gt;=1,"Vaca seca",IF(I2830="Youngstock","Bezerra/recria","Novilha"))))</f>
        <v>Bezerra/recria</v>
      </c>
      <c r="X2830" s="0" t="str">
        <f aca="false">IF(AND(B2830&gt;=1,B2830&lt;=6),"Tanque",IF(B2830=10,"Descarte",""))</f>
        <v/>
      </c>
    </row>
    <row r="2831" customFormat="false" ht="15" hidden="false" customHeight="false" outlineLevel="0" collapsed="false">
      <c r="A2831" s="22" t="n">
        <v>46309</v>
      </c>
      <c r="B2831" s="0" t="n">
        <v>13</v>
      </c>
      <c r="C2831" s="0" t="n">
        <v>7316</v>
      </c>
      <c r="E2831" s="0" t="n">
        <v>0</v>
      </c>
      <c r="F2831" s="23" t="s">
        <v>1347</v>
      </c>
      <c r="I2831" s="23" t="s">
        <v>1249</v>
      </c>
      <c r="U2831" s="0" t="n">
        <v>277</v>
      </c>
      <c r="V2831" s="0" t="n">
        <v>0</v>
      </c>
      <c r="W2831" s="0" t="str">
        <f aca="false">IF(OR(AND(B2831&gt;=1,B2831&lt;=6),B2831=10),"Vaca em lactação",IF(I2831="Male","Macho",IF(E2831&gt;=1,"Vaca seca",IF(I2831="Youngstock","Bezerra/recria","Novilha"))))</f>
        <v>Bezerra/recria</v>
      </c>
      <c r="X2831" s="0" t="str">
        <f aca="false">IF(AND(B2831&gt;=1,B2831&lt;=6),"Tanque",IF(B2831=10,"Descarte",""))</f>
        <v/>
      </c>
    </row>
    <row r="2832" customFormat="false" ht="15" hidden="false" customHeight="false" outlineLevel="0" collapsed="false">
      <c r="A2832" s="22" t="n">
        <v>46309</v>
      </c>
      <c r="B2832" s="0" t="n">
        <v>13</v>
      </c>
      <c r="C2832" s="0" t="n">
        <v>7315</v>
      </c>
      <c r="E2832" s="0" t="n">
        <v>0</v>
      </c>
      <c r="F2832" s="23" t="s">
        <v>1347</v>
      </c>
      <c r="I2832" s="23" t="s">
        <v>1249</v>
      </c>
      <c r="U2832" s="0" t="n">
        <v>277</v>
      </c>
      <c r="V2832" s="0" t="n">
        <v>0</v>
      </c>
      <c r="W2832" s="0" t="str">
        <f aca="false">IF(OR(AND(B2832&gt;=1,B2832&lt;=6),B2832=10),"Vaca em lactação",IF(I2832="Male","Macho",IF(E2832&gt;=1,"Vaca seca",IF(I2832="Youngstock","Bezerra/recria","Novilha"))))</f>
        <v>Bezerra/recria</v>
      </c>
      <c r="X2832" s="0" t="str">
        <f aca="false">IF(AND(B2832&gt;=1,B2832&lt;=6),"Tanque",IF(B2832=10,"Descarte",""))</f>
        <v/>
      </c>
    </row>
    <row r="2833" customFormat="false" ht="15" hidden="false" customHeight="false" outlineLevel="0" collapsed="false">
      <c r="A2833" s="22" t="n">
        <v>46309</v>
      </c>
      <c r="B2833" s="0" t="n">
        <v>13</v>
      </c>
      <c r="C2833" s="0" t="n">
        <v>7314</v>
      </c>
      <c r="E2833" s="0" t="n">
        <v>0</v>
      </c>
      <c r="F2833" s="23" t="s">
        <v>1349</v>
      </c>
      <c r="I2833" s="23" t="s">
        <v>1249</v>
      </c>
      <c r="U2833" s="0" t="n">
        <v>278</v>
      </c>
      <c r="V2833" s="0" t="n">
        <v>0</v>
      </c>
      <c r="W2833" s="0" t="str">
        <f aca="false">IF(OR(AND(B2833&gt;=1,B2833&lt;=6),B2833=10),"Vaca em lactação",IF(I2833="Male","Macho",IF(E2833&gt;=1,"Vaca seca",IF(I2833="Youngstock","Bezerra/recria","Novilha"))))</f>
        <v>Bezerra/recria</v>
      </c>
      <c r="X2833" s="0" t="str">
        <f aca="false">IF(AND(B2833&gt;=1,B2833&lt;=6),"Tanque",IF(B2833=10,"Descarte",""))</f>
        <v/>
      </c>
    </row>
    <row r="2834" customFormat="false" ht="15" hidden="false" customHeight="false" outlineLevel="0" collapsed="false">
      <c r="A2834" s="22" t="n">
        <v>46309</v>
      </c>
      <c r="B2834" s="0" t="n">
        <v>13</v>
      </c>
      <c r="C2834" s="0" t="n">
        <v>7303</v>
      </c>
      <c r="E2834" s="0" t="n">
        <v>0</v>
      </c>
      <c r="F2834" s="23" t="s">
        <v>1350</v>
      </c>
      <c r="I2834" s="23" t="s">
        <v>1249</v>
      </c>
      <c r="U2834" s="0" t="n">
        <v>280</v>
      </c>
      <c r="V2834" s="0" t="n">
        <v>0</v>
      </c>
      <c r="W2834" s="0" t="str">
        <f aca="false">IF(OR(AND(B2834&gt;=1,B2834&lt;=6),B2834=10),"Vaca em lactação",IF(I2834="Male","Macho",IF(E2834&gt;=1,"Vaca seca",IF(I2834="Youngstock","Bezerra/recria","Novilha"))))</f>
        <v>Bezerra/recria</v>
      </c>
      <c r="X2834" s="0" t="str">
        <f aca="false">IF(AND(B2834&gt;=1,B2834&lt;=6),"Tanque",IF(B2834=10,"Descarte",""))</f>
        <v/>
      </c>
    </row>
    <row r="2835" customFormat="false" ht="15" hidden="false" customHeight="false" outlineLevel="0" collapsed="false">
      <c r="A2835" s="22" t="n">
        <v>46309</v>
      </c>
      <c r="B2835" s="0" t="n">
        <v>13</v>
      </c>
      <c r="C2835" s="0" t="n">
        <v>7318</v>
      </c>
      <c r="E2835" s="0" t="n">
        <v>0</v>
      </c>
      <c r="F2835" s="23" t="s">
        <v>1351</v>
      </c>
      <c r="I2835" s="23" t="s">
        <v>1249</v>
      </c>
      <c r="U2835" s="0" t="n">
        <v>276</v>
      </c>
      <c r="V2835" s="0" t="n">
        <v>0</v>
      </c>
      <c r="W2835" s="0" t="str">
        <f aca="false">IF(OR(AND(B2835&gt;=1,B2835&lt;=6),B2835=10),"Vaca em lactação",IF(I2835="Male","Macho",IF(E2835&gt;=1,"Vaca seca",IF(I2835="Youngstock","Bezerra/recria","Novilha"))))</f>
        <v>Bezerra/recria</v>
      </c>
      <c r="X2835" s="0" t="str">
        <f aca="false">IF(AND(B2835&gt;=1,B2835&lt;=6),"Tanque",IF(B2835=10,"Descarte",""))</f>
        <v/>
      </c>
    </row>
    <row r="2836" customFormat="false" ht="15" hidden="false" customHeight="false" outlineLevel="0" collapsed="false">
      <c r="A2836" s="22" t="n">
        <v>46309</v>
      </c>
      <c r="B2836" s="0" t="n">
        <v>13</v>
      </c>
      <c r="C2836" s="0" t="n">
        <v>7319</v>
      </c>
      <c r="E2836" s="0" t="n">
        <v>0</v>
      </c>
      <c r="F2836" s="23" t="s">
        <v>1351</v>
      </c>
      <c r="I2836" s="23" t="s">
        <v>1249</v>
      </c>
      <c r="U2836" s="0" t="n">
        <v>276</v>
      </c>
      <c r="V2836" s="0" t="n">
        <v>0</v>
      </c>
      <c r="W2836" s="0" t="str">
        <f aca="false">IF(OR(AND(B2836&gt;=1,B2836&lt;=6),B2836=10),"Vaca em lactação",IF(I2836="Male","Macho",IF(E2836&gt;=1,"Vaca seca",IF(I2836="Youngstock","Bezerra/recria","Novilha"))))</f>
        <v>Bezerra/recria</v>
      </c>
      <c r="X2836" s="0" t="str">
        <f aca="false">IF(AND(B2836&gt;=1,B2836&lt;=6),"Tanque",IF(B2836=10,"Descarte",""))</f>
        <v/>
      </c>
    </row>
    <row r="2837" customFormat="false" ht="15" hidden="false" customHeight="false" outlineLevel="0" collapsed="false">
      <c r="A2837" s="22" t="n">
        <v>46309</v>
      </c>
      <c r="B2837" s="0" t="n">
        <v>13</v>
      </c>
      <c r="C2837" s="0" t="n">
        <v>7323</v>
      </c>
      <c r="E2837" s="0" t="n">
        <v>0</v>
      </c>
      <c r="F2837" s="23" t="s">
        <v>1352</v>
      </c>
      <c r="I2837" s="23" t="s">
        <v>1249</v>
      </c>
      <c r="U2837" s="0" t="n">
        <v>274</v>
      </c>
      <c r="V2837" s="0" t="n">
        <v>0</v>
      </c>
      <c r="W2837" s="0" t="str">
        <f aca="false">IF(OR(AND(B2837&gt;=1,B2837&lt;=6),B2837=10),"Vaca em lactação",IF(I2837="Male","Macho",IF(E2837&gt;=1,"Vaca seca",IF(I2837="Youngstock","Bezerra/recria","Novilha"))))</f>
        <v>Bezerra/recria</v>
      </c>
      <c r="X2837" s="0" t="str">
        <f aca="false">IF(AND(B2837&gt;=1,B2837&lt;=6),"Tanque",IF(B2837=10,"Descarte",""))</f>
        <v/>
      </c>
    </row>
    <row r="2838" customFormat="false" ht="15" hidden="false" customHeight="false" outlineLevel="0" collapsed="false">
      <c r="A2838" s="22" t="n">
        <v>46309</v>
      </c>
      <c r="B2838" s="0" t="n">
        <v>13</v>
      </c>
      <c r="C2838" s="0" t="n">
        <v>7322</v>
      </c>
      <c r="E2838" s="0" t="n">
        <v>0</v>
      </c>
      <c r="F2838" s="23" t="s">
        <v>1353</v>
      </c>
      <c r="I2838" s="23" t="s">
        <v>1249</v>
      </c>
      <c r="U2838" s="0" t="n">
        <v>275</v>
      </c>
      <c r="V2838" s="0" t="n">
        <v>0</v>
      </c>
      <c r="W2838" s="0" t="str">
        <f aca="false">IF(OR(AND(B2838&gt;=1,B2838&lt;=6),B2838=10),"Vaca em lactação",IF(I2838="Male","Macho",IF(E2838&gt;=1,"Vaca seca",IF(I2838="Youngstock","Bezerra/recria","Novilha"))))</f>
        <v>Bezerra/recria</v>
      </c>
      <c r="X2838" s="0" t="str">
        <f aca="false">IF(AND(B2838&gt;=1,B2838&lt;=6),"Tanque",IF(B2838=10,"Descarte",""))</f>
        <v/>
      </c>
    </row>
    <row r="2839" customFormat="false" ht="15" hidden="false" customHeight="false" outlineLevel="0" collapsed="false">
      <c r="A2839" s="22" t="n">
        <v>46309</v>
      </c>
      <c r="B2839" s="0" t="n">
        <v>13</v>
      </c>
      <c r="C2839" s="0" t="n">
        <v>7321</v>
      </c>
      <c r="E2839" s="0" t="n">
        <v>0</v>
      </c>
      <c r="F2839" s="23" t="s">
        <v>1353</v>
      </c>
      <c r="I2839" s="23" t="s">
        <v>1249</v>
      </c>
      <c r="U2839" s="0" t="n">
        <v>275</v>
      </c>
      <c r="V2839" s="0" t="n">
        <v>0</v>
      </c>
      <c r="W2839" s="0" t="str">
        <f aca="false">IF(OR(AND(B2839&gt;=1,B2839&lt;=6),B2839=10),"Vaca em lactação",IF(I2839="Male","Macho",IF(E2839&gt;=1,"Vaca seca",IF(I2839="Youngstock","Bezerra/recria","Novilha"))))</f>
        <v>Bezerra/recria</v>
      </c>
      <c r="X2839" s="0" t="str">
        <f aca="false">IF(AND(B2839&gt;=1,B2839&lt;=6),"Tanque",IF(B2839=10,"Descarte",""))</f>
        <v/>
      </c>
    </row>
    <row r="2840" customFormat="false" ht="15" hidden="false" customHeight="false" outlineLevel="0" collapsed="false">
      <c r="A2840" s="22" t="n">
        <v>46309</v>
      </c>
      <c r="B2840" s="0" t="n">
        <v>13</v>
      </c>
      <c r="C2840" s="0" t="n">
        <v>7320</v>
      </c>
      <c r="E2840" s="0" t="n">
        <v>0</v>
      </c>
      <c r="F2840" s="23" t="s">
        <v>1351</v>
      </c>
      <c r="I2840" s="23" t="s">
        <v>1249</v>
      </c>
      <c r="U2840" s="0" t="n">
        <v>276</v>
      </c>
      <c r="V2840" s="0" t="n">
        <v>0</v>
      </c>
      <c r="W2840" s="0" t="str">
        <f aca="false">IF(OR(AND(B2840&gt;=1,B2840&lt;=6),B2840=10),"Vaca em lactação",IF(I2840="Male","Macho",IF(E2840&gt;=1,"Vaca seca",IF(I2840="Youngstock","Bezerra/recria","Novilha"))))</f>
        <v>Bezerra/recria</v>
      </c>
      <c r="X2840" s="0" t="str">
        <f aca="false">IF(AND(B2840&gt;=1,B2840&lt;=6),"Tanque",IF(B2840=10,"Descarte",""))</f>
        <v/>
      </c>
    </row>
    <row r="2841" customFormat="false" ht="15" hidden="false" customHeight="false" outlineLevel="0" collapsed="false">
      <c r="A2841" s="22" t="n">
        <v>46309</v>
      </c>
      <c r="B2841" s="0" t="n">
        <v>13</v>
      </c>
      <c r="C2841" s="0" t="n">
        <v>7324</v>
      </c>
      <c r="E2841" s="0" t="n">
        <v>0</v>
      </c>
      <c r="F2841" s="23" t="s">
        <v>1352</v>
      </c>
      <c r="I2841" s="23" t="s">
        <v>1249</v>
      </c>
      <c r="U2841" s="0" t="n">
        <v>274</v>
      </c>
      <c r="V2841" s="0" t="n">
        <v>0</v>
      </c>
      <c r="W2841" s="0" t="str">
        <f aca="false">IF(OR(AND(B2841&gt;=1,B2841&lt;=6),B2841=10),"Vaca em lactação",IF(I2841="Male","Macho",IF(E2841&gt;=1,"Vaca seca",IF(I2841="Youngstock","Bezerra/recria","Novilha"))))</f>
        <v>Bezerra/recria</v>
      </c>
      <c r="X2841" s="0" t="str">
        <f aca="false">IF(AND(B2841&gt;=1,B2841&lt;=6),"Tanque",IF(B2841=10,"Descarte",""))</f>
        <v/>
      </c>
    </row>
    <row r="2842" customFormat="false" ht="15" hidden="false" customHeight="false" outlineLevel="0" collapsed="false">
      <c r="A2842" s="22" t="n">
        <v>46309</v>
      </c>
      <c r="B2842" s="0" t="n">
        <v>13</v>
      </c>
      <c r="C2842" s="0" t="n">
        <v>7282</v>
      </c>
      <c r="E2842" s="0" t="n">
        <v>0</v>
      </c>
      <c r="F2842" s="23" t="s">
        <v>1354</v>
      </c>
      <c r="I2842" s="23" t="s">
        <v>1249</v>
      </c>
      <c r="U2842" s="0" t="n">
        <v>286</v>
      </c>
      <c r="V2842" s="0" t="n">
        <v>0</v>
      </c>
      <c r="W2842" s="0" t="str">
        <f aca="false">IF(OR(AND(B2842&gt;=1,B2842&lt;=6),B2842=10),"Vaca em lactação",IF(I2842="Male","Macho",IF(E2842&gt;=1,"Vaca seca",IF(I2842="Youngstock","Bezerra/recria","Novilha"))))</f>
        <v>Bezerra/recria</v>
      </c>
      <c r="X2842" s="0" t="str">
        <f aca="false">IF(AND(B2842&gt;=1,B2842&lt;=6),"Tanque",IF(B2842=10,"Descarte",""))</f>
        <v/>
      </c>
    </row>
    <row r="2843" customFormat="false" ht="15" hidden="false" customHeight="false" outlineLevel="0" collapsed="false">
      <c r="A2843" s="22" t="n">
        <v>46309</v>
      </c>
      <c r="B2843" s="0" t="n">
        <v>13</v>
      </c>
      <c r="C2843" s="0" t="n">
        <v>7281</v>
      </c>
      <c r="E2843" s="0" t="n">
        <v>0</v>
      </c>
      <c r="F2843" s="23" t="s">
        <v>1355</v>
      </c>
      <c r="I2843" s="23" t="s">
        <v>1249</v>
      </c>
      <c r="U2843" s="0" t="n">
        <v>287</v>
      </c>
      <c r="V2843" s="0" t="n">
        <v>0</v>
      </c>
      <c r="W2843" s="0" t="str">
        <f aca="false">IF(OR(AND(B2843&gt;=1,B2843&lt;=6),B2843=10),"Vaca em lactação",IF(I2843="Male","Macho",IF(E2843&gt;=1,"Vaca seca",IF(I2843="Youngstock","Bezerra/recria","Novilha"))))</f>
        <v>Bezerra/recria</v>
      </c>
      <c r="X2843" s="0" t="str">
        <f aca="false">IF(AND(B2843&gt;=1,B2843&lt;=6),"Tanque",IF(B2843=10,"Descarte",""))</f>
        <v/>
      </c>
    </row>
    <row r="2844" customFormat="false" ht="15" hidden="false" customHeight="false" outlineLevel="0" collapsed="false">
      <c r="A2844" s="22" t="n">
        <v>46309</v>
      </c>
      <c r="B2844" s="0" t="n">
        <v>13</v>
      </c>
      <c r="C2844" s="0" t="n">
        <v>7289</v>
      </c>
      <c r="E2844" s="0" t="n">
        <v>0</v>
      </c>
      <c r="F2844" s="23" t="s">
        <v>1356</v>
      </c>
      <c r="I2844" s="23" t="s">
        <v>1249</v>
      </c>
      <c r="U2844" s="0" t="n">
        <v>283</v>
      </c>
      <c r="V2844" s="0" t="n">
        <v>0</v>
      </c>
      <c r="W2844" s="0" t="str">
        <f aca="false">IF(OR(AND(B2844&gt;=1,B2844&lt;=6),B2844=10),"Vaca em lactação",IF(I2844="Male","Macho",IF(E2844&gt;=1,"Vaca seca",IF(I2844="Youngstock","Bezerra/recria","Novilha"))))</f>
        <v>Bezerra/recria</v>
      </c>
      <c r="X2844" s="0" t="str">
        <f aca="false">IF(AND(B2844&gt;=1,B2844&lt;=6),"Tanque",IF(B2844=10,"Descarte",""))</f>
        <v/>
      </c>
    </row>
    <row r="2845" customFormat="false" ht="15" hidden="false" customHeight="false" outlineLevel="0" collapsed="false">
      <c r="A2845" s="22" t="n">
        <v>46309</v>
      </c>
      <c r="B2845" s="0" t="n">
        <v>13</v>
      </c>
      <c r="C2845" s="0" t="n">
        <v>7288</v>
      </c>
      <c r="E2845" s="0" t="n">
        <v>0</v>
      </c>
      <c r="F2845" s="23" t="s">
        <v>1357</v>
      </c>
      <c r="I2845" s="23" t="s">
        <v>1249</v>
      </c>
      <c r="U2845" s="0" t="n">
        <v>284</v>
      </c>
      <c r="V2845" s="0" t="n">
        <v>0</v>
      </c>
      <c r="W2845" s="0" t="str">
        <f aca="false">IF(OR(AND(B2845&gt;=1,B2845&lt;=6),B2845=10),"Vaca em lactação",IF(I2845="Male","Macho",IF(E2845&gt;=1,"Vaca seca",IF(I2845="Youngstock","Bezerra/recria","Novilha"))))</f>
        <v>Bezerra/recria</v>
      </c>
      <c r="X2845" s="0" t="str">
        <f aca="false">IF(AND(B2845&gt;=1,B2845&lt;=6),"Tanque",IF(B2845=10,"Descarte",""))</f>
        <v/>
      </c>
    </row>
    <row r="2846" customFormat="false" ht="15" hidden="false" customHeight="false" outlineLevel="0" collapsed="false">
      <c r="A2846" s="22" t="n">
        <v>46309</v>
      </c>
      <c r="B2846" s="0" t="n">
        <v>13</v>
      </c>
      <c r="C2846" s="0" t="n">
        <v>7287</v>
      </c>
      <c r="E2846" s="0" t="n">
        <v>0</v>
      </c>
      <c r="F2846" s="23" t="s">
        <v>1357</v>
      </c>
      <c r="I2846" s="23" t="s">
        <v>1249</v>
      </c>
      <c r="U2846" s="0" t="n">
        <v>284</v>
      </c>
      <c r="V2846" s="0" t="n">
        <v>0</v>
      </c>
      <c r="W2846" s="0" t="str">
        <f aca="false">IF(OR(AND(B2846&gt;=1,B2846&lt;=6),B2846=10),"Vaca em lactação",IF(I2846="Male","Macho",IF(E2846&gt;=1,"Vaca seca",IF(I2846="Youngstock","Bezerra/recria","Novilha"))))</f>
        <v>Bezerra/recria</v>
      </c>
      <c r="X2846" s="0" t="str">
        <f aca="false">IF(AND(B2846&gt;=1,B2846&lt;=6),"Tanque",IF(B2846=10,"Descarte",""))</f>
        <v/>
      </c>
    </row>
    <row r="2847" customFormat="false" ht="15" hidden="false" customHeight="false" outlineLevel="0" collapsed="false">
      <c r="A2847" s="22" t="n">
        <v>46309</v>
      </c>
      <c r="B2847" s="0" t="n">
        <v>13</v>
      </c>
      <c r="C2847" s="0" t="n">
        <v>7286</v>
      </c>
      <c r="E2847" s="0" t="n">
        <v>0</v>
      </c>
      <c r="F2847" s="23" t="s">
        <v>1358</v>
      </c>
      <c r="I2847" s="23" t="s">
        <v>1249</v>
      </c>
      <c r="U2847" s="0" t="n">
        <v>285</v>
      </c>
      <c r="V2847" s="0" t="n">
        <v>0</v>
      </c>
      <c r="W2847" s="0" t="str">
        <f aca="false">IF(OR(AND(B2847&gt;=1,B2847&lt;=6),B2847=10),"Vaca em lactação",IF(I2847="Male","Macho",IF(E2847&gt;=1,"Vaca seca",IF(I2847="Youngstock","Bezerra/recria","Novilha"))))</f>
        <v>Bezerra/recria</v>
      </c>
      <c r="X2847" s="0" t="str">
        <f aca="false">IF(AND(B2847&gt;=1,B2847&lt;=6),"Tanque",IF(B2847=10,"Descarte",""))</f>
        <v/>
      </c>
    </row>
    <row r="2848" customFormat="false" ht="15" hidden="false" customHeight="false" outlineLevel="0" collapsed="false">
      <c r="A2848" s="22" t="n">
        <v>46309</v>
      </c>
      <c r="B2848" s="0" t="n">
        <v>13</v>
      </c>
      <c r="C2848" s="0" t="n">
        <v>7285</v>
      </c>
      <c r="E2848" s="0" t="n">
        <v>0</v>
      </c>
      <c r="F2848" s="23" t="s">
        <v>1358</v>
      </c>
      <c r="I2848" s="23" t="s">
        <v>1249</v>
      </c>
      <c r="U2848" s="0" t="n">
        <v>285</v>
      </c>
      <c r="V2848" s="0" t="n">
        <v>0</v>
      </c>
      <c r="W2848" s="0" t="str">
        <f aca="false">IF(OR(AND(B2848&gt;=1,B2848&lt;=6),B2848=10),"Vaca em lactação",IF(I2848="Male","Macho",IF(E2848&gt;=1,"Vaca seca",IF(I2848="Youngstock","Bezerra/recria","Novilha"))))</f>
        <v>Bezerra/recria</v>
      </c>
      <c r="X2848" s="0" t="str">
        <f aca="false">IF(AND(B2848&gt;=1,B2848&lt;=6),"Tanque",IF(B2848=10,"Descarte",""))</f>
        <v/>
      </c>
    </row>
    <row r="2849" customFormat="false" ht="15" hidden="false" customHeight="false" outlineLevel="0" collapsed="false">
      <c r="A2849" s="22" t="n">
        <v>46309</v>
      </c>
      <c r="B2849" s="0" t="n">
        <v>13</v>
      </c>
      <c r="C2849" s="0" t="n">
        <v>7284</v>
      </c>
      <c r="E2849" s="0" t="n">
        <v>0</v>
      </c>
      <c r="F2849" s="23" t="s">
        <v>1358</v>
      </c>
      <c r="I2849" s="23" t="s">
        <v>1249</v>
      </c>
      <c r="U2849" s="0" t="n">
        <v>285</v>
      </c>
      <c r="V2849" s="0" t="n">
        <v>0</v>
      </c>
      <c r="W2849" s="0" t="str">
        <f aca="false">IF(OR(AND(B2849&gt;=1,B2849&lt;=6),B2849=10),"Vaca em lactação",IF(I2849="Male","Macho",IF(E2849&gt;=1,"Vaca seca",IF(I2849="Youngstock","Bezerra/recria","Novilha"))))</f>
        <v>Bezerra/recria</v>
      </c>
      <c r="X2849" s="0" t="str">
        <f aca="false">IF(AND(B2849&gt;=1,B2849&lt;=6),"Tanque",IF(B2849=10,"Descarte",""))</f>
        <v/>
      </c>
    </row>
    <row r="2850" customFormat="false" ht="15" hidden="false" customHeight="false" outlineLevel="0" collapsed="false">
      <c r="A2850" s="22" t="n">
        <v>46309</v>
      </c>
      <c r="B2850" s="0" t="n">
        <v>13</v>
      </c>
      <c r="C2850" s="0" t="n">
        <v>7283</v>
      </c>
      <c r="E2850" s="0" t="n">
        <v>0</v>
      </c>
      <c r="F2850" s="23" t="s">
        <v>1354</v>
      </c>
      <c r="I2850" s="23" t="s">
        <v>1249</v>
      </c>
      <c r="U2850" s="0" t="n">
        <v>286</v>
      </c>
      <c r="V2850" s="0" t="n">
        <v>0</v>
      </c>
      <c r="W2850" s="0" t="str">
        <f aca="false">IF(OR(AND(B2850&gt;=1,B2850&lt;=6),B2850=10),"Vaca em lactação",IF(I2850="Male","Macho",IF(E2850&gt;=1,"Vaca seca",IF(I2850="Youngstock","Bezerra/recria","Novilha"))))</f>
        <v>Bezerra/recria</v>
      </c>
      <c r="X2850" s="0" t="str">
        <f aca="false">IF(AND(B2850&gt;=1,B2850&lt;=6),"Tanque",IF(B2850=10,"Descarte",""))</f>
        <v/>
      </c>
    </row>
    <row r="2851" customFormat="false" ht="15" hidden="false" customHeight="false" outlineLevel="0" collapsed="false">
      <c r="A2851" s="22" t="n">
        <v>46309</v>
      </c>
      <c r="B2851" s="0" t="n">
        <v>13</v>
      </c>
      <c r="C2851" s="0" t="n">
        <v>7292</v>
      </c>
      <c r="E2851" s="0" t="n">
        <v>0</v>
      </c>
      <c r="F2851" s="23" t="s">
        <v>1356</v>
      </c>
      <c r="I2851" s="23" t="s">
        <v>1249</v>
      </c>
      <c r="U2851" s="0" t="n">
        <v>283</v>
      </c>
      <c r="V2851" s="0" t="n">
        <v>0</v>
      </c>
      <c r="W2851" s="0" t="str">
        <f aca="false">IF(OR(AND(B2851&gt;=1,B2851&lt;=6),B2851=10),"Vaca em lactação",IF(I2851="Male","Macho",IF(E2851&gt;=1,"Vaca seca",IF(I2851="Youngstock","Bezerra/recria","Novilha"))))</f>
        <v>Bezerra/recria</v>
      </c>
      <c r="X2851" s="0" t="str">
        <f aca="false">IF(AND(B2851&gt;=1,B2851&lt;=6),"Tanque",IF(B2851=10,"Descarte",""))</f>
        <v/>
      </c>
    </row>
    <row r="2852" customFormat="false" ht="15" hidden="false" customHeight="false" outlineLevel="0" collapsed="false">
      <c r="A2852" s="22" t="n">
        <v>46309</v>
      </c>
      <c r="B2852" s="0" t="n">
        <v>13</v>
      </c>
      <c r="C2852" s="0" t="n">
        <v>7291</v>
      </c>
      <c r="E2852" s="0" t="n">
        <v>0</v>
      </c>
      <c r="F2852" s="23" t="s">
        <v>1356</v>
      </c>
      <c r="I2852" s="23" t="s">
        <v>1249</v>
      </c>
      <c r="U2852" s="0" t="n">
        <v>283</v>
      </c>
      <c r="V2852" s="0" t="n">
        <v>0</v>
      </c>
      <c r="W2852" s="0" t="str">
        <f aca="false">IF(OR(AND(B2852&gt;=1,B2852&lt;=6),B2852=10),"Vaca em lactação",IF(I2852="Male","Macho",IF(E2852&gt;=1,"Vaca seca",IF(I2852="Youngstock","Bezerra/recria","Novilha"))))</f>
        <v>Bezerra/recria</v>
      </c>
      <c r="X2852" s="0" t="str">
        <f aca="false">IF(AND(B2852&gt;=1,B2852&lt;=6),"Tanque",IF(B2852=10,"Descarte",""))</f>
        <v/>
      </c>
    </row>
    <row r="2853" customFormat="false" ht="15" hidden="false" customHeight="false" outlineLevel="0" collapsed="false">
      <c r="A2853" s="22" t="n">
        <v>46309</v>
      </c>
      <c r="B2853" s="0" t="n">
        <v>13</v>
      </c>
      <c r="C2853" s="0" t="n">
        <v>7290</v>
      </c>
      <c r="E2853" s="0" t="n">
        <v>0</v>
      </c>
      <c r="F2853" s="23" t="s">
        <v>1356</v>
      </c>
      <c r="I2853" s="23" t="s">
        <v>1249</v>
      </c>
      <c r="U2853" s="0" t="n">
        <v>283</v>
      </c>
      <c r="V2853" s="0" t="n">
        <v>0</v>
      </c>
      <c r="W2853" s="0" t="str">
        <f aca="false">IF(OR(AND(B2853&gt;=1,B2853&lt;=6),B2853=10),"Vaca em lactação",IF(I2853="Male","Macho",IF(E2853&gt;=1,"Vaca seca",IF(I2853="Youngstock","Bezerra/recria","Novilha"))))</f>
        <v>Bezerra/recria</v>
      </c>
      <c r="X2853" s="0" t="str">
        <f aca="false">IF(AND(B2853&gt;=1,B2853&lt;=6),"Tanque",IF(B2853=10,"Descarte",""))</f>
        <v/>
      </c>
    </row>
    <row r="2854" customFormat="false" ht="15" hidden="false" customHeight="false" outlineLevel="0" collapsed="false">
      <c r="A2854" s="22" t="n">
        <v>46309</v>
      </c>
      <c r="B2854" s="0" t="n">
        <v>13</v>
      </c>
      <c r="C2854" s="0" t="n">
        <v>7277</v>
      </c>
      <c r="E2854" s="0" t="n">
        <v>0</v>
      </c>
      <c r="F2854" s="23" t="s">
        <v>1359</v>
      </c>
      <c r="I2854" s="23" t="s">
        <v>1249</v>
      </c>
      <c r="U2854" s="0" t="n">
        <v>288</v>
      </c>
      <c r="V2854" s="0" t="n">
        <v>0</v>
      </c>
      <c r="W2854" s="0" t="str">
        <f aca="false">IF(OR(AND(B2854&gt;=1,B2854&lt;=6),B2854=10),"Vaca em lactação",IF(I2854="Male","Macho",IF(E2854&gt;=1,"Vaca seca",IF(I2854="Youngstock","Bezerra/recria","Novilha"))))</f>
        <v>Bezerra/recria</v>
      </c>
      <c r="X2854" s="0" t="str">
        <f aca="false">IF(AND(B2854&gt;=1,B2854&lt;=6),"Tanque",IF(B2854=10,"Descarte",""))</f>
        <v/>
      </c>
    </row>
    <row r="2855" customFormat="false" ht="15" hidden="false" customHeight="false" outlineLevel="0" collapsed="false">
      <c r="A2855" s="22" t="n">
        <v>46309</v>
      </c>
      <c r="B2855" s="0" t="n">
        <v>13</v>
      </c>
      <c r="C2855" s="0" t="n">
        <v>7276</v>
      </c>
      <c r="E2855" s="0" t="n">
        <v>0</v>
      </c>
      <c r="F2855" s="23" t="s">
        <v>1359</v>
      </c>
      <c r="I2855" s="23" t="s">
        <v>1249</v>
      </c>
      <c r="U2855" s="0" t="n">
        <v>288</v>
      </c>
      <c r="V2855" s="0" t="n">
        <v>0</v>
      </c>
      <c r="W2855" s="0" t="str">
        <f aca="false">IF(OR(AND(B2855&gt;=1,B2855&lt;=6),B2855=10),"Vaca em lactação",IF(I2855="Male","Macho",IF(E2855&gt;=1,"Vaca seca",IF(I2855="Youngstock","Bezerra/recria","Novilha"))))</f>
        <v>Bezerra/recria</v>
      </c>
      <c r="X2855" s="0" t="str">
        <f aca="false">IF(AND(B2855&gt;=1,B2855&lt;=6),"Tanque",IF(B2855=10,"Descarte",""))</f>
        <v/>
      </c>
    </row>
    <row r="2856" customFormat="false" ht="15" hidden="false" customHeight="false" outlineLevel="0" collapsed="false">
      <c r="A2856" s="22" t="n">
        <v>46309</v>
      </c>
      <c r="B2856" s="0" t="n">
        <v>13</v>
      </c>
      <c r="C2856" s="0" t="n">
        <v>7275</v>
      </c>
      <c r="E2856" s="0" t="n">
        <v>0</v>
      </c>
      <c r="F2856" s="23" t="s">
        <v>1359</v>
      </c>
      <c r="I2856" s="23" t="s">
        <v>1249</v>
      </c>
      <c r="U2856" s="0" t="n">
        <v>288</v>
      </c>
      <c r="V2856" s="0" t="n">
        <v>0</v>
      </c>
      <c r="W2856" s="0" t="str">
        <f aca="false">IF(OR(AND(B2856&gt;=1,B2856&lt;=6),B2856=10),"Vaca em lactação",IF(I2856="Male","Macho",IF(E2856&gt;=1,"Vaca seca",IF(I2856="Youngstock","Bezerra/recria","Novilha"))))</f>
        <v>Bezerra/recria</v>
      </c>
      <c r="X2856" s="0" t="str">
        <f aca="false">IF(AND(B2856&gt;=1,B2856&lt;=6),"Tanque",IF(B2856=10,"Descarte",""))</f>
        <v/>
      </c>
    </row>
    <row r="2857" customFormat="false" ht="15" hidden="false" customHeight="false" outlineLevel="0" collapsed="false">
      <c r="A2857" s="22" t="n">
        <v>46309</v>
      </c>
      <c r="B2857" s="0" t="n">
        <v>13</v>
      </c>
      <c r="C2857" s="0" t="n">
        <v>7280</v>
      </c>
      <c r="E2857" s="0" t="n">
        <v>0</v>
      </c>
      <c r="F2857" s="23" t="s">
        <v>1355</v>
      </c>
      <c r="I2857" s="23" t="s">
        <v>1249</v>
      </c>
      <c r="U2857" s="0" t="n">
        <v>287</v>
      </c>
      <c r="V2857" s="0" t="n">
        <v>0</v>
      </c>
      <c r="W2857" s="0" t="str">
        <f aca="false">IF(OR(AND(B2857&gt;=1,B2857&lt;=6),B2857=10),"Vaca em lactação",IF(I2857="Male","Macho",IF(E2857&gt;=1,"Vaca seca",IF(I2857="Youngstock","Bezerra/recria","Novilha"))))</f>
        <v>Bezerra/recria</v>
      </c>
      <c r="X2857" s="0" t="str">
        <f aca="false">IF(AND(B2857&gt;=1,B2857&lt;=6),"Tanque",IF(B2857=10,"Descarte",""))</f>
        <v/>
      </c>
    </row>
    <row r="2858" customFormat="false" ht="15" hidden="false" customHeight="false" outlineLevel="0" collapsed="false">
      <c r="A2858" s="22" t="n">
        <v>46309</v>
      </c>
      <c r="B2858" s="0" t="n">
        <v>13</v>
      </c>
      <c r="C2858" s="0" t="n">
        <v>7279</v>
      </c>
      <c r="E2858" s="0" t="n">
        <v>0</v>
      </c>
      <c r="F2858" s="23" t="s">
        <v>1355</v>
      </c>
      <c r="I2858" s="23" t="s">
        <v>1249</v>
      </c>
      <c r="U2858" s="0" t="n">
        <v>287</v>
      </c>
      <c r="V2858" s="0" t="n">
        <v>0</v>
      </c>
      <c r="W2858" s="0" t="str">
        <f aca="false">IF(OR(AND(B2858&gt;=1,B2858&lt;=6),B2858=10),"Vaca em lactação",IF(I2858="Male","Macho",IF(E2858&gt;=1,"Vaca seca",IF(I2858="Youngstock","Bezerra/recria","Novilha"))))</f>
        <v>Bezerra/recria</v>
      </c>
      <c r="X2858" s="0" t="str">
        <f aca="false">IF(AND(B2858&gt;=1,B2858&lt;=6),"Tanque",IF(B2858=10,"Descarte",""))</f>
        <v/>
      </c>
    </row>
    <row r="2859" customFormat="false" ht="15" hidden="false" customHeight="false" outlineLevel="0" collapsed="false">
      <c r="A2859" s="22" t="n">
        <v>46309</v>
      </c>
      <c r="B2859" s="0" t="n">
        <v>13</v>
      </c>
      <c r="C2859" s="0" t="n">
        <v>7278</v>
      </c>
      <c r="E2859" s="0" t="n">
        <v>0</v>
      </c>
      <c r="F2859" s="23" t="s">
        <v>1359</v>
      </c>
      <c r="I2859" s="23" t="s">
        <v>1249</v>
      </c>
      <c r="U2859" s="0" t="n">
        <v>288</v>
      </c>
      <c r="V2859" s="0" t="n">
        <v>0</v>
      </c>
      <c r="W2859" s="0" t="str">
        <f aca="false">IF(OR(AND(B2859&gt;=1,B2859&lt;=6),B2859=10),"Vaca em lactação",IF(I2859="Male","Macho",IF(E2859&gt;=1,"Vaca seca",IF(I2859="Youngstock","Bezerra/recria","Novilha"))))</f>
        <v>Bezerra/recria</v>
      </c>
      <c r="X2859" s="0" t="str">
        <f aca="false">IF(AND(B2859&gt;=1,B2859&lt;=6),"Tanque",IF(B2859=10,"Descarte",""))</f>
        <v/>
      </c>
    </row>
    <row r="2860" customFormat="false" ht="15" hidden="false" customHeight="false" outlineLevel="0" collapsed="false">
      <c r="A2860" s="22" t="n">
        <v>46309</v>
      </c>
      <c r="B2860" s="0" t="n">
        <v>13</v>
      </c>
      <c r="C2860" s="0" t="n">
        <v>7298</v>
      </c>
      <c r="E2860" s="0" t="n">
        <v>0</v>
      </c>
      <c r="F2860" s="23" t="s">
        <v>1360</v>
      </c>
      <c r="I2860" s="23" t="s">
        <v>1249</v>
      </c>
      <c r="U2860" s="0" t="n">
        <v>281</v>
      </c>
      <c r="V2860" s="0" t="n">
        <v>0</v>
      </c>
      <c r="W2860" s="0" t="str">
        <f aca="false">IF(OR(AND(B2860&gt;=1,B2860&lt;=6),B2860=10),"Vaca em lactação",IF(I2860="Male","Macho",IF(E2860&gt;=1,"Vaca seca",IF(I2860="Youngstock","Bezerra/recria","Novilha"))))</f>
        <v>Bezerra/recria</v>
      </c>
      <c r="X2860" s="0" t="str">
        <f aca="false">IF(AND(B2860&gt;=1,B2860&lt;=6),"Tanque",IF(B2860=10,"Descarte",""))</f>
        <v/>
      </c>
    </row>
    <row r="2861" customFormat="false" ht="15" hidden="false" customHeight="false" outlineLevel="0" collapsed="false">
      <c r="A2861" s="22" t="n">
        <v>46309</v>
      </c>
      <c r="B2861" s="0" t="n">
        <v>13</v>
      </c>
      <c r="C2861" s="0" t="n">
        <v>7297</v>
      </c>
      <c r="E2861" s="0" t="n">
        <v>0</v>
      </c>
      <c r="F2861" s="23" t="s">
        <v>1360</v>
      </c>
      <c r="I2861" s="23" t="s">
        <v>1249</v>
      </c>
      <c r="U2861" s="0" t="n">
        <v>281</v>
      </c>
      <c r="V2861" s="0" t="n">
        <v>0</v>
      </c>
      <c r="W2861" s="0" t="str">
        <f aca="false">IF(OR(AND(B2861&gt;=1,B2861&lt;=6),B2861=10),"Vaca em lactação",IF(I2861="Male","Macho",IF(E2861&gt;=1,"Vaca seca",IF(I2861="Youngstock","Bezerra/recria","Novilha"))))</f>
        <v>Bezerra/recria</v>
      </c>
      <c r="X2861" s="0" t="str">
        <f aca="false">IF(AND(B2861&gt;=1,B2861&lt;=6),"Tanque",IF(B2861=10,"Descarte",""))</f>
        <v/>
      </c>
    </row>
    <row r="2862" customFormat="false" ht="15" hidden="false" customHeight="false" outlineLevel="0" collapsed="false">
      <c r="A2862" s="22" t="n">
        <v>46309</v>
      </c>
      <c r="B2862" s="0" t="n">
        <v>13</v>
      </c>
      <c r="C2862" s="0" t="n">
        <v>7296</v>
      </c>
      <c r="E2862" s="0" t="n">
        <v>0</v>
      </c>
      <c r="F2862" s="23" t="s">
        <v>1360</v>
      </c>
      <c r="I2862" s="23" t="s">
        <v>1249</v>
      </c>
      <c r="U2862" s="0" t="n">
        <v>281</v>
      </c>
      <c r="V2862" s="0" t="n">
        <v>0</v>
      </c>
      <c r="W2862" s="0" t="str">
        <f aca="false">IF(OR(AND(B2862&gt;=1,B2862&lt;=6),B2862=10),"Vaca em lactação",IF(I2862="Male","Macho",IF(E2862&gt;=1,"Vaca seca",IF(I2862="Youngstock","Bezerra/recria","Novilha"))))</f>
        <v>Bezerra/recria</v>
      </c>
      <c r="X2862" s="0" t="str">
        <f aca="false">IF(AND(B2862&gt;=1,B2862&lt;=6),"Tanque",IF(B2862=10,"Descarte",""))</f>
        <v/>
      </c>
    </row>
    <row r="2863" customFormat="false" ht="15" hidden="false" customHeight="false" outlineLevel="0" collapsed="false">
      <c r="A2863" s="22" t="n">
        <v>46309</v>
      </c>
      <c r="B2863" s="0" t="n">
        <v>13</v>
      </c>
      <c r="C2863" s="0" t="n">
        <v>7295</v>
      </c>
      <c r="E2863" s="0" t="n">
        <v>0</v>
      </c>
      <c r="F2863" s="23" t="s">
        <v>1360</v>
      </c>
      <c r="I2863" s="23" t="s">
        <v>1249</v>
      </c>
      <c r="U2863" s="0" t="n">
        <v>281</v>
      </c>
      <c r="V2863" s="0" t="n">
        <v>0</v>
      </c>
      <c r="W2863" s="0" t="str">
        <f aca="false">IF(OR(AND(B2863&gt;=1,B2863&lt;=6),B2863=10),"Vaca em lactação",IF(I2863="Male","Macho",IF(E2863&gt;=1,"Vaca seca",IF(I2863="Youngstock","Bezerra/recria","Novilha"))))</f>
        <v>Bezerra/recria</v>
      </c>
      <c r="X2863" s="0" t="str">
        <f aca="false">IF(AND(B2863&gt;=1,B2863&lt;=6),"Tanque",IF(B2863=10,"Descarte",""))</f>
        <v/>
      </c>
    </row>
    <row r="2864" customFormat="false" ht="15" hidden="false" customHeight="false" outlineLevel="0" collapsed="false">
      <c r="A2864" s="22" t="n">
        <v>46309</v>
      </c>
      <c r="B2864" s="0" t="n">
        <v>13</v>
      </c>
      <c r="C2864" s="0" t="n">
        <v>7294</v>
      </c>
      <c r="E2864" s="0" t="n">
        <v>0</v>
      </c>
      <c r="F2864" s="23" t="s">
        <v>1361</v>
      </c>
      <c r="I2864" s="23" t="s">
        <v>1249</v>
      </c>
      <c r="U2864" s="0" t="n">
        <v>282</v>
      </c>
      <c r="V2864" s="0" t="n">
        <v>0</v>
      </c>
      <c r="W2864" s="0" t="str">
        <f aca="false">IF(OR(AND(B2864&gt;=1,B2864&lt;=6),B2864=10),"Vaca em lactação",IF(I2864="Male","Macho",IF(E2864&gt;=1,"Vaca seca",IF(I2864="Youngstock","Bezerra/recria","Novilha"))))</f>
        <v>Bezerra/recria</v>
      </c>
      <c r="X2864" s="0" t="str">
        <f aca="false">IF(AND(B2864&gt;=1,B2864&lt;=6),"Tanque",IF(B2864=10,"Descarte",""))</f>
        <v/>
      </c>
    </row>
    <row r="2865" customFormat="false" ht="15" hidden="false" customHeight="false" outlineLevel="0" collapsed="false">
      <c r="A2865" s="22" t="n">
        <v>46309</v>
      </c>
      <c r="B2865" s="0" t="n">
        <v>13</v>
      </c>
      <c r="C2865" s="0" t="n">
        <v>7293</v>
      </c>
      <c r="E2865" s="0" t="n">
        <v>0</v>
      </c>
      <c r="F2865" s="23" t="s">
        <v>1361</v>
      </c>
      <c r="I2865" s="23" t="s">
        <v>1249</v>
      </c>
      <c r="U2865" s="0" t="n">
        <v>282</v>
      </c>
      <c r="V2865" s="0" t="n">
        <v>0</v>
      </c>
      <c r="W2865" s="0" t="str">
        <f aca="false">IF(OR(AND(B2865&gt;=1,B2865&lt;=6),B2865=10),"Vaca em lactação",IF(I2865="Male","Macho",IF(E2865&gt;=1,"Vaca seca",IF(I2865="Youngstock","Bezerra/recria","Novilha"))))</f>
        <v>Bezerra/recria</v>
      </c>
      <c r="X2865" s="0" t="str">
        <f aca="false">IF(AND(B2865&gt;=1,B2865&lt;=6),"Tanque",IF(B2865=10,"Descarte",""))</f>
        <v/>
      </c>
    </row>
    <row r="2866" customFormat="false" ht="15" hidden="false" customHeight="false" outlineLevel="0" collapsed="false">
      <c r="A2866" s="22" t="n">
        <v>46309</v>
      </c>
      <c r="B2866" s="0" t="n">
        <v>13</v>
      </c>
      <c r="C2866" s="0" t="n">
        <v>7302</v>
      </c>
      <c r="E2866" s="0" t="n">
        <v>0</v>
      </c>
      <c r="F2866" s="23" t="s">
        <v>1350</v>
      </c>
      <c r="I2866" s="23" t="s">
        <v>1249</v>
      </c>
      <c r="U2866" s="0" t="n">
        <v>280</v>
      </c>
      <c r="V2866" s="0" t="n">
        <v>0</v>
      </c>
      <c r="W2866" s="0" t="str">
        <f aca="false">IF(OR(AND(B2866&gt;=1,B2866&lt;=6),B2866=10),"Vaca em lactação",IF(I2866="Male","Macho",IF(E2866&gt;=1,"Vaca seca",IF(I2866="Youngstock","Bezerra/recria","Novilha"))))</f>
        <v>Bezerra/recria</v>
      </c>
      <c r="X2866" s="0" t="str">
        <f aca="false">IF(AND(B2866&gt;=1,B2866&lt;=6),"Tanque",IF(B2866=10,"Descarte",""))</f>
        <v/>
      </c>
    </row>
    <row r="2867" customFormat="false" ht="15" hidden="false" customHeight="false" outlineLevel="0" collapsed="false">
      <c r="A2867" s="22" t="n">
        <v>46309</v>
      </c>
      <c r="B2867" s="0" t="n">
        <v>13</v>
      </c>
      <c r="C2867" s="0" t="n">
        <v>7301</v>
      </c>
      <c r="E2867" s="0" t="n">
        <v>0</v>
      </c>
      <c r="F2867" s="23" t="s">
        <v>1350</v>
      </c>
      <c r="I2867" s="23" t="s">
        <v>1249</v>
      </c>
      <c r="U2867" s="0" t="n">
        <v>280</v>
      </c>
      <c r="V2867" s="0" t="n">
        <v>0</v>
      </c>
      <c r="W2867" s="0" t="str">
        <f aca="false">IF(OR(AND(B2867&gt;=1,B2867&lt;=6),B2867=10),"Vaca em lactação",IF(I2867="Male","Macho",IF(E2867&gt;=1,"Vaca seca",IF(I2867="Youngstock","Bezerra/recria","Novilha"))))</f>
        <v>Bezerra/recria</v>
      </c>
      <c r="X2867" s="0" t="str">
        <f aca="false">IF(AND(B2867&gt;=1,B2867&lt;=6),"Tanque",IF(B2867=10,"Descarte",""))</f>
        <v/>
      </c>
    </row>
    <row r="2868" customFormat="false" ht="15" hidden="false" customHeight="false" outlineLevel="0" collapsed="false">
      <c r="A2868" s="22" t="n">
        <v>46309</v>
      </c>
      <c r="B2868" s="0" t="n">
        <v>13</v>
      </c>
      <c r="C2868" s="0" t="n">
        <v>7300</v>
      </c>
      <c r="E2868" s="0" t="n">
        <v>0</v>
      </c>
      <c r="F2868" s="23" t="s">
        <v>1350</v>
      </c>
      <c r="I2868" s="23" t="s">
        <v>1249</v>
      </c>
      <c r="U2868" s="0" t="n">
        <v>280</v>
      </c>
      <c r="V2868" s="0" t="n">
        <v>0</v>
      </c>
      <c r="W2868" s="0" t="str">
        <f aca="false">IF(OR(AND(B2868&gt;=1,B2868&lt;=6),B2868=10),"Vaca em lactação",IF(I2868="Male","Macho",IF(E2868&gt;=1,"Vaca seca",IF(I2868="Youngstock","Bezerra/recria","Novilha"))))</f>
        <v>Bezerra/recria</v>
      </c>
      <c r="X2868" s="0" t="str">
        <f aca="false">IF(AND(B2868&gt;=1,B2868&lt;=6),"Tanque",IF(B2868=10,"Descarte",""))</f>
        <v/>
      </c>
    </row>
    <row r="2869" customFormat="false" ht="15" hidden="false" customHeight="false" outlineLevel="0" collapsed="false">
      <c r="A2869" s="22" t="n">
        <v>46309</v>
      </c>
      <c r="B2869" s="0" t="n">
        <v>13</v>
      </c>
      <c r="C2869" s="0" t="n">
        <v>7299</v>
      </c>
      <c r="E2869" s="0" t="n">
        <v>0</v>
      </c>
      <c r="F2869" s="23" t="s">
        <v>1360</v>
      </c>
      <c r="I2869" s="23" t="s">
        <v>1249</v>
      </c>
      <c r="U2869" s="0" t="n">
        <v>281</v>
      </c>
      <c r="V2869" s="0" t="n">
        <v>0</v>
      </c>
      <c r="W2869" s="0" t="str">
        <f aca="false">IF(OR(AND(B2869&gt;=1,B2869&lt;=6),B2869=10),"Vaca em lactação",IF(I2869="Male","Macho",IF(E2869&gt;=1,"Vaca seca",IF(I2869="Youngstock","Bezerra/recria","Novilha"))))</f>
        <v>Bezerra/recria</v>
      </c>
      <c r="X2869" s="0" t="str">
        <f aca="false">IF(AND(B2869&gt;=1,B2869&lt;=6),"Tanque",IF(B2869=10,"Descarte",""))</f>
        <v/>
      </c>
    </row>
    <row r="2870" customFormat="false" ht="15" hidden="false" customHeight="false" outlineLevel="0" collapsed="false">
      <c r="A2870" s="22" t="n">
        <v>46309</v>
      </c>
      <c r="B2870" s="0" t="n">
        <v>13</v>
      </c>
      <c r="C2870" s="0" t="n">
        <v>7256</v>
      </c>
      <c r="E2870" s="0" t="n">
        <v>0</v>
      </c>
      <c r="F2870" s="23" t="s">
        <v>1328</v>
      </c>
      <c r="I2870" s="23" t="s">
        <v>1249</v>
      </c>
      <c r="U2870" s="0" t="n">
        <v>295</v>
      </c>
      <c r="V2870" s="0" t="n">
        <v>0</v>
      </c>
      <c r="W2870" s="0" t="str">
        <f aca="false">IF(OR(AND(B2870&gt;=1,B2870&lt;=6),B2870=10),"Vaca em lactação",IF(I2870="Male","Macho",IF(E2870&gt;=1,"Vaca seca",IF(I2870="Youngstock","Bezerra/recria","Novilha"))))</f>
        <v>Bezerra/recria</v>
      </c>
      <c r="X2870" s="0" t="str">
        <f aca="false">IF(AND(B2870&gt;=1,B2870&lt;=6),"Tanque",IF(B2870=10,"Descarte",""))</f>
        <v/>
      </c>
    </row>
    <row r="2871" customFormat="false" ht="15" hidden="false" customHeight="false" outlineLevel="0" collapsed="false">
      <c r="A2871" s="22" t="n">
        <v>46309</v>
      </c>
      <c r="B2871" s="0" t="n">
        <v>13</v>
      </c>
      <c r="C2871" s="0" t="n">
        <v>7261</v>
      </c>
      <c r="E2871" s="0" t="n">
        <v>0</v>
      </c>
      <c r="F2871" s="23" t="s">
        <v>1362</v>
      </c>
      <c r="I2871" s="23" t="s">
        <v>1249</v>
      </c>
      <c r="U2871" s="0" t="n">
        <v>294</v>
      </c>
      <c r="V2871" s="0" t="n">
        <v>0</v>
      </c>
      <c r="W2871" s="0" t="str">
        <f aca="false">IF(OR(AND(B2871&gt;=1,B2871&lt;=6),B2871=10),"Vaca em lactação",IF(I2871="Male","Macho",IF(E2871&gt;=1,"Vaca seca",IF(I2871="Youngstock","Bezerra/recria","Novilha"))))</f>
        <v>Bezerra/recria</v>
      </c>
      <c r="X2871" s="0" t="str">
        <f aca="false">IF(AND(B2871&gt;=1,B2871&lt;=6),"Tanque",IF(B2871=10,"Descarte",""))</f>
        <v/>
      </c>
    </row>
    <row r="2872" customFormat="false" ht="15" hidden="false" customHeight="false" outlineLevel="0" collapsed="false">
      <c r="A2872" s="22" t="n">
        <v>46309</v>
      </c>
      <c r="B2872" s="0" t="n">
        <v>13</v>
      </c>
      <c r="C2872" s="0" t="n">
        <v>7260</v>
      </c>
      <c r="E2872" s="0" t="n">
        <v>0</v>
      </c>
      <c r="F2872" s="23" t="s">
        <v>1362</v>
      </c>
      <c r="I2872" s="23" t="s">
        <v>1249</v>
      </c>
      <c r="U2872" s="0" t="n">
        <v>294</v>
      </c>
      <c r="V2872" s="0" t="n">
        <v>0</v>
      </c>
      <c r="W2872" s="0" t="str">
        <f aca="false">IF(OR(AND(B2872&gt;=1,B2872&lt;=6),B2872=10),"Vaca em lactação",IF(I2872="Male","Macho",IF(E2872&gt;=1,"Vaca seca",IF(I2872="Youngstock","Bezerra/recria","Novilha"))))</f>
        <v>Bezerra/recria</v>
      </c>
      <c r="X2872" s="0" t="str">
        <f aca="false">IF(AND(B2872&gt;=1,B2872&lt;=6),"Tanque",IF(B2872=10,"Descarte",""))</f>
        <v/>
      </c>
    </row>
    <row r="2873" customFormat="false" ht="15" hidden="false" customHeight="false" outlineLevel="0" collapsed="false">
      <c r="A2873" s="22" t="n">
        <v>46309</v>
      </c>
      <c r="B2873" s="0" t="n">
        <v>13</v>
      </c>
      <c r="C2873" s="0" t="n">
        <v>7258</v>
      </c>
      <c r="E2873" s="0" t="n">
        <v>0</v>
      </c>
      <c r="F2873" s="23" t="s">
        <v>1362</v>
      </c>
      <c r="I2873" s="23" t="s">
        <v>1249</v>
      </c>
      <c r="U2873" s="0" t="n">
        <v>294</v>
      </c>
      <c r="V2873" s="0" t="n">
        <v>0</v>
      </c>
      <c r="W2873" s="0" t="str">
        <f aca="false">IF(OR(AND(B2873&gt;=1,B2873&lt;=6),B2873=10),"Vaca em lactação",IF(I2873="Male","Macho",IF(E2873&gt;=1,"Vaca seca",IF(I2873="Youngstock","Bezerra/recria","Novilha"))))</f>
        <v>Bezerra/recria</v>
      </c>
      <c r="X2873" s="0" t="str">
        <f aca="false">IF(AND(B2873&gt;=1,B2873&lt;=6),"Tanque",IF(B2873=10,"Descarte",""))</f>
        <v/>
      </c>
    </row>
    <row r="2874" customFormat="false" ht="15" hidden="false" customHeight="false" outlineLevel="0" collapsed="false">
      <c r="A2874" s="22" t="n">
        <v>46309</v>
      </c>
      <c r="B2874" s="0" t="n">
        <v>13</v>
      </c>
      <c r="C2874" s="0" t="n">
        <v>7257</v>
      </c>
      <c r="E2874" s="0" t="n">
        <v>0</v>
      </c>
      <c r="F2874" s="23" t="s">
        <v>1362</v>
      </c>
      <c r="I2874" s="23" t="s">
        <v>1249</v>
      </c>
      <c r="U2874" s="0" t="n">
        <v>294</v>
      </c>
      <c r="V2874" s="0" t="n">
        <v>0</v>
      </c>
      <c r="W2874" s="0" t="str">
        <f aca="false">IF(OR(AND(B2874&gt;=1,B2874&lt;=6),B2874=10),"Vaca em lactação",IF(I2874="Male","Macho",IF(E2874&gt;=1,"Vaca seca",IF(I2874="Youngstock","Bezerra/recria","Novilha"))))</f>
        <v>Bezerra/recria</v>
      </c>
      <c r="X2874" s="0" t="str">
        <f aca="false">IF(AND(B2874&gt;=1,B2874&lt;=6),"Tanque",IF(B2874=10,"Descarte",""))</f>
        <v/>
      </c>
    </row>
    <row r="2875" customFormat="false" ht="15" hidden="false" customHeight="false" outlineLevel="0" collapsed="false">
      <c r="A2875" s="22" t="n">
        <v>46309</v>
      </c>
      <c r="B2875" s="0" t="n">
        <v>13</v>
      </c>
      <c r="C2875" s="0" t="n">
        <v>7264</v>
      </c>
      <c r="E2875" s="0" t="n">
        <v>0</v>
      </c>
      <c r="F2875" s="23" t="s">
        <v>1362</v>
      </c>
      <c r="I2875" s="23" t="s">
        <v>1249</v>
      </c>
      <c r="U2875" s="0" t="n">
        <v>294</v>
      </c>
      <c r="V2875" s="0" t="n">
        <v>0</v>
      </c>
      <c r="W2875" s="0" t="str">
        <f aca="false">IF(OR(AND(B2875&gt;=1,B2875&lt;=6),B2875=10),"Vaca em lactação",IF(I2875="Male","Macho",IF(E2875&gt;=1,"Vaca seca",IF(I2875="Youngstock","Bezerra/recria","Novilha"))))</f>
        <v>Bezerra/recria</v>
      </c>
      <c r="X2875" s="0" t="str">
        <f aca="false">IF(AND(B2875&gt;=1,B2875&lt;=6),"Tanque",IF(B2875=10,"Descarte",""))</f>
        <v/>
      </c>
    </row>
    <row r="2876" customFormat="false" ht="15" hidden="false" customHeight="false" outlineLevel="0" collapsed="false">
      <c r="A2876" s="22" t="n">
        <v>46309</v>
      </c>
      <c r="B2876" s="0" t="n">
        <v>13</v>
      </c>
      <c r="C2876" s="0" t="n">
        <v>7262</v>
      </c>
      <c r="E2876" s="0" t="n">
        <v>0</v>
      </c>
      <c r="F2876" s="23" t="s">
        <v>1362</v>
      </c>
      <c r="I2876" s="23" t="s">
        <v>1249</v>
      </c>
      <c r="U2876" s="0" t="n">
        <v>294</v>
      </c>
      <c r="V2876" s="0" t="n">
        <v>0</v>
      </c>
      <c r="W2876" s="0" t="str">
        <f aca="false">IF(OR(AND(B2876&gt;=1,B2876&lt;=6),B2876=10),"Vaca em lactação",IF(I2876="Male","Macho",IF(E2876&gt;=1,"Vaca seca",IF(I2876="Youngstock","Bezerra/recria","Novilha"))))</f>
        <v>Bezerra/recria</v>
      </c>
      <c r="X2876" s="0" t="str">
        <f aca="false">IF(AND(B2876&gt;=1,B2876&lt;=6),"Tanque",IF(B2876=10,"Descarte",""))</f>
        <v/>
      </c>
    </row>
    <row r="2877" customFormat="false" ht="15" hidden="false" customHeight="false" outlineLevel="0" collapsed="false">
      <c r="A2877" s="22" t="n">
        <v>46309</v>
      </c>
      <c r="B2877" s="0" t="n">
        <v>13</v>
      </c>
      <c r="C2877" s="0" t="n">
        <v>7266</v>
      </c>
      <c r="E2877" s="0" t="n">
        <v>0</v>
      </c>
      <c r="F2877" s="23" t="s">
        <v>1363</v>
      </c>
      <c r="I2877" s="23" t="s">
        <v>1249</v>
      </c>
      <c r="U2877" s="0" t="n">
        <v>292</v>
      </c>
      <c r="V2877" s="0" t="n">
        <v>0</v>
      </c>
      <c r="W2877" s="0" t="str">
        <f aca="false">IF(OR(AND(B2877&gt;=1,B2877&lt;=6),B2877=10),"Vaca em lactação",IF(I2877="Male","Macho",IF(E2877&gt;=1,"Vaca seca",IF(I2877="Youngstock","Bezerra/recria","Novilha"))))</f>
        <v>Bezerra/recria</v>
      </c>
      <c r="X2877" s="0" t="str">
        <f aca="false">IF(AND(B2877&gt;=1,B2877&lt;=6),"Tanque",IF(B2877=10,"Descarte",""))</f>
        <v/>
      </c>
    </row>
    <row r="2878" customFormat="false" ht="15" hidden="false" customHeight="false" outlineLevel="0" collapsed="false">
      <c r="A2878" s="22" t="n">
        <v>46309</v>
      </c>
      <c r="B2878" s="0" t="n">
        <v>13</v>
      </c>
      <c r="C2878" s="0" t="n">
        <v>7265</v>
      </c>
      <c r="E2878" s="0" t="n">
        <v>0</v>
      </c>
      <c r="F2878" s="23" t="s">
        <v>1363</v>
      </c>
      <c r="I2878" s="23" t="s">
        <v>1249</v>
      </c>
      <c r="U2878" s="0" t="n">
        <v>292</v>
      </c>
      <c r="V2878" s="0" t="n">
        <v>0</v>
      </c>
      <c r="W2878" s="0" t="str">
        <f aca="false">IF(OR(AND(B2878&gt;=1,B2878&lt;=6),B2878=10),"Vaca em lactação",IF(I2878="Male","Macho",IF(E2878&gt;=1,"Vaca seca",IF(I2878="Youngstock","Bezerra/recria","Novilha"))))</f>
        <v>Bezerra/recria</v>
      </c>
      <c r="X2878" s="0" t="str">
        <f aca="false">IF(AND(B2878&gt;=1,B2878&lt;=6),"Tanque",IF(B2878=10,"Descarte",""))</f>
        <v/>
      </c>
    </row>
    <row r="2879" customFormat="false" ht="15" hidden="false" customHeight="false" outlineLevel="0" collapsed="false">
      <c r="A2879" s="22" t="n">
        <v>46309</v>
      </c>
      <c r="B2879" s="0" t="n">
        <v>13</v>
      </c>
      <c r="C2879" s="0" t="n">
        <v>7267</v>
      </c>
      <c r="E2879" s="0" t="n">
        <v>0</v>
      </c>
      <c r="F2879" s="23" t="s">
        <v>1363</v>
      </c>
      <c r="I2879" s="23" t="s">
        <v>1249</v>
      </c>
      <c r="U2879" s="0" t="n">
        <v>292</v>
      </c>
      <c r="V2879" s="0" t="n">
        <v>0</v>
      </c>
      <c r="W2879" s="0" t="str">
        <f aca="false">IF(OR(AND(B2879&gt;=1,B2879&lt;=6),B2879=10),"Vaca em lactação",IF(I2879="Male","Macho",IF(E2879&gt;=1,"Vaca seca",IF(I2879="Youngstock","Bezerra/recria","Novilha"))))</f>
        <v>Bezerra/recria</v>
      </c>
      <c r="X2879" s="0" t="str">
        <f aca="false">IF(AND(B2879&gt;=1,B2879&lt;=6),"Tanque",IF(B2879=10,"Descarte",""))</f>
        <v/>
      </c>
    </row>
    <row r="2880" customFormat="false" ht="15" hidden="false" customHeight="false" outlineLevel="0" collapsed="false">
      <c r="A2880" s="22" t="n">
        <v>46309</v>
      </c>
      <c r="B2880" s="0" t="n">
        <v>13</v>
      </c>
      <c r="C2880" s="0" t="n">
        <v>7270</v>
      </c>
      <c r="E2880" s="0" t="n">
        <v>0</v>
      </c>
      <c r="F2880" s="23" t="s">
        <v>1364</v>
      </c>
      <c r="I2880" s="23" t="s">
        <v>1249</v>
      </c>
      <c r="U2880" s="0" t="n">
        <v>291</v>
      </c>
      <c r="V2880" s="0" t="n">
        <v>0</v>
      </c>
      <c r="W2880" s="0" t="str">
        <f aca="false">IF(OR(AND(B2880&gt;=1,B2880&lt;=6),B2880=10),"Vaca em lactação",IF(I2880="Male","Macho",IF(E2880&gt;=1,"Vaca seca",IF(I2880="Youngstock","Bezerra/recria","Novilha"))))</f>
        <v>Bezerra/recria</v>
      </c>
      <c r="X2880" s="0" t="str">
        <f aca="false">IF(AND(B2880&gt;=1,B2880&lt;=6),"Tanque",IF(B2880=10,"Descarte",""))</f>
        <v/>
      </c>
    </row>
    <row r="2881" customFormat="false" ht="15" hidden="false" customHeight="false" outlineLevel="0" collapsed="false">
      <c r="A2881" s="22" t="n">
        <v>46309</v>
      </c>
      <c r="B2881" s="0" t="n">
        <v>13</v>
      </c>
      <c r="C2881" s="0" t="n">
        <v>7269</v>
      </c>
      <c r="E2881" s="0" t="n">
        <v>0</v>
      </c>
      <c r="F2881" s="23" t="s">
        <v>1364</v>
      </c>
      <c r="I2881" s="23" t="s">
        <v>1249</v>
      </c>
      <c r="U2881" s="0" t="n">
        <v>291</v>
      </c>
      <c r="V2881" s="0" t="n">
        <v>0</v>
      </c>
      <c r="W2881" s="0" t="str">
        <f aca="false">IF(OR(AND(B2881&gt;=1,B2881&lt;=6),B2881=10),"Vaca em lactação",IF(I2881="Male","Macho",IF(E2881&gt;=1,"Vaca seca",IF(I2881="Youngstock","Bezerra/recria","Novilha"))))</f>
        <v>Bezerra/recria</v>
      </c>
      <c r="X2881" s="0" t="str">
        <f aca="false">IF(AND(B2881&gt;=1,B2881&lt;=6),"Tanque",IF(B2881=10,"Descarte",""))</f>
        <v/>
      </c>
    </row>
    <row r="2882" customFormat="false" ht="15" hidden="false" customHeight="false" outlineLevel="0" collapsed="false">
      <c r="A2882" s="22" t="n">
        <v>46309</v>
      </c>
      <c r="B2882" s="0" t="n">
        <v>13</v>
      </c>
      <c r="C2882" s="0" t="n">
        <v>7268</v>
      </c>
      <c r="E2882" s="0" t="n">
        <v>0</v>
      </c>
      <c r="F2882" s="23" t="s">
        <v>1363</v>
      </c>
      <c r="I2882" s="23" t="s">
        <v>1249</v>
      </c>
      <c r="U2882" s="0" t="n">
        <v>292</v>
      </c>
      <c r="V2882" s="0" t="n">
        <v>0</v>
      </c>
      <c r="W2882" s="0" t="str">
        <f aca="false">IF(OR(AND(B2882&gt;=1,B2882&lt;=6),B2882=10),"Vaca em lactação",IF(I2882="Male","Macho",IF(E2882&gt;=1,"Vaca seca",IF(I2882="Youngstock","Bezerra/recria","Novilha"))))</f>
        <v>Bezerra/recria</v>
      </c>
      <c r="X2882" s="0" t="str">
        <f aca="false">IF(AND(B2882&gt;=1,B2882&lt;=6),"Tanque",IF(B2882=10,"Descarte",""))</f>
        <v/>
      </c>
    </row>
    <row r="2883" customFormat="false" ht="15" hidden="false" customHeight="false" outlineLevel="0" collapsed="false">
      <c r="A2883" s="22" t="n">
        <v>46309</v>
      </c>
      <c r="B2883" s="0" t="n">
        <v>13</v>
      </c>
      <c r="C2883" s="0" t="n">
        <v>7271</v>
      </c>
      <c r="E2883" s="0" t="n">
        <v>0</v>
      </c>
      <c r="F2883" s="23" t="s">
        <v>1364</v>
      </c>
      <c r="I2883" s="23" t="s">
        <v>1249</v>
      </c>
      <c r="U2883" s="0" t="n">
        <v>291</v>
      </c>
      <c r="V2883" s="0" t="n">
        <v>0</v>
      </c>
      <c r="W2883" s="0" t="str">
        <f aca="false">IF(OR(AND(B2883&gt;=1,B2883&lt;=6),B2883=10),"Vaca em lactação",IF(I2883="Male","Macho",IF(E2883&gt;=1,"Vaca seca",IF(I2883="Youngstock","Bezerra/recria","Novilha"))))</f>
        <v>Bezerra/recria</v>
      </c>
      <c r="X2883" s="0" t="str">
        <f aca="false">IF(AND(B2883&gt;=1,B2883&lt;=6),"Tanque",IF(B2883=10,"Descarte",""))</f>
        <v/>
      </c>
    </row>
    <row r="2884" customFormat="false" ht="15" hidden="false" customHeight="false" outlineLevel="0" collapsed="false">
      <c r="A2884" s="22" t="n">
        <v>46309</v>
      </c>
      <c r="B2884" s="0" t="n">
        <v>13</v>
      </c>
      <c r="C2884" s="0" t="n">
        <v>7274</v>
      </c>
      <c r="E2884" s="0" t="n">
        <v>0</v>
      </c>
      <c r="F2884" s="23" t="s">
        <v>1365</v>
      </c>
      <c r="I2884" s="23" t="s">
        <v>1249</v>
      </c>
      <c r="U2884" s="0" t="n">
        <v>289</v>
      </c>
      <c r="V2884" s="0" t="n">
        <v>0</v>
      </c>
      <c r="W2884" s="0" t="str">
        <f aca="false">IF(OR(AND(B2884&gt;=1,B2884&lt;=6),B2884=10),"Vaca em lactação",IF(I2884="Male","Macho",IF(E2884&gt;=1,"Vaca seca",IF(I2884="Youngstock","Bezerra/recria","Novilha"))))</f>
        <v>Bezerra/recria</v>
      </c>
      <c r="X2884" s="0" t="str">
        <f aca="false">IF(AND(B2884&gt;=1,B2884&lt;=6),"Tanque",IF(B2884=10,"Descarte",""))</f>
        <v/>
      </c>
    </row>
    <row r="2885" customFormat="false" ht="15" hidden="false" customHeight="false" outlineLevel="0" collapsed="false">
      <c r="A2885" s="22" t="n">
        <v>46309</v>
      </c>
      <c r="B2885" s="0" t="n">
        <v>13</v>
      </c>
      <c r="C2885" s="0" t="n">
        <v>7273</v>
      </c>
      <c r="E2885" s="0" t="n">
        <v>0</v>
      </c>
      <c r="F2885" s="23" t="s">
        <v>1365</v>
      </c>
      <c r="I2885" s="23" t="s">
        <v>1249</v>
      </c>
      <c r="U2885" s="0" t="n">
        <v>289</v>
      </c>
      <c r="V2885" s="0" t="n">
        <v>0</v>
      </c>
      <c r="W2885" s="0" t="str">
        <f aca="false">IF(OR(AND(B2885&gt;=1,B2885&lt;=6),B2885=10),"Vaca em lactação",IF(I2885="Male","Macho",IF(E2885&gt;=1,"Vaca seca",IF(I2885="Youngstock","Bezerra/recria","Novilha"))))</f>
        <v>Bezerra/recria</v>
      </c>
      <c r="X2885" s="0" t="str">
        <f aca="false">IF(AND(B2885&gt;=1,B2885&lt;=6),"Tanque",IF(B2885=10,"Descarte",""))</f>
        <v/>
      </c>
    </row>
    <row r="2886" customFormat="false" ht="15" hidden="false" customHeight="false" outlineLevel="0" collapsed="false">
      <c r="A2886" s="22" t="n">
        <v>46309</v>
      </c>
      <c r="B2886" s="0" t="n">
        <v>13</v>
      </c>
      <c r="C2886" s="0" t="n">
        <v>7272</v>
      </c>
      <c r="E2886" s="0" t="n">
        <v>0</v>
      </c>
      <c r="F2886" s="23" t="s">
        <v>1365</v>
      </c>
      <c r="I2886" s="23" t="s">
        <v>1249</v>
      </c>
      <c r="U2886" s="0" t="n">
        <v>289</v>
      </c>
      <c r="V2886" s="0" t="n">
        <v>0</v>
      </c>
      <c r="W2886" s="0" t="str">
        <f aca="false">IF(OR(AND(B2886&gt;=1,B2886&lt;=6),B2886=10),"Vaca em lactação",IF(I2886="Male","Macho",IF(E2886&gt;=1,"Vaca seca",IF(I2886="Youngstock","Bezerra/recria","Novilha"))))</f>
        <v>Bezerra/recria</v>
      </c>
      <c r="X2886" s="0" t="str">
        <f aca="false">IF(AND(B2886&gt;=1,B2886&lt;=6),"Tanque",IF(B2886=10,"Descarte",""))</f>
        <v/>
      </c>
    </row>
    <row r="2887" customFormat="false" ht="15" hidden="false" customHeight="false" outlineLevel="0" collapsed="false">
      <c r="A2887" s="22" t="n">
        <v>46309</v>
      </c>
      <c r="B2887" s="0" t="n">
        <v>13</v>
      </c>
      <c r="C2887" s="0" t="n">
        <v>7406</v>
      </c>
      <c r="E2887" s="0" t="n">
        <v>0</v>
      </c>
      <c r="F2887" s="23" t="s">
        <v>1366</v>
      </c>
      <c r="I2887" s="23" t="s">
        <v>1249</v>
      </c>
      <c r="U2887" s="0" t="n">
        <v>248</v>
      </c>
      <c r="V2887" s="0" t="n">
        <v>0</v>
      </c>
      <c r="W2887" s="0" t="str">
        <f aca="false">IF(OR(AND(B2887&gt;=1,B2887&lt;=6),B2887=10),"Vaca em lactação",IF(I2887="Male","Macho",IF(E2887&gt;=1,"Vaca seca",IF(I2887="Youngstock","Bezerra/recria","Novilha"))))</f>
        <v>Bezerra/recria</v>
      </c>
      <c r="X2887" s="0" t="str">
        <f aca="false">IF(AND(B2887&gt;=1,B2887&lt;=6),"Tanque",IF(B2887=10,"Descarte",""))</f>
        <v/>
      </c>
    </row>
    <row r="2888" customFormat="false" ht="15" hidden="false" customHeight="false" outlineLevel="0" collapsed="false">
      <c r="A2888" s="22" t="n">
        <v>46309</v>
      </c>
      <c r="B2888" s="0" t="n">
        <v>13</v>
      </c>
      <c r="C2888" s="0" t="n">
        <v>7408</v>
      </c>
      <c r="E2888" s="0" t="n">
        <v>0</v>
      </c>
      <c r="F2888" s="23" t="s">
        <v>1367</v>
      </c>
      <c r="I2888" s="23" t="s">
        <v>1249</v>
      </c>
      <c r="U2888" s="0" t="n">
        <v>247</v>
      </c>
      <c r="V2888" s="0" t="n">
        <v>0</v>
      </c>
      <c r="W2888" s="0" t="str">
        <f aca="false">IF(OR(AND(B2888&gt;=1,B2888&lt;=6),B2888=10),"Vaca em lactação",IF(I2888="Male","Macho",IF(E2888&gt;=1,"Vaca seca",IF(I2888="Youngstock","Bezerra/recria","Novilha"))))</f>
        <v>Bezerra/recria</v>
      </c>
      <c r="X2888" s="0" t="str">
        <f aca="false">IF(AND(B2888&gt;=1,B2888&lt;=6),"Tanque",IF(B2888=10,"Descarte",""))</f>
        <v/>
      </c>
    </row>
    <row r="2889" customFormat="false" ht="15" hidden="false" customHeight="false" outlineLevel="0" collapsed="false">
      <c r="A2889" s="22" t="n">
        <v>46309</v>
      </c>
      <c r="B2889" s="0" t="n">
        <v>13</v>
      </c>
      <c r="C2889" s="0" t="n">
        <v>7409</v>
      </c>
      <c r="E2889" s="0" t="n">
        <v>0</v>
      </c>
      <c r="F2889" s="23" t="s">
        <v>1368</v>
      </c>
      <c r="I2889" s="23" t="s">
        <v>1249</v>
      </c>
      <c r="U2889" s="0" t="n">
        <v>246</v>
      </c>
      <c r="V2889" s="0" t="n">
        <v>0</v>
      </c>
      <c r="W2889" s="0" t="str">
        <f aca="false">IF(OR(AND(B2889&gt;=1,B2889&lt;=6),B2889=10),"Vaca em lactação",IF(I2889="Male","Macho",IF(E2889&gt;=1,"Vaca seca",IF(I2889="Youngstock","Bezerra/recria","Novilha"))))</f>
        <v>Bezerra/recria</v>
      </c>
      <c r="X2889" s="0" t="str">
        <f aca="false">IF(AND(B2889&gt;=1,B2889&lt;=6),"Tanque",IF(B2889=10,"Descarte",""))</f>
        <v/>
      </c>
    </row>
    <row r="2890" customFormat="false" ht="15" hidden="false" customHeight="false" outlineLevel="0" collapsed="false">
      <c r="A2890" s="22" t="n">
        <v>46309</v>
      </c>
      <c r="B2890" s="0" t="n">
        <v>13</v>
      </c>
      <c r="C2890" s="0" t="n">
        <v>7411</v>
      </c>
      <c r="E2890" s="0" t="n">
        <v>0</v>
      </c>
      <c r="F2890" s="23" t="s">
        <v>1369</v>
      </c>
      <c r="I2890" s="23" t="s">
        <v>1249</v>
      </c>
      <c r="U2890" s="0" t="n">
        <v>245</v>
      </c>
      <c r="V2890" s="0" t="n">
        <v>0</v>
      </c>
      <c r="W2890" s="0" t="str">
        <f aca="false">IF(OR(AND(B2890&gt;=1,B2890&lt;=6),B2890=10),"Vaca em lactação",IF(I2890="Male","Macho",IF(E2890&gt;=1,"Vaca seca",IF(I2890="Youngstock","Bezerra/recria","Novilha"))))</f>
        <v>Bezerra/recria</v>
      </c>
      <c r="X2890" s="0" t="str">
        <f aca="false">IF(AND(B2890&gt;=1,B2890&lt;=6),"Tanque",IF(B2890=10,"Descarte",""))</f>
        <v/>
      </c>
    </row>
    <row r="2891" customFormat="false" ht="15" hidden="false" customHeight="false" outlineLevel="0" collapsed="false">
      <c r="A2891" s="22" t="n">
        <v>46309</v>
      </c>
      <c r="B2891" s="0" t="n">
        <v>13</v>
      </c>
      <c r="C2891" s="0" t="n">
        <v>7414</v>
      </c>
      <c r="E2891" s="0" t="n">
        <v>0</v>
      </c>
      <c r="F2891" s="23" t="s">
        <v>1369</v>
      </c>
      <c r="I2891" s="23" t="s">
        <v>1249</v>
      </c>
      <c r="U2891" s="0" t="n">
        <v>245</v>
      </c>
      <c r="V2891" s="0" t="n">
        <v>0</v>
      </c>
      <c r="W2891" s="0" t="str">
        <f aca="false">IF(OR(AND(B2891&gt;=1,B2891&lt;=6),B2891=10),"Vaca em lactação",IF(I2891="Male","Macho",IF(E2891&gt;=1,"Vaca seca",IF(I2891="Youngstock","Bezerra/recria","Novilha"))))</f>
        <v>Bezerra/recria</v>
      </c>
      <c r="X2891" s="0" t="str">
        <f aca="false">IF(AND(B2891&gt;=1,B2891&lt;=6),"Tanque",IF(B2891=10,"Descarte",""))</f>
        <v/>
      </c>
    </row>
    <row r="2892" customFormat="false" ht="15" hidden="false" customHeight="false" outlineLevel="0" collapsed="false">
      <c r="A2892" s="22" t="n">
        <v>46309</v>
      </c>
      <c r="B2892" s="0" t="n">
        <v>13</v>
      </c>
      <c r="C2892" s="0" t="n">
        <v>7413</v>
      </c>
      <c r="E2892" s="0" t="n">
        <v>0</v>
      </c>
      <c r="F2892" s="23" t="s">
        <v>1369</v>
      </c>
      <c r="I2892" s="23" t="s">
        <v>1249</v>
      </c>
      <c r="U2892" s="0" t="n">
        <v>245</v>
      </c>
      <c r="V2892" s="0" t="n">
        <v>0</v>
      </c>
      <c r="W2892" s="0" t="str">
        <f aca="false">IF(OR(AND(B2892&gt;=1,B2892&lt;=6),B2892=10),"Vaca em lactação",IF(I2892="Male","Macho",IF(E2892&gt;=1,"Vaca seca",IF(I2892="Youngstock","Bezerra/recria","Novilha"))))</f>
        <v>Bezerra/recria</v>
      </c>
      <c r="X2892" s="0" t="str">
        <f aca="false">IF(AND(B2892&gt;=1,B2892&lt;=6),"Tanque",IF(B2892=10,"Descarte",""))</f>
        <v/>
      </c>
    </row>
    <row r="2893" customFormat="false" ht="15" hidden="false" customHeight="false" outlineLevel="0" collapsed="false">
      <c r="A2893" s="22" t="n">
        <v>46309</v>
      </c>
      <c r="B2893" s="0" t="n">
        <v>13</v>
      </c>
      <c r="C2893" s="0" t="n">
        <v>7415</v>
      </c>
      <c r="E2893" s="0" t="n">
        <v>0</v>
      </c>
      <c r="F2893" s="23" t="s">
        <v>1369</v>
      </c>
      <c r="I2893" s="23" t="s">
        <v>1249</v>
      </c>
      <c r="U2893" s="0" t="n">
        <v>245</v>
      </c>
      <c r="V2893" s="0" t="n">
        <v>0</v>
      </c>
      <c r="W2893" s="0" t="str">
        <f aca="false">IF(OR(AND(B2893&gt;=1,B2893&lt;=6),B2893=10),"Vaca em lactação",IF(I2893="Male","Macho",IF(E2893&gt;=1,"Vaca seca",IF(I2893="Youngstock","Bezerra/recria","Novilha"))))</f>
        <v>Bezerra/recria</v>
      </c>
      <c r="X2893" s="0" t="str">
        <f aca="false">IF(AND(B2893&gt;=1,B2893&lt;=6),"Tanque",IF(B2893=10,"Descarte",""))</f>
        <v/>
      </c>
    </row>
    <row r="2894" customFormat="false" ht="15" hidden="false" customHeight="false" outlineLevel="0" collapsed="false">
      <c r="A2894" s="22" t="n">
        <v>46309</v>
      </c>
      <c r="B2894" s="0" t="n">
        <v>13</v>
      </c>
      <c r="C2894" s="0" t="n">
        <v>7382</v>
      </c>
      <c r="E2894" s="0" t="n">
        <v>0</v>
      </c>
      <c r="F2894" s="23" t="s">
        <v>1370</v>
      </c>
      <c r="I2894" s="23" t="s">
        <v>1249</v>
      </c>
      <c r="U2894" s="0" t="n">
        <v>254</v>
      </c>
      <c r="V2894" s="0" t="n">
        <v>0</v>
      </c>
      <c r="W2894" s="0" t="str">
        <f aca="false">IF(OR(AND(B2894&gt;=1,B2894&lt;=6),B2894=10),"Vaca em lactação",IF(I2894="Male","Macho",IF(E2894&gt;=1,"Vaca seca",IF(I2894="Youngstock","Bezerra/recria","Novilha"))))</f>
        <v>Bezerra/recria</v>
      </c>
      <c r="X2894" s="0" t="str">
        <f aca="false">IF(AND(B2894&gt;=1,B2894&lt;=6),"Tanque",IF(B2894=10,"Descarte",""))</f>
        <v/>
      </c>
    </row>
    <row r="2895" customFormat="false" ht="15" hidden="false" customHeight="false" outlineLevel="0" collapsed="false">
      <c r="A2895" s="22" t="n">
        <v>46309</v>
      </c>
      <c r="B2895" s="0" t="n">
        <v>13</v>
      </c>
      <c r="C2895" s="0" t="n">
        <v>7384</v>
      </c>
      <c r="E2895" s="0" t="n">
        <v>0</v>
      </c>
      <c r="F2895" s="23" t="s">
        <v>1370</v>
      </c>
      <c r="I2895" s="23" t="s">
        <v>1249</v>
      </c>
      <c r="U2895" s="0" t="n">
        <v>254</v>
      </c>
      <c r="V2895" s="0" t="n">
        <v>0</v>
      </c>
      <c r="W2895" s="0" t="str">
        <f aca="false">IF(OR(AND(B2895&gt;=1,B2895&lt;=6),B2895=10),"Vaca em lactação",IF(I2895="Male","Macho",IF(E2895&gt;=1,"Vaca seca",IF(I2895="Youngstock","Bezerra/recria","Novilha"))))</f>
        <v>Bezerra/recria</v>
      </c>
      <c r="X2895" s="0" t="str">
        <f aca="false">IF(AND(B2895&gt;=1,B2895&lt;=6),"Tanque",IF(B2895=10,"Descarte",""))</f>
        <v/>
      </c>
    </row>
    <row r="2896" customFormat="false" ht="15" hidden="false" customHeight="false" outlineLevel="0" collapsed="false">
      <c r="A2896" s="22" t="n">
        <v>46309</v>
      </c>
      <c r="B2896" s="0" t="n">
        <v>13</v>
      </c>
      <c r="C2896" s="0" t="n">
        <v>7385</v>
      </c>
      <c r="E2896" s="0" t="n">
        <v>0</v>
      </c>
      <c r="F2896" s="23" t="s">
        <v>1371</v>
      </c>
      <c r="I2896" s="23" t="s">
        <v>1249</v>
      </c>
      <c r="U2896" s="0" t="n">
        <v>253</v>
      </c>
      <c r="V2896" s="0" t="n">
        <v>0</v>
      </c>
      <c r="W2896" s="0" t="str">
        <f aca="false">IF(OR(AND(B2896&gt;=1,B2896&lt;=6),B2896=10),"Vaca em lactação",IF(I2896="Male","Macho",IF(E2896&gt;=1,"Vaca seca",IF(I2896="Youngstock","Bezerra/recria","Novilha"))))</f>
        <v>Bezerra/recria</v>
      </c>
      <c r="X2896" s="0" t="str">
        <f aca="false">IF(AND(B2896&gt;=1,B2896&lt;=6),"Tanque",IF(B2896=10,"Descarte",""))</f>
        <v/>
      </c>
    </row>
    <row r="2897" customFormat="false" ht="15" hidden="false" customHeight="false" outlineLevel="0" collapsed="false">
      <c r="A2897" s="22" t="n">
        <v>46309</v>
      </c>
      <c r="B2897" s="0" t="n">
        <v>13</v>
      </c>
      <c r="C2897" s="0" t="n">
        <v>7386</v>
      </c>
      <c r="E2897" s="0" t="n">
        <v>0</v>
      </c>
      <c r="F2897" s="23" t="s">
        <v>1371</v>
      </c>
      <c r="I2897" s="23" t="s">
        <v>1249</v>
      </c>
      <c r="U2897" s="0" t="n">
        <v>253</v>
      </c>
      <c r="V2897" s="0" t="n">
        <v>0</v>
      </c>
      <c r="W2897" s="0" t="str">
        <f aca="false">IF(OR(AND(B2897&gt;=1,B2897&lt;=6),B2897=10),"Vaca em lactação",IF(I2897="Male","Macho",IF(E2897&gt;=1,"Vaca seca",IF(I2897="Youngstock","Bezerra/recria","Novilha"))))</f>
        <v>Bezerra/recria</v>
      </c>
      <c r="X2897" s="0" t="str">
        <f aca="false">IF(AND(B2897&gt;=1,B2897&lt;=6),"Tanque",IF(B2897=10,"Descarte",""))</f>
        <v/>
      </c>
    </row>
    <row r="2898" customFormat="false" ht="15" hidden="false" customHeight="false" outlineLevel="0" collapsed="false">
      <c r="A2898" s="22" t="n">
        <v>46309</v>
      </c>
      <c r="B2898" s="0" t="n">
        <v>13</v>
      </c>
      <c r="C2898" s="0" t="n">
        <v>7388</v>
      </c>
      <c r="E2898" s="0" t="n">
        <v>0</v>
      </c>
      <c r="F2898" s="23" t="s">
        <v>1371</v>
      </c>
      <c r="I2898" s="23" t="s">
        <v>1249</v>
      </c>
      <c r="U2898" s="0" t="n">
        <v>253</v>
      </c>
      <c r="V2898" s="0" t="n">
        <v>0</v>
      </c>
      <c r="W2898" s="0" t="str">
        <f aca="false">IF(OR(AND(B2898&gt;=1,B2898&lt;=6),B2898=10),"Vaca em lactação",IF(I2898="Male","Macho",IF(E2898&gt;=1,"Vaca seca",IF(I2898="Youngstock","Bezerra/recria","Novilha"))))</f>
        <v>Bezerra/recria</v>
      </c>
      <c r="X2898" s="0" t="str">
        <f aca="false">IF(AND(B2898&gt;=1,B2898&lt;=6),"Tanque",IF(B2898=10,"Descarte",""))</f>
        <v/>
      </c>
    </row>
    <row r="2899" customFormat="false" ht="15" hidden="false" customHeight="false" outlineLevel="0" collapsed="false">
      <c r="A2899" s="22" t="n">
        <v>46309</v>
      </c>
      <c r="B2899" s="0" t="n">
        <v>13</v>
      </c>
      <c r="C2899" s="0" t="n">
        <v>7387</v>
      </c>
      <c r="E2899" s="0" t="n">
        <v>0</v>
      </c>
      <c r="F2899" s="23" t="s">
        <v>1371</v>
      </c>
      <c r="I2899" s="23" t="s">
        <v>1249</v>
      </c>
      <c r="U2899" s="0" t="n">
        <v>253</v>
      </c>
      <c r="V2899" s="0" t="n">
        <v>0</v>
      </c>
      <c r="W2899" s="0" t="str">
        <f aca="false">IF(OR(AND(B2899&gt;=1,B2899&lt;=6),B2899=10),"Vaca em lactação",IF(I2899="Male","Macho",IF(E2899&gt;=1,"Vaca seca",IF(I2899="Youngstock","Bezerra/recria","Novilha"))))</f>
        <v>Bezerra/recria</v>
      </c>
      <c r="X2899" s="0" t="str">
        <f aca="false">IF(AND(B2899&gt;=1,B2899&lt;=6),"Tanque",IF(B2899=10,"Descarte",""))</f>
        <v/>
      </c>
    </row>
    <row r="2900" customFormat="false" ht="15" hidden="false" customHeight="false" outlineLevel="0" collapsed="false">
      <c r="A2900" s="22" t="n">
        <v>46309</v>
      </c>
      <c r="B2900" s="0" t="n">
        <v>13</v>
      </c>
      <c r="C2900" s="0" t="n">
        <v>7389</v>
      </c>
      <c r="E2900" s="0" t="n">
        <v>0</v>
      </c>
      <c r="F2900" s="23" t="s">
        <v>1371</v>
      </c>
      <c r="I2900" s="23" t="s">
        <v>1249</v>
      </c>
      <c r="U2900" s="0" t="n">
        <v>253</v>
      </c>
      <c r="V2900" s="0" t="n">
        <v>0</v>
      </c>
      <c r="W2900" s="0" t="str">
        <f aca="false">IF(OR(AND(B2900&gt;=1,B2900&lt;=6),B2900=10),"Vaca em lactação",IF(I2900="Male","Macho",IF(E2900&gt;=1,"Vaca seca",IF(I2900="Youngstock","Bezerra/recria","Novilha"))))</f>
        <v>Bezerra/recria</v>
      </c>
      <c r="X2900" s="0" t="str">
        <f aca="false">IF(AND(B2900&gt;=1,B2900&lt;=6),"Tanque",IF(B2900=10,"Descarte",""))</f>
        <v/>
      </c>
    </row>
    <row r="2901" customFormat="false" ht="15" hidden="false" customHeight="false" outlineLevel="0" collapsed="false">
      <c r="A2901" s="22" t="n">
        <v>46309</v>
      </c>
      <c r="B2901" s="0" t="n">
        <v>13</v>
      </c>
      <c r="C2901" s="0" t="n">
        <v>7390</v>
      </c>
      <c r="E2901" s="0" t="n">
        <v>0</v>
      </c>
      <c r="F2901" s="23" t="s">
        <v>1372</v>
      </c>
      <c r="I2901" s="23" t="s">
        <v>1249</v>
      </c>
      <c r="U2901" s="0" t="n">
        <v>252</v>
      </c>
      <c r="V2901" s="0" t="n">
        <v>0</v>
      </c>
      <c r="W2901" s="0" t="str">
        <f aca="false">IF(OR(AND(B2901&gt;=1,B2901&lt;=6),B2901=10),"Vaca em lactação",IF(I2901="Male","Macho",IF(E2901&gt;=1,"Vaca seca",IF(I2901="Youngstock","Bezerra/recria","Novilha"))))</f>
        <v>Bezerra/recria</v>
      </c>
      <c r="X2901" s="0" t="str">
        <f aca="false">IF(AND(B2901&gt;=1,B2901&lt;=6),"Tanque",IF(B2901=10,"Descarte",""))</f>
        <v/>
      </c>
    </row>
    <row r="2902" customFormat="false" ht="15" hidden="false" customHeight="false" outlineLevel="0" collapsed="false">
      <c r="A2902" s="22" t="n">
        <v>46309</v>
      </c>
      <c r="B2902" s="0" t="n">
        <v>13</v>
      </c>
      <c r="C2902" s="0" t="n">
        <v>7396</v>
      </c>
      <c r="E2902" s="0" t="n">
        <v>0</v>
      </c>
      <c r="F2902" s="23" t="s">
        <v>1373</v>
      </c>
      <c r="I2902" s="23" t="s">
        <v>1249</v>
      </c>
      <c r="U2902" s="0" t="n">
        <v>251</v>
      </c>
      <c r="V2902" s="0" t="n">
        <v>0</v>
      </c>
      <c r="W2902" s="0" t="str">
        <f aca="false">IF(OR(AND(B2902&gt;=1,B2902&lt;=6),B2902=10),"Vaca em lactação",IF(I2902="Male","Macho",IF(E2902&gt;=1,"Vaca seca",IF(I2902="Youngstock","Bezerra/recria","Novilha"))))</f>
        <v>Bezerra/recria</v>
      </c>
      <c r="X2902" s="0" t="str">
        <f aca="false">IF(AND(B2902&gt;=1,B2902&lt;=6),"Tanque",IF(B2902=10,"Descarte",""))</f>
        <v/>
      </c>
    </row>
    <row r="2903" customFormat="false" ht="15" hidden="false" customHeight="false" outlineLevel="0" collapsed="false">
      <c r="A2903" s="22" t="n">
        <v>46309</v>
      </c>
      <c r="B2903" s="0" t="n">
        <v>13</v>
      </c>
      <c r="C2903" s="0" t="n">
        <v>7395</v>
      </c>
      <c r="E2903" s="0" t="n">
        <v>0</v>
      </c>
      <c r="F2903" s="23" t="s">
        <v>1373</v>
      </c>
      <c r="I2903" s="23" t="s">
        <v>1249</v>
      </c>
      <c r="U2903" s="0" t="n">
        <v>251</v>
      </c>
      <c r="V2903" s="0" t="n">
        <v>0</v>
      </c>
      <c r="W2903" s="0" t="str">
        <f aca="false">IF(OR(AND(B2903&gt;=1,B2903&lt;=6),B2903=10),"Vaca em lactação",IF(I2903="Male","Macho",IF(E2903&gt;=1,"Vaca seca",IF(I2903="Youngstock","Bezerra/recria","Novilha"))))</f>
        <v>Bezerra/recria</v>
      </c>
      <c r="X2903" s="0" t="str">
        <f aca="false">IF(AND(B2903&gt;=1,B2903&lt;=6),"Tanque",IF(B2903=10,"Descarte",""))</f>
        <v/>
      </c>
    </row>
    <row r="2904" customFormat="false" ht="15" hidden="false" customHeight="false" outlineLevel="0" collapsed="false">
      <c r="A2904" s="22" t="n">
        <v>46309</v>
      </c>
      <c r="B2904" s="0" t="n">
        <v>13</v>
      </c>
      <c r="C2904" s="0" t="n">
        <v>7394</v>
      </c>
      <c r="E2904" s="0" t="n">
        <v>0</v>
      </c>
      <c r="F2904" s="23" t="s">
        <v>1373</v>
      </c>
      <c r="I2904" s="23" t="s">
        <v>1249</v>
      </c>
      <c r="U2904" s="0" t="n">
        <v>251</v>
      </c>
      <c r="V2904" s="0" t="n">
        <v>0</v>
      </c>
      <c r="W2904" s="0" t="str">
        <f aca="false">IF(OR(AND(B2904&gt;=1,B2904&lt;=6),B2904=10),"Vaca em lactação",IF(I2904="Male","Macho",IF(E2904&gt;=1,"Vaca seca",IF(I2904="Youngstock","Bezerra/recria","Novilha"))))</f>
        <v>Bezerra/recria</v>
      </c>
      <c r="X2904" s="0" t="str">
        <f aca="false">IF(AND(B2904&gt;=1,B2904&lt;=6),"Tanque",IF(B2904=10,"Descarte",""))</f>
        <v/>
      </c>
    </row>
    <row r="2905" customFormat="false" ht="15" hidden="false" customHeight="false" outlineLevel="0" collapsed="false">
      <c r="A2905" s="22" t="n">
        <v>46309</v>
      </c>
      <c r="B2905" s="0" t="n">
        <v>13</v>
      </c>
      <c r="C2905" s="0" t="n">
        <v>7393</v>
      </c>
      <c r="E2905" s="0" t="n">
        <v>0</v>
      </c>
      <c r="F2905" s="23" t="s">
        <v>1372</v>
      </c>
      <c r="I2905" s="23" t="s">
        <v>1249</v>
      </c>
      <c r="U2905" s="0" t="n">
        <v>252</v>
      </c>
      <c r="V2905" s="0" t="n">
        <v>0</v>
      </c>
      <c r="W2905" s="0" t="str">
        <f aca="false">IF(OR(AND(B2905&gt;=1,B2905&lt;=6),B2905=10),"Vaca em lactação",IF(I2905="Male","Macho",IF(E2905&gt;=1,"Vaca seca",IF(I2905="Youngstock","Bezerra/recria","Novilha"))))</f>
        <v>Bezerra/recria</v>
      </c>
      <c r="X2905" s="0" t="str">
        <f aca="false">IF(AND(B2905&gt;=1,B2905&lt;=6),"Tanque",IF(B2905=10,"Descarte",""))</f>
        <v/>
      </c>
    </row>
    <row r="2906" customFormat="false" ht="15" hidden="false" customHeight="false" outlineLevel="0" collapsed="false">
      <c r="A2906" s="22" t="n">
        <v>46309</v>
      </c>
      <c r="B2906" s="0" t="n">
        <v>13</v>
      </c>
      <c r="C2906" s="0" t="n">
        <v>7392</v>
      </c>
      <c r="E2906" s="0" t="n">
        <v>0</v>
      </c>
      <c r="F2906" s="23" t="s">
        <v>1372</v>
      </c>
      <c r="I2906" s="23" t="s">
        <v>1249</v>
      </c>
      <c r="U2906" s="0" t="n">
        <v>252</v>
      </c>
      <c r="V2906" s="0" t="n">
        <v>0</v>
      </c>
      <c r="W2906" s="0" t="str">
        <f aca="false">IF(OR(AND(B2906&gt;=1,B2906&lt;=6),B2906=10),"Vaca em lactação",IF(I2906="Male","Macho",IF(E2906&gt;=1,"Vaca seca",IF(I2906="Youngstock","Bezerra/recria","Novilha"))))</f>
        <v>Bezerra/recria</v>
      </c>
      <c r="X2906" s="0" t="str">
        <f aca="false">IF(AND(B2906&gt;=1,B2906&lt;=6),"Tanque",IF(B2906=10,"Descarte",""))</f>
        <v/>
      </c>
    </row>
    <row r="2907" customFormat="false" ht="15" hidden="false" customHeight="false" outlineLevel="0" collapsed="false">
      <c r="A2907" s="22" t="n">
        <v>46309</v>
      </c>
      <c r="B2907" s="0" t="n">
        <v>13</v>
      </c>
      <c r="C2907" s="0" t="n">
        <v>7391</v>
      </c>
      <c r="E2907" s="0" t="n">
        <v>0</v>
      </c>
      <c r="F2907" s="23" t="s">
        <v>1372</v>
      </c>
      <c r="I2907" s="23" t="s">
        <v>1249</v>
      </c>
      <c r="U2907" s="0" t="n">
        <v>252</v>
      </c>
      <c r="V2907" s="0" t="n">
        <v>0</v>
      </c>
      <c r="W2907" s="0" t="str">
        <f aca="false">IF(OR(AND(B2907&gt;=1,B2907&lt;=6),B2907=10),"Vaca em lactação",IF(I2907="Male","Macho",IF(E2907&gt;=1,"Vaca seca",IF(I2907="Youngstock","Bezerra/recria","Novilha"))))</f>
        <v>Bezerra/recria</v>
      </c>
      <c r="X2907" s="0" t="str">
        <f aca="false">IF(AND(B2907&gt;=1,B2907&lt;=6),"Tanque",IF(B2907=10,"Descarte",""))</f>
        <v/>
      </c>
    </row>
    <row r="2908" customFormat="false" ht="15" hidden="false" customHeight="false" outlineLevel="0" collapsed="false">
      <c r="A2908" s="22" t="n">
        <v>46309</v>
      </c>
      <c r="B2908" s="0" t="n">
        <v>13</v>
      </c>
      <c r="C2908" s="0" t="n">
        <v>7400</v>
      </c>
      <c r="E2908" s="0" t="n">
        <v>0</v>
      </c>
      <c r="F2908" s="23" t="s">
        <v>1374</v>
      </c>
      <c r="I2908" s="23" t="s">
        <v>1249</v>
      </c>
      <c r="U2908" s="0" t="n">
        <v>250</v>
      </c>
      <c r="V2908" s="0" t="n">
        <v>0</v>
      </c>
      <c r="W2908" s="0" t="str">
        <f aca="false">IF(OR(AND(B2908&gt;=1,B2908&lt;=6),B2908=10),"Vaca em lactação",IF(I2908="Male","Macho",IF(E2908&gt;=1,"Vaca seca",IF(I2908="Youngstock","Bezerra/recria","Novilha"))))</f>
        <v>Bezerra/recria</v>
      </c>
      <c r="X2908" s="0" t="str">
        <f aca="false">IF(AND(B2908&gt;=1,B2908&lt;=6),"Tanque",IF(B2908=10,"Descarte",""))</f>
        <v/>
      </c>
    </row>
    <row r="2909" customFormat="false" ht="15" hidden="false" customHeight="false" outlineLevel="0" collapsed="false">
      <c r="A2909" s="22" t="n">
        <v>46309</v>
      </c>
      <c r="B2909" s="0" t="n">
        <v>13</v>
      </c>
      <c r="C2909" s="0" t="n">
        <v>7399</v>
      </c>
      <c r="E2909" s="0" t="n">
        <v>0</v>
      </c>
      <c r="F2909" s="23" t="s">
        <v>1373</v>
      </c>
      <c r="I2909" s="23" t="s">
        <v>1249</v>
      </c>
      <c r="U2909" s="0" t="n">
        <v>251</v>
      </c>
      <c r="V2909" s="0" t="n">
        <v>0</v>
      </c>
      <c r="W2909" s="0" t="str">
        <f aca="false">IF(OR(AND(B2909&gt;=1,B2909&lt;=6),B2909=10),"Vaca em lactação",IF(I2909="Male","Macho",IF(E2909&gt;=1,"Vaca seca",IF(I2909="Youngstock","Bezerra/recria","Novilha"))))</f>
        <v>Bezerra/recria</v>
      </c>
      <c r="X2909" s="0" t="str">
        <f aca="false">IF(AND(B2909&gt;=1,B2909&lt;=6),"Tanque",IF(B2909=10,"Descarte",""))</f>
        <v/>
      </c>
    </row>
    <row r="2910" customFormat="false" ht="15" hidden="false" customHeight="false" outlineLevel="0" collapsed="false">
      <c r="A2910" s="22" t="n">
        <v>46309</v>
      </c>
      <c r="B2910" s="0" t="n">
        <v>13</v>
      </c>
      <c r="C2910" s="0" t="n">
        <v>7398</v>
      </c>
      <c r="E2910" s="0" t="n">
        <v>0</v>
      </c>
      <c r="F2910" s="23" t="s">
        <v>1373</v>
      </c>
      <c r="I2910" s="23" t="s">
        <v>1249</v>
      </c>
      <c r="U2910" s="0" t="n">
        <v>251</v>
      </c>
      <c r="V2910" s="0" t="n">
        <v>0</v>
      </c>
      <c r="W2910" s="0" t="str">
        <f aca="false">IF(OR(AND(B2910&gt;=1,B2910&lt;=6),B2910=10),"Vaca em lactação",IF(I2910="Male","Macho",IF(E2910&gt;=1,"Vaca seca",IF(I2910="Youngstock","Bezerra/recria","Novilha"))))</f>
        <v>Bezerra/recria</v>
      </c>
      <c r="X2910" s="0" t="str">
        <f aca="false">IF(AND(B2910&gt;=1,B2910&lt;=6),"Tanque",IF(B2910=10,"Descarte",""))</f>
        <v/>
      </c>
    </row>
    <row r="2911" customFormat="false" ht="15" hidden="false" customHeight="false" outlineLevel="0" collapsed="false">
      <c r="A2911" s="22" t="n">
        <v>46309</v>
      </c>
      <c r="B2911" s="0" t="n">
        <v>13</v>
      </c>
      <c r="C2911" s="0" t="n">
        <v>7397</v>
      </c>
      <c r="E2911" s="0" t="n">
        <v>0</v>
      </c>
      <c r="F2911" s="23" t="s">
        <v>1373</v>
      </c>
      <c r="I2911" s="23" t="s">
        <v>1249</v>
      </c>
      <c r="U2911" s="0" t="n">
        <v>251</v>
      </c>
      <c r="V2911" s="0" t="n">
        <v>0</v>
      </c>
      <c r="W2911" s="0" t="str">
        <f aca="false">IF(OR(AND(B2911&gt;=1,B2911&lt;=6),B2911=10),"Vaca em lactação",IF(I2911="Male","Macho",IF(E2911&gt;=1,"Vaca seca",IF(I2911="Youngstock","Bezerra/recria","Novilha"))))</f>
        <v>Bezerra/recria</v>
      </c>
      <c r="X2911" s="0" t="str">
        <f aca="false">IF(AND(B2911&gt;=1,B2911&lt;=6),"Tanque",IF(B2911=10,"Descarte",""))</f>
        <v/>
      </c>
    </row>
    <row r="2912" customFormat="false" ht="15" hidden="false" customHeight="false" outlineLevel="0" collapsed="false">
      <c r="A2912" s="22" t="n">
        <v>46309</v>
      </c>
      <c r="B2912" s="0" t="n">
        <v>13</v>
      </c>
      <c r="C2912" s="0" t="n">
        <v>7405</v>
      </c>
      <c r="E2912" s="0" t="n">
        <v>0</v>
      </c>
      <c r="F2912" s="23" t="s">
        <v>1366</v>
      </c>
      <c r="I2912" s="23" t="s">
        <v>1249</v>
      </c>
      <c r="U2912" s="0" t="n">
        <v>248</v>
      </c>
      <c r="V2912" s="0" t="n">
        <v>0</v>
      </c>
      <c r="W2912" s="0" t="str">
        <f aca="false">IF(OR(AND(B2912&gt;=1,B2912&lt;=6),B2912=10),"Vaca em lactação",IF(I2912="Male","Macho",IF(E2912&gt;=1,"Vaca seca",IF(I2912="Youngstock","Bezerra/recria","Novilha"))))</f>
        <v>Bezerra/recria</v>
      </c>
      <c r="X2912" s="0" t="str">
        <f aca="false">IF(AND(B2912&gt;=1,B2912&lt;=6),"Tanque",IF(B2912=10,"Descarte",""))</f>
        <v/>
      </c>
    </row>
    <row r="2913" customFormat="false" ht="15" hidden="false" customHeight="false" outlineLevel="0" collapsed="false">
      <c r="A2913" s="22" t="n">
        <v>46309</v>
      </c>
      <c r="B2913" s="0" t="n">
        <v>13</v>
      </c>
      <c r="C2913" s="0" t="n">
        <v>7404</v>
      </c>
      <c r="E2913" s="0" t="n">
        <v>0</v>
      </c>
      <c r="F2913" s="23" t="s">
        <v>1366</v>
      </c>
      <c r="I2913" s="23" t="s">
        <v>1249</v>
      </c>
      <c r="U2913" s="0" t="n">
        <v>248</v>
      </c>
      <c r="V2913" s="0" t="n">
        <v>0</v>
      </c>
      <c r="W2913" s="0" t="str">
        <f aca="false">IF(OR(AND(B2913&gt;=1,B2913&lt;=6),B2913=10),"Vaca em lactação",IF(I2913="Male","Macho",IF(E2913&gt;=1,"Vaca seca",IF(I2913="Youngstock","Bezerra/recria","Novilha"))))</f>
        <v>Bezerra/recria</v>
      </c>
      <c r="X2913" s="0" t="str">
        <f aca="false">IF(AND(B2913&gt;=1,B2913&lt;=6),"Tanque",IF(B2913=10,"Descarte",""))</f>
        <v/>
      </c>
    </row>
    <row r="2914" customFormat="false" ht="15" hidden="false" customHeight="false" outlineLevel="0" collapsed="false">
      <c r="A2914" s="22" t="n">
        <v>46309</v>
      </c>
      <c r="B2914" s="0" t="n">
        <v>13</v>
      </c>
      <c r="C2914" s="0" t="n">
        <v>7403</v>
      </c>
      <c r="E2914" s="0" t="n">
        <v>0</v>
      </c>
      <c r="F2914" s="23" t="s">
        <v>1375</v>
      </c>
      <c r="I2914" s="23" t="s">
        <v>1249</v>
      </c>
      <c r="U2914" s="0" t="n">
        <v>249</v>
      </c>
      <c r="V2914" s="0" t="n">
        <v>0</v>
      </c>
      <c r="W2914" s="0" t="str">
        <f aca="false">IF(OR(AND(B2914&gt;=1,B2914&lt;=6),B2914=10),"Vaca em lactação",IF(I2914="Male","Macho",IF(E2914&gt;=1,"Vaca seca",IF(I2914="Youngstock","Bezerra/recria","Novilha"))))</f>
        <v>Bezerra/recria</v>
      </c>
      <c r="X2914" s="0" t="str">
        <f aca="false">IF(AND(B2914&gt;=1,B2914&lt;=6),"Tanque",IF(B2914=10,"Descarte",""))</f>
        <v/>
      </c>
    </row>
    <row r="2915" customFormat="false" ht="15" hidden="false" customHeight="false" outlineLevel="0" collapsed="false">
      <c r="A2915" s="22" t="n">
        <v>46309</v>
      </c>
      <c r="B2915" s="0" t="n">
        <v>13</v>
      </c>
      <c r="C2915" s="0" t="n">
        <v>7402</v>
      </c>
      <c r="E2915" s="0" t="n">
        <v>0</v>
      </c>
      <c r="F2915" s="23" t="s">
        <v>1375</v>
      </c>
      <c r="I2915" s="23" t="s">
        <v>1249</v>
      </c>
      <c r="U2915" s="0" t="n">
        <v>249</v>
      </c>
      <c r="V2915" s="0" t="n">
        <v>0</v>
      </c>
      <c r="W2915" s="0" t="str">
        <f aca="false">IF(OR(AND(B2915&gt;=1,B2915&lt;=6),B2915=10),"Vaca em lactação",IF(I2915="Male","Macho",IF(E2915&gt;=1,"Vaca seca",IF(I2915="Youngstock","Bezerra/recria","Novilha"))))</f>
        <v>Bezerra/recria</v>
      </c>
      <c r="X2915" s="0" t="str">
        <f aca="false">IF(AND(B2915&gt;=1,B2915&lt;=6),"Tanque",IF(B2915=10,"Descarte",""))</f>
        <v/>
      </c>
    </row>
    <row r="2916" customFormat="false" ht="15" hidden="false" customHeight="false" outlineLevel="0" collapsed="false">
      <c r="A2916" s="22" t="n">
        <v>46309</v>
      </c>
      <c r="B2916" s="0" t="n">
        <v>13</v>
      </c>
      <c r="C2916" s="0" t="n">
        <v>7401</v>
      </c>
      <c r="E2916" s="0" t="n">
        <v>0</v>
      </c>
      <c r="F2916" s="23" t="s">
        <v>1374</v>
      </c>
      <c r="I2916" s="23" t="s">
        <v>1249</v>
      </c>
      <c r="U2916" s="0" t="n">
        <v>250</v>
      </c>
      <c r="V2916" s="0" t="n">
        <v>0</v>
      </c>
      <c r="W2916" s="0" t="str">
        <f aca="false">IF(OR(AND(B2916&gt;=1,B2916&lt;=6),B2916=10),"Vaca em lactação",IF(I2916="Male","Macho",IF(E2916&gt;=1,"Vaca seca",IF(I2916="Youngstock","Bezerra/recria","Novilha"))))</f>
        <v>Bezerra/recria</v>
      </c>
      <c r="X2916" s="0" t="str">
        <f aca="false">IF(AND(B2916&gt;=1,B2916&lt;=6),"Tanque",IF(B2916=10,"Descarte",""))</f>
        <v/>
      </c>
    </row>
    <row r="2917" customFormat="false" ht="15" hidden="false" customHeight="false" outlineLevel="0" collapsed="false">
      <c r="A2917" s="22" t="n">
        <v>46309</v>
      </c>
      <c r="B2917" s="0" t="n">
        <v>13</v>
      </c>
      <c r="C2917" s="0" t="n">
        <v>7365</v>
      </c>
      <c r="E2917" s="0" t="n">
        <v>0</v>
      </c>
      <c r="F2917" s="23" t="s">
        <v>1376</v>
      </c>
      <c r="I2917" s="23" t="s">
        <v>1249</v>
      </c>
      <c r="U2917" s="0" t="n">
        <v>260</v>
      </c>
      <c r="V2917" s="0" t="n">
        <v>0</v>
      </c>
      <c r="W2917" s="0" t="str">
        <f aca="false">IF(OR(AND(B2917&gt;=1,B2917&lt;=6),B2917=10),"Vaca em lactação",IF(I2917="Male","Macho",IF(E2917&gt;=1,"Vaca seca",IF(I2917="Youngstock","Bezerra/recria","Novilha"))))</f>
        <v>Bezerra/recria</v>
      </c>
      <c r="X2917" s="0" t="str">
        <f aca="false">IF(AND(B2917&gt;=1,B2917&lt;=6),"Tanque",IF(B2917=10,"Descarte",""))</f>
        <v/>
      </c>
    </row>
    <row r="2918" customFormat="false" ht="15" hidden="false" customHeight="false" outlineLevel="0" collapsed="false">
      <c r="A2918" s="22" t="n">
        <v>46309</v>
      </c>
      <c r="B2918" s="0" t="n">
        <v>13</v>
      </c>
      <c r="C2918" s="0" t="n">
        <v>7367</v>
      </c>
      <c r="E2918" s="0" t="n">
        <v>0</v>
      </c>
      <c r="F2918" s="23" t="s">
        <v>1377</v>
      </c>
      <c r="I2918" s="23" t="s">
        <v>1249</v>
      </c>
      <c r="U2918" s="0" t="n">
        <v>259</v>
      </c>
      <c r="V2918" s="0" t="n">
        <v>0</v>
      </c>
      <c r="W2918" s="0" t="str">
        <f aca="false">IF(OR(AND(B2918&gt;=1,B2918&lt;=6),B2918=10),"Vaca em lactação",IF(I2918="Male","Macho",IF(E2918&gt;=1,"Vaca seca",IF(I2918="Youngstock","Bezerra/recria","Novilha"))))</f>
        <v>Bezerra/recria</v>
      </c>
      <c r="X2918" s="0" t="str">
        <f aca="false">IF(AND(B2918&gt;=1,B2918&lt;=6),"Tanque",IF(B2918=10,"Descarte",""))</f>
        <v/>
      </c>
    </row>
    <row r="2919" customFormat="false" ht="15" hidden="false" customHeight="false" outlineLevel="0" collapsed="false">
      <c r="A2919" s="22" t="n">
        <v>46309</v>
      </c>
      <c r="B2919" s="0" t="n">
        <v>13</v>
      </c>
      <c r="C2919" s="0" t="n">
        <v>7368</v>
      </c>
      <c r="E2919" s="0" t="n">
        <v>0</v>
      </c>
      <c r="F2919" s="23" t="s">
        <v>1377</v>
      </c>
      <c r="I2919" s="23" t="s">
        <v>1249</v>
      </c>
      <c r="U2919" s="0" t="n">
        <v>259</v>
      </c>
      <c r="V2919" s="0" t="n">
        <v>0</v>
      </c>
      <c r="W2919" s="0" t="str">
        <f aca="false">IF(OR(AND(B2919&gt;=1,B2919&lt;=6),B2919=10),"Vaca em lactação",IF(I2919="Male","Macho",IF(E2919&gt;=1,"Vaca seca",IF(I2919="Youngstock","Bezerra/recria","Novilha"))))</f>
        <v>Bezerra/recria</v>
      </c>
      <c r="X2919" s="0" t="str">
        <f aca="false">IF(AND(B2919&gt;=1,B2919&lt;=6),"Tanque",IF(B2919=10,"Descarte",""))</f>
        <v/>
      </c>
    </row>
    <row r="2920" customFormat="false" ht="15" hidden="false" customHeight="false" outlineLevel="0" collapsed="false">
      <c r="A2920" s="22" t="n">
        <v>46309</v>
      </c>
      <c r="B2920" s="0" t="n">
        <v>13</v>
      </c>
      <c r="C2920" s="0" t="n">
        <v>7369</v>
      </c>
      <c r="E2920" s="0" t="n">
        <v>0</v>
      </c>
      <c r="F2920" s="23" t="s">
        <v>1378</v>
      </c>
      <c r="I2920" s="23" t="s">
        <v>1249</v>
      </c>
      <c r="U2920" s="0" t="n">
        <v>258</v>
      </c>
      <c r="V2920" s="0" t="n">
        <v>0</v>
      </c>
      <c r="W2920" s="0" t="str">
        <f aca="false">IF(OR(AND(B2920&gt;=1,B2920&lt;=6),B2920=10),"Vaca em lactação",IF(I2920="Male","Macho",IF(E2920&gt;=1,"Vaca seca",IF(I2920="Youngstock","Bezerra/recria","Novilha"))))</f>
        <v>Bezerra/recria</v>
      </c>
      <c r="X2920" s="0" t="str">
        <f aca="false">IF(AND(B2920&gt;=1,B2920&lt;=6),"Tanque",IF(B2920=10,"Descarte",""))</f>
        <v/>
      </c>
    </row>
    <row r="2921" customFormat="false" ht="15" hidden="false" customHeight="false" outlineLevel="0" collapsed="false">
      <c r="A2921" s="22" t="n">
        <v>46309</v>
      </c>
      <c r="B2921" s="0" t="n">
        <v>13</v>
      </c>
      <c r="C2921" s="0" t="n">
        <v>7371</v>
      </c>
      <c r="E2921" s="0" t="n">
        <v>0</v>
      </c>
      <c r="F2921" s="23" t="s">
        <v>1378</v>
      </c>
      <c r="I2921" s="23" t="s">
        <v>1249</v>
      </c>
      <c r="U2921" s="0" t="n">
        <v>258</v>
      </c>
      <c r="V2921" s="0" t="n">
        <v>0</v>
      </c>
      <c r="W2921" s="0" t="str">
        <f aca="false">IF(OR(AND(B2921&gt;=1,B2921&lt;=6),B2921=10),"Vaca em lactação",IF(I2921="Male","Macho",IF(E2921&gt;=1,"Vaca seca",IF(I2921="Youngstock","Bezerra/recria","Novilha"))))</f>
        <v>Bezerra/recria</v>
      </c>
      <c r="X2921" s="0" t="str">
        <f aca="false">IF(AND(B2921&gt;=1,B2921&lt;=6),"Tanque",IF(B2921=10,"Descarte",""))</f>
        <v/>
      </c>
    </row>
    <row r="2922" customFormat="false" ht="15" hidden="false" customHeight="false" outlineLevel="0" collapsed="false">
      <c r="A2922" s="22" t="n">
        <v>46309</v>
      </c>
      <c r="B2922" s="0" t="n">
        <v>13</v>
      </c>
      <c r="C2922" s="0" t="n">
        <v>7370</v>
      </c>
      <c r="E2922" s="0" t="n">
        <v>0</v>
      </c>
      <c r="F2922" s="23" t="s">
        <v>1378</v>
      </c>
      <c r="I2922" s="23" t="s">
        <v>1249</v>
      </c>
      <c r="U2922" s="0" t="n">
        <v>258</v>
      </c>
      <c r="V2922" s="0" t="n">
        <v>0</v>
      </c>
      <c r="W2922" s="0" t="str">
        <f aca="false">IF(OR(AND(B2922&gt;=1,B2922&lt;=6),B2922=10),"Vaca em lactação",IF(I2922="Male","Macho",IF(E2922&gt;=1,"Vaca seca",IF(I2922="Youngstock","Bezerra/recria","Novilha"))))</f>
        <v>Bezerra/recria</v>
      </c>
      <c r="X2922" s="0" t="str">
        <f aca="false">IF(AND(B2922&gt;=1,B2922&lt;=6),"Tanque",IF(B2922=10,"Descarte",""))</f>
        <v/>
      </c>
    </row>
    <row r="2923" customFormat="false" ht="15" hidden="false" customHeight="false" outlineLevel="0" collapsed="false">
      <c r="A2923" s="22" t="n">
        <v>46309</v>
      </c>
      <c r="B2923" s="0" t="n">
        <v>13</v>
      </c>
      <c r="C2923" s="0" t="n">
        <v>7376</v>
      </c>
      <c r="E2923" s="0" t="n">
        <v>0</v>
      </c>
      <c r="F2923" s="23" t="s">
        <v>1379</v>
      </c>
      <c r="I2923" s="23" t="s">
        <v>1249</v>
      </c>
      <c r="U2923" s="0" t="n">
        <v>256</v>
      </c>
      <c r="V2923" s="0" t="n">
        <v>0</v>
      </c>
      <c r="W2923" s="0" t="str">
        <f aca="false">IF(OR(AND(B2923&gt;=1,B2923&lt;=6),B2923=10),"Vaca em lactação",IF(I2923="Male","Macho",IF(E2923&gt;=1,"Vaca seca",IF(I2923="Youngstock","Bezerra/recria","Novilha"))))</f>
        <v>Bezerra/recria</v>
      </c>
      <c r="X2923" s="0" t="str">
        <f aca="false">IF(AND(B2923&gt;=1,B2923&lt;=6),"Tanque",IF(B2923=10,"Descarte",""))</f>
        <v/>
      </c>
    </row>
    <row r="2924" customFormat="false" ht="15" hidden="false" customHeight="false" outlineLevel="0" collapsed="false">
      <c r="A2924" s="22" t="n">
        <v>46309</v>
      </c>
      <c r="B2924" s="0" t="n">
        <v>13</v>
      </c>
      <c r="C2924" s="0" t="n">
        <v>7374</v>
      </c>
      <c r="E2924" s="0" t="n">
        <v>0</v>
      </c>
      <c r="F2924" s="23" t="s">
        <v>1379</v>
      </c>
      <c r="I2924" s="23" t="s">
        <v>1249</v>
      </c>
      <c r="U2924" s="0" t="n">
        <v>256</v>
      </c>
      <c r="V2924" s="0" t="n">
        <v>0</v>
      </c>
      <c r="W2924" s="0" t="str">
        <f aca="false">IF(OR(AND(B2924&gt;=1,B2924&lt;=6),B2924=10),"Vaca em lactação",IF(I2924="Male","Macho",IF(E2924&gt;=1,"Vaca seca",IF(I2924="Youngstock","Bezerra/recria","Novilha"))))</f>
        <v>Bezerra/recria</v>
      </c>
      <c r="X2924" s="0" t="str">
        <f aca="false">IF(AND(B2924&gt;=1,B2924&lt;=6),"Tanque",IF(B2924=10,"Descarte",""))</f>
        <v/>
      </c>
    </row>
    <row r="2925" customFormat="false" ht="15" hidden="false" customHeight="false" outlineLevel="0" collapsed="false">
      <c r="A2925" s="22" t="n">
        <v>46309</v>
      </c>
      <c r="B2925" s="0" t="n">
        <v>13</v>
      </c>
      <c r="C2925" s="0" t="n">
        <v>7375</v>
      </c>
      <c r="E2925" s="0" t="n">
        <v>0</v>
      </c>
      <c r="F2925" s="23" t="s">
        <v>1379</v>
      </c>
      <c r="I2925" s="23" t="s">
        <v>1249</v>
      </c>
      <c r="U2925" s="0" t="n">
        <v>256</v>
      </c>
      <c r="V2925" s="0" t="n">
        <v>0</v>
      </c>
      <c r="W2925" s="0" t="str">
        <f aca="false">IF(OR(AND(B2925&gt;=1,B2925&lt;=6),B2925=10),"Vaca em lactação",IF(I2925="Male","Macho",IF(E2925&gt;=1,"Vaca seca",IF(I2925="Youngstock","Bezerra/recria","Novilha"))))</f>
        <v>Bezerra/recria</v>
      </c>
      <c r="X2925" s="0" t="str">
        <f aca="false">IF(AND(B2925&gt;=1,B2925&lt;=6),"Tanque",IF(B2925=10,"Descarte",""))</f>
        <v/>
      </c>
    </row>
    <row r="2926" customFormat="false" ht="15" hidden="false" customHeight="false" outlineLevel="0" collapsed="false">
      <c r="A2926" s="22" t="n">
        <v>46309</v>
      </c>
      <c r="B2926" s="0" t="n">
        <v>13</v>
      </c>
      <c r="C2926" s="0" t="n">
        <v>7379</v>
      </c>
      <c r="E2926" s="0" t="n">
        <v>0</v>
      </c>
      <c r="F2926" s="23" t="s">
        <v>1380</v>
      </c>
      <c r="I2926" s="23" t="s">
        <v>1249</v>
      </c>
      <c r="U2926" s="0" t="n">
        <v>255</v>
      </c>
      <c r="V2926" s="0" t="n">
        <v>0</v>
      </c>
      <c r="W2926" s="0" t="str">
        <f aca="false">IF(OR(AND(B2926&gt;=1,B2926&lt;=6),B2926=10),"Vaca em lactação",IF(I2926="Male","Macho",IF(E2926&gt;=1,"Vaca seca",IF(I2926="Youngstock","Bezerra/recria","Novilha"))))</f>
        <v>Bezerra/recria</v>
      </c>
      <c r="X2926" s="0" t="str">
        <f aca="false">IF(AND(B2926&gt;=1,B2926&lt;=6),"Tanque",IF(B2926=10,"Descarte",""))</f>
        <v/>
      </c>
    </row>
    <row r="2927" customFormat="false" ht="15" hidden="false" customHeight="false" outlineLevel="0" collapsed="false">
      <c r="A2927" s="22" t="n">
        <v>46309</v>
      </c>
      <c r="B2927" s="0" t="n">
        <v>13</v>
      </c>
      <c r="C2927" s="0" t="n">
        <v>7378</v>
      </c>
      <c r="E2927" s="0" t="n">
        <v>0</v>
      </c>
      <c r="F2927" s="23" t="s">
        <v>1379</v>
      </c>
      <c r="I2927" s="23" t="s">
        <v>1249</v>
      </c>
      <c r="U2927" s="0" t="n">
        <v>256</v>
      </c>
      <c r="V2927" s="0" t="n">
        <v>0</v>
      </c>
      <c r="W2927" s="0" t="str">
        <f aca="false">IF(OR(AND(B2927&gt;=1,B2927&lt;=6),B2927=10),"Vaca em lactação",IF(I2927="Male","Macho",IF(E2927&gt;=1,"Vaca seca",IF(I2927="Youngstock","Bezerra/recria","Novilha"))))</f>
        <v>Bezerra/recria</v>
      </c>
      <c r="X2927" s="0" t="str">
        <f aca="false">IF(AND(B2927&gt;=1,B2927&lt;=6),"Tanque",IF(B2927=10,"Descarte",""))</f>
        <v/>
      </c>
    </row>
    <row r="2928" customFormat="false" ht="15" hidden="false" customHeight="false" outlineLevel="0" collapsed="false">
      <c r="A2928" s="22" t="n">
        <v>46309</v>
      </c>
      <c r="B2928" s="0" t="n">
        <v>13</v>
      </c>
      <c r="C2928" s="0" t="n">
        <v>7377</v>
      </c>
      <c r="E2928" s="0" t="n">
        <v>0</v>
      </c>
      <c r="F2928" s="23" t="s">
        <v>1379</v>
      </c>
      <c r="I2928" s="23" t="s">
        <v>1249</v>
      </c>
      <c r="U2928" s="0" t="n">
        <v>256</v>
      </c>
      <c r="V2928" s="0" t="n">
        <v>0</v>
      </c>
      <c r="W2928" s="0" t="str">
        <f aca="false">IF(OR(AND(B2928&gt;=1,B2928&lt;=6),B2928=10),"Vaca em lactação",IF(I2928="Male","Macho",IF(E2928&gt;=1,"Vaca seca",IF(I2928="Youngstock","Bezerra/recria","Novilha"))))</f>
        <v>Bezerra/recria</v>
      </c>
      <c r="X2928" s="0" t="str">
        <f aca="false">IF(AND(B2928&gt;=1,B2928&lt;=6),"Tanque",IF(B2928=10,"Descarte",""))</f>
        <v/>
      </c>
    </row>
    <row r="2929" customFormat="false" ht="15" hidden="false" customHeight="false" outlineLevel="0" collapsed="false">
      <c r="A2929" s="22" t="n">
        <v>46309</v>
      </c>
      <c r="B2929" s="0" t="n">
        <v>13</v>
      </c>
      <c r="C2929" s="0" t="n">
        <v>7380</v>
      </c>
      <c r="E2929" s="0" t="n">
        <v>0</v>
      </c>
      <c r="F2929" s="23" t="s">
        <v>1380</v>
      </c>
      <c r="I2929" s="23" t="s">
        <v>1249</v>
      </c>
      <c r="U2929" s="0" t="n">
        <v>255</v>
      </c>
      <c r="V2929" s="0" t="n">
        <v>0</v>
      </c>
      <c r="W2929" s="0" t="str">
        <f aca="false">IF(OR(AND(B2929&gt;=1,B2929&lt;=6),B2929=10),"Vaca em lactação",IF(I2929="Male","Macho",IF(E2929&gt;=1,"Vaca seca",IF(I2929="Youngstock","Bezerra/recria","Novilha"))))</f>
        <v>Bezerra/recria</v>
      </c>
      <c r="X2929" s="0" t="str">
        <f aca="false">IF(AND(B2929&gt;=1,B2929&lt;=6),"Tanque",IF(B2929=10,"Descarte",""))</f>
        <v/>
      </c>
    </row>
    <row r="2930" customFormat="false" ht="15" hidden="false" customHeight="false" outlineLevel="0" collapsed="false">
      <c r="A2930" s="22" t="n">
        <v>46309</v>
      </c>
      <c r="B2930" s="0" t="n">
        <v>13</v>
      </c>
      <c r="C2930" s="0" t="n">
        <v>7372</v>
      </c>
      <c r="E2930" s="0" t="n">
        <v>0</v>
      </c>
      <c r="F2930" s="23" t="s">
        <v>1381</v>
      </c>
      <c r="I2930" s="23" t="s">
        <v>1249</v>
      </c>
      <c r="U2930" s="0" t="n">
        <v>257</v>
      </c>
      <c r="V2930" s="0" t="n">
        <v>0</v>
      </c>
      <c r="W2930" s="0" t="str">
        <f aca="false">IF(OR(AND(B2930&gt;=1,B2930&lt;=6),B2930=10),"Vaca em lactação",IF(I2930="Male","Macho",IF(E2930&gt;=1,"Vaca seca",IF(I2930="Youngstock","Bezerra/recria","Novilha"))))</f>
        <v>Bezerra/recria</v>
      </c>
      <c r="X2930" s="0" t="str">
        <f aca="false">IF(AND(B2930&gt;=1,B2930&lt;=6),"Tanque",IF(B2930=10,"Descarte",""))</f>
        <v/>
      </c>
    </row>
    <row r="2931" customFormat="false" ht="15" hidden="false" customHeight="false" outlineLevel="0" collapsed="false">
      <c r="A2931" s="22" t="n">
        <v>46309</v>
      </c>
      <c r="B2931" s="0" t="n">
        <v>13</v>
      </c>
      <c r="C2931" s="0" t="n">
        <v>7356</v>
      </c>
      <c r="E2931" s="0" t="n">
        <v>0</v>
      </c>
      <c r="F2931" s="23" t="s">
        <v>1382</v>
      </c>
      <c r="I2931" s="23" t="s">
        <v>1249</v>
      </c>
      <c r="U2931" s="0" t="n">
        <v>264</v>
      </c>
      <c r="V2931" s="0" t="n">
        <v>0</v>
      </c>
      <c r="W2931" s="0" t="str">
        <f aca="false">IF(OR(AND(B2931&gt;=1,B2931&lt;=6),B2931=10),"Vaca em lactação",IF(I2931="Male","Macho",IF(E2931&gt;=1,"Vaca seca",IF(I2931="Youngstock","Bezerra/recria","Novilha"))))</f>
        <v>Bezerra/recria</v>
      </c>
      <c r="X2931" s="0" t="str">
        <f aca="false">IF(AND(B2931&gt;=1,B2931&lt;=6),"Tanque",IF(B2931=10,"Descarte",""))</f>
        <v/>
      </c>
    </row>
    <row r="2932" customFormat="false" ht="15" hidden="false" customHeight="false" outlineLevel="0" collapsed="false">
      <c r="A2932" s="22" t="n">
        <v>46309</v>
      </c>
      <c r="B2932" s="0" t="n">
        <v>13</v>
      </c>
      <c r="C2932" s="0" t="n">
        <v>7360</v>
      </c>
      <c r="E2932" s="0" t="n">
        <v>0</v>
      </c>
      <c r="F2932" s="23" t="s">
        <v>1383</v>
      </c>
      <c r="I2932" s="23" t="s">
        <v>1249</v>
      </c>
      <c r="U2932" s="0" t="n">
        <v>262</v>
      </c>
      <c r="V2932" s="0" t="n">
        <v>0</v>
      </c>
      <c r="W2932" s="0" t="str">
        <f aca="false">IF(OR(AND(B2932&gt;=1,B2932&lt;=6),B2932=10),"Vaca em lactação",IF(I2932="Male","Macho",IF(E2932&gt;=1,"Vaca seca",IF(I2932="Youngstock","Bezerra/recria","Novilha"))))</f>
        <v>Bezerra/recria</v>
      </c>
      <c r="X2932" s="0" t="str">
        <f aca="false">IF(AND(B2932&gt;=1,B2932&lt;=6),"Tanque",IF(B2932=10,"Descarte",""))</f>
        <v/>
      </c>
    </row>
    <row r="2933" customFormat="false" ht="15" hidden="false" customHeight="false" outlineLevel="0" collapsed="false">
      <c r="A2933" s="22" t="n">
        <v>46309</v>
      </c>
      <c r="B2933" s="0" t="n">
        <v>13</v>
      </c>
      <c r="C2933" s="0" t="n">
        <v>7359</v>
      </c>
      <c r="E2933" s="0" t="n">
        <v>0</v>
      </c>
      <c r="F2933" s="23" t="s">
        <v>1383</v>
      </c>
      <c r="I2933" s="23" t="s">
        <v>1249</v>
      </c>
      <c r="U2933" s="0" t="n">
        <v>262</v>
      </c>
      <c r="V2933" s="0" t="n">
        <v>0</v>
      </c>
      <c r="W2933" s="0" t="str">
        <f aca="false">IF(OR(AND(B2933&gt;=1,B2933&lt;=6),B2933=10),"Vaca em lactação",IF(I2933="Male","Macho",IF(E2933&gt;=1,"Vaca seca",IF(I2933="Youngstock","Bezerra/recria","Novilha"))))</f>
        <v>Bezerra/recria</v>
      </c>
      <c r="X2933" s="0" t="str">
        <f aca="false">IF(AND(B2933&gt;=1,B2933&lt;=6),"Tanque",IF(B2933=10,"Descarte",""))</f>
        <v/>
      </c>
    </row>
    <row r="2934" customFormat="false" ht="15" hidden="false" customHeight="false" outlineLevel="0" collapsed="false">
      <c r="A2934" s="22" t="n">
        <v>46309</v>
      </c>
      <c r="B2934" s="0" t="n">
        <v>13</v>
      </c>
      <c r="C2934" s="0" t="n">
        <v>7358</v>
      </c>
      <c r="E2934" s="0" t="n">
        <v>0</v>
      </c>
      <c r="F2934" s="23" t="s">
        <v>1384</v>
      </c>
      <c r="I2934" s="23" t="s">
        <v>1249</v>
      </c>
      <c r="U2934" s="0" t="n">
        <v>263</v>
      </c>
      <c r="V2934" s="0" t="n">
        <v>0</v>
      </c>
      <c r="W2934" s="0" t="str">
        <f aca="false">IF(OR(AND(B2934&gt;=1,B2934&lt;=6),B2934=10),"Vaca em lactação",IF(I2934="Male","Macho",IF(E2934&gt;=1,"Vaca seca",IF(I2934="Youngstock","Bezerra/recria","Novilha"))))</f>
        <v>Bezerra/recria</v>
      </c>
      <c r="X2934" s="0" t="str">
        <f aca="false">IF(AND(B2934&gt;=1,B2934&lt;=6),"Tanque",IF(B2934=10,"Descarte",""))</f>
        <v/>
      </c>
    </row>
    <row r="2935" customFormat="false" ht="15" hidden="false" customHeight="false" outlineLevel="0" collapsed="false">
      <c r="A2935" s="22" t="n">
        <v>46309</v>
      </c>
      <c r="B2935" s="0" t="n">
        <v>13</v>
      </c>
      <c r="C2935" s="0" t="n">
        <v>7357</v>
      </c>
      <c r="E2935" s="0" t="n">
        <v>0</v>
      </c>
      <c r="F2935" s="23" t="s">
        <v>1382</v>
      </c>
      <c r="I2935" s="23" t="s">
        <v>1249</v>
      </c>
      <c r="U2935" s="0" t="n">
        <v>264</v>
      </c>
      <c r="V2935" s="0" t="n">
        <v>0</v>
      </c>
      <c r="W2935" s="0" t="str">
        <f aca="false">IF(OR(AND(B2935&gt;=1,B2935&lt;=6),B2935=10),"Vaca em lactação",IF(I2935="Male","Macho",IF(E2935&gt;=1,"Vaca seca",IF(I2935="Youngstock","Bezerra/recria","Novilha"))))</f>
        <v>Bezerra/recria</v>
      </c>
      <c r="X2935" s="0" t="str">
        <f aca="false">IF(AND(B2935&gt;=1,B2935&lt;=6),"Tanque",IF(B2935=10,"Descarte",""))</f>
        <v/>
      </c>
    </row>
    <row r="2936" customFormat="false" ht="15" hidden="false" customHeight="false" outlineLevel="0" collapsed="false">
      <c r="A2936" s="22" t="n">
        <v>46309</v>
      </c>
      <c r="B2936" s="0" t="n">
        <v>13</v>
      </c>
      <c r="C2936" s="0" t="n">
        <v>7349</v>
      </c>
      <c r="E2936" s="0" t="n">
        <v>0</v>
      </c>
      <c r="F2936" s="23" t="s">
        <v>1382</v>
      </c>
      <c r="I2936" s="23" t="s">
        <v>1249</v>
      </c>
      <c r="U2936" s="0" t="n">
        <v>264</v>
      </c>
      <c r="V2936" s="0" t="n">
        <v>0</v>
      </c>
      <c r="W2936" s="0" t="str">
        <f aca="false">IF(OR(AND(B2936&gt;=1,B2936&lt;=6),B2936=10),"Vaca em lactação",IF(I2936="Male","Macho",IF(E2936&gt;=1,"Vaca seca",IF(I2936="Youngstock","Bezerra/recria","Novilha"))))</f>
        <v>Bezerra/recria</v>
      </c>
      <c r="X2936" s="0" t="str">
        <f aca="false">IF(AND(B2936&gt;=1,B2936&lt;=6),"Tanque",IF(B2936=10,"Descarte",""))</f>
        <v/>
      </c>
    </row>
    <row r="2937" customFormat="false" ht="15" hidden="false" customHeight="false" outlineLevel="0" collapsed="false">
      <c r="A2937" s="22" t="n">
        <v>46309</v>
      </c>
      <c r="B2937" s="0" t="n">
        <v>13</v>
      </c>
      <c r="C2937" s="0" t="n">
        <v>7348</v>
      </c>
      <c r="E2937" s="0" t="n">
        <v>0</v>
      </c>
      <c r="F2937" s="23" t="s">
        <v>1385</v>
      </c>
      <c r="I2937" s="23" t="s">
        <v>1249</v>
      </c>
      <c r="U2937" s="0" t="n">
        <v>266</v>
      </c>
      <c r="V2937" s="0" t="n">
        <v>0</v>
      </c>
      <c r="W2937" s="0" t="str">
        <f aca="false">IF(OR(AND(B2937&gt;=1,B2937&lt;=6),B2937=10),"Vaca em lactação",IF(I2937="Male","Macho",IF(E2937&gt;=1,"Vaca seca",IF(I2937="Youngstock","Bezerra/recria","Novilha"))))</f>
        <v>Bezerra/recria</v>
      </c>
      <c r="X2937" s="0" t="str">
        <f aca="false">IF(AND(B2937&gt;=1,B2937&lt;=6),"Tanque",IF(B2937=10,"Descarte",""))</f>
        <v/>
      </c>
    </row>
    <row r="2938" customFormat="false" ht="15" hidden="false" customHeight="false" outlineLevel="0" collapsed="false">
      <c r="A2938" s="22" t="n">
        <v>46309</v>
      </c>
      <c r="B2938" s="0" t="n">
        <v>13</v>
      </c>
      <c r="C2938" s="0" t="n">
        <v>7347</v>
      </c>
      <c r="E2938" s="0" t="n">
        <v>0</v>
      </c>
      <c r="F2938" s="23" t="s">
        <v>1385</v>
      </c>
      <c r="I2938" s="23" t="s">
        <v>1249</v>
      </c>
      <c r="U2938" s="0" t="n">
        <v>266</v>
      </c>
      <c r="V2938" s="0" t="n">
        <v>0</v>
      </c>
      <c r="W2938" s="0" t="str">
        <f aca="false">IF(OR(AND(B2938&gt;=1,B2938&lt;=6),B2938=10),"Vaca em lactação",IF(I2938="Male","Macho",IF(E2938&gt;=1,"Vaca seca",IF(I2938="Youngstock","Bezerra/recria","Novilha"))))</f>
        <v>Bezerra/recria</v>
      </c>
      <c r="X2938" s="0" t="str">
        <f aca="false">IF(AND(B2938&gt;=1,B2938&lt;=6),"Tanque",IF(B2938=10,"Descarte",""))</f>
        <v/>
      </c>
    </row>
    <row r="2939" customFormat="false" ht="15" hidden="false" customHeight="false" outlineLevel="0" collapsed="false">
      <c r="A2939" s="22" t="n">
        <v>46309</v>
      </c>
      <c r="B2939" s="0" t="n">
        <v>13</v>
      </c>
      <c r="C2939" s="0" t="n">
        <v>7346</v>
      </c>
      <c r="E2939" s="0" t="n">
        <v>0</v>
      </c>
      <c r="F2939" s="23" t="s">
        <v>1385</v>
      </c>
      <c r="I2939" s="23" t="s">
        <v>1249</v>
      </c>
      <c r="U2939" s="0" t="n">
        <v>266</v>
      </c>
      <c r="V2939" s="0" t="n">
        <v>0</v>
      </c>
      <c r="W2939" s="0" t="str">
        <f aca="false">IF(OR(AND(B2939&gt;=1,B2939&lt;=6),B2939=10),"Vaca em lactação",IF(I2939="Male","Macho",IF(E2939&gt;=1,"Vaca seca",IF(I2939="Youngstock","Bezerra/recria","Novilha"))))</f>
        <v>Bezerra/recria</v>
      </c>
      <c r="X2939" s="0" t="str">
        <f aca="false">IF(AND(B2939&gt;=1,B2939&lt;=6),"Tanque",IF(B2939=10,"Descarte",""))</f>
        <v/>
      </c>
    </row>
    <row r="2940" customFormat="false" ht="15" hidden="false" customHeight="false" outlineLevel="0" collapsed="false">
      <c r="A2940" s="22" t="n">
        <v>46309</v>
      </c>
      <c r="B2940" s="0" t="n">
        <v>13</v>
      </c>
      <c r="C2940" s="0" t="n">
        <v>7345</v>
      </c>
      <c r="E2940" s="0" t="n">
        <v>0</v>
      </c>
      <c r="F2940" s="23" t="s">
        <v>1346</v>
      </c>
      <c r="I2940" s="23" t="s">
        <v>1249</v>
      </c>
      <c r="U2940" s="0" t="n">
        <v>267</v>
      </c>
      <c r="V2940" s="0" t="n">
        <v>0</v>
      </c>
      <c r="W2940" s="0" t="str">
        <f aca="false">IF(OR(AND(B2940&gt;=1,B2940&lt;=6),B2940=10),"Vaca em lactação",IF(I2940="Male","Macho",IF(E2940&gt;=1,"Vaca seca",IF(I2940="Youngstock","Bezerra/recria","Novilha"))))</f>
        <v>Bezerra/recria</v>
      </c>
      <c r="X2940" s="0" t="str">
        <f aca="false">IF(AND(B2940&gt;=1,B2940&lt;=6),"Tanque",IF(B2940=10,"Descarte",""))</f>
        <v/>
      </c>
    </row>
    <row r="2941" customFormat="false" ht="15" hidden="false" customHeight="false" outlineLevel="0" collapsed="false">
      <c r="A2941" s="22" t="n">
        <v>46309</v>
      </c>
      <c r="B2941" s="0" t="n">
        <v>13</v>
      </c>
      <c r="C2941" s="0" t="n">
        <v>7343</v>
      </c>
      <c r="E2941" s="0" t="n">
        <v>0</v>
      </c>
      <c r="F2941" s="23" t="s">
        <v>1346</v>
      </c>
      <c r="I2941" s="23" t="s">
        <v>1249</v>
      </c>
      <c r="U2941" s="0" t="n">
        <v>267</v>
      </c>
      <c r="V2941" s="0" t="n">
        <v>0</v>
      </c>
      <c r="W2941" s="0" t="str">
        <f aca="false">IF(OR(AND(B2941&gt;=1,B2941&lt;=6),B2941=10),"Vaca em lactação",IF(I2941="Male","Macho",IF(E2941&gt;=1,"Vaca seca",IF(I2941="Youngstock","Bezerra/recria","Novilha"))))</f>
        <v>Bezerra/recria</v>
      </c>
      <c r="X2941" s="0" t="str">
        <f aca="false">IF(AND(B2941&gt;=1,B2941&lt;=6),"Tanque",IF(B2941=10,"Descarte",""))</f>
        <v/>
      </c>
    </row>
    <row r="2942" customFormat="false" ht="15" hidden="false" customHeight="false" outlineLevel="0" collapsed="false">
      <c r="A2942" s="22" t="n">
        <v>46309</v>
      </c>
      <c r="B2942" s="0" t="n">
        <v>13</v>
      </c>
      <c r="C2942" s="0" t="n">
        <v>7354</v>
      </c>
      <c r="E2942" s="0" t="n">
        <v>0</v>
      </c>
      <c r="F2942" s="23" t="s">
        <v>1382</v>
      </c>
      <c r="I2942" s="23" t="s">
        <v>1249</v>
      </c>
      <c r="U2942" s="0" t="n">
        <v>264</v>
      </c>
      <c r="V2942" s="0" t="n">
        <v>0</v>
      </c>
      <c r="W2942" s="0" t="str">
        <f aca="false">IF(OR(AND(B2942&gt;=1,B2942&lt;=6),B2942=10),"Vaca em lactação",IF(I2942="Male","Macho",IF(E2942&gt;=1,"Vaca seca",IF(I2942="Youngstock","Bezerra/recria","Novilha"))))</f>
        <v>Bezerra/recria</v>
      </c>
      <c r="X2942" s="0" t="str">
        <f aca="false">IF(AND(B2942&gt;=1,B2942&lt;=6),"Tanque",IF(B2942=10,"Descarte",""))</f>
        <v/>
      </c>
    </row>
    <row r="2943" customFormat="false" ht="15" hidden="false" customHeight="false" outlineLevel="0" collapsed="false">
      <c r="A2943" s="22" t="n">
        <v>46309</v>
      </c>
      <c r="B2943" s="0" t="n">
        <v>13</v>
      </c>
      <c r="C2943" s="0" t="n">
        <v>7353</v>
      </c>
      <c r="E2943" s="0" t="n">
        <v>0</v>
      </c>
      <c r="F2943" s="23" t="s">
        <v>1382</v>
      </c>
      <c r="I2943" s="23" t="s">
        <v>1249</v>
      </c>
      <c r="U2943" s="0" t="n">
        <v>264</v>
      </c>
      <c r="V2943" s="0" t="n">
        <v>0</v>
      </c>
      <c r="W2943" s="0" t="str">
        <f aca="false">IF(OR(AND(B2943&gt;=1,B2943&lt;=6),B2943=10),"Vaca em lactação",IF(I2943="Male","Macho",IF(E2943&gt;=1,"Vaca seca",IF(I2943="Youngstock","Bezerra/recria","Novilha"))))</f>
        <v>Bezerra/recria</v>
      </c>
      <c r="X2943" s="0" t="str">
        <f aca="false">IF(AND(B2943&gt;=1,B2943&lt;=6),"Tanque",IF(B2943=10,"Descarte",""))</f>
        <v/>
      </c>
    </row>
    <row r="2944" customFormat="false" ht="15" hidden="false" customHeight="false" outlineLevel="0" collapsed="false">
      <c r="A2944" s="22" t="n">
        <v>46309</v>
      </c>
      <c r="B2944" s="0" t="n">
        <v>13</v>
      </c>
      <c r="C2944" s="0" t="n">
        <v>7352</v>
      </c>
      <c r="E2944" s="0" t="n">
        <v>0</v>
      </c>
      <c r="F2944" s="23" t="s">
        <v>1382</v>
      </c>
      <c r="I2944" s="23" t="s">
        <v>1249</v>
      </c>
      <c r="U2944" s="0" t="n">
        <v>264</v>
      </c>
      <c r="V2944" s="0" t="n">
        <v>0</v>
      </c>
      <c r="W2944" s="0" t="str">
        <f aca="false">IF(OR(AND(B2944&gt;=1,B2944&lt;=6),B2944=10),"Vaca em lactação",IF(I2944="Male","Macho",IF(E2944&gt;=1,"Vaca seca",IF(I2944="Youngstock","Bezerra/recria","Novilha"))))</f>
        <v>Bezerra/recria</v>
      </c>
      <c r="X2944" s="0" t="str">
        <f aca="false">IF(AND(B2944&gt;=1,B2944&lt;=6),"Tanque",IF(B2944=10,"Descarte",""))</f>
        <v/>
      </c>
    </row>
    <row r="2945" customFormat="false" ht="15" hidden="false" customHeight="false" outlineLevel="0" collapsed="false">
      <c r="A2945" s="22" t="n">
        <v>46309</v>
      </c>
      <c r="B2945" s="0" t="n">
        <v>13</v>
      </c>
      <c r="C2945" s="0" t="n">
        <v>7351</v>
      </c>
      <c r="E2945" s="0" t="n">
        <v>0</v>
      </c>
      <c r="F2945" s="23" t="s">
        <v>1382</v>
      </c>
      <c r="I2945" s="23" t="s">
        <v>1249</v>
      </c>
      <c r="U2945" s="0" t="n">
        <v>264</v>
      </c>
      <c r="V2945" s="0" t="n">
        <v>0</v>
      </c>
      <c r="W2945" s="0" t="str">
        <f aca="false">IF(OR(AND(B2945&gt;=1,B2945&lt;=6),B2945=10),"Vaca em lactação",IF(I2945="Male","Macho",IF(E2945&gt;=1,"Vaca seca",IF(I2945="Youngstock","Bezerra/recria","Novilha"))))</f>
        <v>Bezerra/recria</v>
      </c>
      <c r="X2945" s="0" t="str">
        <f aca="false">IF(AND(B2945&gt;=1,B2945&lt;=6),"Tanque",IF(B2945=10,"Descarte",""))</f>
        <v/>
      </c>
    </row>
    <row r="2946" customFormat="false" ht="15" hidden="false" customHeight="false" outlineLevel="0" collapsed="false">
      <c r="A2946" s="22" t="n">
        <v>46309</v>
      </c>
      <c r="B2946" s="0" t="n">
        <v>13</v>
      </c>
      <c r="C2946" s="0" t="n">
        <v>7350</v>
      </c>
      <c r="E2946" s="0" t="n">
        <v>0</v>
      </c>
      <c r="F2946" s="23" t="s">
        <v>1382</v>
      </c>
      <c r="I2946" s="23" t="s">
        <v>1249</v>
      </c>
      <c r="U2946" s="0" t="n">
        <v>264</v>
      </c>
      <c r="V2946" s="0" t="n">
        <v>0</v>
      </c>
      <c r="W2946" s="0" t="str">
        <f aca="false">IF(OR(AND(B2946&gt;=1,B2946&lt;=6),B2946=10),"Vaca em lactação",IF(I2946="Male","Macho",IF(E2946&gt;=1,"Vaca seca",IF(I2946="Youngstock","Bezerra/recria","Novilha"))))</f>
        <v>Bezerra/recria</v>
      </c>
      <c r="X2946" s="0" t="str">
        <f aca="false">IF(AND(B2946&gt;=1,B2946&lt;=6),"Tanque",IF(B2946=10,"Descarte",""))</f>
        <v/>
      </c>
    </row>
    <row r="2947" customFormat="false" ht="15" hidden="false" customHeight="false" outlineLevel="0" collapsed="false">
      <c r="A2947" s="22" t="n">
        <v>46309</v>
      </c>
      <c r="B2947" s="0" t="n">
        <v>13</v>
      </c>
      <c r="C2947" s="0" t="n">
        <v>7355</v>
      </c>
      <c r="E2947" s="0" t="n">
        <v>0</v>
      </c>
      <c r="F2947" s="23" t="s">
        <v>1382</v>
      </c>
      <c r="I2947" s="23" t="s">
        <v>1249</v>
      </c>
      <c r="U2947" s="0" t="n">
        <v>264</v>
      </c>
      <c r="V2947" s="0" t="n">
        <v>0</v>
      </c>
      <c r="W2947" s="0" t="str">
        <f aca="false">IF(OR(AND(B2947&gt;=1,B2947&lt;=6),B2947=10),"Vaca em lactação",IF(I2947="Male","Macho",IF(E2947&gt;=1,"Vaca seca",IF(I2947="Youngstock","Bezerra/recria","Novilha"))))</f>
        <v>Bezerra/recria</v>
      </c>
      <c r="X2947" s="0" t="str">
        <f aca="false">IF(AND(B2947&gt;=1,B2947&lt;=6),"Tanque",IF(B2947=10,"Descarte",""))</f>
        <v/>
      </c>
    </row>
    <row r="2948" customFormat="false" ht="15" hidden="false" customHeight="false" outlineLevel="0" collapsed="false">
      <c r="A2948" s="22" t="n">
        <v>46309</v>
      </c>
      <c r="B2948" s="0" t="n">
        <v>13</v>
      </c>
      <c r="C2948" s="0" t="n">
        <v>7364</v>
      </c>
      <c r="E2948" s="0" t="n">
        <v>0</v>
      </c>
      <c r="F2948" s="23" t="s">
        <v>1386</v>
      </c>
      <c r="I2948" s="23" t="s">
        <v>1249</v>
      </c>
      <c r="U2948" s="0" t="n">
        <v>261</v>
      </c>
      <c r="V2948" s="0" t="n">
        <v>0</v>
      </c>
      <c r="W2948" s="0" t="str">
        <f aca="false">IF(OR(AND(B2948&gt;=1,B2948&lt;=6),B2948=10),"Vaca em lactação",IF(I2948="Male","Macho",IF(E2948&gt;=1,"Vaca seca",IF(I2948="Youngstock","Bezerra/recria","Novilha"))))</f>
        <v>Bezerra/recria</v>
      </c>
      <c r="X2948" s="0" t="str">
        <f aca="false">IF(AND(B2948&gt;=1,B2948&lt;=6),"Tanque",IF(B2948=10,"Descarte",""))</f>
        <v/>
      </c>
    </row>
    <row r="2949" customFormat="false" ht="15" hidden="false" customHeight="false" outlineLevel="0" collapsed="false">
      <c r="A2949" s="22" t="n">
        <v>46309</v>
      </c>
      <c r="B2949" s="0" t="n">
        <v>13</v>
      </c>
      <c r="C2949" s="0" t="n">
        <v>7363</v>
      </c>
      <c r="E2949" s="0" t="n">
        <v>0</v>
      </c>
      <c r="F2949" s="23" t="s">
        <v>1386</v>
      </c>
      <c r="I2949" s="23" t="s">
        <v>1249</v>
      </c>
      <c r="U2949" s="0" t="n">
        <v>261</v>
      </c>
      <c r="V2949" s="0" t="n">
        <v>0</v>
      </c>
      <c r="W2949" s="0" t="str">
        <f aca="false">IF(OR(AND(B2949&gt;=1,B2949&lt;=6),B2949=10),"Vaca em lactação",IF(I2949="Male","Macho",IF(E2949&gt;=1,"Vaca seca",IF(I2949="Youngstock","Bezerra/recria","Novilha"))))</f>
        <v>Bezerra/recria</v>
      </c>
      <c r="X2949" s="0" t="str">
        <f aca="false">IF(AND(B2949&gt;=1,B2949&lt;=6),"Tanque",IF(B2949=10,"Descarte",""))</f>
        <v/>
      </c>
    </row>
    <row r="2950" customFormat="false" ht="15" hidden="false" customHeight="false" outlineLevel="0" collapsed="false">
      <c r="A2950" s="22" t="n">
        <v>46309</v>
      </c>
      <c r="B2950" s="0" t="n">
        <v>13</v>
      </c>
      <c r="C2950" s="0" t="n">
        <v>7362</v>
      </c>
      <c r="E2950" s="0" t="n">
        <v>0</v>
      </c>
      <c r="F2950" s="23" t="s">
        <v>1386</v>
      </c>
      <c r="I2950" s="23" t="s">
        <v>1249</v>
      </c>
      <c r="U2950" s="0" t="n">
        <v>261</v>
      </c>
      <c r="V2950" s="0" t="n">
        <v>0</v>
      </c>
      <c r="W2950" s="0" t="str">
        <f aca="false">IF(OR(AND(B2950&gt;=1,B2950&lt;=6),B2950=10),"Vaca em lactação",IF(I2950="Male","Macho",IF(E2950&gt;=1,"Vaca seca",IF(I2950="Youngstock","Bezerra/recria","Novilha"))))</f>
        <v>Bezerra/recria</v>
      </c>
      <c r="X2950" s="0" t="str">
        <f aca="false">IF(AND(B2950&gt;=1,B2950&lt;=6),"Tanque",IF(B2950=10,"Descarte",""))</f>
        <v/>
      </c>
    </row>
    <row r="2951" customFormat="false" ht="15" hidden="false" customHeight="false" outlineLevel="0" collapsed="false">
      <c r="A2951" s="22" t="n">
        <v>46309</v>
      </c>
      <c r="B2951" s="0" t="n">
        <v>13</v>
      </c>
      <c r="C2951" s="0" t="n">
        <v>7482</v>
      </c>
      <c r="E2951" s="0" t="n">
        <v>0</v>
      </c>
      <c r="F2951" s="23" t="s">
        <v>1387</v>
      </c>
      <c r="I2951" s="23" t="s">
        <v>1249</v>
      </c>
      <c r="U2951" s="0" t="n">
        <v>222</v>
      </c>
      <c r="V2951" s="0" t="n">
        <v>0</v>
      </c>
      <c r="W2951" s="0" t="str">
        <f aca="false">IF(OR(AND(B2951&gt;=1,B2951&lt;=6),B2951=10),"Vaca em lactação",IF(I2951="Male","Macho",IF(E2951&gt;=1,"Vaca seca",IF(I2951="Youngstock","Bezerra/recria","Novilha"))))</f>
        <v>Bezerra/recria</v>
      </c>
      <c r="X2951" s="0" t="str">
        <f aca="false">IF(AND(B2951&gt;=1,B2951&lt;=6),"Tanque",IF(B2951=10,"Descarte",""))</f>
        <v/>
      </c>
    </row>
    <row r="2952" customFormat="false" ht="15" hidden="false" customHeight="false" outlineLevel="0" collapsed="false">
      <c r="A2952" s="22" t="n">
        <v>46309</v>
      </c>
      <c r="B2952" s="0" t="n">
        <v>13</v>
      </c>
      <c r="C2952" s="0" t="n">
        <v>7481</v>
      </c>
      <c r="E2952" s="0" t="n">
        <v>0</v>
      </c>
      <c r="F2952" s="23" t="s">
        <v>1387</v>
      </c>
      <c r="I2952" s="23" t="s">
        <v>1249</v>
      </c>
      <c r="U2952" s="0" t="n">
        <v>222</v>
      </c>
      <c r="V2952" s="0" t="n">
        <v>0</v>
      </c>
      <c r="W2952" s="0" t="str">
        <f aca="false">IF(OR(AND(B2952&gt;=1,B2952&lt;=6),B2952=10),"Vaca em lactação",IF(I2952="Male","Macho",IF(E2952&gt;=1,"Vaca seca",IF(I2952="Youngstock","Bezerra/recria","Novilha"))))</f>
        <v>Bezerra/recria</v>
      </c>
      <c r="X2952" s="0" t="str">
        <f aca="false">IF(AND(B2952&gt;=1,B2952&lt;=6),"Tanque",IF(B2952=10,"Descarte",""))</f>
        <v/>
      </c>
    </row>
    <row r="2953" customFormat="false" ht="15" hidden="false" customHeight="false" outlineLevel="0" collapsed="false">
      <c r="A2953" s="22" t="n">
        <v>46309</v>
      </c>
      <c r="B2953" s="0" t="n">
        <v>13</v>
      </c>
      <c r="C2953" s="0" t="n">
        <v>7480</v>
      </c>
      <c r="E2953" s="0" t="n">
        <v>0</v>
      </c>
      <c r="F2953" s="23" t="s">
        <v>1387</v>
      </c>
      <c r="I2953" s="23" t="s">
        <v>1249</v>
      </c>
      <c r="U2953" s="0" t="n">
        <v>222</v>
      </c>
      <c r="V2953" s="0" t="n">
        <v>0</v>
      </c>
      <c r="W2953" s="0" t="str">
        <f aca="false">IF(OR(AND(B2953&gt;=1,B2953&lt;=6),B2953=10),"Vaca em lactação",IF(I2953="Male","Macho",IF(E2953&gt;=1,"Vaca seca",IF(I2953="Youngstock","Bezerra/recria","Novilha"))))</f>
        <v>Bezerra/recria</v>
      </c>
      <c r="X2953" s="0" t="str">
        <f aca="false">IF(AND(B2953&gt;=1,B2953&lt;=6),"Tanque",IF(B2953=10,"Descarte",""))</f>
        <v/>
      </c>
    </row>
    <row r="2954" customFormat="false" ht="15" hidden="false" customHeight="false" outlineLevel="0" collapsed="false">
      <c r="A2954" s="22" t="n">
        <v>46309</v>
      </c>
      <c r="B2954" s="0" t="n">
        <v>13</v>
      </c>
      <c r="C2954" s="0" t="n">
        <v>7485</v>
      </c>
      <c r="E2954" s="0" t="n">
        <v>0</v>
      </c>
      <c r="F2954" s="23" t="s">
        <v>1388</v>
      </c>
      <c r="I2954" s="23" t="s">
        <v>1249</v>
      </c>
      <c r="U2954" s="0" t="n">
        <v>221</v>
      </c>
      <c r="V2954" s="0" t="n">
        <v>0</v>
      </c>
      <c r="W2954" s="0" t="str">
        <f aca="false">IF(OR(AND(B2954&gt;=1,B2954&lt;=6),B2954=10),"Vaca em lactação",IF(I2954="Male","Macho",IF(E2954&gt;=1,"Vaca seca",IF(I2954="Youngstock","Bezerra/recria","Novilha"))))</f>
        <v>Bezerra/recria</v>
      </c>
      <c r="X2954" s="0" t="str">
        <f aca="false">IF(AND(B2954&gt;=1,B2954&lt;=6),"Tanque",IF(B2954=10,"Descarte",""))</f>
        <v/>
      </c>
    </row>
    <row r="2955" customFormat="false" ht="15" hidden="false" customHeight="false" outlineLevel="0" collapsed="false">
      <c r="A2955" s="22" t="n">
        <v>46309</v>
      </c>
      <c r="B2955" s="0" t="n">
        <v>13</v>
      </c>
      <c r="C2955" s="0" t="n">
        <v>7487</v>
      </c>
      <c r="E2955" s="0" t="n">
        <v>0</v>
      </c>
      <c r="F2955" s="23" t="s">
        <v>1388</v>
      </c>
      <c r="I2955" s="23" t="s">
        <v>1249</v>
      </c>
      <c r="U2955" s="0" t="n">
        <v>221</v>
      </c>
      <c r="V2955" s="0" t="n">
        <v>0</v>
      </c>
      <c r="W2955" s="0" t="str">
        <f aca="false">IF(OR(AND(B2955&gt;=1,B2955&lt;=6),B2955=10),"Vaca em lactação",IF(I2955="Male","Macho",IF(E2955&gt;=1,"Vaca seca",IF(I2955="Youngstock","Bezerra/recria","Novilha"))))</f>
        <v>Bezerra/recria</v>
      </c>
      <c r="X2955" s="0" t="str">
        <f aca="false">IF(AND(B2955&gt;=1,B2955&lt;=6),"Tanque",IF(B2955=10,"Descarte",""))</f>
        <v/>
      </c>
    </row>
    <row r="2956" customFormat="false" ht="15" hidden="false" customHeight="false" outlineLevel="0" collapsed="false">
      <c r="A2956" s="22" t="n">
        <v>46309</v>
      </c>
      <c r="B2956" s="0" t="n">
        <v>13</v>
      </c>
      <c r="C2956" s="0" t="n">
        <v>7490</v>
      </c>
      <c r="E2956" s="0" t="n">
        <v>0</v>
      </c>
      <c r="F2956" s="23" t="s">
        <v>1389</v>
      </c>
      <c r="I2956" s="23" t="s">
        <v>1249</v>
      </c>
      <c r="U2956" s="0" t="n">
        <v>220</v>
      </c>
      <c r="V2956" s="0" t="n">
        <v>0</v>
      </c>
      <c r="W2956" s="0" t="str">
        <f aca="false">IF(OR(AND(B2956&gt;=1,B2956&lt;=6),B2956=10),"Vaca em lactação",IF(I2956="Male","Macho",IF(E2956&gt;=1,"Vaca seca",IF(I2956="Youngstock","Bezerra/recria","Novilha"))))</f>
        <v>Bezerra/recria</v>
      </c>
      <c r="X2956" s="0" t="str">
        <f aca="false">IF(AND(B2956&gt;=1,B2956&lt;=6),"Tanque",IF(B2956=10,"Descarte",""))</f>
        <v/>
      </c>
    </row>
    <row r="2957" customFormat="false" ht="15" hidden="false" customHeight="false" outlineLevel="0" collapsed="false">
      <c r="A2957" s="22" t="n">
        <v>46309</v>
      </c>
      <c r="B2957" s="0" t="n">
        <v>13</v>
      </c>
      <c r="C2957" s="0" t="n">
        <v>7489</v>
      </c>
      <c r="E2957" s="0" t="n">
        <v>0</v>
      </c>
      <c r="F2957" s="23" t="s">
        <v>1389</v>
      </c>
      <c r="I2957" s="23" t="s">
        <v>1249</v>
      </c>
      <c r="U2957" s="0" t="n">
        <v>220</v>
      </c>
      <c r="V2957" s="0" t="n">
        <v>0</v>
      </c>
      <c r="W2957" s="0" t="str">
        <f aca="false">IF(OR(AND(B2957&gt;=1,B2957&lt;=6),B2957=10),"Vaca em lactação",IF(I2957="Male","Macho",IF(E2957&gt;=1,"Vaca seca",IF(I2957="Youngstock","Bezerra/recria","Novilha"))))</f>
        <v>Bezerra/recria</v>
      </c>
      <c r="X2957" s="0" t="str">
        <f aca="false">IF(AND(B2957&gt;=1,B2957&lt;=6),"Tanque",IF(B2957=10,"Descarte",""))</f>
        <v/>
      </c>
    </row>
    <row r="2958" customFormat="false" ht="15" hidden="false" customHeight="false" outlineLevel="0" collapsed="false">
      <c r="A2958" s="22" t="n">
        <v>46309</v>
      </c>
      <c r="B2958" s="0" t="n">
        <v>13</v>
      </c>
      <c r="C2958" s="0" t="n">
        <v>7488</v>
      </c>
      <c r="E2958" s="0" t="n">
        <v>0</v>
      </c>
      <c r="F2958" s="23" t="s">
        <v>1389</v>
      </c>
      <c r="I2958" s="23" t="s">
        <v>1249</v>
      </c>
      <c r="U2958" s="0" t="n">
        <v>220</v>
      </c>
      <c r="V2958" s="0" t="n">
        <v>0</v>
      </c>
      <c r="W2958" s="0" t="str">
        <f aca="false">IF(OR(AND(B2958&gt;=1,B2958&lt;=6),B2958=10),"Vaca em lactação",IF(I2958="Male","Macho",IF(E2958&gt;=1,"Vaca seca",IF(I2958="Youngstock","Bezerra/recria","Novilha"))))</f>
        <v>Bezerra/recria</v>
      </c>
      <c r="X2958" s="0" t="str">
        <f aca="false">IF(AND(B2958&gt;=1,B2958&lt;=6),"Tanque",IF(B2958=10,"Descarte",""))</f>
        <v/>
      </c>
    </row>
    <row r="2959" customFormat="false" ht="15" hidden="false" customHeight="false" outlineLevel="0" collapsed="false">
      <c r="A2959" s="22" t="n">
        <v>46309</v>
      </c>
      <c r="B2959" s="0" t="n">
        <v>13</v>
      </c>
      <c r="C2959" s="0" t="n">
        <v>7484</v>
      </c>
      <c r="E2959" s="0" t="n">
        <v>0</v>
      </c>
      <c r="F2959" s="23" t="s">
        <v>1388</v>
      </c>
      <c r="I2959" s="23" t="s">
        <v>1249</v>
      </c>
      <c r="U2959" s="0" t="n">
        <v>221</v>
      </c>
      <c r="V2959" s="0" t="n">
        <v>0</v>
      </c>
      <c r="W2959" s="0" t="str">
        <f aca="false">IF(OR(AND(B2959&gt;=1,B2959&lt;=6),B2959=10),"Vaca em lactação",IF(I2959="Male","Macho",IF(E2959&gt;=1,"Vaca seca",IF(I2959="Youngstock","Bezerra/recria","Novilha"))))</f>
        <v>Bezerra/recria</v>
      </c>
      <c r="X2959" s="0" t="str">
        <f aca="false">IF(AND(B2959&gt;=1,B2959&lt;=6),"Tanque",IF(B2959=10,"Descarte",""))</f>
        <v/>
      </c>
    </row>
    <row r="2960" customFormat="false" ht="15" hidden="false" customHeight="false" outlineLevel="0" collapsed="false">
      <c r="A2960" s="22" t="n">
        <v>46309</v>
      </c>
      <c r="B2960" s="0" t="n">
        <v>13</v>
      </c>
      <c r="C2960" s="0" t="n">
        <v>7483</v>
      </c>
      <c r="E2960" s="0" t="n">
        <v>0</v>
      </c>
      <c r="F2960" s="23" t="s">
        <v>1387</v>
      </c>
      <c r="I2960" s="23" t="s">
        <v>1249</v>
      </c>
      <c r="U2960" s="0" t="n">
        <v>222</v>
      </c>
      <c r="V2960" s="0" t="n">
        <v>0</v>
      </c>
      <c r="W2960" s="0" t="str">
        <f aca="false">IF(OR(AND(B2960&gt;=1,B2960&lt;=6),B2960=10),"Vaca em lactação",IF(I2960="Male","Macho",IF(E2960&gt;=1,"Vaca seca",IF(I2960="Youngstock","Bezerra/recria","Novilha"))))</f>
        <v>Bezerra/recria</v>
      </c>
      <c r="X2960" s="0" t="str">
        <f aca="false">IF(AND(B2960&gt;=1,B2960&lt;=6),"Tanque",IF(B2960=10,"Descarte",""))</f>
        <v/>
      </c>
    </row>
    <row r="2961" customFormat="false" ht="15" hidden="false" customHeight="false" outlineLevel="0" collapsed="false">
      <c r="A2961" s="22" t="n">
        <v>46309</v>
      </c>
      <c r="B2961" s="0" t="n">
        <v>13</v>
      </c>
      <c r="C2961" s="0" t="n">
        <v>7461</v>
      </c>
      <c r="E2961" s="0" t="n">
        <v>0</v>
      </c>
      <c r="F2961" s="23" t="s">
        <v>1390</v>
      </c>
      <c r="I2961" s="23" t="s">
        <v>1249</v>
      </c>
      <c r="U2961" s="0" t="n">
        <v>230</v>
      </c>
      <c r="V2961" s="0" t="n">
        <v>0</v>
      </c>
      <c r="W2961" s="0" t="str">
        <f aca="false">IF(OR(AND(B2961&gt;=1,B2961&lt;=6),B2961=10),"Vaca em lactação",IF(I2961="Male","Macho",IF(E2961&gt;=1,"Vaca seca",IF(I2961="Youngstock","Bezerra/recria","Novilha"))))</f>
        <v>Bezerra/recria</v>
      </c>
      <c r="X2961" s="0" t="str">
        <f aca="false">IF(AND(B2961&gt;=1,B2961&lt;=6),"Tanque",IF(B2961=10,"Descarte",""))</f>
        <v/>
      </c>
    </row>
    <row r="2962" customFormat="false" ht="15" hidden="false" customHeight="false" outlineLevel="0" collapsed="false">
      <c r="A2962" s="22" t="n">
        <v>46309</v>
      </c>
      <c r="B2962" s="0" t="n">
        <v>13</v>
      </c>
      <c r="C2962" s="0" t="n">
        <v>7460</v>
      </c>
      <c r="E2962" s="0" t="n">
        <v>0</v>
      </c>
      <c r="F2962" s="23" t="s">
        <v>1391</v>
      </c>
      <c r="I2962" s="23" t="s">
        <v>1249</v>
      </c>
      <c r="U2962" s="0" t="n">
        <v>231</v>
      </c>
      <c r="V2962" s="0" t="n">
        <v>0</v>
      </c>
      <c r="W2962" s="0" t="str">
        <f aca="false">IF(OR(AND(B2962&gt;=1,B2962&lt;=6),B2962=10),"Vaca em lactação",IF(I2962="Male","Macho",IF(E2962&gt;=1,"Vaca seca",IF(I2962="Youngstock","Bezerra/recria","Novilha"))))</f>
        <v>Bezerra/recria</v>
      </c>
      <c r="X2962" s="0" t="str">
        <f aca="false">IF(AND(B2962&gt;=1,B2962&lt;=6),"Tanque",IF(B2962=10,"Descarte",""))</f>
        <v/>
      </c>
    </row>
    <row r="2963" customFormat="false" ht="15" hidden="false" customHeight="false" outlineLevel="0" collapsed="false">
      <c r="A2963" s="22" t="n">
        <v>46309</v>
      </c>
      <c r="B2963" s="0" t="n">
        <v>13</v>
      </c>
      <c r="C2963" s="0" t="n">
        <v>7459</v>
      </c>
      <c r="E2963" s="0" t="n">
        <v>0</v>
      </c>
      <c r="F2963" s="23" t="s">
        <v>1391</v>
      </c>
      <c r="I2963" s="23" t="s">
        <v>1249</v>
      </c>
      <c r="U2963" s="0" t="n">
        <v>231</v>
      </c>
      <c r="V2963" s="0" t="n">
        <v>0</v>
      </c>
      <c r="W2963" s="0" t="str">
        <f aca="false">IF(OR(AND(B2963&gt;=1,B2963&lt;=6),B2963=10),"Vaca em lactação",IF(I2963="Male","Macho",IF(E2963&gt;=1,"Vaca seca",IF(I2963="Youngstock","Bezerra/recria","Novilha"))))</f>
        <v>Bezerra/recria</v>
      </c>
      <c r="X2963" s="0" t="str">
        <f aca="false">IF(AND(B2963&gt;=1,B2963&lt;=6),"Tanque",IF(B2963=10,"Descarte",""))</f>
        <v/>
      </c>
    </row>
    <row r="2964" customFormat="false" ht="15" hidden="false" customHeight="false" outlineLevel="0" collapsed="false">
      <c r="A2964" s="22" t="n">
        <v>46309</v>
      </c>
      <c r="B2964" s="0" t="n">
        <v>13</v>
      </c>
      <c r="C2964" s="0" t="n">
        <v>7462</v>
      </c>
      <c r="E2964" s="0" t="n">
        <v>0</v>
      </c>
      <c r="F2964" s="23" t="s">
        <v>1392</v>
      </c>
      <c r="I2964" s="23" t="s">
        <v>1249</v>
      </c>
      <c r="U2964" s="0" t="n">
        <v>229</v>
      </c>
      <c r="V2964" s="0" t="n">
        <v>0</v>
      </c>
      <c r="W2964" s="0" t="str">
        <f aca="false">IF(OR(AND(B2964&gt;=1,B2964&lt;=6),B2964=10),"Vaca em lactação",IF(I2964="Male","Macho",IF(E2964&gt;=1,"Vaca seca",IF(I2964="Youngstock","Bezerra/recria","Novilha"))))</f>
        <v>Bezerra/recria</v>
      </c>
      <c r="X2964" s="0" t="str">
        <f aca="false">IF(AND(B2964&gt;=1,B2964&lt;=6),"Tanque",IF(B2964=10,"Descarte",""))</f>
        <v/>
      </c>
    </row>
    <row r="2965" customFormat="false" ht="15" hidden="false" customHeight="false" outlineLevel="0" collapsed="false">
      <c r="A2965" s="22" t="n">
        <v>46309</v>
      </c>
      <c r="B2965" s="0" t="n">
        <v>13</v>
      </c>
      <c r="C2965" s="0" t="n">
        <v>7465</v>
      </c>
      <c r="E2965" s="0" t="n">
        <v>0</v>
      </c>
      <c r="F2965" s="23" t="s">
        <v>1393</v>
      </c>
      <c r="I2965" s="23" t="s">
        <v>1249</v>
      </c>
      <c r="U2965" s="0" t="n">
        <v>228</v>
      </c>
      <c r="V2965" s="0" t="n">
        <v>0</v>
      </c>
      <c r="W2965" s="0" t="str">
        <f aca="false">IF(OR(AND(B2965&gt;=1,B2965&lt;=6),B2965=10),"Vaca em lactação",IF(I2965="Male","Macho",IF(E2965&gt;=1,"Vaca seca",IF(I2965="Youngstock","Bezerra/recria","Novilha"))))</f>
        <v>Bezerra/recria</v>
      </c>
      <c r="X2965" s="0" t="str">
        <f aca="false">IF(AND(B2965&gt;=1,B2965&lt;=6),"Tanque",IF(B2965=10,"Descarte",""))</f>
        <v/>
      </c>
    </row>
    <row r="2966" customFormat="false" ht="15" hidden="false" customHeight="false" outlineLevel="0" collapsed="false">
      <c r="A2966" s="22" t="n">
        <v>46309</v>
      </c>
      <c r="B2966" s="0" t="n">
        <v>13</v>
      </c>
      <c r="C2966" s="0" t="n">
        <v>7464</v>
      </c>
      <c r="E2966" s="0" t="n">
        <v>0</v>
      </c>
      <c r="F2966" s="23" t="s">
        <v>1393</v>
      </c>
      <c r="I2966" s="23" t="s">
        <v>1249</v>
      </c>
      <c r="U2966" s="0" t="n">
        <v>228</v>
      </c>
      <c r="V2966" s="0" t="n">
        <v>0</v>
      </c>
      <c r="W2966" s="0" t="str">
        <f aca="false">IF(OR(AND(B2966&gt;=1,B2966&lt;=6),B2966=10),"Vaca em lactação",IF(I2966="Male","Macho",IF(E2966&gt;=1,"Vaca seca",IF(I2966="Youngstock","Bezerra/recria","Novilha"))))</f>
        <v>Bezerra/recria</v>
      </c>
      <c r="X2966" s="0" t="str">
        <f aca="false">IF(AND(B2966&gt;=1,B2966&lt;=6),"Tanque",IF(B2966=10,"Descarte",""))</f>
        <v/>
      </c>
    </row>
    <row r="2967" customFormat="false" ht="15" hidden="false" customHeight="false" outlineLevel="0" collapsed="false">
      <c r="A2967" s="22" t="n">
        <v>46309</v>
      </c>
      <c r="B2967" s="0" t="n">
        <v>13</v>
      </c>
      <c r="C2967" s="0" t="n">
        <v>7442</v>
      </c>
      <c r="E2967" s="0" t="n">
        <v>0</v>
      </c>
      <c r="F2967" s="23" t="s">
        <v>1394</v>
      </c>
      <c r="I2967" s="23" t="s">
        <v>1249</v>
      </c>
      <c r="U2967" s="0" t="n">
        <v>234</v>
      </c>
      <c r="V2967" s="0" t="n">
        <v>0</v>
      </c>
      <c r="W2967" s="0" t="str">
        <f aca="false">IF(OR(AND(B2967&gt;=1,B2967&lt;=6),B2967=10),"Vaca em lactação",IF(I2967="Male","Macho",IF(E2967&gt;=1,"Vaca seca",IF(I2967="Youngstock","Bezerra/recria","Novilha"))))</f>
        <v>Bezerra/recria</v>
      </c>
      <c r="X2967" s="0" t="str">
        <f aca="false">IF(AND(B2967&gt;=1,B2967&lt;=6),"Tanque",IF(B2967=10,"Descarte",""))</f>
        <v/>
      </c>
    </row>
    <row r="2968" customFormat="false" ht="15" hidden="false" customHeight="false" outlineLevel="0" collapsed="false">
      <c r="A2968" s="22" t="n">
        <v>46309</v>
      </c>
      <c r="B2968" s="0" t="n">
        <v>13</v>
      </c>
      <c r="C2968" s="0" t="n">
        <v>7473</v>
      </c>
      <c r="E2968" s="0" t="n">
        <v>0</v>
      </c>
      <c r="F2968" s="23" t="s">
        <v>1395</v>
      </c>
      <c r="I2968" s="23" t="s">
        <v>1249</v>
      </c>
      <c r="U2968" s="0" t="n">
        <v>225</v>
      </c>
      <c r="V2968" s="0" t="n">
        <v>0</v>
      </c>
      <c r="W2968" s="0" t="str">
        <f aca="false">IF(OR(AND(B2968&gt;=1,B2968&lt;=6),B2968=10),"Vaca em lactação",IF(I2968="Male","Macho",IF(E2968&gt;=1,"Vaca seca",IF(I2968="Youngstock","Bezerra/recria","Novilha"))))</f>
        <v>Bezerra/recria</v>
      </c>
      <c r="X2968" s="0" t="str">
        <f aca="false">IF(AND(B2968&gt;=1,B2968&lt;=6),"Tanque",IF(B2968=10,"Descarte",""))</f>
        <v/>
      </c>
    </row>
    <row r="2969" customFormat="false" ht="15" hidden="false" customHeight="false" outlineLevel="0" collapsed="false">
      <c r="A2969" s="22" t="n">
        <v>46309</v>
      </c>
      <c r="B2969" s="0" t="n">
        <v>13</v>
      </c>
      <c r="C2969" s="0" t="n">
        <v>7474</v>
      </c>
      <c r="E2969" s="0" t="n">
        <v>0</v>
      </c>
      <c r="F2969" s="23" t="s">
        <v>1396</v>
      </c>
      <c r="I2969" s="23" t="s">
        <v>1249</v>
      </c>
      <c r="U2969" s="0" t="n">
        <v>224</v>
      </c>
      <c r="V2969" s="0" t="n">
        <v>0</v>
      </c>
      <c r="W2969" s="0" t="str">
        <f aca="false">IF(OR(AND(B2969&gt;=1,B2969&lt;=6),B2969=10),"Vaca em lactação",IF(I2969="Male","Macho",IF(E2969&gt;=1,"Vaca seca",IF(I2969="Youngstock","Bezerra/recria","Novilha"))))</f>
        <v>Bezerra/recria</v>
      </c>
      <c r="X2969" s="0" t="str">
        <f aca="false">IF(AND(B2969&gt;=1,B2969&lt;=6),"Tanque",IF(B2969=10,"Descarte",""))</f>
        <v/>
      </c>
    </row>
    <row r="2970" customFormat="false" ht="15" hidden="false" customHeight="false" outlineLevel="0" collapsed="false">
      <c r="A2970" s="22" t="n">
        <v>46309</v>
      </c>
      <c r="B2970" s="0" t="n">
        <v>13</v>
      </c>
      <c r="C2970" s="0" t="n">
        <v>7476</v>
      </c>
      <c r="E2970" s="0" t="n">
        <v>0</v>
      </c>
      <c r="F2970" s="23" t="s">
        <v>1395</v>
      </c>
      <c r="I2970" s="23" t="s">
        <v>1249</v>
      </c>
      <c r="U2970" s="0" t="n">
        <v>225</v>
      </c>
      <c r="V2970" s="0" t="n">
        <v>0</v>
      </c>
      <c r="W2970" s="0" t="str">
        <f aca="false">IF(OR(AND(B2970&gt;=1,B2970&lt;=6),B2970=10),"Vaca em lactação",IF(I2970="Male","Macho",IF(E2970&gt;=1,"Vaca seca",IF(I2970="Youngstock","Bezerra/recria","Novilha"))))</f>
        <v>Bezerra/recria</v>
      </c>
      <c r="X2970" s="0" t="str">
        <f aca="false">IF(AND(B2970&gt;=1,B2970&lt;=6),"Tanque",IF(B2970=10,"Descarte",""))</f>
        <v/>
      </c>
    </row>
    <row r="2971" customFormat="false" ht="15" hidden="false" customHeight="false" outlineLevel="0" collapsed="false">
      <c r="A2971" s="22" t="n">
        <v>46309</v>
      </c>
      <c r="B2971" s="0" t="n">
        <v>13</v>
      </c>
      <c r="C2971" s="0" t="n">
        <v>7472</v>
      </c>
      <c r="E2971" s="0" t="n">
        <v>0</v>
      </c>
      <c r="F2971" s="23" t="s">
        <v>1395</v>
      </c>
      <c r="I2971" s="23" t="s">
        <v>1249</v>
      </c>
      <c r="U2971" s="0" t="n">
        <v>225</v>
      </c>
      <c r="V2971" s="0" t="n">
        <v>0</v>
      </c>
      <c r="W2971" s="0" t="str">
        <f aca="false">IF(OR(AND(B2971&gt;=1,B2971&lt;=6),B2971=10),"Vaca em lactação",IF(I2971="Male","Macho",IF(E2971&gt;=1,"Vaca seca",IF(I2971="Youngstock","Bezerra/recria","Novilha"))))</f>
        <v>Bezerra/recria</v>
      </c>
      <c r="X2971" s="0" t="str">
        <f aca="false">IF(AND(B2971&gt;=1,B2971&lt;=6),"Tanque",IF(B2971=10,"Descarte",""))</f>
        <v/>
      </c>
    </row>
    <row r="2972" customFormat="false" ht="15" hidden="false" customHeight="false" outlineLevel="0" collapsed="false">
      <c r="A2972" s="22" t="n">
        <v>46309</v>
      </c>
      <c r="B2972" s="0" t="n">
        <v>13</v>
      </c>
      <c r="C2972" s="0" t="n">
        <v>7477</v>
      </c>
      <c r="E2972" s="0" t="n">
        <v>0</v>
      </c>
      <c r="F2972" s="23" t="s">
        <v>1396</v>
      </c>
      <c r="I2972" s="23" t="s">
        <v>1249</v>
      </c>
      <c r="U2972" s="0" t="n">
        <v>224</v>
      </c>
      <c r="V2972" s="0" t="n">
        <v>0</v>
      </c>
      <c r="W2972" s="0" t="str">
        <f aca="false">IF(OR(AND(B2972&gt;=1,B2972&lt;=6),B2972=10),"Vaca em lactação",IF(I2972="Male","Macho",IF(E2972&gt;=1,"Vaca seca",IF(I2972="Youngstock","Bezerra/recria","Novilha"))))</f>
        <v>Bezerra/recria</v>
      </c>
      <c r="X2972" s="0" t="str">
        <f aca="false">IF(AND(B2972&gt;=1,B2972&lt;=6),"Tanque",IF(B2972=10,"Descarte",""))</f>
        <v/>
      </c>
    </row>
    <row r="2973" customFormat="false" ht="15" hidden="false" customHeight="false" outlineLevel="0" collapsed="false">
      <c r="A2973" s="22" t="n">
        <v>46309</v>
      </c>
      <c r="B2973" s="0" t="n">
        <v>13</v>
      </c>
      <c r="C2973" s="0" t="n">
        <v>7471</v>
      </c>
      <c r="E2973" s="0" t="n">
        <v>0</v>
      </c>
      <c r="F2973" s="23" t="s">
        <v>1395</v>
      </c>
      <c r="I2973" s="23" t="s">
        <v>1249</v>
      </c>
      <c r="U2973" s="0" t="n">
        <v>225</v>
      </c>
      <c r="V2973" s="0" t="n">
        <v>0</v>
      </c>
      <c r="W2973" s="0" t="str">
        <f aca="false">IF(OR(AND(B2973&gt;=1,B2973&lt;=6),B2973=10),"Vaca em lactação",IF(I2973="Male","Macho",IF(E2973&gt;=1,"Vaca seca",IF(I2973="Youngstock","Bezerra/recria","Novilha"))))</f>
        <v>Bezerra/recria</v>
      </c>
      <c r="X2973" s="0" t="str">
        <f aca="false">IF(AND(B2973&gt;=1,B2973&lt;=6),"Tanque",IF(B2973=10,"Descarte",""))</f>
        <v/>
      </c>
    </row>
    <row r="2974" customFormat="false" ht="15" hidden="false" customHeight="false" outlineLevel="0" collapsed="false">
      <c r="A2974" s="22" t="n">
        <v>46309</v>
      </c>
      <c r="B2974" s="0" t="n">
        <v>13</v>
      </c>
      <c r="C2974" s="0" t="n">
        <v>7469</v>
      </c>
      <c r="E2974" s="0" t="n">
        <v>0</v>
      </c>
      <c r="F2974" s="23" t="s">
        <v>1397</v>
      </c>
      <c r="I2974" s="23" t="s">
        <v>1249</v>
      </c>
      <c r="U2974" s="0" t="n">
        <v>227</v>
      </c>
      <c r="V2974" s="0" t="n">
        <v>0</v>
      </c>
      <c r="W2974" s="0" t="str">
        <f aca="false">IF(OR(AND(B2974&gt;=1,B2974&lt;=6),B2974=10),"Vaca em lactação",IF(I2974="Male","Macho",IF(E2974&gt;=1,"Vaca seca",IF(I2974="Youngstock","Bezerra/recria","Novilha"))))</f>
        <v>Bezerra/recria</v>
      </c>
      <c r="X2974" s="0" t="str">
        <f aca="false">IF(AND(B2974&gt;=1,B2974&lt;=6),"Tanque",IF(B2974=10,"Descarte",""))</f>
        <v/>
      </c>
    </row>
    <row r="2975" customFormat="false" ht="15" hidden="false" customHeight="false" outlineLevel="0" collapsed="false">
      <c r="A2975" s="22" t="n">
        <v>46309</v>
      </c>
      <c r="B2975" s="0" t="n">
        <v>13</v>
      </c>
      <c r="C2975" s="0" t="n">
        <v>7470</v>
      </c>
      <c r="E2975" s="0" t="n">
        <v>0</v>
      </c>
      <c r="F2975" s="23" t="s">
        <v>1398</v>
      </c>
      <c r="I2975" s="23" t="s">
        <v>1249</v>
      </c>
      <c r="U2975" s="0" t="n">
        <v>226</v>
      </c>
      <c r="V2975" s="0" t="n">
        <v>0</v>
      </c>
      <c r="W2975" s="0" t="str">
        <f aca="false">IF(OR(AND(B2975&gt;=1,B2975&lt;=6),B2975=10),"Vaca em lactação",IF(I2975="Male","Macho",IF(E2975&gt;=1,"Vaca seca",IF(I2975="Youngstock","Bezerra/recria","Novilha"))))</f>
        <v>Bezerra/recria</v>
      </c>
      <c r="X2975" s="0" t="str">
        <f aca="false">IF(AND(B2975&gt;=1,B2975&lt;=6),"Tanque",IF(B2975=10,"Descarte",""))</f>
        <v/>
      </c>
    </row>
    <row r="2976" customFormat="false" ht="15" hidden="false" customHeight="false" outlineLevel="0" collapsed="false">
      <c r="A2976" s="22" t="n">
        <v>46309</v>
      </c>
      <c r="B2976" s="0" t="n">
        <v>13</v>
      </c>
      <c r="C2976" s="0" t="n">
        <v>7468</v>
      </c>
      <c r="E2976" s="0" t="n">
        <v>0</v>
      </c>
      <c r="F2976" s="23" t="s">
        <v>1397</v>
      </c>
      <c r="I2976" s="23" t="s">
        <v>1249</v>
      </c>
      <c r="U2976" s="0" t="n">
        <v>227</v>
      </c>
      <c r="V2976" s="0" t="n">
        <v>0</v>
      </c>
      <c r="W2976" s="0" t="str">
        <f aca="false">IF(OR(AND(B2976&gt;=1,B2976&lt;=6),B2976=10),"Vaca em lactação",IF(I2976="Male","Macho",IF(E2976&gt;=1,"Vaca seca",IF(I2976="Youngstock","Bezerra/recria","Novilha"))))</f>
        <v>Bezerra/recria</v>
      </c>
      <c r="X2976" s="0" t="str">
        <f aca="false">IF(AND(B2976&gt;=1,B2976&lt;=6),"Tanque",IF(B2976=10,"Descarte",""))</f>
        <v/>
      </c>
    </row>
    <row r="2977" customFormat="false" ht="15" hidden="false" customHeight="false" outlineLevel="0" collapsed="false">
      <c r="A2977" s="22" t="n">
        <v>46309</v>
      </c>
      <c r="B2977" s="0" t="n">
        <v>13</v>
      </c>
      <c r="C2977" s="0" t="n">
        <v>7478</v>
      </c>
      <c r="E2977" s="0" t="n">
        <v>0</v>
      </c>
      <c r="F2977" s="23" t="s">
        <v>1396</v>
      </c>
      <c r="I2977" s="23" t="s">
        <v>1249</v>
      </c>
      <c r="U2977" s="0" t="n">
        <v>224</v>
      </c>
      <c r="V2977" s="0" t="n">
        <v>0</v>
      </c>
      <c r="W2977" s="0" t="str">
        <f aca="false">IF(OR(AND(B2977&gt;=1,B2977&lt;=6),B2977=10),"Vaca em lactação",IF(I2977="Male","Macho",IF(E2977&gt;=1,"Vaca seca",IF(I2977="Youngstock","Bezerra/recria","Novilha"))))</f>
        <v>Bezerra/recria</v>
      </c>
      <c r="X2977" s="0" t="str">
        <f aca="false">IF(AND(B2977&gt;=1,B2977&lt;=6),"Tanque",IF(B2977=10,"Descarte",""))</f>
        <v/>
      </c>
    </row>
    <row r="2978" customFormat="false" ht="15" hidden="false" customHeight="false" outlineLevel="0" collapsed="false">
      <c r="A2978" s="22" t="n">
        <v>46309</v>
      </c>
      <c r="B2978" s="0" t="n">
        <v>13</v>
      </c>
      <c r="C2978" s="0" t="n">
        <v>7479</v>
      </c>
      <c r="E2978" s="0" t="n">
        <v>0</v>
      </c>
      <c r="F2978" s="23" t="s">
        <v>1399</v>
      </c>
      <c r="I2978" s="23" t="s">
        <v>1249</v>
      </c>
      <c r="U2978" s="0" t="n">
        <v>223</v>
      </c>
      <c r="V2978" s="0" t="n">
        <v>0</v>
      </c>
      <c r="W2978" s="0" t="str">
        <f aca="false">IF(OR(AND(B2978&gt;=1,B2978&lt;=6),B2978=10),"Vaca em lactação",IF(I2978="Male","Macho",IF(E2978&gt;=1,"Vaca seca",IF(I2978="Youngstock","Bezerra/recria","Novilha"))))</f>
        <v>Bezerra/recria</v>
      </c>
      <c r="X2978" s="0" t="str">
        <f aca="false">IF(AND(B2978&gt;=1,B2978&lt;=6),"Tanque",IF(B2978=10,"Descarte",""))</f>
        <v/>
      </c>
    </row>
    <row r="2979" customFormat="false" ht="15" hidden="false" customHeight="false" outlineLevel="0" collapsed="false">
      <c r="A2979" s="22" t="n">
        <v>46309</v>
      </c>
      <c r="B2979" s="0" t="n">
        <v>13</v>
      </c>
      <c r="C2979" s="0" t="n">
        <v>7448</v>
      </c>
      <c r="E2979" s="0" t="n">
        <v>0</v>
      </c>
      <c r="F2979" s="23" t="s">
        <v>1394</v>
      </c>
      <c r="I2979" s="23" t="s">
        <v>1249</v>
      </c>
      <c r="U2979" s="0" t="n">
        <v>234</v>
      </c>
      <c r="V2979" s="0" t="n">
        <v>0</v>
      </c>
      <c r="W2979" s="0" t="str">
        <f aca="false">IF(OR(AND(B2979&gt;=1,B2979&lt;=6),B2979=10),"Vaca em lactação",IF(I2979="Male","Macho",IF(E2979&gt;=1,"Vaca seca",IF(I2979="Youngstock","Bezerra/recria","Novilha"))))</f>
        <v>Bezerra/recria</v>
      </c>
      <c r="X2979" s="0" t="str">
        <f aca="false">IF(AND(B2979&gt;=1,B2979&lt;=6),"Tanque",IF(B2979=10,"Descarte",""))</f>
        <v/>
      </c>
    </row>
    <row r="2980" customFormat="false" ht="15" hidden="false" customHeight="false" outlineLevel="0" collapsed="false">
      <c r="A2980" s="22" t="n">
        <v>46309</v>
      </c>
      <c r="B2980" s="0" t="n">
        <v>13</v>
      </c>
      <c r="C2980" s="0" t="n">
        <v>7446</v>
      </c>
      <c r="E2980" s="0" t="n">
        <v>0</v>
      </c>
      <c r="F2980" s="23" t="s">
        <v>1394</v>
      </c>
      <c r="I2980" s="23" t="s">
        <v>1249</v>
      </c>
      <c r="U2980" s="0" t="n">
        <v>234</v>
      </c>
      <c r="V2980" s="0" t="n">
        <v>0</v>
      </c>
      <c r="W2980" s="0" t="str">
        <f aca="false">IF(OR(AND(B2980&gt;=1,B2980&lt;=6),B2980=10),"Vaca em lactação",IF(I2980="Male","Macho",IF(E2980&gt;=1,"Vaca seca",IF(I2980="Youngstock","Bezerra/recria","Novilha"))))</f>
        <v>Bezerra/recria</v>
      </c>
      <c r="X2980" s="0" t="str">
        <f aca="false">IF(AND(B2980&gt;=1,B2980&lt;=6),"Tanque",IF(B2980=10,"Descarte",""))</f>
        <v/>
      </c>
    </row>
    <row r="2981" customFormat="false" ht="15" hidden="false" customHeight="false" outlineLevel="0" collapsed="false">
      <c r="A2981" s="22" t="n">
        <v>46309</v>
      </c>
      <c r="B2981" s="0" t="n">
        <v>13</v>
      </c>
      <c r="C2981" s="0" t="n">
        <v>7444</v>
      </c>
      <c r="E2981" s="0" t="n">
        <v>0</v>
      </c>
      <c r="F2981" s="23" t="s">
        <v>1394</v>
      </c>
      <c r="I2981" s="23" t="s">
        <v>1249</v>
      </c>
      <c r="U2981" s="0" t="n">
        <v>234</v>
      </c>
      <c r="V2981" s="0" t="n">
        <v>0</v>
      </c>
      <c r="W2981" s="0" t="str">
        <f aca="false">IF(OR(AND(B2981&gt;=1,B2981&lt;=6),B2981=10),"Vaca em lactação",IF(I2981="Male","Macho",IF(E2981&gt;=1,"Vaca seca",IF(I2981="Youngstock","Bezerra/recria","Novilha"))))</f>
        <v>Bezerra/recria</v>
      </c>
      <c r="X2981" s="0" t="str">
        <f aca="false">IF(AND(B2981&gt;=1,B2981&lt;=6),"Tanque",IF(B2981=10,"Descarte",""))</f>
        <v/>
      </c>
    </row>
    <row r="2982" customFormat="false" ht="15" hidden="false" customHeight="false" outlineLevel="0" collapsed="false">
      <c r="A2982" s="22" t="n">
        <v>46309</v>
      </c>
      <c r="B2982" s="0" t="n">
        <v>13</v>
      </c>
      <c r="C2982" s="0" t="n">
        <v>7456</v>
      </c>
      <c r="E2982" s="0" t="n">
        <v>0</v>
      </c>
      <c r="F2982" s="23" t="s">
        <v>1391</v>
      </c>
      <c r="I2982" s="23" t="s">
        <v>1249</v>
      </c>
      <c r="U2982" s="0" t="n">
        <v>231</v>
      </c>
      <c r="V2982" s="0" t="n">
        <v>0</v>
      </c>
      <c r="W2982" s="0" t="str">
        <f aca="false">IF(OR(AND(B2982&gt;=1,B2982&lt;=6),B2982=10),"Vaca em lactação",IF(I2982="Male","Macho",IF(E2982&gt;=1,"Vaca seca",IF(I2982="Youngstock","Bezerra/recria","Novilha"))))</f>
        <v>Bezerra/recria</v>
      </c>
      <c r="X2982" s="0" t="str">
        <f aca="false">IF(AND(B2982&gt;=1,B2982&lt;=6),"Tanque",IF(B2982=10,"Descarte",""))</f>
        <v/>
      </c>
    </row>
    <row r="2983" customFormat="false" ht="15" hidden="false" customHeight="false" outlineLevel="0" collapsed="false">
      <c r="A2983" s="22" t="n">
        <v>46309</v>
      </c>
      <c r="B2983" s="0" t="n">
        <v>13</v>
      </c>
      <c r="C2983" s="0" t="n">
        <v>7455</v>
      </c>
      <c r="E2983" s="0" t="n">
        <v>0</v>
      </c>
      <c r="F2983" s="23" t="s">
        <v>1391</v>
      </c>
      <c r="I2983" s="23" t="s">
        <v>1249</v>
      </c>
      <c r="U2983" s="0" t="n">
        <v>231</v>
      </c>
      <c r="V2983" s="0" t="n">
        <v>0</v>
      </c>
      <c r="W2983" s="0" t="str">
        <f aca="false">IF(OR(AND(B2983&gt;=1,B2983&lt;=6),B2983=10),"Vaca em lactação",IF(I2983="Male","Macho",IF(E2983&gt;=1,"Vaca seca",IF(I2983="Youngstock","Bezerra/recria","Novilha"))))</f>
        <v>Bezerra/recria</v>
      </c>
      <c r="X2983" s="0" t="str">
        <f aca="false">IF(AND(B2983&gt;=1,B2983&lt;=6),"Tanque",IF(B2983=10,"Descarte",""))</f>
        <v/>
      </c>
    </row>
    <row r="2984" customFormat="false" ht="15" hidden="false" customHeight="false" outlineLevel="0" collapsed="false">
      <c r="A2984" s="22" t="n">
        <v>46309</v>
      </c>
      <c r="B2984" s="0" t="n">
        <v>13</v>
      </c>
      <c r="C2984" s="0" t="n">
        <v>7454</v>
      </c>
      <c r="E2984" s="0" t="n">
        <v>0</v>
      </c>
      <c r="F2984" s="23" t="s">
        <v>1391</v>
      </c>
      <c r="I2984" s="23" t="s">
        <v>1249</v>
      </c>
      <c r="U2984" s="0" t="n">
        <v>231</v>
      </c>
      <c r="V2984" s="0" t="n">
        <v>0</v>
      </c>
      <c r="W2984" s="0" t="str">
        <f aca="false">IF(OR(AND(B2984&gt;=1,B2984&lt;=6),B2984=10),"Vaca em lactação",IF(I2984="Male","Macho",IF(E2984&gt;=1,"Vaca seca",IF(I2984="Youngstock","Bezerra/recria","Novilha"))))</f>
        <v>Bezerra/recria</v>
      </c>
      <c r="X2984" s="0" t="str">
        <f aca="false">IF(AND(B2984&gt;=1,B2984&lt;=6),"Tanque",IF(B2984=10,"Descarte",""))</f>
        <v/>
      </c>
    </row>
    <row r="2985" customFormat="false" ht="15" hidden="false" customHeight="false" outlineLevel="0" collapsed="false">
      <c r="A2985" s="22" t="n">
        <v>46309</v>
      </c>
      <c r="B2985" s="0" t="n">
        <v>13</v>
      </c>
      <c r="C2985" s="0" t="n">
        <v>7453</v>
      </c>
      <c r="E2985" s="0" t="n">
        <v>0</v>
      </c>
      <c r="F2985" s="23" t="s">
        <v>1400</v>
      </c>
      <c r="I2985" s="23" t="s">
        <v>1249</v>
      </c>
      <c r="U2985" s="0" t="n">
        <v>232</v>
      </c>
      <c r="V2985" s="0" t="n">
        <v>0</v>
      </c>
      <c r="W2985" s="0" t="str">
        <f aca="false">IF(OR(AND(B2985&gt;=1,B2985&lt;=6),B2985=10),"Vaca em lactação",IF(I2985="Male","Macho",IF(E2985&gt;=1,"Vaca seca",IF(I2985="Youngstock","Bezerra/recria","Novilha"))))</f>
        <v>Bezerra/recria</v>
      </c>
      <c r="X2985" s="0" t="str">
        <f aca="false">IF(AND(B2985&gt;=1,B2985&lt;=6),"Tanque",IF(B2985=10,"Descarte",""))</f>
        <v/>
      </c>
    </row>
    <row r="2986" customFormat="false" ht="15" hidden="false" customHeight="false" outlineLevel="0" collapsed="false">
      <c r="A2986" s="22" t="n">
        <v>46309</v>
      </c>
      <c r="B2986" s="0" t="n">
        <v>13</v>
      </c>
      <c r="C2986" s="0" t="n">
        <v>7452</v>
      </c>
      <c r="E2986" s="0" t="n">
        <v>0</v>
      </c>
      <c r="F2986" s="23" t="s">
        <v>1400</v>
      </c>
      <c r="I2986" s="23" t="s">
        <v>1249</v>
      </c>
      <c r="U2986" s="0" t="n">
        <v>232</v>
      </c>
      <c r="V2986" s="0" t="n">
        <v>0</v>
      </c>
      <c r="W2986" s="0" t="str">
        <f aca="false">IF(OR(AND(B2986&gt;=1,B2986&lt;=6),B2986=10),"Vaca em lactação",IF(I2986="Male","Macho",IF(E2986&gt;=1,"Vaca seca",IF(I2986="Youngstock","Bezerra/recria","Novilha"))))</f>
        <v>Bezerra/recria</v>
      </c>
      <c r="X2986" s="0" t="str">
        <f aca="false">IF(AND(B2986&gt;=1,B2986&lt;=6),"Tanque",IF(B2986=10,"Descarte",""))</f>
        <v/>
      </c>
    </row>
    <row r="2987" customFormat="false" ht="15" hidden="false" customHeight="false" outlineLevel="0" collapsed="false">
      <c r="A2987" s="22" t="n">
        <v>46309</v>
      </c>
      <c r="B2987" s="0" t="n">
        <v>13</v>
      </c>
      <c r="C2987" s="0" t="n">
        <v>7451</v>
      </c>
      <c r="E2987" s="0" t="n">
        <v>0</v>
      </c>
      <c r="F2987" s="23" t="s">
        <v>1400</v>
      </c>
      <c r="I2987" s="23" t="s">
        <v>1249</v>
      </c>
      <c r="U2987" s="0" t="n">
        <v>232</v>
      </c>
      <c r="V2987" s="0" t="n">
        <v>0</v>
      </c>
      <c r="W2987" s="0" t="str">
        <f aca="false">IF(OR(AND(B2987&gt;=1,B2987&lt;=6),B2987=10),"Vaca em lactação",IF(I2987="Male","Macho",IF(E2987&gt;=1,"Vaca seca",IF(I2987="Youngstock","Bezerra/recria","Novilha"))))</f>
        <v>Bezerra/recria</v>
      </c>
      <c r="X2987" s="0" t="str">
        <f aca="false">IF(AND(B2987&gt;=1,B2987&lt;=6),"Tanque",IF(B2987=10,"Descarte",""))</f>
        <v/>
      </c>
    </row>
    <row r="2988" customFormat="false" ht="15" hidden="false" customHeight="false" outlineLevel="0" collapsed="false">
      <c r="A2988" s="22" t="n">
        <v>46309</v>
      </c>
      <c r="B2988" s="0" t="n">
        <v>13</v>
      </c>
      <c r="C2988" s="0" t="n">
        <v>7450</v>
      </c>
      <c r="E2988" s="0" t="n">
        <v>0</v>
      </c>
      <c r="F2988" s="23" t="s">
        <v>1400</v>
      </c>
      <c r="I2988" s="23" t="s">
        <v>1249</v>
      </c>
      <c r="U2988" s="0" t="n">
        <v>232</v>
      </c>
      <c r="V2988" s="0" t="n">
        <v>0</v>
      </c>
      <c r="W2988" s="0" t="str">
        <f aca="false">IF(OR(AND(B2988&gt;=1,B2988&lt;=6),B2988=10),"Vaca em lactação",IF(I2988="Male","Macho",IF(E2988&gt;=1,"Vaca seca",IF(I2988="Youngstock","Bezerra/recria","Novilha"))))</f>
        <v>Bezerra/recria</v>
      </c>
      <c r="X2988" s="0" t="str">
        <f aca="false">IF(AND(B2988&gt;=1,B2988&lt;=6),"Tanque",IF(B2988=10,"Descarte",""))</f>
        <v/>
      </c>
    </row>
    <row r="2989" customFormat="false" ht="15" hidden="false" customHeight="false" outlineLevel="0" collapsed="false">
      <c r="A2989" s="22" t="n">
        <v>46309</v>
      </c>
      <c r="B2989" s="0" t="n">
        <v>13</v>
      </c>
      <c r="C2989" s="0" t="n">
        <v>7457</v>
      </c>
      <c r="E2989" s="0" t="n">
        <v>0</v>
      </c>
      <c r="F2989" s="23" t="s">
        <v>1391</v>
      </c>
      <c r="I2989" s="23" t="s">
        <v>1249</v>
      </c>
      <c r="U2989" s="0" t="n">
        <v>231</v>
      </c>
      <c r="V2989" s="0" t="n">
        <v>0</v>
      </c>
      <c r="W2989" s="0" t="str">
        <f aca="false">IF(OR(AND(B2989&gt;=1,B2989&lt;=6),B2989=10),"Vaca em lactação",IF(I2989="Male","Macho",IF(E2989&gt;=1,"Vaca seca",IF(I2989="Youngstock","Bezerra/recria","Novilha"))))</f>
        <v>Bezerra/recria</v>
      </c>
      <c r="X2989" s="0" t="str">
        <f aca="false">IF(AND(B2989&gt;=1,B2989&lt;=6),"Tanque",IF(B2989=10,"Descarte",""))</f>
        <v/>
      </c>
    </row>
    <row r="2990" customFormat="false" ht="15" hidden="false" customHeight="false" outlineLevel="0" collapsed="false">
      <c r="A2990" s="22" t="n">
        <v>46309</v>
      </c>
      <c r="B2990" s="0" t="n">
        <v>13</v>
      </c>
      <c r="C2990" s="0" t="n">
        <v>7421</v>
      </c>
      <c r="E2990" s="0" t="n">
        <v>0</v>
      </c>
      <c r="F2990" s="23" t="s">
        <v>1401</v>
      </c>
      <c r="I2990" s="23" t="s">
        <v>1249</v>
      </c>
      <c r="U2990" s="0" t="n">
        <v>241</v>
      </c>
      <c r="V2990" s="0" t="n">
        <v>0</v>
      </c>
      <c r="W2990" s="0" t="str">
        <f aca="false">IF(OR(AND(B2990&gt;=1,B2990&lt;=6),B2990=10),"Vaca em lactação",IF(I2990="Male","Macho",IF(E2990&gt;=1,"Vaca seca",IF(I2990="Youngstock","Bezerra/recria","Novilha"))))</f>
        <v>Bezerra/recria</v>
      </c>
      <c r="X2990" s="0" t="str">
        <f aca="false">IF(AND(B2990&gt;=1,B2990&lt;=6),"Tanque",IF(B2990=10,"Descarte",""))</f>
        <v/>
      </c>
    </row>
    <row r="2991" customFormat="false" ht="15" hidden="false" customHeight="false" outlineLevel="0" collapsed="false">
      <c r="A2991" s="22" t="n">
        <v>46309</v>
      </c>
      <c r="B2991" s="0" t="n">
        <v>13</v>
      </c>
      <c r="C2991" s="0" t="n">
        <v>7420</v>
      </c>
      <c r="E2991" s="0" t="n">
        <v>0</v>
      </c>
      <c r="F2991" s="23" t="s">
        <v>1401</v>
      </c>
      <c r="I2991" s="23" t="s">
        <v>1249</v>
      </c>
      <c r="U2991" s="0" t="n">
        <v>241</v>
      </c>
      <c r="V2991" s="0" t="n">
        <v>0</v>
      </c>
      <c r="W2991" s="0" t="str">
        <f aca="false">IF(OR(AND(B2991&gt;=1,B2991&lt;=6),B2991=10),"Vaca em lactação",IF(I2991="Male","Macho",IF(E2991&gt;=1,"Vaca seca",IF(I2991="Youngstock","Bezerra/recria","Novilha"))))</f>
        <v>Bezerra/recria</v>
      </c>
      <c r="X2991" s="0" t="str">
        <f aca="false">IF(AND(B2991&gt;=1,B2991&lt;=6),"Tanque",IF(B2991=10,"Descarte",""))</f>
        <v/>
      </c>
    </row>
    <row r="2992" customFormat="false" ht="15" hidden="false" customHeight="false" outlineLevel="0" collapsed="false">
      <c r="A2992" s="22" t="n">
        <v>46309</v>
      </c>
      <c r="B2992" s="0" t="n">
        <v>13</v>
      </c>
      <c r="C2992" s="0" t="n">
        <v>7418</v>
      </c>
      <c r="E2992" s="0" t="n">
        <v>0</v>
      </c>
      <c r="F2992" s="23" t="s">
        <v>1402</v>
      </c>
      <c r="I2992" s="23" t="s">
        <v>1249</v>
      </c>
      <c r="U2992" s="0" t="n">
        <v>242</v>
      </c>
      <c r="V2992" s="0" t="n">
        <v>0</v>
      </c>
      <c r="W2992" s="0" t="str">
        <f aca="false">IF(OR(AND(B2992&gt;=1,B2992&lt;=6),B2992=10),"Vaca em lactação",IF(I2992="Male","Macho",IF(E2992&gt;=1,"Vaca seca",IF(I2992="Youngstock","Bezerra/recria","Novilha"))))</f>
        <v>Bezerra/recria</v>
      </c>
      <c r="X2992" s="0" t="str">
        <f aca="false">IF(AND(B2992&gt;=1,B2992&lt;=6),"Tanque",IF(B2992=10,"Descarte",""))</f>
        <v/>
      </c>
    </row>
    <row r="2993" customFormat="false" ht="15" hidden="false" customHeight="false" outlineLevel="0" collapsed="false">
      <c r="A2993" s="22" t="n">
        <v>46309</v>
      </c>
      <c r="B2993" s="0" t="n">
        <v>13</v>
      </c>
      <c r="C2993" s="0" t="n">
        <v>7416</v>
      </c>
      <c r="E2993" s="0" t="n">
        <v>0</v>
      </c>
      <c r="F2993" s="23" t="s">
        <v>1403</v>
      </c>
      <c r="I2993" s="23" t="s">
        <v>1249</v>
      </c>
      <c r="U2993" s="0" t="n">
        <v>244</v>
      </c>
      <c r="V2993" s="0" t="n">
        <v>0</v>
      </c>
      <c r="W2993" s="0" t="str">
        <f aca="false">IF(OR(AND(B2993&gt;=1,B2993&lt;=6),B2993=10),"Vaca em lactação",IF(I2993="Male","Macho",IF(E2993&gt;=1,"Vaca seca",IF(I2993="Youngstock","Bezerra/recria","Novilha"))))</f>
        <v>Bezerra/recria</v>
      </c>
      <c r="X2993" s="0" t="str">
        <f aca="false">IF(AND(B2993&gt;=1,B2993&lt;=6),"Tanque",IF(B2993=10,"Descarte",""))</f>
        <v/>
      </c>
    </row>
    <row r="2994" customFormat="false" ht="15" hidden="false" customHeight="false" outlineLevel="0" collapsed="false">
      <c r="A2994" s="22" t="n">
        <v>46309</v>
      </c>
      <c r="B2994" s="0" t="n">
        <v>13</v>
      </c>
      <c r="C2994" s="0" t="n">
        <v>7428</v>
      </c>
      <c r="E2994" s="0" t="n">
        <v>0</v>
      </c>
      <c r="F2994" s="23" t="s">
        <v>1404</v>
      </c>
      <c r="I2994" s="23" t="s">
        <v>1249</v>
      </c>
      <c r="U2994" s="0" t="n">
        <v>239</v>
      </c>
      <c r="V2994" s="0" t="n">
        <v>0</v>
      </c>
      <c r="W2994" s="0" t="str">
        <f aca="false">IF(OR(AND(B2994&gt;=1,B2994&lt;=6),B2994=10),"Vaca em lactação",IF(I2994="Male","Macho",IF(E2994&gt;=1,"Vaca seca",IF(I2994="Youngstock","Bezerra/recria","Novilha"))))</f>
        <v>Bezerra/recria</v>
      </c>
      <c r="X2994" s="0" t="str">
        <f aca="false">IF(AND(B2994&gt;=1,B2994&lt;=6),"Tanque",IF(B2994=10,"Descarte",""))</f>
        <v/>
      </c>
    </row>
    <row r="2995" customFormat="false" ht="15" hidden="false" customHeight="false" outlineLevel="0" collapsed="false">
      <c r="A2995" s="22" t="n">
        <v>46309</v>
      </c>
      <c r="B2995" s="0" t="n">
        <v>13</v>
      </c>
      <c r="C2995" s="0" t="n">
        <v>7427</v>
      </c>
      <c r="E2995" s="0" t="n">
        <v>0</v>
      </c>
      <c r="F2995" s="23" t="s">
        <v>1405</v>
      </c>
      <c r="I2995" s="23" t="s">
        <v>1249</v>
      </c>
      <c r="U2995" s="0" t="n">
        <v>240</v>
      </c>
      <c r="V2995" s="0" t="n">
        <v>0</v>
      </c>
      <c r="W2995" s="0" t="str">
        <f aca="false">IF(OR(AND(B2995&gt;=1,B2995&lt;=6),B2995=10),"Vaca em lactação",IF(I2995="Male","Macho",IF(E2995&gt;=1,"Vaca seca",IF(I2995="Youngstock","Bezerra/recria","Novilha"))))</f>
        <v>Bezerra/recria</v>
      </c>
      <c r="X2995" s="0" t="str">
        <f aca="false">IF(AND(B2995&gt;=1,B2995&lt;=6),"Tanque",IF(B2995=10,"Descarte",""))</f>
        <v/>
      </c>
    </row>
    <row r="2996" customFormat="false" ht="15" hidden="false" customHeight="false" outlineLevel="0" collapsed="false">
      <c r="A2996" s="22" t="n">
        <v>46309</v>
      </c>
      <c r="B2996" s="0" t="n">
        <v>13</v>
      </c>
      <c r="C2996" s="0" t="n">
        <v>7426</v>
      </c>
      <c r="E2996" s="0" t="n">
        <v>0</v>
      </c>
      <c r="F2996" s="23" t="s">
        <v>1405</v>
      </c>
      <c r="I2996" s="23" t="s">
        <v>1249</v>
      </c>
      <c r="U2996" s="0" t="n">
        <v>240</v>
      </c>
      <c r="V2996" s="0" t="n">
        <v>0</v>
      </c>
      <c r="W2996" s="0" t="str">
        <f aca="false">IF(OR(AND(B2996&gt;=1,B2996&lt;=6),B2996=10),"Vaca em lactação",IF(I2996="Male","Macho",IF(E2996&gt;=1,"Vaca seca",IF(I2996="Youngstock","Bezerra/recria","Novilha"))))</f>
        <v>Bezerra/recria</v>
      </c>
      <c r="X2996" s="0" t="str">
        <f aca="false">IF(AND(B2996&gt;=1,B2996&lt;=6),"Tanque",IF(B2996=10,"Descarte",""))</f>
        <v/>
      </c>
    </row>
    <row r="2997" customFormat="false" ht="15" hidden="false" customHeight="false" outlineLevel="0" collapsed="false">
      <c r="A2997" s="22" t="n">
        <v>46309</v>
      </c>
      <c r="B2997" s="0" t="n">
        <v>13</v>
      </c>
      <c r="C2997" s="0" t="n">
        <v>7425</v>
      </c>
      <c r="E2997" s="0" t="n">
        <v>0</v>
      </c>
      <c r="F2997" s="23" t="s">
        <v>1405</v>
      </c>
      <c r="I2997" s="23" t="s">
        <v>1249</v>
      </c>
      <c r="U2997" s="0" t="n">
        <v>240</v>
      </c>
      <c r="V2997" s="0" t="n">
        <v>0</v>
      </c>
      <c r="W2997" s="0" t="str">
        <f aca="false">IF(OR(AND(B2997&gt;=1,B2997&lt;=6),B2997=10),"Vaca em lactação",IF(I2997="Male","Macho",IF(E2997&gt;=1,"Vaca seca",IF(I2997="Youngstock","Bezerra/recria","Novilha"))))</f>
        <v>Bezerra/recria</v>
      </c>
      <c r="X2997" s="0" t="str">
        <f aca="false">IF(AND(B2997&gt;=1,B2997&lt;=6),"Tanque",IF(B2997=10,"Descarte",""))</f>
        <v/>
      </c>
    </row>
    <row r="2998" customFormat="false" ht="15" hidden="false" customHeight="false" outlineLevel="0" collapsed="false">
      <c r="A2998" s="22" t="n">
        <v>46309</v>
      </c>
      <c r="B2998" s="0" t="n">
        <v>13</v>
      </c>
      <c r="C2998" s="0" t="n">
        <v>7424</v>
      </c>
      <c r="E2998" s="0" t="n">
        <v>0</v>
      </c>
      <c r="F2998" s="23" t="s">
        <v>1405</v>
      </c>
      <c r="I2998" s="23" t="s">
        <v>1249</v>
      </c>
      <c r="U2998" s="0" t="n">
        <v>240</v>
      </c>
      <c r="V2998" s="0" t="n">
        <v>0</v>
      </c>
      <c r="W2998" s="0" t="str">
        <f aca="false">IF(OR(AND(B2998&gt;=1,B2998&lt;=6),B2998=10),"Vaca em lactação",IF(I2998="Male","Macho",IF(E2998&gt;=1,"Vaca seca",IF(I2998="Youngstock","Bezerra/recria","Novilha"))))</f>
        <v>Bezerra/recria</v>
      </c>
      <c r="X2998" s="0" t="str">
        <f aca="false">IF(AND(B2998&gt;=1,B2998&lt;=6),"Tanque",IF(B2998=10,"Descarte",""))</f>
        <v/>
      </c>
    </row>
    <row r="2999" customFormat="false" ht="15" hidden="false" customHeight="false" outlineLevel="0" collapsed="false">
      <c r="A2999" s="22" t="n">
        <v>46309</v>
      </c>
      <c r="B2999" s="0" t="n">
        <v>13</v>
      </c>
      <c r="C2999" s="0" t="n">
        <v>7423</v>
      </c>
      <c r="E2999" s="0" t="n">
        <v>0</v>
      </c>
      <c r="F2999" s="23" t="s">
        <v>1405</v>
      </c>
      <c r="I2999" s="23" t="s">
        <v>1249</v>
      </c>
      <c r="U2999" s="0" t="n">
        <v>240</v>
      </c>
      <c r="V2999" s="0" t="n">
        <v>0</v>
      </c>
      <c r="W2999" s="0" t="str">
        <f aca="false">IF(OR(AND(B2999&gt;=1,B2999&lt;=6),B2999=10),"Vaca em lactação",IF(I2999="Male","Macho",IF(E2999&gt;=1,"Vaca seca",IF(I2999="Youngstock","Bezerra/recria","Novilha"))))</f>
        <v>Bezerra/recria</v>
      </c>
      <c r="X2999" s="0" t="str">
        <f aca="false">IF(AND(B2999&gt;=1,B2999&lt;=6),"Tanque",IF(B2999=10,"Descarte",""))</f>
        <v/>
      </c>
    </row>
    <row r="3000" customFormat="false" ht="15" hidden="false" customHeight="false" outlineLevel="0" collapsed="false">
      <c r="A3000" s="22" t="n">
        <v>46309</v>
      </c>
      <c r="B3000" s="0" t="n">
        <v>13</v>
      </c>
      <c r="C3000" s="0" t="n">
        <v>7422</v>
      </c>
      <c r="E3000" s="0" t="n">
        <v>0</v>
      </c>
      <c r="F3000" s="23" t="s">
        <v>1405</v>
      </c>
      <c r="I3000" s="23" t="s">
        <v>1249</v>
      </c>
      <c r="U3000" s="0" t="n">
        <v>240</v>
      </c>
      <c r="V3000" s="0" t="n">
        <v>0</v>
      </c>
      <c r="W3000" s="0" t="str">
        <f aca="false">IF(OR(AND(B3000&gt;=1,B3000&lt;=6),B3000=10),"Vaca em lactação",IF(I3000="Male","Macho",IF(E3000&gt;=1,"Vaca seca",IF(I3000="Youngstock","Bezerra/recria","Novilha"))))</f>
        <v>Bezerra/recria</v>
      </c>
      <c r="X3000" s="0" t="str">
        <f aca="false">IF(AND(B3000&gt;=1,B3000&lt;=6),"Tanque",IF(B3000=10,"Descarte",""))</f>
        <v/>
      </c>
    </row>
    <row r="3001" customFormat="false" ht="15" hidden="false" customHeight="false" outlineLevel="0" collapsed="false">
      <c r="A3001" s="22" t="n">
        <v>46309</v>
      </c>
      <c r="B3001" s="0" t="n">
        <v>13</v>
      </c>
      <c r="C3001" s="0" t="n">
        <v>7430</v>
      </c>
      <c r="E3001" s="0" t="n">
        <v>0</v>
      </c>
      <c r="F3001" s="23" t="s">
        <v>1406</v>
      </c>
      <c r="I3001" s="23" t="s">
        <v>1249</v>
      </c>
      <c r="U3001" s="0" t="n">
        <v>238</v>
      </c>
      <c r="V3001" s="0" t="n">
        <v>0</v>
      </c>
      <c r="W3001" s="0" t="str">
        <f aca="false">IF(OR(AND(B3001&gt;=1,B3001&lt;=6),B3001=10),"Vaca em lactação",IF(I3001="Male","Macho",IF(E3001&gt;=1,"Vaca seca",IF(I3001="Youngstock","Bezerra/recria","Novilha"))))</f>
        <v>Bezerra/recria</v>
      </c>
      <c r="X3001" s="0" t="str">
        <f aca="false">IF(AND(B3001&gt;=1,B3001&lt;=6),"Tanque",IF(B3001=10,"Descarte",""))</f>
        <v/>
      </c>
    </row>
    <row r="3002" customFormat="false" ht="15" hidden="false" customHeight="false" outlineLevel="0" collapsed="false">
      <c r="A3002" s="22" t="n">
        <v>46309</v>
      </c>
      <c r="B3002" s="0" t="n">
        <v>13</v>
      </c>
      <c r="C3002" s="0" t="n">
        <v>7429</v>
      </c>
      <c r="E3002" s="0" t="n">
        <v>0</v>
      </c>
      <c r="F3002" s="23" t="s">
        <v>1406</v>
      </c>
      <c r="I3002" s="23" t="s">
        <v>1249</v>
      </c>
      <c r="U3002" s="0" t="n">
        <v>238</v>
      </c>
      <c r="V3002" s="0" t="n">
        <v>0</v>
      </c>
      <c r="W3002" s="0" t="str">
        <f aca="false">IF(OR(AND(B3002&gt;=1,B3002&lt;=6),B3002=10),"Vaca em lactação",IF(I3002="Male","Macho",IF(E3002&gt;=1,"Vaca seca",IF(I3002="Youngstock","Bezerra/recria","Novilha"))))</f>
        <v>Bezerra/recria</v>
      </c>
      <c r="X3002" s="0" t="str">
        <f aca="false">IF(AND(B3002&gt;=1,B3002&lt;=6),"Tanque",IF(B3002=10,"Descarte",""))</f>
        <v/>
      </c>
    </row>
    <row r="3003" customFormat="false" ht="15" hidden="false" customHeight="false" outlineLevel="0" collapsed="false">
      <c r="A3003" s="22" t="n">
        <v>46309</v>
      </c>
      <c r="B3003" s="0" t="n">
        <v>13</v>
      </c>
      <c r="C3003" s="0" t="n">
        <v>7438</v>
      </c>
      <c r="E3003" s="0" t="n">
        <v>0</v>
      </c>
      <c r="F3003" s="23" t="s">
        <v>1407</v>
      </c>
      <c r="I3003" s="23" t="s">
        <v>1249</v>
      </c>
      <c r="U3003" s="0" t="n">
        <v>236</v>
      </c>
      <c r="V3003" s="0" t="n">
        <v>0</v>
      </c>
      <c r="W3003" s="0" t="str">
        <f aca="false">IF(OR(AND(B3003&gt;=1,B3003&lt;=6),B3003=10),"Vaca em lactação",IF(I3003="Male","Macho",IF(E3003&gt;=1,"Vaca seca",IF(I3003="Youngstock","Bezerra/recria","Novilha"))))</f>
        <v>Bezerra/recria</v>
      </c>
      <c r="X3003" s="0" t="str">
        <f aca="false">IF(AND(B3003&gt;=1,B3003&lt;=6),"Tanque",IF(B3003=10,"Descarte",""))</f>
        <v/>
      </c>
    </row>
    <row r="3004" customFormat="false" ht="15" hidden="false" customHeight="false" outlineLevel="0" collapsed="false">
      <c r="A3004" s="22" t="n">
        <v>46309</v>
      </c>
      <c r="B3004" s="0" t="n">
        <v>13</v>
      </c>
      <c r="C3004" s="0" t="n">
        <v>7436</v>
      </c>
      <c r="E3004" s="0" t="n">
        <v>0</v>
      </c>
      <c r="F3004" s="23" t="s">
        <v>1407</v>
      </c>
      <c r="I3004" s="23" t="s">
        <v>1249</v>
      </c>
      <c r="U3004" s="0" t="n">
        <v>236</v>
      </c>
      <c r="V3004" s="0" t="n">
        <v>0</v>
      </c>
      <c r="W3004" s="0" t="str">
        <f aca="false">IF(OR(AND(B3004&gt;=1,B3004&lt;=6),B3004=10),"Vaca em lactação",IF(I3004="Male","Macho",IF(E3004&gt;=1,"Vaca seca",IF(I3004="Youngstock","Bezerra/recria","Novilha"))))</f>
        <v>Bezerra/recria</v>
      </c>
      <c r="X3004" s="0" t="str">
        <f aca="false">IF(AND(B3004&gt;=1,B3004&lt;=6),"Tanque",IF(B3004=10,"Descarte",""))</f>
        <v/>
      </c>
    </row>
    <row r="3005" customFormat="false" ht="15" hidden="false" customHeight="false" outlineLevel="0" collapsed="false">
      <c r="A3005" s="22" t="n">
        <v>46309</v>
      </c>
      <c r="B3005" s="0" t="n">
        <v>13</v>
      </c>
      <c r="C3005" s="0" t="n">
        <v>7435</v>
      </c>
      <c r="E3005" s="0" t="n">
        <v>0</v>
      </c>
      <c r="F3005" s="23" t="s">
        <v>1408</v>
      </c>
      <c r="I3005" s="23" t="s">
        <v>1249</v>
      </c>
      <c r="U3005" s="0" t="n">
        <v>237</v>
      </c>
      <c r="V3005" s="0" t="n">
        <v>0</v>
      </c>
      <c r="W3005" s="0" t="str">
        <f aca="false">IF(OR(AND(B3005&gt;=1,B3005&lt;=6),B3005=10),"Vaca em lactação",IF(I3005="Male","Macho",IF(E3005&gt;=1,"Vaca seca",IF(I3005="Youngstock","Bezerra/recria","Novilha"))))</f>
        <v>Bezerra/recria</v>
      </c>
      <c r="X3005" s="0" t="str">
        <f aca="false">IF(AND(B3005&gt;=1,B3005&lt;=6),"Tanque",IF(B3005=10,"Descarte",""))</f>
        <v/>
      </c>
    </row>
    <row r="3006" customFormat="false" ht="15" hidden="false" customHeight="false" outlineLevel="0" collapsed="false">
      <c r="A3006" s="22" t="n">
        <v>46309</v>
      </c>
      <c r="B3006" s="0" t="n">
        <v>13</v>
      </c>
      <c r="C3006" s="0" t="n">
        <v>7434</v>
      </c>
      <c r="E3006" s="0" t="n">
        <v>0</v>
      </c>
      <c r="F3006" s="23" t="s">
        <v>1408</v>
      </c>
      <c r="I3006" s="23" t="s">
        <v>1249</v>
      </c>
      <c r="U3006" s="0" t="n">
        <v>237</v>
      </c>
      <c r="V3006" s="0" t="n">
        <v>0</v>
      </c>
      <c r="W3006" s="0" t="str">
        <f aca="false">IF(OR(AND(B3006&gt;=1,B3006&lt;=6),B3006=10),"Vaca em lactação",IF(I3006="Male","Macho",IF(E3006&gt;=1,"Vaca seca",IF(I3006="Youngstock","Bezerra/recria","Novilha"))))</f>
        <v>Bezerra/recria</v>
      </c>
      <c r="X3006" s="0" t="str">
        <f aca="false">IF(AND(B3006&gt;=1,B3006&lt;=6),"Tanque",IF(B3006=10,"Descarte",""))</f>
        <v/>
      </c>
    </row>
    <row r="3007" customFormat="false" ht="15" hidden="false" customHeight="false" outlineLevel="0" collapsed="false">
      <c r="A3007" s="22" t="n">
        <v>46309</v>
      </c>
      <c r="B3007" s="0" t="n">
        <v>13</v>
      </c>
      <c r="C3007" s="0" t="n">
        <v>7433</v>
      </c>
      <c r="E3007" s="0" t="n">
        <v>0</v>
      </c>
      <c r="F3007" s="23" t="s">
        <v>1408</v>
      </c>
      <c r="I3007" s="23" t="s">
        <v>1249</v>
      </c>
      <c r="U3007" s="0" t="n">
        <v>237</v>
      </c>
      <c r="V3007" s="0" t="n">
        <v>0</v>
      </c>
      <c r="W3007" s="0" t="str">
        <f aca="false">IF(OR(AND(B3007&gt;=1,B3007&lt;=6),B3007=10),"Vaca em lactação",IF(I3007="Male","Macho",IF(E3007&gt;=1,"Vaca seca",IF(I3007="Youngstock","Bezerra/recria","Novilha"))))</f>
        <v>Bezerra/recria</v>
      </c>
      <c r="X3007" s="0" t="str">
        <f aca="false">IF(AND(B3007&gt;=1,B3007&lt;=6),"Tanque",IF(B3007=10,"Descarte",""))</f>
        <v/>
      </c>
    </row>
    <row r="3008" customFormat="false" ht="15" hidden="false" customHeight="false" outlineLevel="0" collapsed="false">
      <c r="A3008" s="22" t="n">
        <v>46309</v>
      </c>
      <c r="B3008" s="0" t="n">
        <v>13</v>
      </c>
      <c r="C3008" s="0" t="n">
        <v>7432</v>
      </c>
      <c r="E3008" s="0" t="n">
        <v>0</v>
      </c>
      <c r="F3008" s="23" t="s">
        <v>1408</v>
      </c>
      <c r="I3008" s="23" t="s">
        <v>1249</v>
      </c>
      <c r="U3008" s="0" t="n">
        <v>237</v>
      </c>
      <c r="V3008" s="0" t="n">
        <v>0</v>
      </c>
      <c r="W3008" s="0" t="str">
        <f aca="false">IF(OR(AND(B3008&gt;=1,B3008&lt;=6),B3008=10),"Vaca em lactação",IF(I3008="Male","Macho",IF(E3008&gt;=1,"Vaca seca",IF(I3008="Youngstock","Bezerra/recria","Novilha"))))</f>
        <v>Bezerra/recria</v>
      </c>
      <c r="X3008" s="0" t="str">
        <f aca="false">IF(AND(B3008&gt;=1,B3008&lt;=6),"Tanque",IF(B3008=10,"Descarte",""))</f>
        <v/>
      </c>
    </row>
    <row r="3009" customFormat="false" ht="15" hidden="false" customHeight="false" outlineLevel="0" collapsed="false">
      <c r="A3009" s="22" t="n">
        <v>46309</v>
      </c>
      <c r="B3009" s="0" t="n">
        <v>13</v>
      </c>
      <c r="C3009" s="0" t="n">
        <v>7431</v>
      </c>
      <c r="E3009" s="0" t="n">
        <v>0</v>
      </c>
      <c r="F3009" s="23" t="s">
        <v>1406</v>
      </c>
      <c r="I3009" s="23" t="s">
        <v>1249</v>
      </c>
      <c r="U3009" s="0" t="n">
        <v>238</v>
      </c>
      <c r="V3009" s="0" t="n">
        <v>0</v>
      </c>
      <c r="W3009" s="0" t="str">
        <f aca="false">IF(OR(AND(B3009&gt;=1,B3009&lt;=6),B3009=10),"Vaca em lactação",IF(I3009="Male","Macho",IF(E3009&gt;=1,"Vaca seca",IF(I3009="Youngstock","Bezerra/recria","Novilha"))))</f>
        <v>Bezerra/recria</v>
      </c>
      <c r="X3009" s="0" t="str">
        <f aca="false">IF(AND(B3009&gt;=1,B3009&lt;=6),"Tanque",IF(B3009=10,"Descarte",""))</f>
        <v/>
      </c>
    </row>
    <row r="3010" customFormat="false" ht="15" hidden="false" customHeight="false" outlineLevel="0" collapsed="false">
      <c r="A3010" s="22" t="n">
        <v>46309</v>
      </c>
      <c r="B3010" s="0" t="n">
        <v>13</v>
      </c>
      <c r="C3010" s="0" t="n">
        <v>7440</v>
      </c>
      <c r="E3010" s="0" t="n">
        <v>0</v>
      </c>
      <c r="F3010" s="23" t="s">
        <v>1409</v>
      </c>
      <c r="I3010" s="23" t="s">
        <v>1249</v>
      </c>
      <c r="U3010" s="0" t="n">
        <v>235</v>
      </c>
      <c r="V3010" s="0" t="n">
        <v>0</v>
      </c>
      <c r="W3010" s="0" t="str">
        <f aca="false">IF(OR(AND(B3010&gt;=1,B3010&lt;=6),B3010=10),"Vaca em lactação",IF(I3010="Male","Macho",IF(E3010&gt;=1,"Vaca seca",IF(I3010="Youngstock","Bezerra/recria","Novilha"))))</f>
        <v>Bezerra/recria</v>
      </c>
      <c r="X3010" s="0" t="str">
        <f aca="false">IF(AND(B3010&gt;=1,B3010&lt;=6),"Tanque",IF(B3010=10,"Descarte",""))</f>
        <v/>
      </c>
    </row>
    <row r="3011" customFormat="false" ht="15" hidden="false" customHeight="false" outlineLevel="0" collapsed="false">
      <c r="A3011" s="22" t="n">
        <v>46309</v>
      </c>
      <c r="B3011" s="0" t="n">
        <v>13</v>
      </c>
      <c r="C3011" s="0" t="n">
        <v>7443</v>
      </c>
      <c r="E3011" s="0" t="n">
        <v>0</v>
      </c>
      <c r="F3011" s="23" t="s">
        <v>1394</v>
      </c>
      <c r="I3011" s="23" t="s">
        <v>1249</v>
      </c>
      <c r="U3011" s="0" t="n">
        <v>234</v>
      </c>
      <c r="V3011" s="0" t="n">
        <v>0</v>
      </c>
      <c r="W3011" s="0" t="str">
        <f aca="false">IF(OR(AND(B3011&gt;=1,B3011&lt;=6),B3011=10),"Vaca em lactação",IF(I3011="Male","Macho",IF(E3011&gt;=1,"Vaca seca",IF(I3011="Youngstock","Bezerra/recria","Novilha"))))</f>
        <v>Bezerra/recria</v>
      </c>
      <c r="X3011" s="0" t="str">
        <f aca="false">IF(AND(B3011&gt;=1,B3011&lt;=6),"Tanque",IF(B3011=10,"Descarte",""))</f>
        <v/>
      </c>
    </row>
    <row r="3012" customFormat="false" ht="15" hidden="false" customHeight="false" outlineLevel="0" collapsed="false">
      <c r="A3012" s="22" t="n">
        <v>46309</v>
      </c>
      <c r="B3012" s="0" t="n">
        <v>13</v>
      </c>
      <c r="C3012" s="0" t="n">
        <v>7441</v>
      </c>
      <c r="E3012" s="0" t="n">
        <v>0</v>
      </c>
      <c r="F3012" s="23" t="s">
        <v>1409</v>
      </c>
      <c r="I3012" s="23" t="s">
        <v>1249</v>
      </c>
      <c r="U3012" s="0" t="n">
        <v>235</v>
      </c>
      <c r="V3012" s="0" t="n">
        <v>0</v>
      </c>
      <c r="W3012" s="0" t="str">
        <f aca="false">IF(OR(AND(B3012&gt;=1,B3012&lt;=6),B3012=10),"Vaca em lactação",IF(I3012="Male","Macho",IF(E3012&gt;=1,"Vaca seca",IF(I3012="Youngstock","Bezerra/recria","Novilha"))))</f>
        <v>Bezerra/recria</v>
      </c>
      <c r="X3012" s="0" t="str">
        <f aca="false">IF(AND(B3012&gt;=1,B3012&lt;=6),"Tanque",IF(B3012=10,"Descarte",""))</f>
        <v/>
      </c>
    </row>
    <row r="3013" customFormat="false" ht="15" hidden="false" customHeight="false" outlineLevel="0" collapsed="false">
      <c r="A3013" s="22" t="n">
        <v>46309</v>
      </c>
      <c r="B3013" s="0" t="n">
        <v>13</v>
      </c>
      <c r="C3013" s="0" t="n">
        <v>7592</v>
      </c>
      <c r="E3013" s="0" t="n">
        <v>0</v>
      </c>
      <c r="F3013" s="23" t="s">
        <v>1410</v>
      </c>
      <c r="I3013" s="23" t="s">
        <v>1249</v>
      </c>
      <c r="U3013" s="0" t="n">
        <v>196</v>
      </c>
      <c r="V3013" s="0" t="n">
        <v>0</v>
      </c>
      <c r="W3013" s="0" t="str">
        <f aca="false">IF(OR(AND(B3013&gt;=1,B3013&lt;=6),B3013=10),"Vaca em lactação",IF(I3013="Male","Macho",IF(E3013&gt;=1,"Vaca seca",IF(I3013="Youngstock","Bezerra/recria","Novilha"))))</f>
        <v>Bezerra/recria</v>
      </c>
      <c r="X3013" s="0" t="str">
        <f aca="false">IF(AND(B3013&gt;=1,B3013&lt;=6),"Tanque",IF(B3013=10,"Descarte",""))</f>
        <v/>
      </c>
    </row>
    <row r="3014" customFormat="false" ht="15" hidden="false" customHeight="false" outlineLevel="0" collapsed="false">
      <c r="A3014" s="22" t="n">
        <v>46309</v>
      </c>
      <c r="B3014" s="0" t="n">
        <v>13</v>
      </c>
      <c r="C3014" s="0" t="n">
        <v>7591</v>
      </c>
      <c r="E3014" s="0" t="n">
        <v>0</v>
      </c>
      <c r="F3014" s="23" t="s">
        <v>1410</v>
      </c>
      <c r="I3014" s="23" t="s">
        <v>1249</v>
      </c>
      <c r="U3014" s="0" t="n">
        <v>196</v>
      </c>
      <c r="V3014" s="0" t="n">
        <v>0</v>
      </c>
      <c r="W3014" s="0" t="str">
        <f aca="false">IF(OR(AND(B3014&gt;=1,B3014&lt;=6),B3014=10),"Vaca em lactação",IF(I3014="Male","Macho",IF(E3014&gt;=1,"Vaca seca",IF(I3014="Youngstock","Bezerra/recria","Novilha"))))</f>
        <v>Bezerra/recria</v>
      </c>
      <c r="X3014" s="0" t="str">
        <f aca="false">IF(AND(B3014&gt;=1,B3014&lt;=6),"Tanque",IF(B3014=10,"Descarte",""))</f>
        <v/>
      </c>
    </row>
    <row r="3015" customFormat="false" ht="15" hidden="false" customHeight="false" outlineLevel="0" collapsed="false">
      <c r="A3015" s="22" t="n">
        <v>46309</v>
      </c>
      <c r="B3015" s="0" t="n">
        <v>13</v>
      </c>
      <c r="C3015" s="0" t="n">
        <v>7590</v>
      </c>
      <c r="E3015" s="0" t="n">
        <v>0</v>
      </c>
      <c r="F3015" s="23" t="s">
        <v>1410</v>
      </c>
      <c r="I3015" s="23" t="s">
        <v>1249</v>
      </c>
      <c r="U3015" s="0" t="n">
        <v>196</v>
      </c>
      <c r="V3015" s="0" t="n">
        <v>0</v>
      </c>
      <c r="W3015" s="0" t="str">
        <f aca="false">IF(OR(AND(B3015&gt;=1,B3015&lt;=6),B3015=10),"Vaca em lactação",IF(I3015="Male","Macho",IF(E3015&gt;=1,"Vaca seca",IF(I3015="Youngstock","Bezerra/recria","Novilha"))))</f>
        <v>Bezerra/recria</v>
      </c>
      <c r="X3015" s="0" t="str">
        <f aca="false">IF(AND(B3015&gt;=1,B3015&lt;=6),"Tanque",IF(B3015=10,"Descarte",""))</f>
        <v/>
      </c>
    </row>
    <row r="3016" customFormat="false" ht="15" hidden="false" customHeight="false" outlineLevel="0" collapsed="false">
      <c r="A3016" s="22" t="n">
        <v>46309</v>
      </c>
      <c r="B3016" s="0" t="n">
        <v>13</v>
      </c>
      <c r="C3016" s="0" t="n">
        <v>7593</v>
      </c>
      <c r="E3016" s="0" t="n">
        <v>0</v>
      </c>
      <c r="F3016" s="23" t="s">
        <v>1410</v>
      </c>
      <c r="I3016" s="23" t="s">
        <v>1249</v>
      </c>
      <c r="U3016" s="0" t="n">
        <v>196</v>
      </c>
      <c r="V3016" s="0" t="n">
        <v>0</v>
      </c>
      <c r="W3016" s="0" t="str">
        <f aca="false">IF(OR(AND(B3016&gt;=1,B3016&lt;=6),B3016=10),"Vaca em lactação",IF(I3016="Male","Macho",IF(E3016&gt;=1,"Vaca seca",IF(I3016="Youngstock","Bezerra/recria","Novilha"))))</f>
        <v>Bezerra/recria</v>
      </c>
      <c r="X3016" s="0" t="str">
        <f aca="false">IF(AND(B3016&gt;=1,B3016&lt;=6),"Tanque",IF(B3016=10,"Descarte",""))</f>
        <v/>
      </c>
    </row>
    <row r="3017" customFormat="false" ht="15" hidden="false" customHeight="false" outlineLevel="0" collapsed="false">
      <c r="A3017" s="22" t="n">
        <v>46309</v>
      </c>
      <c r="B3017" s="0" t="n">
        <v>13</v>
      </c>
      <c r="C3017" s="0" t="n">
        <v>7597</v>
      </c>
      <c r="E3017" s="0" t="n">
        <v>0</v>
      </c>
      <c r="F3017" s="23" t="s">
        <v>1411</v>
      </c>
      <c r="I3017" s="23" t="s">
        <v>1249</v>
      </c>
      <c r="U3017" s="0" t="n">
        <v>194</v>
      </c>
      <c r="V3017" s="0" t="n">
        <v>0</v>
      </c>
      <c r="W3017" s="0" t="str">
        <f aca="false">IF(OR(AND(B3017&gt;=1,B3017&lt;=6),B3017=10),"Vaca em lactação",IF(I3017="Male","Macho",IF(E3017&gt;=1,"Vaca seca",IF(I3017="Youngstock","Bezerra/recria","Novilha"))))</f>
        <v>Bezerra/recria</v>
      </c>
      <c r="X3017" s="0" t="str">
        <f aca="false">IF(AND(B3017&gt;=1,B3017&lt;=6),"Tanque",IF(B3017=10,"Descarte",""))</f>
        <v/>
      </c>
    </row>
    <row r="3018" customFormat="false" ht="15" hidden="false" customHeight="false" outlineLevel="0" collapsed="false">
      <c r="A3018" s="22" t="n">
        <v>46309</v>
      </c>
      <c r="B3018" s="0" t="n">
        <v>13</v>
      </c>
      <c r="C3018" s="0" t="n">
        <v>7596</v>
      </c>
      <c r="E3018" s="0" t="n">
        <v>0</v>
      </c>
      <c r="F3018" s="23" t="s">
        <v>1412</v>
      </c>
      <c r="I3018" s="23" t="s">
        <v>1249</v>
      </c>
      <c r="U3018" s="0" t="n">
        <v>195</v>
      </c>
      <c r="V3018" s="0" t="n">
        <v>0</v>
      </c>
      <c r="W3018" s="0" t="str">
        <f aca="false">IF(OR(AND(B3018&gt;=1,B3018&lt;=6),B3018=10),"Vaca em lactação",IF(I3018="Male","Macho",IF(E3018&gt;=1,"Vaca seca",IF(I3018="Youngstock","Bezerra/recria","Novilha"))))</f>
        <v>Bezerra/recria</v>
      </c>
      <c r="X3018" s="0" t="str">
        <f aca="false">IF(AND(B3018&gt;=1,B3018&lt;=6),"Tanque",IF(B3018=10,"Descarte",""))</f>
        <v/>
      </c>
    </row>
    <row r="3019" customFormat="false" ht="15" hidden="false" customHeight="false" outlineLevel="0" collapsed="false">
      <c r="A3019" s="22" t="n">
        <v>46309</v>
      </c>
      <c r="B3019" s="0" t="n">
        <v>13</v>
      </c>
      <c r="C3019" s="0" t="n">
        <v>7595</v>
      </c>
      <c r="E3019" s="0" t="n">
        <v>0</v>
      </c>
      <c r="F3019" s="23" t="s">
        <v>1412</v>
      </c>
      <c r="I3019" s="23" t="s">
        <v>1249</v>
      </c>
      <c r="U3019" s="0" t="n">
        <v>195</v>
      </c>
      <c r="V3019" s="0" t="n">
        <v>0</v>
      </c>
      <c r="W3019" s="0" t="str">
        <f aca="false">IF(OR(AND(B3019&gt;=1,B3019&lt;=6),B3019=10),"Vaca em lactação",IF(I3019="Male","Macho",IF(E3019&gt;=1,"Vaca seca",IF(I3019="Youngstock","Bezerra/recria","Novilha"))))</f>
        <v>Bezerra/recria</v>
      </c>
      <c r="X3019" s="0" t="str">
        <f aca="false">IF(AND(B3019&gt;=1,B3019&lt;=6),"Tanque",IF(B3019=10,"Descarte",""))</f>
        <v/>
      </c>
    </row>
    <row r="3020" customFormat="false" ht="15" hidden="false" customHeight="false" outlineLevel="0" collapsed="false">
      <c r="A3020" s="22" t="n">
        <v>46309</v>
      </c>
      <c r="B3020" s="0" t="n">
        <v>13</v>
      </c>
      <c r="C3020" s="0" t="n">
        <v>7594</v>
      </c>
      <c r="E3020" s="0" t="n">
        <v>0</v>
      </c>
      <c r="F3020" s="23" t="s">
        <v>1412</v>
      </c>
      <c r="I3020" s="23" t="s">
        <v>1249</v>
      </c>
      <c r="U3020" s="0" t="n">
        <v>195</v>
      </c>
      <c r="V3020" s="0" t="n">
        <v>0</v>
      </c>
      <c r="W3020" s="0" t="str">
        <f aca="false">IF(OR(AND(B3020&gt;=1,B3020&lt;=6),B3020=10),"Vaca em lactação",IF(I3020="Male","Macho",IF(E3020&gt;=1,"Vaca seca",IF(I3020="Youngstock","Bezerra/recria","Novilha"))))</f>
        <v>Bezerra/recria</v>
      </c>
      <c r="X3020" s="0" t="str">
        <f aca="false">IF(AND(B3020&gt;=1,B3020&lt;=6),"Tanque",IF(B3020=10,"Descarte",""))</f>
        <v/>
      </c>
    </row>
    <row r="3021" customFormat="false" ht="15" hidden="false" customHeight="false" outlineLevel="0" collapsed="false">
      <c r="A3021" s="22" t="n">
        <v>46309</v>
      </c>
      <c r="B3021" s="0" t="n">
        <v>13</v>
      </c>
      <c r="C3021" s="0" t="n">
        <v>7599</v>
      </c>
      <c r="E3021" s="0" t="n">
        <v>0</v>
      </c>
      <c r="F3021" s="23" t="s">
        <v>1413</v>
      </c>
      <c r="I3021" s="23" t="s">
        <v>1249</v>
      </c>
      <c r="U3021" s="0" t="n">
        <v>193</v>
      </c>
      <c r="V3021" s="0" t="n">
        <v>0</v>
      </c>
      <c r="W3021" s="0" t="str">
        <f aca="false">IF(OR(AND(B3021&gt;=1,B3021&lt;=6),B3021=10),"Vaca em lactação",IF(I3021="Male","Macho",IF(E3021&gt;=1,"Vaca seca",IF(I3021="Youngstock","Bezerra/recria","Novilha"))))</f>
        <v>Bezerra/recria</v>
      </c>
      <c r="X3021" s="0" t="str">
        <f aca="false">IF(AND(B3021&gt;=1,B3021&lt;=6),"Tanque",IF(B3021=10,"Descarte",""))</f>
        <v/>
      </c>
    </row>
    <row r="3022" customFormat="false" ht="15" hidden="false" customHeight="false" outlineLevel="0" collapsed="false">
      <c r="A3022" s="22" t="n">
        <v>46309</v>
      </c>
      <c r="B3022" s="0" t="n">
        <v>13</v>
      </c>
      <c r="C3022" s="0" t="n">
        <v>7598</v>
      </c>
      <c r="E3022" s="0" t="n">
        <v>0</v>
      </c>
      <c r="F3022" s="23" t="s">
        <v>1411</v>
      </c>
      <c r="I3022" s="23" t="s">
        <v>1249</v>
      </c>
      <c r="U3022" s="0" t="n">
        <v>194</v>
      </c>
      <c r="V3022" s="0" t="n">
        <v>0</v>
      </c>
      <c r="W3022" s="0" t="str">
        <f aca="false">IF(OR(AND(B3022&gt;=1,B3022&lt;=6),B3022=10),"Vaca em lactação",IF(I3022="Male","Macho",IF(E3022&gt;=1,"Vaca seca",IF(I3022="Youngstock","Bezerra/recria","Novilha"))))</f>
        <v>Bezerra/recria</v>
      </c>
      <c r="X3022" s="0" t="str">
        <f aca="false">IF(AND(B3022&gt;=1,B3022&lt;=6),"Tanque",IF(B3022=10,"Descarte",""))</f>
        <v/>
      </c>
    </row>
    <row r="3023" customFormat="false" ht="15" hidden="false" customHeight="false" outlineLevel="0" collapsed="false">
      <c r="A3023" s="22" t="n">
        <v>46309</v>
      </c>
      <c r="B3023" s="0" t="n">
        <v>13</v>
      </c>
      <c r="C3023" s="0" t="n">
        <v>7607</v>
      </c>
      <c r="E3023" s="0" t="n">
        <v>0</v>
      </c>
      <c r="F3023" s="23" t="s">
        <v>1414</v>
      </c>
      <c r="I3023" s="23" t="s">
        <v>1249</v>
      </c>
      <c r="U3023" s="0" t="n">
        <v>192</v>
      </c>
      <c r="V3023" s="0" t="n">
        <v>0</v>
      </c>
      <c r="W3023" s="0" t="str">
        <f aca="false">IF(OR(AND(B3023&gt;=1,B3023&lt;=6),B3023=10),"Vaca em lactação",IF(I3023="Male","Macho",IF(E3023&gt;=1,"Vaca seca",IF(I3023="Youngstock","Bezerra/recria","Novilha"))))</f>
        <v>Bezerra/recria</v>
      </c>
      <c r="X3023" s="0" t="str">
        <f aca="false">IF(AND(B3023&gt;=1,B3023&lt;=6),"Tanque",IF(B3023=10,"Descarte",""))</f>
        <v/>
      </c>
    </row>
    <row r="3024" customFormat="false" ht="15" hidden="false" customHeight="false" outlineLevel="0" collapsed="false">
      <c r="A3024" s="22" t="n">
        <v>46309</v>
      </c>
      <c r="B3024" s="0" t="n">
        <v>13</v>
      </c>
      <c r="C3024" s="0" t="n">
        <v>7606</v>
      </c>
      <c r="E3024" s="0" t="n">
        <v>0</v>
      </c>
      <c r="F3024" s="23" t="s">
        <v>1414</v>
      </c>
      <c r="I3024" s="23" t="s">
        <v>1249</v>
      </c>
      <c r="U3024" s="0" t="n">
        <v>192</v>
      </c>
      <c r="V3024" s="0" t="n">
        <v>0</v>
      </c>
      <c r="W3024" s="0" t="str">
        <f aca="false">IF(OR(AND(B3024&gt;=1,B3024&lt;=6),B3024=10),"Vaca em lactação",IF(I3024="Male","Macho",IF(E3024&gt;=1,"Vaca seca",IF(I3024="Youngstock","Bezerra/recria","Novilha"))))</f>
        <v>Bezerra/recria</v>
      </c>
      <c r="X3024" s="0" t="str">
        <f aca="false">IF(AND(B3024&gt;=1,B3024&lt;=6),"Tanque",IF(B3024=10,"Descarte",""))</f>
        <v/>
      </c>
    </row>
    <row r="3025" customFormat="false" ht="15" hidden="false" customHeight="false" outlineLevel="0" collapsed="false">
      <c r="A3025" s="22" t="n">
        <v>46309</v>
      </c>
      <c r="B3025" s="0" t="n">
        <v>13</v>
      </c>
      <c r="C3025" s="0" t="n">
        <v>7605</v>
      </c>
      <c r="E3025" s="0" t="n">
        <v>0</v>
      </c>
      <c r="F3025" s="23" t="s">
        <v>1414</v>
      </c>
      <c r="I3025" s="23" t="s">
        <v>1249</v>
      </c>
      <c r="U3025" s="0" t="n">
        <v>192</v>
      </c>
      <c r="V3025" s="0" t="n">
        <v>0</v>
      </c>
      <c r="W3025" s="0" t="str">
        <f aca="false">IF(OR(AND(B3025&gt;=1,B3025&lt;=6),B3025=10),"Vaca em lactação",IF(I3025="Male","Macho",IF(E3025&gt;=1,"Vaca seca",IF(I3025="Youngstock","Bezerra/recria","Novilha"))))</f>
        <v>Bezerra/recria</v>
      </c>
      <c r="X3025" s="0" t="str">
        <f aca="false">IF(AND(B3025&gt;=1,B3025&lt;=6),"Tanque",IF(B3025=10,"Descarte",""))</f>
        <v/>
      </c>
    </row>
    <row r="3026" customFormat="false" ht="15" hidden="false" customHeight="false" outlineLevel="0" collapsed="false">
      <c r="A3026" s="22" t="n">
        <v>46309</v>
      </c>
      <c r="B3026" s="0" t="n">
        <v>13</v>
      </c>
      <c r="C3026" s="0" t="n">
        <v>7604</v>
      </c>
      <c r="E3026" s="0" t="n">
        <v>0</v>
      </c>
      <c r="F3026" s="23" t="s">
        <v>1414</v>
      </c>
      <c r="I3026" s="23" t="s">
        <v>1249</v>
      </c>
      <c r="U3026" s="0" t="n">
        <v>192</v>
      </c>
      <c r="V3026" s="0" t="n">
        <v>0</v>
      </c>
      <c r="W3026" s="0" t="str">
        <f aca="false">IF(OR(AND(B3026&gt;=1,B3026&lt;=6),B3026=10),"Vaca em lactação",IF(I3026="Male","Macho",IF(E3026&gt;=1,"Vaca seca",IF(I3026="Youngstock","Bezerra/recria","Novilha"))))</f>
        <v>Bezerra/recria</v>
      </c>
      <c r="X3026" s="0" t="str">
        <f aca="false">IF(AND(B3026&gt;=1,B3026&lt;=6),"Tanque",IF(B3026=10,"Descarte",""))</f>
        <v/>
      </c>
    </row>
    <row r="3027" customFormat="false" ht="15" hidden="false" customHeight="false" outlineLevel="0" collapsed="false">
      <c r="A3027" s="22" t="n">
        <v>46309</v>
      </c>
      <c r="B3027" s="0" t="n">
        <v>13</v>
      </c>
      <c r="C3027" s="0" t="n">
        <v>7603</v>
      </c>
      <c r="E3027" s="0" t="n">
        <v>0</v>
      </c>
      <c r="F3027" s="23" t="s">
        <v>1413</v>
      </c>
      <c r="I3027" s="23" t="s">
        <v>1249</v>
      </c>
      <c r="U3027" s="0" t="n">
        <v>193</v>
      </c>
      <c r="V3027" s="0" t="n">
        <v>0</v>
      </c>
      <c r="W3027" s="0" t="str">
        <f aca="false">IF(OR(AND(B3027&gt;=1,B3027&lt;=6),B3027=10),"Vaca em lactação",IF(I3027="Male","Macho",IF(E3027&gt;=1,"Vaca seca",IF(I3027="Youngstock","Bezerra/recria","Novilha"))))</f>
        <v>Bezerra/recria</v>
      </c>
      <c r="X3027" s="0" t="str">
        <f aca="false">IF(AND(B3027&gt;=1,B3027&lt;=6),"Tanque",IF(B3027=10,"Descarte",""))</f>
        <v/>
      </c>
    </row>
    <row r="3028" customFormat="false" ht="15" hidden="false" customHeight="false" outlineLevel="0" collapsed="false">
      <c r="A3028" s="22" t="n">
        <v>46309</v>
      </c>
      <c r="B3028" s="0" t="n">
        <v>13</v>
      </c>
      <c r="C3028" s="0" t="n">
        <v>7602</v>
      </c>
      <c r="E3028" s="0" t="n">
        <v>0</v>
      </c>
      <c r="F3028" s="23" t="s">
        <v>1413</v>
      </c>
      <c r="I3028" s="23" t="s">
        <v>1249</v>
      </c>
      <c r="U3028" s="0" t="n">
        <v>193</v>
      </c>
      <c r="V3028" s="0" t="n">
        <v>0</v>
      </c>
      <c r="W3028" s="0" t="str">
        <f aca="false">IF(OR(AND(B3028&gt;=1,B3028&lt;=6),B3028=10),"Vaca em lactação",IF(I3028="Male","Macho",IF(E3028&gt;=1,"Vaca seca",IF(I3028="Youngstock","Bezerra/recria","Novilha"))))</f>
        <v>Bezerra/recria</v>
      </c>
      <c r="X3028" s="0" t="str">
        <f aca="false">IF(AND(B3028&gt;=1,B3028&lt;=6),"Tanque",IF(B3028=10,"Descarte",""))</f>
        <v/>
      </c>
    </row>
    <row r="3029" customFormat="false" ht="15" hidden="false" customHeight="false" outlineLevel="0" collapsed="false">
      <c r="A3029" s="22" t="n">
        <v>46309</v>
      </c>
      <c r="B3029" s="0" t="n">
        <v>13</v>
      </c>
      <c r="C3029" s="0" t="n">
        <v>7600</v>
      </c>
      <c r="E3029" s="0" t="n">
        <v>0</v>
      </c>
      <c r="F3029" s="23" t="s">
        <v>1413</v>
      </c>
      <c r="I3029" s="23" t="s">
        <v>1249</v>
      </c>
      <c r="U3029" s="0" t="n">
        <v>193</v>
      </c>
      <c r="V3029" s="0" t="n">
        <v>0</v>
      </c>
      <c r="W3029" s="0" t="str">
        <f aca="false">IF(OR(AND(B3029&gt;=1,B3029&lt;=6),B3029=10),"Vaca em lactação",IF(I3029="Male","Macho",IF(E3029&gt;=1,"Vaca seca",IF(I3029="Youngstock","Bezerra/recria","Novilha"))))</f>
        <v>Bezerra/recria</v>
      </c>
      <c r="X3029" s="0" t="str">
        <f aca="false">IF(AND(B3029&gt;=1,B3029&lt;=6),"Tanque",IF(B3029=10,"Descarte",""))</f>
        <v/>
      </c>
    </row>
    <row r="3030" customFormat="false" ht="15" hidden="false" customHeight="false" outlineLevel="0" collapsed="false">
      <c r="A3030" s="22" t="n">
        <v>46309</v>
      </c>
      <c r="B3030" s="0" t="n">
        <v>13</v>
      </c>
      <c r="C3030" s="0" t="n">
        <v>7608</v>
      </c>
      <c r="E3030" s="0" t="n">
        <v>0</v>
      </c>
      <c r="F3030" s="23" t="s">
        <v>1415</v>
      </c>
      <c r="I3030" s="23" t="s">
        <v>1249</v>
      </c>
      <c r="U3030" s="0" t="n">
        <v>191</v>
      </c>
      <c r="V3030" s="0" t="n">
        <v>0</v>
      </c>
      <c r="W3030" s="0" t="str">
        <f aca="false">IF(OR(AND(B3030&gt;=1,B3030&lt;=6),B3030=10),"Vaca em lactação",IF(I3030="Male","Macho",IF(E3030&gt;=1,"Vaca seca",IF(I3030="Youngstock","Bezerra/recria","Novilha"))))</f>
        <v>Bezerra/recria</v>
      </c>
      <c r="X3030" s="0" t="str">
        <f aca="false">IF(AND(B3030&gt;=1,B3030&lt;=6),"Tanque",IF(B3030=10,"Descarte",""))</f>
        <v/>
      </c>
    </row>
    <row r="3031" customFormat="false" ht="15" hidden="false" customHeight="false" outlineLevel="0" collapsed="false">
      <c r="A3031" s="22" t="n">
        <v>46309</v>
      </c>
      <c r="B3031" s="0" t="n">
        <v>13</v>
      </c>
      <c r="C3031" s="0" t="n">
        <v>7610</v>
      </c>
      <c r="E3031" s="0" t="n">
        <v>0</v>
      </c>
      <c r="F3031" s="23" t="s">
        <v>1415</v>
      </c>
      <c r="I3031" s="23" t="s">
        <v>1249</v>
      </c>
      <c r="U3031" s="0" t="n">
        <v>191</v>
      </c>
      <c r="V3031" s="0" t="n">
        <v>0</v>
      </c>
      <c r="W3031" s="0" t="str">
        <f aca="false">IF(OR(AND(B3031&gt;=1,B3031&lt;=6),B3031=10),"Vaca em lactação",IF(I3031="Male","Macho",IF(E3031&gt;=1,"Vaca seca",IF(I3031="Youngstock","Bezerra/recria","Novilha"))))</f>
        <v>Bezerra/recria</v>
      </c>
      <c r="X3031" s="0" t="str">
        <f aca="false">IF(AND(B3031&gt;=1,B3031&lt;=6),"Tanque",IF(B3031=10,"Descarte",""))</f>
        <v/>
      </c>
    </row>
    <row r="3032" customFormat="false" ht="15" hidden="false" customHeight="false" outlineLevel="0" collapsed="false">
      <c r="A3032" s="22" t="n">
        <v>46309</v>
      </c>
      <c r="B3032" s="0" t="n">
        <v>13</v>
      </c>
      <c r="C3032" s="0" t="n">
        <v>7609</v>
      </c>
      <c r="E3032" s="0" t="n">
        <v>0</v>
      </c>
      <c r="F3032" s="23" t="s">
        <v>1415</v>
      </c>
      <c r="I3032" s="23" t="s">
        <v>1249</v>
      </c>
      <c r="U3032" s="0" t="n">
        <v>191</v>
      </c>
      <c r="V3032" s="0" t="n">
        <v>0</v>
      </c>
      <c r="W3032" s="0" t="str">
        <f aca="false">IF(OR(AND(B3032&gt;=1,B3032&lt;=6),B3032=10),"Vaca em lactação",IF(I3032="Male","Macho",IF(E3032&gt;=1,"Vaca seca",IF(I3032="Youngstock","Bezerra/recria","Novilha"))))</f>
        <v>Bezerra/recria</v>
      </c>
      <c r="X3032" s="0" t="str">
        <f aca="false">IF(AND(B3032&gt;=1,B3032&lt;=6),"Tanque",IF(B3032=10,"Descarte",""))</f>
        <v/>
      </c>
    </row>
    <row r="3033" customFormat="false" ht="15" hidden="false" customHeight="false" outlineLevel="0" collapsed="false">
      <c r="A3033" s="22" t="n">
        <v>46309</v>
      </c>
      <c r="B3033" s="0" t="n">
        <v>13</v>
      </c>
      <c r="C3033" s="0" t="n">
        <v>7612</v>
      </c>
      <c r="E3033" s="0" t="n">
        <v>0</v>
      </c>
      <c r="F3033" s="23" t="s">
        <v>1416</v>
      </c>
      <c r="I3033" s="23" t="s">
        <v>1249</v>
      </c>
      <c r="U3033" s="0" t="n">
        <v>190</v>
      </c>
      <c r="V3033" s="0" t="n">
        <v>0</v>
      </c>
      <c r="W3033" s="0" t="str">
        <f aca="false">IF(OR(AND(B3033&gt;=1,B3033&lt;=6),B3033=10),"Vaca em lactação",IF(I3033="Male","Macho",IF(E3033&gt;=1,"Vaca seca",IF(I3033="Youngstock","Bezerra/recria","Novilha"))))</f>
        <v>Bezerra/recria</v>
      </c>
      <c r="X3033" s="0" t="str">
        <f aca="false">IF(AND(B3033&gt;=1,B3033&lt;=6),"Tanque",IF(B3033=10,"Descarte",""))</f>
        <v/>
      </c>
    </row>
    <row r="3034" customFormat="false" ht="15" hidden="false" customHeight="false" outlineLevel="0" collapsed="false">
      <c r="A3034" s="22" t="n">
        <v>46309</v>
      </c>
      <c r="B3034" s="0" t="n">
        <v>13</v>
      </c>
      <c r="C3034" s="0" t="n">
        <v>7613</v>
      </c>
      <c r="E3034" s="0" t="n">
        <v>0</v>
      </c>
      <c r="F3034" s="23" t="s">
        <v>1417</v>
      </c>
      <c r="I3034" s="23" t="s">
        <v>1249</v>
      </c>
      <c r="U3034" s="0" t="n">
        <v>189</v>
      </c>
      <c r="V3034" s="0" t="n">
        <v>0</v>
      </c>
      <c r="W3034" s="0" t="str">
        <f aca="false">IF(OR(AND(B3034&gt;=1,B3034&lt;=6),B3034=10),"Vaca em lactação",IF(I3034="Male","Macho",IF(E3034&gt;=1,"Vaca seca",IF(I3034="Youngstock","Bezerra/recria","Novilha"))))</f>
        <v>Bezerra/recria</v>
      </c>
      <c r="X3034" s="0" t="str">
        <f aca="false">IF(AND(B3034&gt;=1,B3034&lt;=6),"Tanque",IF(B3034=10,"Descarte",""))</f>
        <v/>
      </c>
    </row>
    <row r="3035" customFormat="false" ht="15" hidden="false" customHeight="false" outlineLevel="0" collapsed="false">
      <c r="A3035" s="22" t="n">
        <v>46309</v>
      </c>
      <c r="B3035" s="0" t="n">
        <v>13</v>
      </c>
      <c r="C3035" s="0" t="n">
        <v>7617</v>
      </c>
      <c r="E3035" s="0" t="n">
        <v>0</v>
      </c>
      <c r="F3035" s="23" t="s">
        <v>1418</v>
      </c>
      <c r="I3035" s="23" t="s">
        <v>1249</v>
      </c>
      <c r="U3035" s="0" t="n">
        <v>188</v>
      </c>
      <c r="V3035" s="0" t="n">
        <v>0</v>
      </c>
      <c r="W3035" s="0" t="str">
        <f aca="false">IF(OR(AND(B3035&gt;=1,B3035&lt;=6),B3035=10),"Vaca em lactação",IF(I3035="Male","Macho",IF(E3035&gt;=1,"Vaca seca",IF(I3035="Youngstock","Bezerra/recria","Novilha"))))</f>
        <v>Bezerra/recria</v>
      </c>
      <c r="X3035" s="0" t="str">
        <f aca="false">IF(AND(B3035&gt;=1,B3035&lt;=6),"Tanque",IF(B3035=10,"Descarte",""))</f>
        <v/>
      </c>
    </row>
    <row r="3036" customFormat="false" ht="15" hidden="false" customHeight="false" outlineLevel="0" collapsed="false">
      <c r="A3036" s="22" t="n">
        <v>46309</v>
      </c>
      <c r="B3036" s="0" t="n">
        <v>13</v>
      </c>
      <c r="C3036" s="0" t="n">
        <v>7616</v>
      </c>
      <c r="E3036" s="0" t="n">
        <v>0</v>
      </c>
      <c r="F3036" s="23" t="s">
        <v>1418</v>
      </c>
      <c r="I3036" s="23" t="s">
        <v>1249</v>
      </c>
      <c r="U3036" s="0" t="n">
        <v>188</v>
      </c>
      <c r="V3036" s="0" t="n">
        <v>0</v>
      </c>
      <c r="W3036" s="0" t="str">
        <f aca="false">IF(OR(AND(B3036&gt;=1,B3036&lt;=6),B3036=10),"Vaca em lactação",IF(I3036="Male","Macho",IF(E3036&gt;=1,"Vaca seca",IF(I3036="Youngstock","Bezerra/recria","Novilha"))))</f>
        <v>Bezerra/recria</v>
      </c>
      <c r="X3036" s="0" t="str">
        <f aca="false">IF(AND(B3036&gt;=1,B3036&lt;=6),"Tanque",IF(B3036=10,"Descarte",""))</f>
        <v/>
      </c>
    </row>
    <row r="3037" customFormat="false" ht="15" hidden="false" customHeight="false" outlineLevel="0" collapsed="false">
      <c r="A3037" s="22" t="n">
        <v>46309</v>
      </c>
      <c r="B3037" s="0" t="n">
        <v>13</v>
      </c>
      <c r="C3037" s="0" t="n">
        <v>7615</v>
      </c>
      <c r="E3037" s="0" t="n">
        <v>0</v>
      </c>
      <c r="F3037" s="23" t="s">
        <v>1418</v>
      </c>
      <c r="I3037" s="23" t="s">
        <v>1249</v>
      </c>
      <c r="U3037" s="0" t="n">
        <v>188</v>
      </c>
      <c r="V3037" s="0" t="n">
        <v>0</v>
      </c>
      <c r="W3037" s="0" t="str">
        <f aca="false">IF(OR(AND(B3037&gt;=1,B3037&lt;=6),B3037=10),"Vaca em lactação",IF(I3037="Male","Macho",IF(E3037&gt;=1,"Vaca seca",IF(I3037="Youngstock","Bezerra/recria","Novilha"))))</f>
        <v>Bezerra/recria</v>
      </c>
      <c r="X3037" s="0" t="str">
        <f aca="false">IF(AND(B3037&gt;=1,B3037&lt;=6),"Tanque",IF(B3037=10,"Descarte",""))</f>
        <v/>
      </c>
    </row>
    <row r="3038" customFormat="false" ht="15" hidden="false" customHeight="false" outlineLevel="0" collapsed="false">
      <c r="A3038" s="22" t="n">
        <v>46309</v>
      </c>
      <c r="B3038" s="0" t="n">
        <v>13</v>
      </c>
      <c r="C3038" s="0" t="n">
        <v>7614</v>
      </c>
      <c r="E3038" s="0" t="n">
        <v>0</v>
      </c>
      <c r="F3038" s="23" t="s">
        <v>1417</v>
      </c>
      <c r="I3038" s="23" t="s">
        <v>1249</v>
      </c>
      <c r="U3038" s="0" t="n">
        <v>189</v>
      </c>
      <c r="V3038" s="0" t="n">
        <v>0</v>
      </c>
      <c r="W3038" s="0" t="str">
        <f aca="false">IF(OR(AND(B3038&gt;=1,B3038&lt;=6),B3038=10),"Vaca em lactação",IF(I3038="Male","Macho",IF(E3038&gt;=1,"Vaca seca",IF(I3038="Youngstock","Bezerra/recria","Novilha"))))</f>
        <v>Bezerra/recria</v>
      </c>
      <c r="X3038" s="0" t="str">
        <f aca="false">IF(AND(B3038&gt;=1,B3038&lt;=6),"Tanque",IF(B3038=10,"Descarte",""))</f>
        <v/>
      </c>
    </row>
    <row r="3039" customFormat="false" ht="15" hidden="false" customHeight="false" outlineLevel="0" collapsed="false">
      <c r="A3039" s="22" t="n">
        <v>46309</v>
      </c>
      <c r="B3039" s="0" t="n">
        <v>13</v>
      </c>
      <c r="C3039" s="0" t="n">
        <v>7618</v>
      </c>
      <c r="E3039" s="0" t="n">
        <v>0</v>
      </c>
      <c r="F3039" s="23" t="s">
        <v>1418</v>
      </c>
      <c r="I3039" s="23" t="s">
        <v>1249</v>
      </c>
      <c r="U3039" s="0" t="n">
        <v>188</v>
      </c>
      <c r="V3039" s="0" t="n">
        <v>0</v>
      </c>
      <c r="W3039" s="0" t="str">
        <f aca="false">IF(OR(AND(B3039&gt;=1,B3039&lt;=6),B3039=10),"Vaca em lactação",IF(I3039="Male","Macho",IF(E3039&gt;=1,"Vaca seca",IF(I3039="Youngstock","Bezerra/recria","Novilha"))))</f>
        <v>Bezerra/recria</v>
      </c>
      <c r="X3039" s="0" t="str">
        <f aca="false">IF(AND(B3039&gt;=1,B3039&lt;=6),"Tanque",IF(B3039=10,"Descarte",""))</f>
        <v/>
      </c>
    </row>
    <row r="3040" customFormat="false" ht="15" hidden="false" customHeight="false" outlineLevel="0" collapsed="false">
      <c r="A3040" s="22" t="n">
        <v>46309</v>
      </c>
      <c r="B3040" s="0" t="n">
        <v>13</v>
      </c>
      <c r="C3040" s="0" t="n">
        <v>7623</v>
      </c>
      <c r="E3040" s="0" t="n">
        <v>0</v>
      </c>
      <c r="F3040" s="23" t="s">
        <v>1419</v>
      </c>
      <c r="I3040" s="23" t="s">
        <v>1249</v>
      </c>
      <c r="U3040" s="0" t="n">
        <v>187</v>
      </c>
      <c r="V3040" s="0" t="n">
        <v>0</v>
      </c>
      <c r="W3040" s="0" t="str">
        <f aca="false">IF(OR(AND(B3040&gt;=1,B3040&lt;=6),B3040=10),"Vaca em lactação",IF(I3040="Male","Macho",IF(E3040&gt;=1,"Vaca seca",IF(I3040="Youngstock","Bezerra/recria","Novilha"))))</f>
        <v>Bezerra/recria</v>
      </c>
      <c r="X3040" s="0" t="str">
        <f aca="false">IF(AND(B3040&gt;=1,B3040&lt;=6),"Tanque",IF(B3040=10,"Descarte",""))</f>
        <v/>
      </c>
    </row>
    <row r="3041" customFormat="false" ht="15" hidden="false" customHeight="false" outlineLevel="0" collapsed="false">
      <c r="A3041" s="22" t="n">
        <v>46309</v>
      </c>
      <c r="B3041" s="0" t="n">
        <v>13</v>
      </c>
      <c r="C3041" s="0" t="n">
        <v>7622</v>
      </c>
      <c r="E3041" s="0" t="n">
        <v>0</v>
      </c>
      <c r="F3041" s="23" t="s">
        <v>1419</v>
      </c>
      <c r="I3041" s="23" t="s">
        <v>1249</v>
      </c>
      <c r="U3041" s="0" t="n">
        <v>187</v>
      </c>
      <c r="V3041" s="0" t="n">
        <v>0</v>
      </c>
      <c r="W3041" s="0" t="str">
        <f aca="false">IF(OR(AND(B3041&gt;=1,B3041&lt;=6),B3041=10),"Vaca em lactação",IF(I3041="Male","Macho",IF(E3041&gt;=1,"Vaca seca",IF(I3041="Youngstock","Bezerra/recria","Novilha"))))</f>
        <v>Bezerra/recria</v>
      </c>
      <c r="X3041" s="0" t="str">
        <f aca="false">IF(AND(B3041&gt;=1,B3041&lt;=6),"Tanque",IF(B3041=10,"Descarte",""))</f>
        <v/>
      </c>
    </row>
    <row r="3042" customFormat="false" ht="15" hidden="false" customHeight="false" outlineLevel="0" collapsed="false">
      <c r="A3042" s="22" t="n">
        <v>46309</v>
      </c>
      <c r="B3042" s="0" t="n">
        <v>13</v>
      </c>
      <c r="C3042" s="0" t="n">
        <v>7621</v>
      </c>
      <c r="E3042" s="0" t="n">
        <v>0</v>
      </c>
      <c r="F3042" s="23" t="s">
        <v>1419</v>
      </c>
      <c r="I3042" s="23" t="s">
        <v>1249</v>
      </c>
      <c r="U3042" s="0" t="n">
        <v>187</v>
      </c>
      <c r="V3042" s="0" t="n">
        <v>0</v>
      </c>
      <c r="W3042" s="0" t="str">
        <f aca="false">IF(OR(AND(B3042&gt;=1,B3042&lt;=6),B3042=10),"Vaca em lactação",IF(I3042="Male","Macho",IF(E3042&gt;=1,"Vaca seca",IF(I3042="Youngstock","Bezerra/recria","Novilha"))))</f>
        <v>Bezerra/recria</v>
      </c>
      <c r="X3042" s="0" t="str">
        <f aca="false">IF(AND(B3042&gt;=1,B3042&lt;=6),"Tanque",IF(B3042=10,"Descarte",""))</f>
        <v/>
      </c>
    </row>
    <row r="3043" customFormat="false" ht="15" hidden="false" customHeight="false" outlineLevel="0" collapsed="false">
      <c r="A3043" s="22" t="n">
        <v>46309</v>
      </c>
      <c r="B3043" s="0" t="n">
        <v>13</v>
      </c>
      <c r="C3043" s="0" t="n">
        <v>7620</v>
      </c>
      <c r="E3043" s="0" t="n">
        <v>0</v>
      </c>
      <c r="F3043" s="23" t="s">
        <v>1419</v>
      </c>
      <c r="I3043" s="23" t="s">
        <v>1249</v>
      </c>
      <c r="U3043" s="0" t="n">
        <v>187</v>
      </c>
      <c r="V3043" s="0" t="n">
        <v>0</v>
      </c>
      <c r="W3043" s="0" t="str">
        <f aca="false">IF(OR(AND(B3043&gt;=1,B3043&lt;=6),B3043=10),"Vaca em lactação",IF(I3043="Male","Macho",IF(E3043&gt;=1,"Vaca seca",IF(I3043="Youngstock","Bezerra/recria","Novilha"))))</f>
        <v>Bezerra/recria</v>
      </c>
      <c r="X3043" s="0" t="str">
        <f aca="false">IF(AND(B3043&gt;=1,B3043&lt;=6),"Tanque",IF(B3043=10,"Descarte",""))</f>
        <v/>
      </c>
    </row>
    <row r="3044" customFormat="false" ht="15" hidden="false" customHeight="false" outlineLevel="0" collapsed="false">
      <c r="A3044" s="22" t="n">
        <v>46309</v>
      </c>
      <c r="B3044" s="0" t="n">
        <v>13</v>
      </c>
      <c r="C3044" s="0" t="n">
        <v>7626</v>
      </c>
      <c r="E3044" s="0" t="n">
        <v>0</v>
      </c>
      <c r="F3044" s="23" t="s">
        <v>1420</v>
      </c>
      <c r="I3044" s="23" t="s">
        <v>1249</v>
      </c>
      <c r="U3044" s="0" t="n">
        <v>186</v>
      </c>
      <c r="V3044" s="0" t="n">
        <v>0</v>
      </c>
      <c r="W3044" s="0" t="str">
        <f aca="false">IF(OR(AND(B3044&gt;=1,B3044&lt;=6),B3044=10),"Vaca em lactação",IF(I3044="Male","Macho",IF(E3044&gt;=1,"Vaca seca",IF(I3044="Youngstock","Bezerra/recria","Novilha"))))</f>
        <v>Bezerra/recria</v>
      </c>
      <c r="X3044" s="0" t="str">
        <f aca="false">IF(AND(B3044&gt;=1,B3044&lt;=6),"Tanque",IF(B3044=10,"Descarte",""))</f>
        <v/>
      </c>
    </row>
    <row r="3045" customFormat="false" ht="15" hidden="false" customHeight="false" outlineLevel="0" collapsed="false">
      <c r="A3045" s="22" t="n">
        <v>46309</v>
      </c>
      <c r="B3045" s="0" t="n">
        <v>13</v>
      </c>
      <c r="C3045" s="0" t="n">
        <v>7625</v>
      </c>
      <c r="E3045" s="0" t="n">
        <v>0</v>
      </c>
      <c r="F3045" s="23" t="s">
        <v>1420</v>
      </c>
      <c r="I3045" s="23" t="s">
        <v>1249</v>
      </c>
      <c r="U3045" s="0" t="n">
        <v>186</v>
      </c>
      <c r="V3045" s="0" t="n">
        <v>0</v>
      </c>
      <c r="W3045" s="0" t="str">
        <f aca="false">IF(OR(AND(B3045&gt;=1,B3045&lt;=6),B3045=10),"Vaca em lactação",IF(I3045="Male","Macho",IF(E3045&gt;=1,"Vaca seca",IF(I3045="Youngstock","Bezerra/recria","Novilha"))))</f>
        <v>Bezerra/recria</v>
      </c>
      <c r="X3045" s="0" t="str">
        <f aca="false">IF(AND(B3045&gt;=1,B3045&lt;=6),"Tanque",IF(B3045=10,"Descarte",""))</f>
        <v/>
      </c>
    </row>
    <row r="3046" customFormat="false" ht="15" hidden="false" customHeight="false" outlineLevel="0" collapsed="false">
      <c r="A3046" s="22" t="n">
        <v>46309</v>
      </c>
      <c r="B3046" s="0" t="n">
        <v>13</v>
      </c>
      <c r="C3046" s="0" t="n">
        <v>7624</v>
      </c>
      <c r="E3046" s="0" t="n">
        <v>0</v>
      </c>
      <c r="F3046" s="23" t="s">
        <v>1419</v>
      </c>
      <c r="I3046" s="23" t="s">
        <v>1249</v>
      </c>
      <c r="U3046" s="0" t="n">
        <v>187</v>
      </c>
      <c r="V3046" s="0" t="n">
        <v>0</v>
      </c>
      <c r="W3046" s="0" t="str">
        <f aca="false">IF(OR(AND(B3046&gt;=1,B3046&lt;=6),B3046=10),"Vaca em lactação",IF(I3046="Male","Macho",IF(E3046&gt;=1,"Vaca seca",IF(I3046="Youngstock","Bezerra/recria","Novilha"))))</f>
        <v>Bezerra/recria</v>
      </c>
      <c r="X3046" s="0" t="str">
        <f aca="false">IF(AND(B3046&gt;=1,B3046&lt;=6),"Tanque",IF(B3046=10,"Descarte",""))</f>
        <v/>
      </c>
    </row>
    <row r="3047" customFormat="false" ht="15" hidden="false" customHeight="false" outlineLevel="0" collapsed="false">
      <c r="A3047" s="22" t="n">
        <v>46309</v>
      </c>
      <c r="B3047" s="0" t="n">
        <v>13</v>
      </c>
      <c r="C3047" s="0" t="n">
        <v>7629</v>
      </c>
      <c r="E3047" s="0" t="n">
        <v>0</v>
      </c>
      <c r="F3047" s="23" t="s">
        <v>1421</v>
      </c>
      <c r="I3047" s="23" t="s">
        <v>1249</v>
      </c>
      <c r="U3047" s="0" t="n">
        <v>185</v>
      </c>
      <c r="V3047" s="0" t="n">
        <v>0</v>
      </c>
      <c r="W3047" s="0" t="str">
        <f aca="false">IF(OR(AND(B3047&gt;=1,B3047&lt;=6),B3047=10),"Vaca em lactação",IF(I3047="Male","Macho",IF(E3047&gt;=1,"Vaca seca",IF(I3047="Youngstock","Bezerra/recria","Novilha"))))</f>
        <v>Bezerra/recria</v>
      </c>
      <c r="X3047" s="0" t="str">
        <f aca="false">IF(AND(B3047&gt;=1,B3047&lt;=6),"Tanque",IF(B3047=10,"Descarte",""))</f>
        <v/>
      </c>
    </row>
    <row r="3048" customFormat="false" ht="15" hidden="false" customHeight="false" outlineLevel="0" collapsed="false">
      <c r="A3048" s="22" t="n">
        <v>46309</v>
      </c>
      <c r="B3048" s="0" t="n">
        <v>13</v>
      </c>
      <c r="C3048" s="0" t="n">
        <v>7628</v>
      </c>
      <c r="E3048" s="0" t="n">
        <v>0</v>
      </c>
      <c r="F3048" s="23" t="s">
        <v>1420</v>
      </c>
      <c r="I3048" s="23" t="s">
        <v>1249</v>
      </c>
      <c r="U3048" s="0" t="n">
        <v>186</v>
      </c>
      <c r="V3048" s="0" t="n">
        <v>0</v>
      </c>
      <c r="W3048" s="0" t="str">
        <f aca="false">IF(OR(AND(B3048&gt;=1,B3048&lt;=6),B3048=10),"Vaca em lactação",IF(I3048="Male","Macho",IF(E3048&gt;=1,"Vaca seca",IF(I3048="Youngstock","Bezerra/recria","Novilha"))))</f>
        <v>Bezerra/recria</v>
      </c>
      <c r="X3048" s="0" t="str">
        <f aca="false">IF(AND(B3048&gt;=1,B3048&lt;=6),"Tanque",IF(B3048=10,"Descarte",""))</f>
        <v/>
      </c>
    </row>
    <row r="3049" customFormat="false" ht="15" hidden="false" customHeight="false" outlineLevel="0" collapsed="false">
      <c r="A3049" s="22" t="n">
        <v>46309</v>
      </c>
      <c r="B3049" s="0" t="n">
        <v>13</v>
      </c>
      <c r="C3049" s="0" t="n">
        <v>2413</v>
      </c>
      <c r="E3049" s="0" t="n">
        <v>0</v>
      </c>
      <c r="F3049" s="23" t="s">
        <v>1389</v>
      </c>
      <c r="I3049" s="23" t="s">
        <v>1249</v>
      </c>
      <c r="U3049" s="0" t="n">
        <v>220</v>
      </c>
      <c r="V3049" s="0" t="n">
        <v>0</v>
      </c>
      <c r="W3049" s="0" t="str">
        <f aca="false">IF(OR(AND(B3049&gt;=1,B3049&lt;=6),B3049=10),"Vaca em lactação",IF(I3049="Male","Macho",IF(E3049&gt;=1,"Vaca seca",IF(I3049="Youngstock","Bezerra/recria","Novilha"))))</f>
        <v>Bezerra/recria</v>
      </c>
      <c r="X3049" s="0" t="str">
        <f aca="false">IF(AND(B3049&gt;=1,B3049&lt;=6),"Tanque",IF(B3049=10,"Descarte",""))</f>
        <v/>
      </c>
    </row>
    <row r="3050" customFormat="false" ht="15" hidden="false" customHeight="false" outlineLevel="0" collapsed="false">
      <c r="A3050" s="22" t="n">
        <v>46309</v>
      </c>
      <c r="B3050" s="0" t="n">
        <v>13</v>
      </c>
      <c r="C3050" s="0" t="n">
        <v>7559</v>
      </c>
      <c r="E3050" s="0" t="n">
        <v>0</v>
      </c>
      <c r="F3050" s="23" t="s">
        <v>1422</v>
      </c>
      <c r="I3050" s="23" t="s">
        <v>1249</v>
      </c>
      <c r="U3050" s="0" t="n">
        <v>203</v>
      </c>
      <c r="V3050" s="0" t="n">
        <v>0</v>
      </c>
      <c r="W3050" s="0" t="str">
        <f aca="false">IF(OR(AND(B3050&gt;=1,B3050&lt;=6),B3050=10),"Vaca em lactação",IF(I3050="Male","Macho",IF(E3050&gt;=1,"Vaca seca",IF(I3050="Youngstock","Bezerra/recria","Novilha"))))</f>
        <v>Bezerra/recria</v>
      </c>
      <c r="X3050" s="0" t="str">
        <f aca="false">IF(AND(B3050&gt;=1,B3050&lt;=6),"Tanque",IF(B3050=10,"Descarte",""))</f>
        <v/>
      </c>
    </row>
    <row r="3051" customFormat="false" ht="15" hidden="false" customHeight="false" outlineLevel="0" collapsed="false">
      <c r="A3051" s="22" t="n">
        <v>46309</v>
      </c>
      <c r="B3051" s="0" t="n">
        <v>13</v>
      </c>
      <c r="C3051" s="0" t="n">
        <v>7558</v>
      </c>
      <c r="E3051" s="0" t="n">
        <v>0</v>
      </c>
      <c r="F3051" s="23" t="s">
        <v>1423</v>
      </c>
      <c r="I3051" s="23" t="s">
        <v>1249</v>
      </c>
      <c r="U3051" s="0" t="n">
        <v>204</v>
      </c>
      <c r="V3051" s="0" t="n">
        <v>0</v>
      </c>
      <c r="W3051" s="0" t="str">
        <f aca="false">IF(OR(AND(B3051&gt;=1,B3051&lt;=6),B3051=10),"Vaca em lactação",IF(I3051="Male","Macho",IF(E3051&gt;=1,"Vaca seca",IF(I3051="Youngstock","Bezerra/recria","Novilha"))))</f>
        <v>Bezerra/recria</v>
      </c>
      <c r="X3051" s="0" t="str">
        <f aca="false">IF(AND(B3051&gt;=1,B3051&lt;=6),"Tanque",IF(B3051=10,"Descarte",""))</f>
        <v/>
      </c>
    </row>
    <row r="3052" customFormat="false" ht="15" hidden="false" customHeight="false" outlineLevel="0" collapsed="false">
      <c r="A3052" s="22" t="n">
        <v>46309</v>
      </c>
      <c r="B3052" s="0" t="n">
        <v>13</v>
      </c>
      <c r="C3052" s="0" t="n">
        <v>7557</v>
      </c>
      <c r="E3052" s="0" t="n">
        <v>0</v>
      </c>
      <c r="F3052" s="23" t="s">
        <v>1423</v>
      </c>
      <c r="I3052" s="23" t="s">
        <v>1249</v>
      </c>
      <c r="U3052" s="0" t="n">
        <v>204</v>
      </c>
      <c r="V3052" s="0" t="n">
        <v>0</v>
      </c>
      <c r="W3052" s="0" t="str">
        <f aca="false">IF(OR(AND(B3052&gt;=1,B3052&lt;=6),B3052=10),"Vaca em lactação",IF(I3052="Male","Macho",IF(E3052&gt;=1,"Vaca seca",IF(I3052="Youngstock","Bezerra/recria","Novilha"))))</f>
        <v>Bezerra/recria</v>
      </c>
      <c r="X3052" s="0" t="str">
        <f aca="false">IF(AND(B3052&gt;=1,B3052&lt;=6),"Tanque",IF(B3052=10,"Descarte",""))</f>
        <v/>
      </c>
    </row>
    <row r="3053" customFormat="false" ht="15" hidden="false" customHeight="false" outlineLevel="0" collapsed="false">
      <c r="A3053" s="22" t="n">
        <v>46309</v>
      </c>
      <c r="B3053" s="0" t="n">
        <v>13</v>
      </c>
      <c r="C3053" s="0" t="n">
        <v>7560</v>
      </c>
      <c r="E3053" s="0" t="n">
        <v>0</v>
      </c>
      <c r="F3053" s="23" t="s">
        <v>1422</v>
      </c>
      <c r="I3053" s="23" t="s">
        <v>1249</v>
      </c>
      <c r="U3053" s="0" t="n">
        <v>203</v>
      </c>
      <c r="V3053" s="0" t="n">
        <v>0</v>
      </c>
      <c r="W3053" s="0" t="str">
        <f aca="false">IF(OR(AND(B3053&gt;=1,B3053&lt;=6),B3053=10),"Vaca em lactação",IF(I3053="Male","Macho",IF(E3053&gt;=1,"Vaca seca",IF(I3053="Youngstock","Bezerra/recria","Novilha"))))</f>
        <v>Bezerra/recria</v>
      </c>
      <c r="X3053" s="0" t="str">
        <f aca="false">IF(AND(B3053&gt;=1,B3053&lt;=6),"Tanque",IF(B3053=10,"Descarte",""))</f>
        <v/>
      </c>
    </row>
    <row r="3054" customFormat="false" ht="15" hidden="false" customHeight="false" outlineLevel="0" collapsed="false">
      <c r="A3054" s="22" t="n">
        <v>46309</v>
      </c>
      <c r="B3054" s="0" t="n">
        <v>13</v>
      </c>
      <c r="C3054" s="0" t="n">
        <v>7555</v>
      </c>
      <c r="E3054" s="0" t="n">
        <v>0</v>
      </c>
      <c r="F3054" s="23" t="s">
        <v>1423</v>
      </c>
      <c r="I3054" s="23" t="s">
        <v>1249</v>
      </c>
      <c r="U3054" s="0" t="n">
        <v>204</v>
      </c>
      <c r="V3054" s="0" t="n">
        <v>0</v>
      </c>
      <c r="W3054" s="0" t="str">
        <f aca="false">IF(OR(AND(B3054&gt;=1,B3054&lt;=6),B3054=10),"Vaca em lactação",IF(I3054="Male","Macho",IF(E3054&gt;=1,"Vaca seca",IF(I3054="Youngstock","Bezerra/recria","Novilha"))))</f>
        <v>Bezerra/recria</v>
      </c>
      <c r="X3054" s="0" t="str">
        <f aca="false">IF(AND(B3054&gt;=1,B3054&lt;=6),"Tanque",IF(B3054=10,"Descarte",""))</f>
        <v/>
      </c>
    </row>
    <row r="3055" customFormat="false" ht="15" hidden="false" customHeight="false" outlineLevel="0" collapsed="false">
      <c r="A3055" s="22" t="n">
        <v>46309</v>
      </c>
      <c r="B3055" s="0" t="n">
        <v>13</v>
      </c>
      <c r="C3055" s="0" t="n">
        <v>7556</v>
      </c>
      <c r="E3055" s="0" t="n">
        <v>0</v>
      </c>
      <c r="F3055" s="23" t="s">
        <v>1423</v>
      </c>
      <c r="I3055" s="23" t="s">
        <v>1249</v>
      </c>
      <c r="U3055" s="0" t="n">
        <v>204</v>
      </c>
      <c r="V3055" s="0" t="n">
        <v>0</v>
      </c>
      <c r="W3055" s="0" t="str">
        <f aca="false">IF(OR(AND(B3055&gt;=1,B3055&lt;=6),B3055=10),"Vaca em lactação",IF(I3055="Male","Macho",IF(E3055&gt;=1,"Vaca seca",IF(I3055="Youngstock","Bezerra/recria","Novilha"))))</f>
        <v>Bezerra/recria</v>
      </c>
      <c r="X3055" s="0" t="str">
        <f aca="false">IF(AND(B3055&gt;=1,B3055&lt;=6),"Tanque",IF(B3055=10,"Descarte",""))</f>
        <v/>
      </c>
    </row>
    <row r="3056" customFormat="false" ht="15" hidden="false" customHeight="false" outlineLevel="0" collapsed="false">
      <c r="A3056" s="22" t="n">
        <v>46309</v>
      </c>
      <c r="B3056" s="0" t="n">
        <v>13</v>
      </c>
      <c r="C3056" s="0" t="n">
        <v>7551</v>
      </c>
      <c r="E3056" s="0" t="n">
        <v>0</v>
      </c>
      <c r="F3056" s="23" t="s">
        <v>1424</v>
      </c>
      <c r="I3056" s="23" t="s">
        <v>1249</v>
      </c>
      <c r="U3056" s="0" t="n">
        <v>205</v>
      </c>
      <c r="V3056" s="0" t="n">
        <v>0</v>
      </c>
      <c r="W3056" s="0" t="str">
        <f aca="false">IF(OR(AND(B3056&gt;=1,B3056&lt;=6),B3056=10),"Vaca em lactação",IF(I3056="Male","Macho",IF(E3056&gt;=1,"Vaca seca",IF(I3056="Youngstock","Bezerra/recria","Novilha"))))</f>
        <v>Bezerra/recria</v>
      </c>
      <c r="X3056" s="0" t="str">
        <f aca="false">IF(AND(B3056&gt;=1,B3056&lt;=6),"Tanque",IF(B3056=10,"Descarte",""))</f>
        <v/>
      </c>
    </row>
    <row r="3057" customFormat="false" ht="15" hidden="false" customHeight="false" outlineLevel="0" collapsed="false">
      <c r="A3057" s="22" t="n">
        <v>46309</v>
      </c>
      <c r="B3057" s="0" t="n">
        <v>13</v>
      </c>
      <c r="C3057" s="0" t="n">
        <v>7554</v>
      </c>
      <c r="E3057" s="0" t="n">
        <v>0</v>
      </c>
      <c r="F3057" s="23" t="s">
        <v>1424</v>
      </c>
      <c r="I3057" s="23" t="s">
        <v>1249</v>
      </c>
      <c r="U3057" s="0" t="n">
        <v>205</v>
      </c>
      <c r="V3057" s="0" t="n">
        <v>0</v>
      </c>
      <c r="W3057" s="0" t="str">
        <f aca="false">IF(OR(AND(B3057&gt;=1,B3057&lt;=6),B3057=10),"Vaca em lactação",IF(I3057="Male","Macho",IF(E3057&gt;=1,"Vaca seca",IF(I3057="Youngstock","Bezerra/recria","Novilha"))))</f>
        <v>Bezerra/recria</v>
      </c>
      <c r="X3057" s="0" t="str">
        <f aca="false">IF(AND(B3057&gt;=1,B3057&lt;=6),"Tanque",IF(B3057=10,"Descarte",""))</f>
        <v/>
      </c>
    </row>
    <row r="3058" customFormat="false" ht="15" hidden="false" customHeight="false" outlineLevel="0" collapsed="false">
      <c r="A3058" s="22" t="n">
        <v>46309</v>
      </c>
      <c r="B3058" s="0" t="n">
        <v>13</v>
      </c>
      <c r="C3058" s="0" t="n">
        <v>7553</v>
      </c>
      <c r="E3058" s="0" t="n">
        <v>0</v>
      </c>
      <c r="F3058" s="23" t="s">
        <v>1424</v>
      </c>
      <c r="I3058" s="23" t="s">
        <v>1249</v>
      </c>
      <c r="U3058" s="0" t="n">
        <v>205</v>
      </c>
      <c r="V3058" s="0" t="n">
        <v>0</v>
      </c>
      <c r="W3058" s="0" t="str">
        <f aca="false">IF(OR(AND(B3058&gt;=1,B3058&lt;=6),B3058=10),"Vaca em lactação",IF(I3058="Male","Macho",IF(E3058&gt;=1,"Vaca seca",IF(I3058="Youngstock","Bezerra/recria","Novilha"))))</f>
        <v>Bezerra/recria</v>
      </c>
      <c r="X3058" s="0" t="str">
        <f aca="false">IF(AND(B3058&gt;=1,B3058&lt;=6),"Tanque",IF(B3058=10,"Descarte",""))</f>
        <v/>
      </c>
    </row>
    <row r="3059" customFormat="false" ht="15" hidden="false" customHeight="false" outlineLevel="0" collapsed="false">
      <c r="A3059" s="22" t="n">
        <v>46309</v>
      </c>
      <c r="B3059" s="0" t="n">
        <v>13</v>
      </c>
      <c r="C3059" s="0" t="n">
        <v>7552</v>
      </c>
      <c r="E3059" s="0" t="n">
        <v>0</v>
      </c>
      <c r="F3059" s="23" t="s">
        <v>1424</v>
      </c>
      <c r="I3059" s="23" t="s">
        <v>1249</v>
      </c>
      <c r="U3059" s="0" t="n">
        <v>205</v>
      </c>
      <c r="V3059" s="0" t="n">
        <v>0</v>
      </c>
      <c r="W3059" s="0" t="str">
        <f aca="false">IF(OR(AND(B3059&gt;=1,B3059&lt;=6),B3059=10),"Vaca em lactação",IF(I3059="Male","Macho",IF(E3059&gt;=1,"Vaca seca",IF(I3059="Youngstock","Bezerra/recria","Novilha"))))</f>
        <v>Bezerra/recria</v>
      </c>
      <c r="X3059" s="0" t="str">
        <f aca="false">IF(AND(B3059&gt;=1,B3059&lt;=6),"Tanque",IF(B3059=10,"Descarte",""))</f>
        <v/>
      </c>
    </row>
    <row r="3060" customFormat="false" ht="15" hidden="false" customHeight="false" outlineLevel="0" collapsed="false">
      <c r="A3060" s="22" t="n">
        <v>46309</v>
      </c>
      <c r="B3060" s="0" t="n">
        <v>13</v>
      </c>
      <c r="C3060" s="0" t="n">
        <v>7561</v>
      </c>
      <c r="E3060" s="0" t="n">
        <v>0</v>
      </c>
      <c r="F3060" s="23" t="s">
        <v>1422</v>
      </c>
      <c r="I3060" s="23" t="s">
        <v>1249</v>
      </c>
      <c r="U3060" s="0" t="n">
        <v>203</v>
      </c>
      <c r="V3060" s="0" t="n">
        <v>0</v>
      </c>
      <c r="W3060" s="0" t="str">
        <f aca="false">IF(OR(AND(B3060&gt;=1,B3060&lt;=6),B3060=10),"Vaca em lactação",IF(I3060="Male","Macho",IF(E3060&gt;=1,"Vaca seca",IF(I3060="Youngstock","Bezerra/recria","Novilha"))))</f>
        <v>Bezerra/recria</v>
      </c>
      <c r="X3060" s="0" t="str">
        <f aca="false">IF(AND(B3060&gt;=1,B3060&lt;=6),"Tanque",IF(B3060=10,"Descarte",""))</f>
        <v/>
      </c>
    </row>
    <row r="3061" customFormat="false" ht="15" hidden="false" customHeight="false" outlineLevel="0" collapsed="false">
      <c r="A3061" s="22" t="n">
        <v>46309</v>
      </c>
      <c r="B3061" s="0" t="n">
        <v>13</v>
      </c>
      <c r="C3061" s="0" t="n">
        <v>7562</v>
      </c>
      <c r="E3061" s="0" t="n">
        <v>0</v>
      </c>
      <c r="F3061" s="23" t="s">
        <v>1422</v>
      </c>
      <c r="I3061" s="23" t="s">
        <v>1249</v>
      </c>
      <c r="U3061" s="0" t="n">
        <v>203</v>
      </c>
      <c r="V3061" s="0" t="n">
        <v>0</v>
      </c>
      <c r="W3061" s="0" t="str">
        <f aca="false">IF(OR(AND(B3061&gt;=1,B3061&lt;=6),B3061=10),"Vaca em lactação",IF(I3061="Male","Macho",IF(E3061&gt;=1,"Vaca seca",IF(I3061="Youngstock","Bezerra/recria","Novilha"))))</f>
        <v>Bezerra/recria</v>
      </c>
      <c r="X3061" s="0" t="str">
        <f aca="false">IF(AND(B3061&gt;=1,B3061&lt;=6),"Tanque",IF(B3061=10,"Descarte",""))</f>
        <v/>
      </c>
    </row>
    <row r="3062" customFormat="false" ht="15" hidden="false" customHeight="false" outlineLevel="0" collapsed="false">
      <c r="A3062" s="22" t="n">
        <v>46309</v>
      </c>
      <c r="B3062" s="0" t="n">
        <v>13</v>
      </c>
      <c r="C3062" s="0" t="n">
        <v>7564</v>
      </c>
      <c r="E3062" s="0" t="n">
        <v>0</v>
      </c>
      <c r="F3062" s="23" t="s">
        <v>1425</v>
      </c>
      <c r="I3062" s="23" t="s">
        <v>1249</v>
      </c>
      <c r="U3062" s="0" t="n">
        <v>202</v>
      </c>
      <c r="V3062" s="0" t="n">
        <v>0</v>
      </c>
      <c r="W3062" s="0" t="str">
        <f aca="false">IF(OR(AND(B3062&gt;=1,B3062&lt;=6),B3062=10),"Vaca em lactação",IF(I3062="Male","Macho",IF(E3062&gt;=1,"Vaca seca",IF(I3062="Youngstock","Bezerra/recria","Novilha"))))</f>
        <v>Bezerra/recria</v>
      </c>
      <c r="X3062" s="0" t="str">
        <f aca="false">IF(AND(B3062&gt;=1,B3062&lt;=6),"Tanque",IF(B3062=10,"Descarte",""))</f>
        <v/>
      </c>
    </row>
    <row r="3063" customFormat="false" ht="15" hidden="false" customHeight="false" outlineLevel="0" collapsed="false">
      <c r="A3063" s="22" t="n">
        <v>46309</v>
      </c>
      <c r="B3063" s="0" t="n">
        <v>13</v>
      </c>
      <c r="C3063" s="0" t="n">
        <v>7563</v>
      </c>
      <c r="E3063" s="0" t="n">
        <v>0</v>
      </c>
      <c r="F3063" s="23" t="s">
        <v>1422</v>
      </c>
      <c r="I3063" s="23" t="s">
        <v>1249</v>
      </c>
      <c r="U3063" s="0" t="n">
        <v>203</v>
      </c>
      <c r="V3063" s="0" t="n">
        <v>0</v>
      </c>
      <c r="W3063" s="0" t="str">
        <f aca="false">IF(OR(AND(B3063&gt;=1,B3063&lt;=6),B3063=10),"Vaca em lactação",IF(I3063="Male","Macho",IF(E3063&gt;=1,"Vaca seca",IF(I3063="Youngstock","Bezerra/recria","Novilha"))))</f>
        <v>Bezerra/recria</v>
      </c>
      <c r="X3063" s="0" t="str">
        <f aca="false">IF(AND(B3063&gt;=1,B3063&lt;=6),"Tanque",IF(B3063=10,"Descarte",""))</f>
        <v/>
      </c>
    </row>
    <row r="3064" customFormat="false" ht="15" hidden="false" customHeight="false" outlineLevel="0" collapsed="false">
      <c r="A3064" s="22" t="n">
        <v>46309</v>
      </c>
      <c r="B3064" s="0" t="n">
        <v>13</v>
      </c>
      <c r="C3064" s="0" t="n">
        <v>7566</v>
      </c>
      <c r="E3064" s="0" t="n">
        <v>0</v>
      </c>
      <c r="F3064" s="23" t="s">
        <v>1425</v>
      </c>
      <c r="I3064" s="23" t="s">
        <v>1249</v>
      </c>
      <c r="U3064" s="0" t="n">
        <v>202</v>
      </c>
      <c r="V3064" s="0" t="n">
        <v>0</v>
      </c>
      <c r="W3064" s="0" t="str">
        <f aca="false">IF(OR(AND(B3064&gt;=1,B3064&lt;=6),B3064=10),"Vaca em lactação",IF(I3064="Male","Macho",IF(E3064&gt;=1,"Vaca seca",IF(I3064="Youngstock","Bezerra/recria","Novilha"))))</f>
        <v>Bezerra/recria</v>
      </c>
      <c r="X3064" s="0" t="str">
        <f aca="false">IF(AND(B3064&gt;=1,B3064&lt;=6),"Tanque",IF(B3064=10,"Descarte",""))</f>
        <v/>
      </c>
    </row>
    <row r="3065" customFormat="false" ht="15" hidden="false" customHeight="false" outlineLevel="0" collapsed="false">
      <c r="A3065" s="22" t="n">
        <v>46309</v>
      </c>
      <c r="B3065" s="0" t="n">
        <v>13</v>
      </c>
      <c r="C3065" s="0" t="n">
        <v>7565</v>
      </c>
      <c r="E3065" s="0" t="n">
        <v>0</v>
      </c>
      <c r="F3065" s="23" t="s">
        <v>1425</v>
      </c>
      <c r="I3065" s="23" t="s">
        <v>1249</v>
      </c>
      <c r="U3065" s="0" t="n">
        <v>202</v>
      </c>
      <c r="V3065" s="0" t="n">
        <v>0</v>
      </c>
      <c r="W3065" s="0" t="str">
        <f aca="false">IF(OR(AND(B3065&gt;=1,B3065&lt;=6),B3065=10),"Vaca em lactação",IF(I3065="Male","Macho",IF(E3065&gt;=1,"Vaca seca",IF(I3065="Youngstock","Bezerra/recria","Novilha"))))</f>
        <v>Bezerra/recria</v>
      </c>
      <c r="X3065" s="0" t="str">
        <f aca="false">IF(AND(B3065&gt;=1,B3065&lt;=6),"Tanque",IF(B3065=10,"Descarte",""))</f>
        <v/>
      </c>
    </row>
    <row r="3066" customFormat="false" ht="15" hidden="false" customHeight="false" outlineLevel="0" collapsed="false">
      <c r="A3066" s="22" t="n">
        <v>46309</v>
      </c>
      <c r="B3066" s="0" t="n">
        <v>13</v>
      </c>
      <c r="C3066" s="0" t="n">
        <v>7570</v>
      </c>
      <c r="E3066" s="0" t="n">
        <v>0</v>
      </c>
      <c r="F3066" s="23" t="s">
        <v>1426</v>
      </c>
      <c r="I3066" s="23" t="s">
        <v>1249</v>
      </c>
      <c r="U3066" s="0" t="n">
        <v>201</v>
      </c>
      <c r="V3066" s="0" t="n">
        <v>0</v>
      </c>
      <c r="W3066" s="0" t="str">
        <f aca="false">IF(OR(AND(B3066&gt;=1,B3066&lt;=6),B3066=10),"Vaca em lactação",IF(I3066="Male","Macho",IF(E3066&gt;=1,"Vaca seca",IF(I3066="Youngstock","Bezerra/recria","Novilha"))))</f>
        <v>Bezerra/recria</v>
      </c>
      <c r="X3066" s="0" t="str">
        <f aca="false">IF(AND(B3066&gt;=1,B3066&lt;=6),"Tanque",IF(B3066=10,"Descarte",""))</f>
        <v/>
      </c>
    </row>
    <row r="3067" customFormat="false" ht="15" hidden="false" customHeight="false" outlineLevel="0" collapsed="false">
      <c r="A3067" s="22" t="n">
        <v>46309</v>
      </c>
      <c r="B3067" s="0" t="n">
        <v>13</v>
      </c>
      <c r="C3067" s="0" t="n">
        <v>7568</v>
      </c>
      <c r="E3067" s="0" t="n">
        <v>0</v>
      </c>
      <c r="F3067" s="23" t="s">
        <v>1426</v>
      </c>
      <c r="I3067" s="23" t="s">
        <v>1249</v>
      </c>
      <c r="U3067" s="0" t="n">
        <v>201</v>
      </c>
      <c r="V3067" s="0" t="n">
        <v>0</v>
      </c>
      <c r="W3067" s="0" t="str">
        <f aca="false">IF(OR(AND(B3067&gt;=1,B3067&lt;=6),B3067=10),"Vaca em lactação",IF(I3067="Male","Macho",IF(E3067&gt;=1,"Vaca seca",IF(I3067="Youngstock","Bezerra/recria","Novilha"))))</f>
        <v>Bezerra/recria</v>
      </c>
      <c r="X3067" s="0" t="str">
        <f aca="false">IF(AND(B3067&gt;=1,B3067&lt;=6),"Tanque",IF(B3067=10,"Descarte",""))</f>
        <v/>
      </c>
    </row>
    <row r="3068" customFormat="false" ht="15" hidden="false" customHeight="false" outlineLevel="0" collapsed="false">
      <c r="A3068" s="22" t="n">
        <v>46309</v>
      </c>
      <c r="B3068" s="0" t="n">
        <v>13</v>
      </c>
      <c r="C3068" s="0" t="n">
        <v>7574</v>
      </c>
      <c r="E3068" s="0" t="n">
        <v>0</v>
      </c>
      <c r="F3068" s="23" t="s">
        <v>1427</v>
      </c>
      <c r="I3068" s="23" t="s">
        <v>1249</v>
      </c>
      <c r="U3068" s="0" t="n">
        <v>200</v>
      </c>
      <c r="V3068" s="0" t="n">
        <v>0</v>
      </c>
      <c r="W3068" s="0" t="str">
        <f aca="false">IF(OR(AND(B3068&gt;=1,B3068&lt;=6),B3068=10),"Vaca em lactação",IF(I3068="Male","Macho",IF(E3068&gt;=1,"Vaca seca",IF(I3068="Youngstock","Bezerra/recria","Novilha"))))</f>
        <v>Bezerra/recria</v>
      </c>
      <c r="X3068" s="0" t="str">
        <f aca="false">IF(AND(B3068&gt;=1,B3068&lt;=6),"Tanque",IF(B3068=10,"Descarte",""))</f>
        <v/>
      </c>
    </row>
    <row r="3069" customFormat="false" ht="15" hidden="false" customHeight="false" outlineLevel="0" collapsed="false">
      <c r="A3069" s="22" t="n">
        <v>46309</v>
      </c>
      <c r="B3069" s="0" t="n">
        <v>13</v>
      </c>
      <c r="C3069" s="0" t="n">
        <v>7573</v>
      </c>
      <c r="E3069" s="0" t="n">
        <v>0</v>
      </c>
      <c r="F3069" s="23" t="s">
        <v>1427</v>
      </c>
      <c r="I3069" s="23" t="s">
        <v>1249</v>
      </c>
      <c r="U3069" s="0" t="n">
        <v>200</v>
      </c>
      <c r="V3069" s="0" t="n">
        <v>0</v>
      </c>
      <c r="W3069" s="0" t="str">
        <f aca="false">IF(OR(AND(B3069&gt;=1,B3069&lt;=6),B3069=10),"Vaca em lactação",IF(I3069="Male","Macho",IF(E3069&gt;=1,"Vaca seca",IF(I3069="Youngstock","Bezerra/recria","Novilha"))))</f>
        <v>Bezerra/recria</v>
      </c>
      <c r="X3069" s="0" t="str">
        <f aca="false">IF(AND(B3069&gt;=1,B3069&lt;=6),"Tanque",IF(B3069=10,"Descarte",""))</f>
        <v/>
      </c>
    </row>
    <row r="3070" customFormat="false" ht="15" hidden="false" customHeight="false" outlineLevel="0" collapsed="false">
      <c r="A3070" s="22" t="n">
        <v>46309</v>
      </c>
      <c r="B3070" s="0" t="n">
        <v>13</v>
      </c>
      <c r="C3070" s="0" t="n">
        <v>7572</v>
      </c>
      <c r="E3070" s="0" t="n">
        <v>0</v>
      </c>
      <c r="F3070" s="23" t="s">
        <v>1427</v>
      </c>
      <c r="I3070" s="23" t="s">
        <v>1249</v>
      </c>
      <c r="U3070" s="0" t="n">
        <v>200</v>
      </c>
      <c r="V3070" s="0" t="n">
        <v>0</v>
      </c>
      <c r="W3070" s="0" t="str">
        <f aca="false">IF(OR(AND(B3070&gt;=1,B3070&lt;=6),B3070=10),"Vaca em lactação",IF(I3070="Male","Macho",IF(E3070&gt;=1,"Vaca seca",IF(I3070="Youngstock","Bezerra/recria","Novilha"))))</f>
        <v>Bezerra/recria</v>
      </c>
      <c r="X3070" s="0" t="str">
        <f aca="false">IF(AND(B3070&gt;=1,B3070&lt;=6),"Tanque",IF(B3070=10,"Descarte",""))</f>
        <v/>
      </c>
    </row>
    <row r="3071" customFormat="false" ht="15" hidden="false" customHeight="false" outlineLevel="0" collapsed="false">
      <c r="A3071" s="22" t="n">
        <v>46309</v>
      </c>
      <c r="B3071" s="0" t="n">
        <v>13</v>
      </c>
      <c r="C3071" s="0" t="n">
        <v>7571</v>
      </c>
      <c r="E3071" s="0" t="n">
        <v>0</v>
      </c>
      <c r="F3071" s="23" t="s">
        <v>1426</v>
      </c>
      <c r="I3071" s="23" t="s">
        <v>1249</v>
      </c>
      <c r="U3071" s="0" t="n">
        <v>201</v>
      </c>
      <c r="V3071" s="0" t="n">
        <v>0</v>
      </c>
      <c r="W3071" s="0" t="str">
        <f aca="false">IF(OR(AND(B3071&gt;=1,B3071&lt;=6),B3071=10),"Vaca em lactação",IF(I3071="Male","Macho",IF(E3071&gt;=1,"Vaca seca",IF(I3071="Youngstock","Bezerra/recria","Novilha"))))</f>
        <v>Bezerra/recria</v>
      </c>
      <c r="X3071" s="0" t="str">
        <f aca="false">IF(AND(B3071&gt;=1,B3071&lt;=6),"Tanque",IF(B3071=10,"Descarte",""))</f>
        <v/>
      </c>
    </row>
    <row r="3072" customFormat="false" ht="15" hidden="false" customHeight="false" outlineLevel="0" collapsed="false">
      <c r="A3072" s="22" t="n">
        <v>46309</v>
      </c>
      <c r="B3072" s="0" t="n">
        <v>13</v>
      </c>
      <c r="C3072" s="0" t="n">
        <v>7577</v>
      </c>
      <c r="E3072" s="0" t="n">
        <v>0</v>
      </c>
      <c r="F3072" s="23" t="s">
        <v>1428</v>
      </c>
      <c r="I3072" s="23" t="s">
        <v>1249</v>
      </c>
      <c r="U3072" s="0" t="n">
        <v>199</v>
      </c>
      <c r="V3072" s="0" t="n">
        <v>0</v>
      </c>
      <c r="W3072" s="0" t="str">
        <f aca="false">IF(OR(AND(B3072&gt;=1,B3072&lt;=6),B3072=10),"Vaca em lactação",IF(I3072="Male","Macho",IF(E3072&gt;=1,"Vaca seca",IF(I3072="Youngstock","Bezerra/recria","Novilha"))))</f>
        <v>Bezerra/recria</v>
      </c>
      <c r="X3072" s="0" t="str">
        <f aca="false">IF(AND(B3072&gt;=1,B3072&lt;=6),"Tanque",IF(B3072=10,"Descarte",""))</f>
        <v/>
      </c>
    </row>
    <row r="3073" customFormat="false" ht="15" hidden="false" customHeight="false" outlineLevel="0" collapsed="false">
      <c r="A3073" s="22" t="n">
        <v>46309</v>
      </c>
      <c r="B3073" s="0" t="n">
        <v>13</v>
      </c>
      <c r="C3073" s="0" t="n">
        <v>7576</v>
      </c>
      <c r="E3073" s="0" t="n">
        <v>0</v>
      </c>
      <c r="F3073" s="23" t="s">
        <v>1428</v>
      </c>
      <c r="I3073" s="23" t="s">
        <v>1249</v>
      </c>
      <c r="U3073" s="0" t="n">
        <v>199</v>
      </c>
      <c r="V3073" s="0" t="n">
        <v>0</v>
      </c>
      <c r="W3073" s="0" t="str">
        <f aca="false">IF(OR(AND(B3073&gt;=1,B3073&lt;=6),B3073=10),"Vaca em lactação",IF(I3073="Male","Macho",IF(E3073&gt;=1,"Vaca seca",IF(I3073="Youngstock","Bezerra/recria","Novilha"))))</f>
        <v>Bezerra/recria</v>
      </c>
      <c r="X3073" s="0" t="str">
        <f aca="false">IF(AND(B3073&gt;=1,B3073&lt;=6),"Tanque",IF(B3073=10,"Descarte",""))</f>
        <v/>
      </c>
    </row>
    <row r="3074" customFormat="false" ht="15" hidden="false" customHeight="false" outlineLevel="0" collapsed="false">
      <c r="A3074" s="22" t="n">
        <v>46309</v>
      </c>
      <c r="B3074" s="0" t="n">
        <v>13</v>
      </c>
      <c r="C3074" s="0" t="n">
        <v>7575</v>
      </c>
      <c r="E3074" s="0" t="n">
        <v>0</v>
      </c>
      <c r="F3074" s="23" t="s">
        <v>1427</v>
      </c>
      <c r="I3074" s="23" t="s">
        <v>1249</v>
      </c>
      <c r="U3074" s="0" t="n">
        <v>200</v>
      </c>
      <c r="V3074" s="0" t="n">
        <v>0</v>
      </c>
      <c r="W3074" s="0" t="str">
        <f aca="false">IF(OR(AND(B3074&gt;=1,B3074&lt;=6),B3074=10),"Vaca em lactação",IF(I3074="Male","Macho",IF(E3074&gt;=1,"Vaca seca",IF(I3074="Youngstock","Bezerra/recria","Novilha"))))</f>
        <v>Bezerra/recria</v>
      </c>
      <c r="X3074" s="0" t="str">
        <f aca="false">IF(AND(B3074&gt;=1,B3074&lt;=6),"Tanque",IF(B3074=10,"Descarte",""))</f>
        <v/>
      </c>
    </row>
    <row r="3075" customFormat="false" ht="15" hidden="false" customHeight="false" outlineLevel="0" collapsed="false">
      <c r="A3075" s="22" t="n">
        <v>46309</v>
      </c>
      <c r="B3075" s="0" t="n">
        <v>13</v>
      </c>
      <c r="C3075" s="0" t="n">
        <v>7578</v>
      </c>
      <c r="E3075" s="0" t="n">
        <v>0</v>
      </c>
      <c r="F3075" s="23" t="s">
        <v>1428</v>
      </c>
      <c r="I3075" s="23" t="s">
        <v>1249</v>
      </c>
      <c r="U3075" s="0" t="n">
        <v>199</v>
      </c>
      <c r="V3075" s="0" t="n">
        <v>0</v>
      </c>
      <c r="W3075" s="0" t="str">
        <f aca="false">IF(OR(AND(B3075&gt;=1,B3075&lt;=6),B3075=10),"Vaca em lactação",IF(I3075="Male","Macho",IF(E3075&gt;=1,"Vaca seca",IF(I3075="Youngstock","Bezerra/recria","Novilha"))))</f>
        <v>Bezerra/recria</v>
      </c>
      <c r="X3075" s="0" t="str">
        <f aca="false">IF(AND(B3075&gt;=1,B3075&lt;=6),"Tanque",IF(B3075=10,"Descarte",""))</f>
        <v/>
      </c>
    </row>
    <row r="3076" customFormat="false" ht="15" hidden="false" customHeight="false" outlineLevel="0" collapsed="false">
      <c r="A3076" s="22" t="n">
        <v>46309</v>
      </c>
      <c r="B3076" s="0" t="n">
        <v>13</v>
      </c>
      <c r="C3076" s="0" t="n">
        <v>7579</v>
      </c>
      <c r="E3076" s="0" t="n">
        <v>0</v>
      </c>
      <c r="F3076" s="23" t="s">
        <v>1428</v>
      </c>
      <c r="I3076" s="23" t="s">
        <v>1249</v>
      </c>
      <c r="U3076" s="0" t="n">
        <v>199</v>
      </c>
      <c r="V3076" s="0" t="n">
        <v>0</v>
      </c>
      <c r="W3076" s="0" t="str">
        <f aca="false">IF(OR(AND(B3076&gt;=1,B3076&lt;=6),B3076=10),"Vaca em lactação",IF(I3076="Male","Macho",IF(E3076&gt;=1,"Vaca seca",IF(I3076="Youngstock","Bezerra/recria","Novilha"))))</f>
        <v>Bezerra/recria</v>
      </c>
      <c r="X3076" s="0" t="str">
        <f aca="false">IF(AND(B3076&gt;=1,B3076&lt;=6),"Tanque",IF(B3076=10,"Descarte",""))</f>
        <v/>
      </c>
    </row>
    <row r="3077" customFormat="false" ht="15" hidden="false" customHeight="false" outlineLevel="0" collapsed="false">
      <c r="A3077" s="22" t="n">
        <v>46309</v>
      </c>
      <c r="B3077" s="0" t="n">
        <v>13</v>
      </c>
      <c r="C3077" s="0" t="n">
        <v>7586</v>
      </c>
      <c r="E3077" s="0" t="n">
        <v>0</v>
      </c>
      <c r="F3077" s="23" t="s">
        <v>1429</v>
      </c>
      <c r="I3077" s="23" t="s">
        <v>1249</v>
      </c>
      <c r="U3077" s="0" t="n">
        <v>198</v>
      </c>
      <c r="V3077" s="0" t="n">
        <v>0</v>
      </c>
      <c r="W3077" s="0" t="str">
        <f aca="false">IF(OR(AND(B3077&gt;=1,B3077&lt;=6),B3077=10),"Vaca em lactação",IF(I3077="Male","Macho",IF(E3077&gt;=1,"Vaca seca",IF(I3077="Youngstock","Bezerra/recria","Novilha"))))</f>
        <v>Bezerra/recria</v>
      </c>
      <c r="X3077" s="0" t="str">
        <f aca="false">IF(AND(B3077&gt;=1,B3077&lt;=6),"Tanque",IF(B3077=10,"Descarte",""))</f>
        <v/>
      </c>
    </row>
    <row r="3078" customFormat="false" ht="15" hidden="false" customHeight="false" outlineLevel="0" collapsed="false">
      <c r="A3078" s="22" t="n">
        <v>46309</v>
      </c>
      <c r="B3078" s="0" t="n">
        <v>13</v>
      </c>
      <c r="C3078" s="0" t="n">
        <v>7585</v>
      </c>
      <c r="E3078" s="0" t="n">
        <v>0</v>
      </c>
      <c r="F3078" s="23" t="s">
        <v>1429</v>
      </c>
      <c r="I3078" s="23" t="s">
        <v>1249</v>
      </c>
      <c r="U3078" s="0" t="n">
        <v>198</v>
      </c>
      <c r="V3078" s="0" t="n">
        <v>0</v>
      </c>
      <c r="W3078" s="0" t="str">
        <f aca="false">IF(OR(AND(B3078&gt;=1,B3078&lt;=6),B3078=10),"Vaca em lactação",IF(I3078="Male","Macho",IF(E3078&gt;=1,"Vaca seca",IF(I3078="Youngstock","Bezerra/recria","Novilha"))))</f>
        <v>Bezerra/recria</v>
      </c>
      <c r="X3078" s="0" t="str">
        <f aca="false">IF(AND(B3078&gt;=1,B3078&lt;=6),"Tanque",IF(B3078=10,"Descarte",""))</f>
        <v/>
      </c>
    </row>
    <row r="3079" customFormat="false" ht="15" hidden="false" customHeight="false" outlineLevel="0" collapsed="false">
      <c r="A3079" s="22" t="n">
        <v>46309</v>
      </c>
      <c r="B3079" s="0" t="n">
        <v>13</v>
      </c>
      <c r="C3079" s="0" t="n">
        <v>7580</v>
      </c>
      <c r="E3079" s="0" t="n">
        <v>0</v>
      </c>
      <c r="F3079" s="23" t="s">
        <v>1429</v>
      </c>
      <c r="I3079" s="23" t="s">
        <v>1249</v>
      </c>
      <c r="U3079" s="0" t="n">
        <v>198</v>
      </c>
      <c r="V3079" s="0" t="n">
        <v>0</v>
      </c>
      <c r="W3079" s="0" t="str">
        <f aca="false">IF(OR(AND(B3079&gt;=1,B3079&lt;=6),B3079=10),"Vaca em lactação",IF(I3079="Male","Macho",IF(E3079&gt;=1,"Vaca seca",IF(I3079="Youngstock","Bezerra/recria","Novilha"))))</f>
        <v>Bezerra/recria</v>
      </c>
      <c r="X3079" s="0" t="str">
        <f aca="false">IF(AND(B3079&gt;=1,B3079&lt;=6),"Tanque",IF(B3079=10,"Descarte",""))</f>
        <v/>
      </c>
    </row>
    <row r="3080" customFormat="false" ht="15" hidden="false" customHeight="false" outlineLevel="0" collapsed="false">
      <c r="A3080" s="22" t="n">
        <v>46309</v>
      </c>
      <c r="B3080" s="0" t="n">
        <v>13</v>
      </c>
      <c r="C3080" s="0" t="n">
        <v>7584</v>
      </c>
      <c r="E3080" s="0" t="n">
        <v>0</v>
      </c>
      <c r="F3080" s="23" t="s">
        <v>1429</v>
      </c>
      <c r="I3080" s="23" t="s">
        <v>1249</v>
      </c>
      <c r="U3080" s="0" t="n">
        <v>198</v>
      </c>
      <c r="V3080" s="0" t="n">
        <v>0</v>
      </c>
      <c r="W3080" s="0" t="str">
        <f aca="false">IF(OR(AND(B3080&gt;=1,B3080&lt;=6),B3080=10),"Vaca em lactação",IF(I3080="Male","Macho",IF(E3080&gt;=1,"Vaca seca",IF(I3080="Youngstock","Bezerra/recria","Novilha"))))</f>
        <v>Bezerra/recria</v>
      </c>
      <c r="X3080" s="0" t="str">
        <f aca="false">IF(AND(B3080&gt;=1,B3080&lt;=6),"Tanque",IF(B3080=10,"Descarte",""))</f>
        <v/>
      </c>
    </row>
    <row r="3081" customFormat="false" ht="15" hidden="false" customHeight="false" outlineLevel="0" collapsed="false">
      <c r="A3081" s="22" t="n">
        <v>46309</v>
      </c>
      <c r="B3081" s="0" t="n">
        <v>13</v>
      </c>
      <c r="C3081" s="0" t="n">
        <v>7583</v>
      </c>
      <c r="E3081" s="0" t="n">
        <v>0</v>
      </c>
      <c r="F3081" s="23" t="s">
        <v>1429</v>
      </c>
      <c r="I3081" s="23" t="s">
        <v>1249</v>
      </c>
      <c r="U3081" s="0" t="n">
        <v>198</v>
      </c>
      <c r="V3081" s="0" t="n">
        <v>0</v>
      </c>
      <c r="W3081" s="0" t="str">
        <f aca="false">IF(OR(AND(B3081&gt;=1,B3081&lt;=6),B3081=10),"Vaca em lactação",IF(I3081="Male","Macho",IF(E3081&gt;=1,"Vaca seca",IF(I3081="Youngstock","Bezerra/recria","Novilha"))))</f>
        <v>Bezerra/recria</v>
      </c>
      <c r="X3081" s="0" t="str">
        <f aca="false">IF(AND(B3081&gt;=1,B3081&lt;=6),"Tanque",IF(B3081=10,"Descarte",""))</f>
        <v/>
      </c>
    </row>
    <row r="3082" customFormat="false" ht="15" hidden="false" customHeight="false" outlineLevel="0" collapsed="false">
      <c r="A3082" s="22" t="n">
        <v>46309</v>
      </c>
      <c r="B3082" s="0" t="n">
        <v>13</v>
      </c>
      <c r="C3082" s="0" t="n">
        <v>7582</v>
      </c>
      <c r="E3082" s="0" t="n">
        <v>0</v>
      </c>
      <c r="F3082" s="23" t="s">
        <v>1429</v>
      </c>
      <c r="I3082" s="23" t="s">
        <v>1249</v>
      </c>
      <c r="U3082" s="0" t="n">
        <v>198</v>
      </c>
      <c r="V3082" s="0" t="n">
        <v>0</v>
      </c>
      <c r="W3082" s="0" t="str">
        <f aca="false">IF(OR(AND(B3082&gt;=1,B3082&lt;=6),B3082=10),"Vaca em lactação",IF(I3082="Male","Macho",IF(E3082&gt;=1,"Vaca seca",IF(I3082="Youngstock","Bezerra/recria","Novilha"))))</f>
        <v>Bezerra/recria</v>
      </c>
      <c r="X3082" s="0" t="str">
        <f aca="false">IF(AND(B3082&gt;=1,B3082&lt;=6),"Tanque",IF(B3082=10,"Descarte",""))</f>
        <v/>
      </c>
    </row>
    <row r="3083" customFormat="false" ht="15" hidden="false" customHeight="false" outlineLevel="0" collapsed="false">
      <c r="A3083" s="22" t="n">
        <v>46309</v>
      </c>
      <c r="B3083" s="0" t="n">
        <v>13</v>
      </c>
      <c r="C3083" s="0" t="n">
        <v>7581</v>
      </c>
      <c r="E3083" s="0" t="n">
        <v>0</v>
      </c>
      <c r="F3083" s="23" t="s">
        <v>1429</v>
      </c>
      <c r="I3083" s="23" t="s">
        <v>1249</v>
      </c>
      <c r="U3083" s="0" t="n">
        <v>198</v>
      </c>
      <c r="V3083" s="0" t="n">
        <v>0</v>
      </c>
      <c r="W3083" s="0" t="str">
        <f aca="false">IF(OR(AND(B3083&gt;=1,B3083&lt;=6),B3083=10),"Vaca em lactação",IF(I3083="Male","Macho",IF(E3083&gt;=1,"Vaca seca",IF(I3083="Youngstock","Bezerra/recria","Novilha"))))</f>
        <v>Bezerra/recria</v>
      </c>
      <c r="X3083" s="0" t="str">
        <f aca="false">IF(AND(B3083&gt;=1,B3083&lt;=6),"Tanque",IF(B3083=10,"Descarte",""))</f>
        <v/>
      </c>
    </row>
    <row r="3084" customFormat="false" ht="15" hidden="false" customHeight="false" outlineLevel="0" collapsed="false">
      <c r="A3084" s="22" t="n">
        <v>46309</v>
      </c>
      <c r="B3084" s="0" t="n">
        <v>13</v>
      </c>
      <c r="C3084" s="0" t="n">
        <v>7588</v>
      </c>
      <c r="E3084" s="0" t="n">
        <v>0</v>
      </c>
      <c r="F3084" s="23" t="s">
        <v>1430</v>
      </c>
      <c r="I3084" s="23" t="s">
        <v>1249</v>
      </c>
      <c r="U3084" s="0" t="n">
        <v>197</v>
      </c>
      <c r="V3084" s="0" t="n">
        <v>0</v>
      </c>
      <c r="W3084" s="0" t="str">
        <f aca="false">IF(OR(AND(B3084&gt;=1,B3084&lt;=6),B3084=10),"Vaca em lactação",IF(I3084="Male","Macho",IF(E3084&gt;=1,"Vaca seca",IF(I3084="Youngstock","Bezerra/recria","Novilha"))))</f>
        <v>Bezerra/recria</v>
      </c>
      <c r="X3084" s="0" t="str">
        <f aca="false">IF(AND(B3084&gt;=1,B3084&lt;=6),"Tanque",IF(B3084=10,"Descarte",""))</f>
        <v/>
      </c>
    </row>
    <row r="3085" customFormat="false" ht="15" hidden="false" customHeight="false" outlineLevel="0" collapsed="false">
      <c r="A3085" s="22" t="n">
        <v>46309</v>
      </c>
      <c r="B3085" s="0" t="n">
        <v>13</v>
      </c>
      <c r="C3085" s="0" t="n">
        <v>7519</v>
      </c>
      <c r="E3085" s="0" t="n">
        <v>0</v>
      </c>
      <c r="F3085" s="23" t="s">
        <v>1431</v>
      </c>
      <c r="I3085" s="23" t="s">
        <v>1249</v>
      </c>
      <c r="U3085" s="0" t="n">
        <v>210</v>
      </c>
      <c r="V3085" s="0" t="n">
        <v>0</v>
      </c>
      <c r="W3085" s="0" t="str">
        <f aca="false">IF(OR(AND(B3085&gt;=1,B3085&lt;=6),B3085=10),"Vaca em lactação",IF(I3085="Male","Macho",IF(E3085&gt;=1,"Vaca seca",IF(I3085="Youngstock","Bezerra/recria","Novilha"))))</f>
        <v>Bezerra/recria</v>
      </c>
      <c r="X3085" s="0" t="str">
        <f aca="false">IF(AND(B3085&gt;=1,B3085&lt;=6),"Tanque",IF(B3085=10,"Descarte",""))</f>
        <v/>
      </c>
    </row>
    <row r="3086" customFormat="false" ht="15" hidden="false" customHeight="false" outlineLevel="0" collapsed="false">
      <c r="A3086" s="22" t="n">
        <v>46309</v>
      </c>
      <c r="B3086" s="0" t="n">
        <v>13</v>
      </c>
      <c r="C3086" s="0" t="n">
        <v>7517</v>
      </c>
      <c r="E3086" s="0" t="n">
        <v>0</v>
      </c>
      <c r="F3086" s="23" t="s">
        <v>1431</v>
      </c>
      <c r="I3086" s="23" t="s">
        <v>1249</v>
      </c>
      <c r="U3086" s="0" t="n">
        <v>210</v>
      </c>
      <c r="V3086" s="0" t="n">
        <v>0</v>
      </c>
      <c r="W3086" s="0" t="str">
        <f aca="false">IF(OR(AND(B3086&gt;=1,B3086&lt;=6),B3086=10),"Vaca em lactação",IF(I3086="Male","Macho",IF(E3086&gt;=1,"Vaca seca",IF(I3086="Youngstock","Bezerra/recria","Novilha"))))</f>
        <v>Bezerra/recria</v>
      </c>
      <c r="X3086" s="0" t="str">
        <f aca="false">IF(AND(B3086&gt;=1,B3086&lt;=6),"Tanque",IF(B3086=10,"Descarte",""))</f>
        <v/>
      </c>
    </row>
    <row r="3087" customFormat="false" ht="15" hidden="false" customHeight="false" outlineLevel="0" collapsed="false">
      <c r="A3087" s="22" t="n">
        <v>46309</v>
      </c>
      <c r="B3087" s="0" t="n">
        <v>13</v>
      </c>
      <c r="C3087" s="0" t="n">
        <v>7523</v>
      </c>
      <c r="E3087" s="0" t="n">
        <v>0</v>
      </c>
      <c r="F3087" s="23" t="s">
        <v>1432</v>
      </c>
      <c r="I3087" s="23" t="s">
        <v>1249</v>
      </c>
      <c r="U3087" s="0" t="n">
        <v>209</v>
      </c>
      <c r="V3087" s="0" t="n">
        <v>0</v>
      </c>
      <c r="W3087" s="0" t="str">
        <f aca="false">IF(OR(AND(B3087&gt;=1,B3087&lt;=6),B3087=10),"Vaca em lactação",IF(I3087="Male","Macho",IF(E3087&gt;=1,"Vaca seca",IF(I3087="Youngstock","Bezerra/recria","Novilha"))))</f>
        <v>Bezerra/recria</v>
      </c>
      <c r="X3087" s="0" t="str">
        <f aca="false">IF(AND(B3087&gt;=1,B3087&lt;=6),"Tanque",IF(B3087=10,"Descarte",""))</f>
        <v/>
      </c>
    </row>
    <row r="3088" customFormat="false" ht="15" hidden="false" customHeight="false" outlineLevel="0" collapsed="false">
      <c r="A3088" s="22" t="n">
        <v>46309</v>
      </c>
      <c r="B3088" s="0" t="n">
        <v>13</v>
      </c>
      <c r="C3088" s="0" t="n">
        <v>7521</v>
      </c>
      <c r="E3088" s="0" t="n">
        <v>0</v>
      </c>
      <c r="F3088" s="23" t="s">
        <v>1432</v>
      </c>
      <c r="I3088" s="23" t="s">
        <v>1249</v>
      </c>
      <c r="U3088" s="0" t="n">
        <v>209</v>
      </c>
      <c r="V3088" s="0" t="n">
        <v>0</v>
      </c>
      <c r="W3088" s="0" t="str">
        <f aca="false">IF(OR(AND(B3088&gt;=1,B3088&lt;=6),B3088=10),"Vaca em lactação",IF(I3088="Male","Macho",IF(E3088&gt;=1,"Vaca seca",IF(I3088="Youngstock","Bezerra/recria","Novilha"))))</f>
        <v>Bezerra/recria</v>
      </c>
      <c r="X3088" s="0" t="str">
        <f aca="false">IF(AND(B3088&gt;=1,B3088&lt;=6),"Tanque",IF(B3088=10,"Descarte",""))</f>
        <v/>
      </c>
    </row>
    <row r="3089" customFormat="false" ht="15" hidden="false" customHeight="false" outlineLevel="0" collapsed="false">
      <c r="A3089" s="22" t="n">
        <v>46309</v>
      </c>
      <c r="B3089" s="0" t="n">
        <v>13</v>
      </c>
      <c r="C3089" s="0" t="n">
        <v>7520</v>
      </c>
      <c r="E3089" s="0" t="n">
        <v>0</v>
      </c>
      <c r="F3089" s="23" t="s">
        <v>1431</v>
      </c>
      <c r="I3089" s="23" t="s">
        <v>1249</v>
      </c>
      <c r="U3089" s="0" t="n">
        <v>210</v>
      </c>
      <c r="V3089" s="0" t="n">
        <v>0</v>
      </c>
      <c r="W3089" s="0" t="str">
        <f aca="false">IF(OR(AND(B3089&gt;=1,B3089&lt;=6),B3089=10),"Vaca em lactação",IF(I3089="Male","Macho",IF(E3089&gt;=1,"Vaca seca",IF(I3089="Youngstock","Bezerra/recria","Novilha"))))</f>
        <v>Bezerra/recria</v>
      </c>
      <c r="X3089" s="0" t="str">
        <f aca="false">IF(AND(B3089&gt;=1,B3089&lt;=6),"Tanque",IF(B3089=10,"Descarte",""))</f>
        <v/>
      </c>
    </row>
    <row r="3090" customFormat="false" ht="15" hidden="false" customHeight="false" outlineLevel="0" collapsed="false">
      <c r="A3090" s="22" t="n">
        <v>46309</v>
      </c>
      <c r="B3090" s="0" t="n">
        <v>13</v>
      </c>
      <c r="C3090" s="0" t="n">
        <v>7528</v>
      </c>
      <c r="E3090" s="0" t="n">
        <v>0</v>
      </c>
      <c r="F3090" s="23" t="s">
        <v>1433</v>
      </c>
      <c r="I3090" s="23" t="s">
        <v>1249</v>
      </c>
      <c r="U3090" s="0" t="n">
        <v>208</v>
      </c>
      <c r="V3090" s="0" t="n">
        <v>0</v>
      </c>
      <c r="W3090" s="0" t="str">
        <f aca="false">IF(OR(AND(B3090&gt;=1,B3090&lt;=6),B3090=10),"Vaca em lactação",IF(I3090="Male","Macho",IF(E3090&gt;=1,"Vaca seca",IF(I3090="Youngstock","Bezerra/recria","Novilha"))))</f>
        <v>Bezerra/recria</v>
      </c>
      <c r="X3090" s="0" t="str">
        <f aca="false">IF(AND(B3090&gt;=1,B3090&lt;=6),"Tanque",IF(B3090=10,"Descarte",""))</f>
        <v/>
      </c>
    </row>
    <row r="3091" customFormat="false" ht="15" hidden="false" customHeight="false" outlineLevel="0" collapsed="false">
      <c r="A3091" s="22" t="n">
        <v>46309</v>
      </c>
      <c r="B3091" s="0" t="n">
        <v>13</v>
      </c>
      <c r="C3091" s="0" t="n">
        <v>7529</v>
      </c>
      <c r="E3091" s="0" t="n">
        <v>0</v>
      </c>
      <c r="F3091" s="23" t="s">
        <v>1433</v>
      </c>
      <c r="I3091" s="23" t="s">
        <v>1249</v>
      </c>
      <c r="U3091" s="0" t="n">
        <v>208</v>
      </c>
      <c r="V3091" s="0" t="n">
        <v>0</v>
      </c>
      <c r="W3091" s="0" t="str">
        <f aca="false">IF(OR(AND(B3091&gt;=1,B3091&lt;=6),B3091=10),"Vaca em lactação",IF(I3091="Male","Macho",IF(E3091&gt;=1,"Vaca seca",IF(I3091="Youngstock","Bezerra/recria","Novilha"))))</f>
        <v>Bezerra/recria</v>
      </c>
      <c r="X3091" s="0" t="str">
        <f aca="false">IF(AND(B3091&gt;=1,B3091&lt;=6),"Tanque",IF(B3091=10,"Descarte",""))</f>
        <v/>
      </c>
    </row>
    <row r="3092" customFormat="false" ht="15" hidden="false" customHeight="false" outlineLevel="0" collapsed="false">
      <c r="A3092" s="22" t="n">
        <v>46309</v>
      </c>
      <c r="B3092" s="0" t="n">
        <v>13</v>
      </c>
      <c r="C3092" s="0" t="n">
        <v>7527</v>
      </c>
      <c r="E3092" s="0" t="n">
        <v>0</v>
      </c>
      <c r="F3092" s="23" t="s">
        <v>1432</v>
      </c>
      <c r="I3092" s="23" t="s">
        <v>1249</v>
      </c>
      <c r="U3092" s="0" t="n">
        <v>209</v>
      </c>
      <c r="V3092" s="0" t="n">
        <v>0</v>
      </c>
      <c r="W3092" s="0" t="str">
        <f aca="false">IF(OR(AND(B3092&gt;=1,B3092&lt;=6),B3092=10),"Vaca em lactação",IF(I3092="Male","Macho",IF(E3092&gt;=1,"Vaca seca",IF(I3092="Youngstock","Bezerra/recria","Novilha"))))</f>
        <v>Bezerra/recria</v>
      </c>
      <c r="X3092" s="0" t="str">
        <f aca="false">IF(AND(B3092&gt;=1,B3092&lt;=6),"Tanque",IF(B3092=10,"Descarte",""))</f>
        <v/>
      </c>
    </row>
    <row r="3093" customFormat="false" ht="15" hidden="false" customHeight="false" outlineLevel="0" collapsed="false">
      <c r="A3093" s="22" t="n">
        <v>46309</v>
      </c>
      <c r="B3093" s="0" t="n">
        <v>13</v>
      </c>
      <c r="C3093" s="0" t="n">
        <v>7526</v>
      </c>
      <c r="E3093" s="0" t="n">
        <v>0</v>
      </c>
      <c r="F3093" s="23" t="s">
        <v>1432</v>
      </c>
      <c r="I3093" s="23" t="s">
        <v>1249</v>
      </c>
      <c r="U3093" s="0" t="n">
        <v>209</v>
      </c>
      <c r="V3093" s="0" t="n">
        <v>0</v>
      </c>
      <c r="W3093" s="0" t="str">
        <f aca="false">IF(OR(AND(B3093&gt;=1,B3093&lt;=6),B3093=10),"Vaca em lactação",IF(I3093="Male","Macho",IF(E3093&gt;=1,"Vaca seca",IF(I3093="Youngstock","Bezerra/recria","Novilha"))))</f>
        <v>Bezerra/recria</v>
      </c>
      <c r="X3093" s="0" t="str">
        <f aca="false">IF(AND(B3093&gt;=1,B3093&lt;=6),"Tanque",IF(B3093=10,"Descarte",""))</f>
        <v/>
      </c>
    </row>
    <row r="3094" customFormat="false" ht="15" hidden="false" customHeight="false" outlineLevel="0" collapsed="false">
      <c r="A3094" s="22" t="n">
        <v>46309</v>
      </c>
      <c r="B3094" s="0" t="n">
        <v>13</v>
      </c>
      <c r="C3094" s="0" t="n">
        <v>7525</v>
      </c>
      <c r="E3094" s="0" t="n">
        <v>0</v>
      </c>
      <c r="F3094" s="23" t="s">
        <v>1432</v>
      </c>
      <c r="I3094" s="23" t="s">
        <v>1249</v>
      </c>
      <c r="U3094" s="0" t="n">
        <v>209</v>
      </c>
      <c r="V3094" s="0" t="n">
        <v>0</v>
      </c>
      <c r="W3094" s="0" t="str">
        <f aca="false">IF(OR(AND(B3094&gt;=1,B3094&lt;=6),B3094=10),"Vaca em lactação",IF(I3094="Male","Macho",IF(E3094&gt;=1,"Vaca seca",IF(I3094="Youngstock","Bezerra/recria","Novilha"))))</f>
        <v>Bezerra/recria</v>
      </c>
      <c r="X3094" s="0" t="str">
        <f aca="false">IF(AND(B3094&gt;=1,B3094&lt;=6),"Tanque",IF(B3094=10,"Descarte",""))</f>
        <v/>
      </c>
    </row>
    <row r="3095" customFormat="false" ht="15" hidden="false" customHeight="false" outlineLevel="0" collapsed="false">
      <c r="A3095" s="22" t="n">
        <v>46309</v>
      </c>
      <c r="B3095" s="0" t="n">
        <v>13</v>
      </c>
      <c r="C3095" s="0" t="n">
        <v>7532</v>
      </c>
      <c r="E3095" s="0" t="n">
        <v>0</v>
      </c>
      <c r="F3095" s="23" t="s">
        <v>1433</v>
      </c>
      <c r="I3095" s="23" t="s">
        <v>1249</v>
      </c>
      <c r="U3095" s="0" t="n">
        <v>208</v>
      </c>
      <c r="V3095" s="0" t="n">
        <v>0</v>
      </c>
      <c r="W3095" s="0" t="str">
        <f aca="false">IF(OR(AND(B3095&gt;=1,B3095&lt;=6),B3095=10),"Vaca em lactação",IF(I3095="Male","Macho",IF(E3095&gt;=1,"Vaca seca",IF(I3095="Youngstock","Bezerra/recria","Novilha"))))</f>
        <v>Bezerra/recria</v>
      </c>
      <c r="X3095" s="0" t="str">
        <f aca="false">IF(AND(B3095&gt;=1,B3095&lt;=6),"Tanque",IF(B3095=10,"Descarte",""))</f>
        <v/>
      </c>
    </row>
    <row r="3096" customFormat="false" ht="15" hidden="false" customHeight="false" outlineLevel="0" collapsed="false">
      <c r="A3096" s="22" t="n">
        <v>46309</v>
      </c>
      <c r="B3096" s="0" t="n">
        <v>13</v>
      </c>
      <c r="C3096" s="0" t="n">
        <v>7531</v>
      </c>
      <c r="E3096" s="0" t="n">
        <v>0</v>
      </c>
      <c r="F3096" s="23" t="s">
        <v>1433</v>
      </c>
      <c r="I3096" s="23" t="s">
        <v>1249</v>
      </c>
      <c r="U3096" s="0" t="n">
        <v>208</v>
      </c>
      <c r="V3096" s="0" t="n">
        <v>0</v>
      </c>
      <c r="W3096" s="0" t="str">
        <f aca="false">IF(OR(AND(B3096&gt;=1,B3096&lt;=6),B3096=10),"Vaca em lactação",IF(I3096="Male","Macho",IF(E3096&gt;=1,"Vaca seca",IF(I3096="Youngstock","Bezerra/recria","Novilha"))))</f>
        <v>Bezerra/recria</v>
      </c>
      <c r="X3096" s="0" t="str">
        <f aca="false">IF(AND(B3096&gt;=1,B3096&lt;=6),"Tanque",IF(B3096=10,"Descarte",""))</f>
        <v/>
      </c>
    </row>
    <row r="3097" customFormat="false" ht="15" hidden="false" customHeight="false" outlineLevel="0" collapsed="false">
      <c r="A3097" s="22" t="n">
        <v>46309</v>
      </c>
      <c r="B3097" s="0" t="n">
        <v>13</v>
      </c>
      <c r="C3097" s="0" t="n">
        <v>7530</v>
      </c>
      <c r="E3097" s="0" t="n">
        <v>0</v>
      </c>
      <c r="F3097" s="23" t="s">
        <v>1433</v>
      </c>
      <c r="I3097" s="23" t="s">
        <v>1249</v>
      </c>
      <c r="U3097" s="0" t="n">
        <v>208</v>
      </c>
      <c r="V3097" s="0" t="n">
        <v>0</v>
      </c>
      <c r="W3097" s="0" t="str">
        <f aca="false">IF(OR(AND(B3097&gt;=1,B3097&lt;=6),B3097=10),"Vaca em lactação",IF(I3097="Male","Macho",IF(E3097&gt;=1,"Vaca seca",IF(I3097="Youngstock","Bezerra/recria","Novilha"))))</f>
        <v>Bezerra/recria</v>
      </c>
      <c r="X3097" s="0" t="str">
        <f aca="false">IF(AND(B3097&gt;=1,B3097&lt;=6),"Tanque",IF(B3097=10,"Descarte",""))</f>
        <v/>
      </c>
    </row>
    <row r="3098" customFormat="false" ht="15" hidden="false" customHeight="false" outlineLevel="0" collapsed="false">
      <c r="A3098" s="22" t="n">
        <v>46309</v>
      </c>
      <c r="B3098" s="0" t="n">
        <v>13</v>
      </c>
      <c r="C3098" s="0" t="n">
        <v>7536</v>
      </c>
      <c r="E3098" s="0" t="n">
        <v>0</v>
      </c>
      <c r="F3098" s="23" t="s">
        <v>1434</v>
      </c>
      <c r="I3098" s="23" t="s">
        <v>1249</v>
      </c>
      <c r="U3098" s="0" t="n">
        <v>207</v>
      </c>
      <c r="V3098" s="0" t="n">
        <v>0</v>
      </c>
      <c r="W3098" s="0" t="str">
        <f aca="false">IF(OR(AND(B3098&gt;=1,B3098&lt;=6),B3098=10),"Vaca em lactação",IF(I3098="Male","Macho",IF(E3098&gt;=1,"Vaca seca",IF(I3098="Youngstock","Bezerra/recria","Novilha"))))</f>
        <v>Bezerra/recria</v>
      </c>
      <c r="X3098" s="0" t="str">
        <f aca="false">IF(AND(B3098&gt;=1,B3098&lt;=6),"Tanque",IF(B3098=10,"Descarte",""))</f>
        <v/>
      </c>
    </row>
    <row r="3099" customFormat="false" ht="15" hidden="false" customHeight="false" outlineLevel="0" collapsed="false">
      <c r="A3099" s="22" t="n">
        <v>46309</v>
      </c>
      <c r="B3099" s="0" t="n">
        <v>13</v>
      </c>
      <c r="C3099" s="0" t="n">
        <v>7535</v>
      </c>
      <c r="E3099" s="0" t="n">
        <v>0</v>
      </c>
      <c r="F3099" s="23" t="s">
        <v>1434</v>
      </c>
      <c r="I3099" s="23" t="s">
        <v>1249</v>
      </c>
      <c r="U3099" s="0" t="n">
        <v>207</v>
      </c>
      <c r="V3099" s="0" t="n">
        <v>0</v>
      </c>
      <c r="W3099" s="0" t="str">
        <f aca="false">IF(OR(AND(B3099&gt;=1,B3099&lt;=6),B3099=10),"Vaca em lactação",IF(I3099="Male","Macho",IF(E3099&gt;=1,"Vaca seca",IF(I3099="Youngstock","Bezerra/recria","Novilha"))))</f>
        <v>Bezerra/recria</v>
      </c>
      <c r="X3099" s="0" t="str">
        <f aca="false">IF(AND(B3099&gt;=1,B3099&lt;=6),"Tanque",IF(B3099=10,"Descarte",""))</f>
        <v/>
      </c>
    </row>
    <row r="3100" customFormat="false" ht="15" hidden="false" customHeight="false" outlineLevel="0" collapsed="false">
      <c r="A3100" s="22" t="n">
        <v>46309</v>
      </c>
      <c r="B3100" s="0" t="n">
        <v>13</v>
      </c>
      <c r="C3100" s="0" t="n">
        <v>7534</v>
      </c>
      <c r="E3100" s="0" t="n">
        <v>0</v>
      </c>
      <c r="F3100" s="23" t="s">
        <v>1434</v>
      </c>
      <c r="I3100" s="23" t="s">
        <v>1249</v>
      </c>
      <c r="U3100" s="0" t="n">
        <v>207</v>
      </c>
      <c r="V3100" s="0" t="n">
        <v>0</v>
      </c>
      <c r="W3100" s="0" t="str">
        <f aca="false">IF(OR(AND(B3100&gt;=1,B3100&lt;=6),B3100=10),"Vaca em lactação",IF(I3100="Male","Macho",IF(E3100&gt;=1,"Vaca seca",IF(I3100="Youngstock","Bezerra/recria","Novilha"))))</f>
        <v>Bezerra/recria</v>
      </c>
      <c r="X3100" s="0" t="str">
        <f aca="false">IF(AND(B3100&gt;=1,B3100&lt;=6),"Tanque",IF(B3100=10,"Descarte",""))</f>
        <v/>
      </c>
    </row>
    <row r="3101" customFormat="false" ht="15" hidden="false" customHeight="false" outlineLevel="0" collapsed="false">
      <c r="A3101" s="22" t="n">
        <v>46309</v>
      </c>
      <c r="B3101" s="0" t="n">
        <v>13</v>
      </c>
      <c r="C3101" s="0" t="n">
        <v>7533</v>
      </c>
      <c r="E3101" s="0" t="n">
        <v>0</v>
      </c>
      <c r="F3101" s="23" t="s">
        <v>1434</v>
      </c>
      <c r="I3101" s="23" t="s">
        <v>1249</v>
      </c>
      <c r="U3101" s="0" t="n">
        <v>207</v>
      </c>
      <c r="V3101" s="0" t="n">
        <v>0</v>
      </c>
      <c r="W3101" s="0" t="str">
        <f aca="false">IF(OR(AND(B3101&gt;=1,B3101&lt;=6),B3101=10),"Vaca em lactação",IF(I3101="Male","Macho",IF(E3101&gt;=1,"Vaca seca",IF(I3101="Youngstock","Bezerra/recria","Novilha"))))</f>
        <v>Bezerra/recria</v>
      </c>
      <c r="X3101" s="0" t="str">
        <f aca="false">IF(AND(B3101&gt;=1,B3101&lt;=6),"Tanque",IF(B3101=10,"Descarte",""))</f>
        <v/>
      </c>
    </row>
    <row r="3102" customFormat="false" ht="15" hidden="false" customHeight="false" outlineLevel="0" collapsed="false">
      <c r="A3102" s="22" t="n">
        <v>46309</v>
      </c>
      <c r="B3102" s="0" t="n">
        <v>13</v>
      </c>
      <c r="C3102" s="0" t="n">
        <v>7540</v>
      </c>
      <c r="E3102" s="0" t="n">
        <v>0</v>
      </c>
      <c r="F3102" s="23" t="s">
        <v>1435</v>
      </c>
      <c r="I3102" s="23" t="s">
        <v>1249</v>
      </c>
      <c r="U3102" s="0" t="n">
        <v>206</v>
      </c>
      <c r="V3102" s="0" t="n">
        <v>0</v>
      </c>
      <c r="W3102" s="0" t="str">
        <f aca="false">IF(OR(AND(B3102&gt;=1,B3102&lt;=6),B3102=10),"Vaca em lactação",IF(I3102="Male","Macho",IF(E3102&gt;=1,"Vaca seca",IF(I3102="Youngstock","Bezerra/recria","Novilha"))))</f>
        <v>Bezerra/recria</v>
      </c>
      <c r="X3102" s="0" t="str">
        <f aca="false">IF(AND(B3102&gt;=1,B3102&lt;=6),"Tanque",IF(B3102=10,"Descarte",""))</f>
        <v/>
      </c>
    </row>
    <row r="3103" customFormat="false" ht="15" hidden="false" customHeight="false" outlineLevel="0" collapsed="false">
      <c r="A3103" s="22" t="n">
        <v>46309</v>
      </c>
      <c r="B3103" s="0" t="n">
        <v>13</v>
      </c>
      <c r="C3103" s="0" t="n">
        <v>7539</v>
      </c>
      <c r="E3103" s="0" t="n">
        <v>0</v>
      </c>
      <c r="F3103" s="23" t="s">
        <v>1435</v>
      </c>
      <c r="I3103" s="23" t="s">
        <v>1249</v>
      </c>
      <c r="U3103" s="0" t="n">
        <v>206</v>
      </c>
      <c r="V3103" s="0" t="n">
        <v>0</v>
      </c>
      <c r="W3103" s="0" t="str">
        <f aca="false">IF(OR(AND(B3103&gt;=1,B3103&lt;=6),B3103=10),"Vaca em lactação",IF(I3103="Male","Macho",IF(E3103&gt;=1,"Vaca seca",IF(I3103="Youngstock","Bezerra/recria","Novilha"))))</f>
        <v>Bezerra/recria</v>
      </c>
      <c r="X3103" s="0" t="str">
        <f aca="false">IF(AND(B3103&gt;=1,B3103&lt;=6),"Tanque",IF(B3103=10,"Descarte",""))</f>
        <v/>
      </c>
    </row>
    <row r="3104" customFormat="false" ht="15" hidden="false" customHeight="false" outlineLevel="0" collapsed="false">
      <c r="A3104" s="22" t="n">
        <v>46309</v>
      </c>
      <c r="B3104" s="0" t="n">
        <v>13</v>
      </c>
      <c r="C3104" s="0" t="n">
        <v>7538</v>
      </c>
      <c r="E3104" s="0" t="n">
        <v>0</v>
      </c>
      <c r="F3104" s="23" t="s">
        <v>1435</v>
      </c>
      <c r="I3104" s="23" t="s">
        <v>1249</v>
      </c>
      <c r="U3104" s="0" t="n">
        <v>206</v>
      </c>
      <c r="V3104" s="0" t="n">
        <v>0</v>
      </c>
      <c r="W3104" s="0" t="str">
        <f aca="false">IF(OR(AND(B3104&gt;=1,B3104&lt;=6),B3104=10),"Vaca em lactação",IF(I3104="Male","Macho",IF(E3104&gt;=1,"Vaca seca",IF(I3104="Youngstock","Bezerra/recria","Novilha"))))</f>
        <v>Bezerra/recria</v>
      </c>
      <c r="X3104" s="0" t="str">
        <f aca="false">IF(AND(B3104&gt;=1,B3104&lt;=6),"Tanque",IF(B3104=10,"Descarte",""))</f>
        <v/>
      </c>
    </row>
    <row r="3105" customFormat="false" ht="15" hidden="false" customHeight="false" outlineLevel="0" collapsed="false">
      <c r="A3105" s="22" t="n">
        <v>46309</v>
      </c>
      <c r="B3105" s="0" t="n">
        <v>13</v>
      </c>
      <c r="C3105" s="0" t="n">
        <v>7537</v>
      </c>
      <c r="E3105" s="0" t="n">
        <v>0</v>
      </c>
      <c r="F3105" s="23" t="s">
        <v>1434</v>
      </c>
      <c r="I3105" s="23" t="s">
        <v>1249</v>
      </c>
      <c r="U3105" s="0" t="n">
        <v>207</v>
      </c>
      <c r="V3105" s="0" t="n">
        <v>0</v>
      </c>
      <c r="W3105" s="0" t="str">
        <f aca="false">IF(OR(AND(B3105&gt;=1,B3105&lt;=6),B3105=10),"Vaca em lactação",IF(I3105="Male","Macho",IF(E3105&gt;=1,"Vaca seca",IF(I3105="Youngstock","Bezerra/recria","Novilha"))))</f>
        <v>Bezerra/recria</v>
      </c>
      <c r="X3105" s="0" t="str">
        <f aca="false">IF(AND(B3105&gt;=1,B3105&lt;=6),"Tanque",IF(B3105=10,"Descarte",""))</f>
        <v/>
      </c>
    </row>
    <row r="3106" customFormat="false" ht="15" hidden="false" customHeight="false" outlineLevel="0" collapsed="false">
      <c r="A3106" s="22" t="n">
        <v>46309</v>
      </c>
      <c r="B3106" s="0" t="n">
        <v>13</v>
      </c>
      <c r="C3106" s="0" t="n">
        <v>7550</v>
      </c>
      <c r="E3106" s="0" t="n">
        <v>0</v>
      </c>
      <c r="F3106" s="23" t="s">
        <v>1424</v>
      </c>
      <c r="I3106" s="23" t="s">
        <v>1249</v>
      </c>
      <c r="U3106" s="0" t="n">
        <v>205</v>
      </c>
      <c r="V3106" s="0" t="n">
        <v>0</v>
      </c>
      <c r="W3106" s="0" t="str">
        <f aca="false">IF(OR(AND(B3106&gt;=1,B3106&lt;=6),B3106=10),"Vaca em lactação",IF(I3106="Male","Macho",IF(E3106&gt;=1,"Vaca seca",IF(I3106="Youngstock","Bezerra/recria","Novilha"))))</f>
        <v>Bezerra/recria</v>
      </c>
      <c r="X3106" s="0" t="str">
        <f aca="false">IF(AND(B3106&gt;=1,B3106&lt;=6),"Tanque",IF(B3106=10,"Descarte",""))</f>
        <v/>
      </c>
    </row>
    <row r="3107" customFormat="false" ht="15" hidden="false" customHeight="false" outlineLevel="0" collapsed="false">
      <c r="A3107" s="22" t="n">
        <v>46309</v>
      </c>
      <c r="B3107" s="0" t="n">
        <v>13</v>
      </c>
      <c r="C3107" s="0" t="n">
        <v>7549</v>
      </c>
      <c r="E3107" s="0" t="n">
        <v>0</v>
      </c>
      <c r="F3107" s="23" t="s">
        <v>1424</v>
      </c>
      <c r="I3107" s="23" t="s">
        <v>1249</v>
      </c>
      <c r="U3107" s="0" t="n">
        <v>205</v>
      </c>
      <c r="V3107" s="0" t="n">
        <v>0</v>
      </c>
      <c r="W3107" s="0" t="str">
        <f aca="false">IF(OR(AND(B3107&gt;=1,B3107&lt;=6),B3107=10),"Vaca em lactação",IF(I3107="Male","Macho",IF(E3107&gt;=1,"Vaca seca",IF(I3107="Youngstock","Bezerra/recria","Novilha"))))</f>
        <v>Bezerra/recria</v>
      </c>
      <c r="X3107" s="0" t="str">
        <f aca="false">IF(AND(B3107&gt;=1,B3107&lt;=6),"Tanque",IF(B3107=10,"Descarte",""))</f>
        <v/>
      </c>
    </row>
    <row r="3108" customFormat="false" ht="15" hidden="false" customHeight="false" outlineLevel="0" collapsed="false">
      <c r="A3108" s="22" t="n">
        <v>46309</v>
      </c>
      <c r="B3108" s="0" t="n">
        <v>13</v>
      </c>
      <c r="C3108" s="0" t="n">
        <v>7547</v>
      </c>
      <c r="E3108" s="0" t="n">
        <v>0</v>
      </c>
      <c r="F3108" s="23" t="s">
        <v>1424</v>
      </c>
      <c r="I3108" s="23" t="s">
        <v>1249</v>
      </c>
      <c r="U3108" s="0" t="n">
        <v>205</v>
      </c>
      <c r="V3108" s="0" t="n">
        <v>0</v>
      </c>
      <c r="W3108" s="0" t="str">
        <f aca="false">IF(OR(AND(B3108&gt;=1,B3108&lt;=6),B3108=10),"Vaca em lactação",IF(I3108="Male","Macho",IF(E3108&gt;=1,"Vaca seca",IF(I3108="Youngstock","Bezerra/recria","Novilha"))))</f>
        <v>Bezerra/recria</v>
      </c>
      <c r="X3108" s="0" t="str">
        <f aca="false">IF(AND(B3108&gt;=1,B3108&lt;=6),"Tanque",IF(B3108=10,"Descarte",""))</f>
        <v/>
      </c>
    </row>
    <row r="3109" customFormat="false" ht="15" hidden="false" customHeight="false" outlineLevel="0" collapsed="false">
      <c r="A3109" s="22" t="n">
        <v>46309</v>
      </c>
      <c r="B3109" s="0" t="n">
        <v>13</v>
      </c>
      <c r="C3109" s="0" t="n">
        <v>7546</v>
      </c>
      <c r="E3109" s="0" t="n">
        <v>0</v>
      </c>
      <c r="F3109" s="23" t="s">
        <v>1424</v>
      </c>
      <c r="I3109" s="23" t="s">
        <v>1249</v>
      </c>
      <c r="U3109" s="0" t="n">
        <v>205</v>
      </c>
      <c r="V3109" s="0" t="n">
        <v>0</v>
      </c>
      <c r="W3109" s="0" t="str">
        <f aca="false">IF(OR(AND(B3109&gt;=1,B3109&lt;=6),B3109=10),"Vaca em lactação",IF(I3109="Male","Macho",IF(E3109&gt;=1,"Vaca seca",IF(I3109="Youngstock","Bezerra/recria","Novilha"))))</f>
        <v>Bezerra/recria</v>
      </c>
      <c r="X3109" s="0" t="str">
        <f aca="false">IF(AND(B3109&gt;=1,B3109&lt;=6),"Tanque",IF(B3109=10,"Descarte",""))</f>
        <v/>
      </c>
    </row>
    <row r="3110" customFormat="false" ht="15" hidden="false" customHeight="false" outlineLevel="0" collapsed="false">
      <c r="A3110" s="22" t="n">
        <v>46309</v>
      </c>
      <c r="B3110" s="0" t="n">
        <v>13</v>
      </c>
      <c r="C3110" s="0" t="n">
        <v>7544</v>
      </c>
      <c r="E3110" s="0" t="n">
        <v>0</v>
      </c>
      <c r="F3110" s="23" t="s">
        <v>1435</v>
      </c>
      <c r="I3110" s="23" t="s">
        <v>1249</v>
      </c>
      <c r="U3110" s="0" t="n">
        <v>206</v>
      </c>
      <c r="V3110" s="0" t="n">
        <v>0</v>
      </c>
      <c r="W3110" s="0" t="str">
        <f aca="false">IF(OR(AND(B3110&gt;=1,B3110&lt;=6),B3110=10),"Vaca em lactação",IF(I3110="Male","Macho",IF(E3110&gt;=1,"Vaca seca",IF(I3110="Youngstock","Bezerra/recria","Novilha"))))</f>
        <v>Bezerra/recria</v>
      </c>
      <c r="X3110" s="0" t="str">
        <f aca="false">IF(AND(B3110&gt;=1,B3110&lt;=6),"Tanque",IF(B3110=10,"Descarte",""))</f>
        <v/>
      </c>
    </row>
    <row r="3111" customFormat="false" ht="15" hidden="false" customHeight="false" outlineLevel="0" collapsed="false">
      <c r="A3111" s="22" t="n">
        <v>46309</v>
      </c>
      <c r="B3111" s="0" t="n">
        <v>13</v>
      </c>
      <c r="C3111" s="0" t="n">
        <v>7543</v>
      </c>
      <c r="E3111" s="0" t="n">
        <v>0</v>
      </c>
      <c r="F3111" s="23" t="s">
        <v>1435</v>
      </c>
      <c r="I3111" s="23" t="s">
        <v>1249</v>
      </c>
      <c r="U3111" s="0" t="n">
        <v>206</v>
      </c>
      <c r="V3111" s="0" t="n">
        <v>0</v>
      </c>
      <c r="W3111" s="0" t="str">
        <f aca="false">IF(OR(AND(B3111&gt;=1,B3111&lt;=6),B3111=10),"Vaca em lactação",IF(I3111="Male","Macho",IF(E3111&gt;=1,"Vaca seca",IF(I3111="Youngstock","Bezerra/recria","Novilha"))))</f>
        <v>Bezerra/recria</v>
      </c>
      <c r="X3111" s="0" t="str">
        <f aca="false">IF(AND(B3111&gt;=1,B3111&lt;=6),"Tanque",IF(B3111=10,"Descarte",""))</f>
        <v/>
      </c>
    </row>
    <row r="3112" customFormat="false" ht="15" hidden="false" customHeight="false" outlineLevel="0" collapsed="false">
      <c r="A3112" s="22" t="n">
        <v>46309</v>
      </c>
      <c r="B3112" s="0" t="n">
        <v>13</v>
      </c>
      <c r="C3112" s="0" t="n">
        <v>7494</v>
      </c>
      <c r="E3112" s="0" t="n">
        <v>0</v>
      </c>
      <c r="F3112" s="23" t="s">
        <v>1436</v>
      </c>
      <c r="I3112" s="23" t="s">
        <v>1249</v>
      </c>
      <c r="U3112" s="0" t="n">
        <v>217</v>
      </c>
      <c r="V3112" s="0" t="n">
        <v>0</v>
      </c>
      <c r="W3112" s="0" t="str">
        <f aca="false">IF(OR(AND(B3112&gt;=1,B3112&lt;=6),B3112=10),"Vaca em lactação",IF(I3112="Male","Macho",IF(E3112&gt;=1,"Vaca seca",IF(I3112="Youngstock","Bezerra/recria","Novilha"))))</f>
        <v>Bezerra/recria</v>
      </c>
      <c r="X3112" s="0" t="str">
        <f aca="false">IF(AND(B3112&gt;=1,B3112&lt;=6),"Tanque",IF(B3112=10,"Descarte",""))</f>
        <v/>
      </c>
    </row>
    <row r="3113" customFormat="false" ht="15" hidden="false" customHeight="false" outlineLevel="0" collapsed="false">
      <c r="A3113" s="22" t="n">
        <v>46309</v>
      </c>
      <c r="B3113" s="0" t="n">
        <v>13</v>
      </c>
      <c r="C3113" s="0" t="n">
        <v>7493</v>
      </c>
      <c r="E3113" s="0" t="n">
        <v>0</v>
      </c>
      <c r="F3113" s="23" t="s">
        <v>1437</v>
      </c>
      <c r="I3113" s="23" t="s">
        <v>1249</v>
      </c>
      <c r="U3113" s="0" t="n">
        <v>218</v>
      </c>
      <c r="V3113" s="0" t="n">
        <v>0</v>
      </c>
      <c r="W3113" s="0" t="str">
        <f aca="false">IF(OR(AND(B3113&gt;=1,B3113&lt;=6),B3113=10),"Vaca em lactação",IF(I3113="Male","Macho",IF(E3113&gt;=1,"Vaca seca",IF(I3113="Youngstock","Bezerra/recria","Novilha"))))</f>
        <v>Bezerra/recria</v>
      </c>
      <c r="X3113" s="0" t="str">
        <f aca="false">IF(AND(B3113&gt;=1,B3113&lt;=6),"Tanque",IF(B3113=10,"Descarte",""))</f>
        <v/>
      </c>
    </row>
    <row r="3114" customFormat="false" ht="15" hidden="false" customHeight="false" outlineLevel="0" collapsed="false">
      <c r="A3114" s="22" t="n">
        <v>46309</v>
      </c>
      <c r="B3114" s="0" t="n">
        <v>13</v>
      </c>
      <c r="C3114" s="0" t="n">
        <v>7492</v>
      </c>
      <c r="E3114" s="0" t="n">
        <v>0</v>
      </c>
      <c r="F3114" s="23" t="s">
        <v>1437</v>
      </c>
      <c r="I3114" s="23" t="s">
        <v>1249</v>
      </c>
      <c r="U3114" s="0" t="n">
        <v>218</v>
      </c>
      <c r="V3114" s="0" t="n">
        <v>0</v>
      </c>
      <c r="W3114" s="0" t="str">
        <f aca="false">IF(OR(AND(B3114&gt;=1,B3114&lt;=6),B3114=10),"Vaca em lactação",IF(I3114="Male","Macho",IF(E3114&gt;=1,"Vaca seca",IF(I3114="Youngstock","Bezerra/recria","Novilha"))))</f>
        <v>Bezerra/recria</v>
      </c>
      <c r="X3114" s="0" t="str">
        <f aca="false">IF(AND(B3114&gt;=1,B3114&lt;=6),"Tanque",IF(B3114=10,"Descarte",""))</f>
        <v/>
      </c>
    </row>
    <row r="3115" customFormat="false" ht="15" hidden="false" customHeight="false" outlineLevel="0" collapsed="false">
      <c r="A3115" s="22" t="n">
        <v>46309</v>
      </c>
      <c r="B3115" s="0" t="n">
        <v>13</v>
      </c>
      <c r="C3115" s="0" t="n">
        <v>7491</v>
      </c>
      <c r="E3115" s="0" t="n">
        <v>0</v>
      </c>
      <c r="F3115" s="23" t="s">
        <v>1436</v>
      </c>
      <c r="I3115" s="23" t="s">
        <v>1249</v>
      </c>
      <c r="U3115" s="0" t="n">
        <v>217</v>
      </c>
      <c r="V3115" s="0" t="n">
        <v>0</v>
      </c>
      <c r="W3115" s="0" t="str">
        <f aca="false">IF(OR(AND(B3115&gt;=1,B3115&lt;=6),B3115=10),"Vaca em lactação",IF(I3115="Male","Macho",IF(E3115&gt;=1,"Vaca seca",IF(I3115="Youngstock","Bezerra/recria","Novilha"))))</f>
        <v>Bezerra/recria</v>
      </c>
      <c r="X3115" s="0" t="str">
        <f aca="false">IF(AND(B3115&gt;=1,B3115&lt;=6),"Tanque",IF(B3115=10,"Descarte",""))</f>
        <v/>
      </c>
    </row>
    <row r="3116" customFormat="false" ht="15" hidden="false" customHeight="false" outlineLevel="0" collapsed="false">
      <c r="A3116" s="22" t="n">
        <v>46309</v>
      </c>
      <c r="B3116" s="0" t="n">
        <v>13</v>
      </c>
      <c r="C3116" s="0" t="n">
        <v>7499</v>
      </c>
      <c r="E3116" s="0" t="n">
        <v>0</v>
      </c>
      <c r="F3116" s="23" t="s">
        <v>1438</v>
      </c>
      <c r="I3116" s="23" t="s">
        <v>1249</v>
      </c>
      <c r="U3116" s="0" t="n">
        <v>216</v>
      </c>
      <c r="V3116" s="0" t="n">
        <v>0</v>
      </c>
      <c r="W3116" s="0" t="str">
        <f aca="false">IF(OR(AND(B3116&gt;=1,B3116&lt;=6),B3116=10),"Vaca em lactação",IF(I3116="Male","Macho",IF(E3116&gt;=1,"Vaca seca",IF(I3116="Youngstock","Bezerra/recria","Novilha"))))</f>
        <v>Bezerra/recria</v>
      </c>
      <c r="X3116" s="0" t="str">
        <f aca="false">IF(AND(B3116&gt;=1,B3116&lt;=6),"Tanque",IF(B3116=10,"Descarte",""))</f>
        <v/>
      </c>
    </row>
    <row r="3117" customFormat="false" ht="15" hidden="false" customHeight="false" outlineLevel="0" collapsed="false">
      <c r="A3117" s="22" t="n">
        <v>46309</v>
      </c>
      <c r="B3117" s="0" t="n">
        <v>13</v>
      </c>
      <c r="C3117" s="0" t="n">
        <v>7498</v>
      </c>
      <c r="E3117" s="0" t="n">
        <v>0</v>
      </c>
      <c r="F3117" s="23" t="s">
        <v>1438</v>
      </c>
      <c r="I3117" s="23" t="s">
        <v>1249</v>
      </c>
      <c r="U3117" s="0" t="n">
        <v>216</v>
      </c>
      <c r="V3117" s="0" t="n">
        <v>0</v>
      </c>
      <c r="W3117" s="0" t="str">
        <f aca="false">IF(OR(AND(B3117&gt;=1,B3117&lt;=6),B3117=10),"Vaca em lactação",IF(I3117="Male","Macho",IF(E3117&gt;=1,"Vaca seca",IF(I3117="Youngstock","Bezerra/recria","Novilha"))))</f>
        <v>Bezerra/recria</v>
      </c>
      <c r="X3117" s="0" t="str">
        <f aca="false">IF(AND(B3117&gt;=1,B3117&lt;=6),"Tanque",IF(B3117=10,"Descarte",""))</f>
        <v/>
      </c>
    </row>
    <row r="3118" customFormat="false" ht="15" hidden="false" customHeight="false" outlineLevel="0" collapsed="false">
      <c r="A3118" s="22" t="n">
        <v>46309</v>
      </c>
      <c r="B3118" s="0" t="n">
        <v>13</v>
      </c>
      <c r="C3118" s="0" t="n">
        <v>7497</v>
      </c>
      <c r="E3118" s="0" t="n">
        <v>0</v>
      </c>
      <c r="F3118" s="23" t="s">
        <v>1438</v>
      </c>
      <c r="I3118" s="23" t="s">
        <v>1249</v>
      </c>
      <c r="U3118" s="0" t="n">
        <v>216</v>
      </c>
      <c r="V3118" s="0" t="n">
        <v>0</v>
      </c>
      <c r="W3118" s="0" t="str">
        <f aca="false">IF(OR(AND(B3118&gt;=1,B3118&lt;=6),B3118=10),"Vaca em lactação",IF(I3118="Male","Macho",IF(E3118&gt;=1,"Vaca seca",IF(I3118="Youngstock","Bezerra/recria","Novilha"))))</f>
        <v>Bezerra/recria</v>
      </c>
      <c r="X3118" s="0" t="str">
        <f aca="false">IF(AND(B3118&gt;=1,B3118&lt;=6),"Tanque",IF(B3118=10,"Descarte",""))</f>
        <v/>
      </c>
    </row>
    <row r="3119" customFormat="false" ht="15" hidden="false" customHeight="false" outlineLevel="0" collapsed="false">
      <c r="A3119" s="22" t="n">
        <v>46309</v>
      </c>
      <c r="B3119" s="0" t="n">
        <v>13</v>
      </c>
      <c r="C3119" s="0" t="n">
        <v>7496</v>
      </c>
      <c r="E3119" s="0" t="n">
        <v>0</v>
      </c>
      <c r="F3119" s="23" t="s">
        <v>1436</v>
      </c>
      <c r="I3119" s="23" t="s">
        <v>1249</v>
      </c>
      <c r="U3119" s="0" t="n">
        <v>217</v>
      </c>
      <c r="V3119" s="0" t="n">
        <v>0</v>
      </c>
      <c r="W3119" s="0" t="str">
        <f aca="false">IF(OR(AND(B3119&gt;=1,B3119&lt;=6),B3119=10),"Vaca em lactação",IF(I3119="Male","Macho",IF(E3119&gt;=1,"Vaca seca",IF(I3119="Youngstock","Bezerra/recria","Novilha"))))</f>
        <v>Bezerra/recria</v>
      </c>
      <c r="X3119" s="0" t="str">
        <f aca="false">IF(AND(B3119&gt;=1,B3119&lt;=6),"Tanque",IF(B3119=10,"Descarte",""))</f>
        <v/>
      </c>
    </row>
    <row r="3120" customFormat="false" ht="15" hidden="false" customHeight="false" outlineLevel="0" collapsed="false">
      <c r="A3120" s="22" t="n">
        <v>46309</v>
      </c>
      <c r="B3120" s="0" t="n">
        <v>13</v>
      </c>
      <c r="C3120" s="0" t="n">
        <v>7495</v>
      </c>
      <c r="E3120" s="0" t="n">
        <v>0</v>
      </c>
      <c r="F3120" s="23" t="s">
        <v>1436</v>
      </c>
      <c r="I3120" s="23" t="s">
        <v>1249</v>
      </c>
      <c r="U3120" s="0" t="n">
        <v>217</v>
      </c>
      <c r="V3120" s="0" t="n">
        <v>0</v>
      </c>
      <c r="W3120" s="0" t="str">
        <f aca="false">IF(OR(AND(B3120&gt;=1,B3120&lt;=6),B3120=10),"Vaca em lactação",IF(I3120="Male","Macho",IF(E3120&gt;=1,"Vaca seca",IF(I3120="Youngstock","Bezerra/recria","Novilha"))))</f>
        <v>Bezerra/recria</v>
      </c>
      <c r="X3120" s="0" t="str">
        <f aca="false">IF(AND(B3120&gt;=1,B3120&lt;=6),"Tanque",IF(B3120=10,"Descarte",""))</f>
        <v/>
      </c>
    </row>
    <row r="3121" customFormat="false" ht="15" hidden="false" customHeight="false" outlineLevel="0" collapsed="false">
      <c r="A3121" s="22" t="n">
        <v>46309</v>
      </c>
      <c r="B3121" s="0" t="n">
        <v>13</v>
      </c>
      <c r="C3121" s="0" t="n">
        <v>7502</v>
      </c>
      <c r="E3121" s="0" t="n">
        <v>0</v>
      </c>
      <c r="F3121" s="23" t="s">
        <v>1439</v>
      </c>
      <c r="I3121" s="23" t="s">
        <v>1249</v>
      </c>
      <c r="U3121" s="0" t="n">
        <v>215</v>
      </c>
      <c r="V3121" s="0" t="n">
        <v>0</v>
      </c>
      <c r="W3121" s="0" t="str">
        <f aca="false">IF(OR(AND(B3121&gt;=1,B3121&lt;=6),B3121=10),"Vaca em lactação",IF(I3121="Male","Macho",IF(E3121&gt;=1,"Vaca seca",IF(I3121="Youngstock","Bezerra/recria","Novilha"))))</f>
        <v>Bezerra/recria</v>
      </c>
      <c r="X3121" s="0" t="str">
        <f aca="false">IF(AND(B3121&gt;=1,B3121&lt;=6),"Tanque",IF(B3121=10,"Descarte",""))</f>
        <v/>
      </c>
    </row>
    <row r="3122" customFormat="false" ht="15" hidden="false" customHeight="false" outlineLevel="0" collapsed="false">
      <c r="A3122" s="22" t="n">
        <v>46309</v>
      </c>
      <c r="B3122" s="0" t="n">
        <v>13</v>
      </c>
      <c r="C3122" s="0" t="n">
        <v>7501</v>
      </c>
      <c r="E3122" s="0" t="n">
        <v>0</v>
      </c>
      <c r="F3122" s="23" t="s">
        <v>1438</v>
      </c>
      <c r="I3122" s="23" t="s">
        <v>1249</v>
      </c>
      <c r="U3122" s="0" t="n">
        <v>216</v>
      </c>
      <c r="V3122" s="0" t="n">
        <v>0</v>
      </c>
      <c r="W3122" s="0" t="str">
        <f aca="false">IF(OR(AND(B3122&gt;=1,B3122&lt;=6),B3122=10),"Vaca em lactação",IF(I3122="Male","Macho",IF(E3122&gt;=1,"Vaca seca",IF(I3122="Youngstock","Bezerra/recria","Novilha"))))</f>
        <v>Bezerra/recria</v>
      </c>
      <c r="X3122" s="0" t="str">
        <f aca="false">IF(AND(B3122&gt;=1,B3122&lt;=6),"Tanque",IF(B3122=10,"Descarte",""))</f>
        <v/>
      </c>
    </row>
    <row r="3123" customFormat="false" ht="15" hidden="false" customHeight="false" outlineLevel="0" collapsed="false">
      <c r="A3123" s="22" t="n">
        <v>46309</v>
      </c>
      <c r="B3123" s="0" t="n">
        <v>13</v>
      </c>
      <c r="C3123" s="0" t="n">
        <v>7505</v>
      </c>
      <c r="E3123" s="0" t="n">
        <v>0</v>
      </c>
      <c r="F3123" s="23" t="s">
        <v>1440</v>
      </c>
      <c r="I3123" s="23" t="s">
        <v>1249</v>
      </c>
      <c r="U3123" s="0" t="n">
        <v>213</v>
      </c>
      <c r="V3123" s="0" t="n">
        <v>0</v>
      </c>
      <c r="W3123" s="0" t="str">
        <f aca="false">IF(OR(AND(B3123&gt;=1,B3123&lt;=6),B3123=10),"Vaca em lactação",IF(I3123="Male","Macho",IF(E3123&gt;=1,"Vaca seca",IF(I3123="Youngstock","Bezerra/recria","Novilha"))))</f>
        <v>Bezerra/recria</v>
      </c>
      <c r="X3123" s="0" t="str">
        <f aca="false">IF(AND(B3123&gt;=1,B3123&lt;=6),"Tanque",IF(B3123=10,"Descarte",""))</f>
        <v/>
      </c>
    </row>
    <row r="3124" customFormat="false" ht="15" hidden="false" customHeight="false" outlineLevel="0" collapsed="false">
      <c r="A3124" s="22" t="n">
        <v>46309</v>
      </c>
      <c r="B3124" s="0" t="n">
        <v>13</v>
      </c>
      <c r="C3124" s="0" t="n">
        <v>7504</v>
      </c>
      <c r="E3124" s="0" t="n">
        <v>0</v>
      </c>
      <c r="F3124" s="23" t="s">
        <v>1440</v>
      </c>
      <c r="I3124" s="23" t="s">
        <v>1249</v>
      </c>
      <c r="U3124" s="0" t="n">
        <v>213</v>
      </c>
      <c r="V3124" s="0" t="n">
        <v>0</v>
      </c>
      <c r="W3124" s="0" t="str">
        <f aca="false">IF(OR(AND(B3124&gt;=1,B3124&lt;=6),B3124=10),"Vaca em lactação",IF(I3124="Male","Macho",IF(E3124&gt;=1,"Vaca seca",IF(I3124="Youngstock","Bezerra/recria","Novilha"))))</f>
        <v>Bezerra/recria</v>
      </c>
      <c r="X3124" s="0" t="str">
        <f aca="false">IF(AND(B3124&gt;=1,B3124&lt;=6),"Tanque",IF(B3124=10,"Descarte",""))</f>
        <v/>
      </c>
    </row>
    <row r="3125" customFormat="false" ht="15" hidden="false" customHeight="false" outlineLevel="0" collapsed="false">
      <c r="A3125" s="22" t="n">
        <v>46309</v>
      </c>
      <c r="B3125" s="0" t="n">
        <v>13</v>
      </c>
      <c r="C3125" s="0" t="n">
        <v>7506</v>
      </c>
      <c r="E3125" s="0" t="n">
        <v>0</v>
      </c>
      <c r="F3125" s="23" t="s">
        <v>1440</v>
      </c>
      <c r="I3125" s="23" t="s">
        <v>1249</v>
      </c>
      <c r="U3125" s="0" t="n">
        <v>213</v>
      </c>
      <c r="V3125" s="0" t="n">
        <v>0</v>
      </c>
      <c r="W3125" s="0" t="str">
        <f aca="false">IF(OR(AND(B3125&gt;=1,B3125&lt;=6),B3125=10),"Vaca em lactação",IF(I3125="Male","Macho",IF(E3125&gt;=1,"Vaca seca",IF(I3125="Youngstock","Bezerra/recria","Novilha"))))</f>
        <v>Bezerra/recria</v>
      </c>
      <c r="X3125" s="0" t="str">
        <f aca="false">IF(AND(B3125&gt;=1,B3125&lt;=6),"Tanque",IF(B3125=10,"Descarte",""))</f>
        <v/>
      </c>
    </row>
    <row r="3126" customFormat="false" ht="15" hidden="false" customHeight="false" outlineLevel="0" collapsed="false">
      <c r="A3126" s="22" t="n">
        <v>46309</v>
      </c>
      <c r="B3126" s="0" t="n">
        <v>13</v>
      </c>
      <c r="C3126" s="0" t="n">
        <v>7500</v>
      </c>
      <c r="E3126" s="0" t="n">
        <v>0</v>
      </c>
      <c r="F3126" s="23" t="s">
        <v>1438</v>
      </c>
      <c r="I3126" s="23" t="s">
        <v>1249</v>
      </c>
      <c r="U3126" s="0" t="n">
        <v>216</v>
      </c>
      <c r="V3126" s="0" t="n">
        <v>0</v>
      </c>
      <c r="W3126" s="0" t="str">
        <f aca="false">IF(OR(AND(B3126&gt;=1,B3126&lt;=6),B3126=10),"Vaca em lactação",IF(I3126="Male","Macho",IF(E3126&gt;=1,"Vaca seca",IF(I3126="Youngstock","Bezerra/recria","Novilha"))))</f>
        <v>Bezerra/recria</v>
      </c>
      <c r="X3126" s="0" t="str">
        <f aca="false">IF(AND(B3126&gt;=1,B3126&lt;=6),"Tanque",IF(B3126=10,"Descarte",""))</f>
        <v/>
      </c>
    </row>
    <row r="3127" customFormat="false" ht="15" hidden="false" customHeight="false" outlineLevel="0" collapsed="false">
      <c r="A3127" s="22" t="n">
        <v>46309</v>
      </c>
      <c r="B3127" s="0" t="n">
        <v>13</v>
      </c>
      <c r="C3127" s="0" t="n">
        <v>7507</v>
      </c>
      <c r="E3127" s="0" t="n">
        <v>0</v>
      </c>
      <c r="F3127" s="23" t="s">
        <v>1440</v>
      </c>
      <c r="I3127" s="23" t="s">
        <v>1249</v>
      </c>
      <c r="U3127" s="0" t="n">
        <v>213</v>
      </c>
      <c r="V3127" s="0" t="n">
        <v>0</v>
      </c>
      <c r="W3127" s="0" t="str">
        <f aca="false">IF(OR(AND(B3127&gt;=1,B3127&lt;=6),B3127=10),"Vaca em lactação",IF(I3127="Male","Macho",IF(E3127&gt;=1,"Vaca seca",IF(I3127="Youngstock","Bezerra/recria","Novilha"))))</f>
        <v>Bezerra/recria</v>
      </c>
      <c r="X3127" s="0" t="str">
        <f aca="false">IF(AND(B3127&gt;=1,B3127&lt;=6),"Tanque",IF(B3127=10,"Descarte",""))</f>
        <v/>
      </c>
    </row>
    <row r="3128" customFormat="false" ht="15" hidden="false" customHeight="false" outlineLevel="0" collapsed="false">
      <c r="A3128" s="22" t="n">
        <v>46309</v>
      </c>
      <c r="B3128" s="0" t="n">
        <v>13</v>
      </c>
      <c r="C3128" s="0" t="n">
        <v>7511</v>
      </c>
      <c r="E3128" s="0" t="n">
        <v>0</v>
      </c>
      <c r="F3128" s="23" t="s">
        <v>1441</v>
      </c>
      <c r="I3128" s="23" t="s">
        <v>1249</v>
      </c>
      <c r="U3128" s="0" t="n">
        <v>212</v>
      </c>
      <c r="V3128" s="0" t="n">
        <v>0</v>
      </c>
      <c r="W3128" s="0" t="str">
        <f aca="false">IF(OR(AND(B3128&gt;=1,B3128&lt;=6),B3128=10),"Vaca em lactação",IF(I3128="Male","Macho",IF(E3128&gt;=1,"Vaca seca",IF(I3128="Youngstock","Bezerra/recria","Novilha"))))</f>
        <v>Bezerra/recria</v>
      </c>
      <c r="X3128" s="0" t="str">
        <f aca="false">IF(AND(B3128&gt;=1,B3128&lt;=6),"Tanque",IF(B3128=10,"Descarte",""))</f>
        <v/>
      </c>
    </row>
    <row r="3129" customFormat="false" ht="15" hidden="false" customHeight="false" outlineLevel="0" collapsed="false">
      <c r="A3129" s="22" t="n">
        <v>46309</v>
      </c>
      <c r="B3129" s="0" t="n">
        <v>13</v>
      </c>
      <c r="C3129" s="0" t="n">
        <v>7510</v>
      </c>
      <c r="E3129" s="0" t="n">
        <v>0</v>
      </c>
      <c r="F3129" s="23" t="s">
        <v>1441</v>
      </c>
      <c r="I3129" s="23" t="s">
        <v>1249</v>
      </c>
      <c r="U3129" s="0" t="n">
        <v>212</v>
      </c>
      <c r="V3129" s="0" t="n">
        <v>0</v>
      </c>
      <c r="W3129" s="0" t="str">
        <f aca="false">IF(OR(AND(B3129&gt;=1,B3129&lt;=6),B3129=10),"Vaca em lactação",IF(I3129="Male","Macho",IF(E3129&gt;=1,"Vaca seca",IF(I3129="Youngstock","Bezerra/recria","Novilha"))))</f>
        <v>Bezerra/recria</v>
      </c>
      <c r="X3129" s="0" t="str">
        <f aca="false">IF(AND(B3129&gt;=1,B3129&lt;=6),"Tanque",IF(B3129=10,"Descarte",""))</f>
        <v/>
      </c>
    </row>
    <row r="3130" customFormat="false" ht="15" hidden="false" customHeight="false" outlineLevel="0" collapsed="false">
      <c r="A3130" s="22" t="n">
        <v>46309</v>
      </c>
      <c r="B3130" s="0" t="n">
        <v>13</v>
      </c>
      <c r="C3130" s="0" t="n">
        <v>7509</v>
      </c>
      <c r="E3130" s="0" t="n">
        <v>0</v>
      </c>
      <c r="F3130" s="23" t="s">
        <v>1441</v>
      </c>
      <c r="I3130" s="23" t="s">
        <v>1249</v>
      </c>
      <c r="U3130" s="0" t="n">
        <v>212</v>
      </c>
      <c r="V3130" s="0" t="n">
        <v>0</v>
      </c>
      <c r="W3130" s="0" t="str">
        <f aca="false">IF(OR(AND(B3130&gt;=1,B3130&lt;=6),B3130=10),"Vaca em lactação",IF(I3130="Male","Macho",IF(E3130&gt;=1,"Vaca seca",IF(I3130="Youngstock","Bezerra/recria","Novilha"))))</f>
        <v>Bezerra/recria</v>
      </c>
      <c r="X3130" s="0" t="str">
        <f aca="false">IF(AND(B3130&gt;=1,B3130&lt;=6),"Tanque",IF(B3130=10,"Descarte",""))</f>
        <v/>
      </c>
    </row>
    <row r="3131" customFormat="false" ht="15" hidden="false" customHeight="false" outlineLevel="0" collapsed="false">
      <c r="A3131" s="22" t="n">
        <v>46309</v>
      </c>
      <c r="B3131" s="0" t="n">
        <v>13</v>
      </c>
      <c r="C3131" s="0" t="n">
        <v>7508</v>
      </c>
      <c r="E3131" s="0" t="n">
        <v>0</v>
      </c>
      <c r="F3131" s="23" t="s">
        <v>1441</v>
      </c>
      <c r="I3131" s="23" t="s">
        <v>1249</v>
      </c>
      <c r="U3131" s="0" t="n">
        <v>212</v>
      </c>
      <c r="V3131" s="0" t="n">
        <v>0</v>
      </c>
      <c r="W3131" s="0" t="str">
        <f aca="false">IF(OR(AND(B3131&gt;=1,B3131&lt;=6),B3131=10),"Vaca em lactação",IF(I3131="Male","Macho",IF(E3131&gt;=1,"Vaca seca",IF(I3131="Youngstock","Bezerra/recria","Novilha"))))</f>
        <v>Bezerra/recria</v>
      </c>
      <c r="X3131" s="0" t="str">
        <f aca="false">IF(AND(B3131&gt;=1,B3131&lt;=6),"Tanque",IF(B3131=10,"Descarte",""))</f>
        <v/>
      </c>
    </row>
    <row r="3132" customFormat="false" ht="15" hidden="false" customHeight="false" outlineLevel="0" collapsed="false">
      <c r="A3132" s="22" t="n">
        <v>46309</v>
      </c>
      <c r="B3132" s="0" t="n">
        <v>13</v>
      </c>
      <c r="C3132" s="0" t="n">
        <v>7512</v>
      </c>
      <c r="E3132" s="0" t="n">
        <v>0</v>
      </c>
      <c r="F3132" s="23" t="s">
        <v>1441</v>
      </c>
      <c r="I3132" s="23" t="s">
        <v>1249</v>
      </c>
      <c r="U3132" s="0" t="n">
        <v>212</v>
      </c>
      <c r="V3132" s="0" t="n">
        <v>0</v>
      </c>
      <c r="W3132" s="0" t="str">
        <f aca="false">IF(OR(AND(B3132&gt;=1,B3132&lt;=6),B3132=10),"Vaca em lactação",IF(I3132="Male","Macho",IF(E3132&gt;=1,"Vaca seca",IF(I3132="Youngstock","Bezerra/recria","Novilha"))))</f>
        <v>Bezerra/recria</v>
      </c>
      <c r="X3132" s="0" t="str">
        <f aca="false">IF(AND(B3132&gt;=1,B3132&lt;=6),"Tanque",IF(B3132=10,"Descarte",""))</f>
        <v/>
      </c>
    </row>
    <row r="3133" customFormat="false" ht="15" hidden="false" customHeight="false" outlineLevel="0" collapsed="false">
      <c r="A3133" s="22" t="n">
        <v>46309</v>
      </c>
      <c r="B3133" s="0" t="n">
        <v>13</v>
      </c>
      <c r="C3133" s="0" t="n">
        <v>7513</v>
      </c>
      <c r="E3133" s="0" t="n">
        <v>0</v>
      </c>
      <c r="F3133" s="23" t="s">
        <v>1442</v>
      </c>
      <c r="I3133" s="23" t="s">
        <v>1249</v>
      </c>
      <c r="U3133" s="0" t="n">
        <v>211</v>
      </c>
      <c r="V3133" s="0" t="n">
        <v>0</v>
      </c>
      <c r="W3133" s="0" t="str">
        <f aca="false">IF(OR(AND(B3133&gt;=1,B3133&lt;=6),B3133=10),"Vaca em lactação",IF(I3133="Male","Macho",IF(E3133&gt;=1,"Vaca seca",IF(I3133="Youngstock","Bezerra/recria","Novilha"))))</f>
        <v>Bezerra/recria</v>
      </c>
      <c r="X3133" s="0" t="str">
        <f aca="false">IF(AND(B3133&gt;=1,B3133&lt;=6),"Tanque",IF(B3133=10,"Descarte",""))</f>
        <v/>
      </c>
    </row>
    <row r="3134" customFormat="false" ht="15" hidden="false" customHeight="false" outlineLevel="0" collapsed="false">
      <c r="A3134" s="22" t="n">
        <v>46309</v>
      </c>
      <c r="B3134" s="0" t="n">
        <v>13</v>
      </c>
      <c r="C3134" s="0" t="n">
        <v>7516</v>
      </c>
      <c r="E3134" s="0" t="n">
        <v>0</v>
      </c>
      <c r="F3134" s="23" t="s">
        <v>1442</v>
      </c>
      <c r="I3134" s="23" t="s">
        <v>1249</v>
      </c>
      <c r="U3134" s="0" t="n">
        <v>211</v>
      </c>
      <c r="V3134" s="0" t="n">
        <v>0</v>
      </c>
      <c r="W3134" s="0" t="str">
        <f aca="false">IF(OR(AND(B3134&gt;=1,B3134&lt;=6),B3134=10),"Vaca em lactação",IF(I3134="Male","Macho",IF(E3134&gt;=1,"Vaca seca",IF(I3134="Youngstock","Bezerra/recria","Novilha"))))</f>
        <v>Bezerra/recria</v>
      </c>
      <c r="X3134" s="0" t="str">
        <f aca="false">IF(AND(B3134&gt;=1,B3134&lt;=6),"Tanque",IF(B3134=10,"Descarte",""))</f>
        <v/>
      </c>
    </row>
    <row r="3135" customFormat="false" ht="15" hidden="false" customHeight="false" outlineLevel="0" collapsed="false">
      <c r="A3135" s="22" t="n">
        <v>46309</v>
      </c>
      <c r="B3135" s="0" t="n">
        <v>13</v>
      </c>
      <c r="C3135" s="0" t="n">
        <v>7514</v>
      </c>
      <c r="E3135" s="0" t="n">
        <v>0</v>
      </c>
      <c r="F3135" s="23" t="s">
        <v>1442</v>
      </c>
      <c r="I3135" s="23" t="s">
        <v>1249</v>
      </c>
      <c r="U3135" s="0" t="n">
        <v>211</v>
      </c>
      <c r="V3135" s="0" t="n">
        <v>0</v>
      </c>
      <c r="W3135" s="0" t="str">
        <f aca="false">IF(OR(AND(B3135&gt;=1,B3135&lt;=6),B3135=10),"Vaca em lactação",IF(I3135="Male","Macho",IF(E3135&gt;=1,"Vaca seca",IF(I3135="Youngstock","Bezerra/recria","Novilha"))))</f>
        <v>Bezerra/recria</v>
      </c>
      <c r="X3135" s="0" t="str">
        <f aca="false">IF(AND(B3135&gt;=1,B3135&lt;=6),"Tanque",IF(B3135=10,"Descarte",""))</f>
        <v/>
      </c>
    </row>
    <row r="3136" customFormat="false" ht="15" hidden="false" customHeight="false" outlineLevel="0" collapsed="false">
      <c r="A3136" s="22" t="n">
        <v>46309</v>
      </c>
      <c r="B3136" s="0" t="n">
        <v>13</v>
      </c>
      <c r="C3136" s="0" t="n">
        <v>7661</v>
      </c>
      <c r="E3136" s="0" t="n">
        <v>0</v>
      </c>
      <c r="F3136" s="23" t="s">
        <v>1443</v>
      </c>
      <c r="I3136" s="23" t="s">
        <v>1249</v>
      </c>
      <c r="U3136" s="0" t="n">
        <v>174</v>
      </c>
      <c r="V3136" s="0" t="n">
        <v>0</v>
      </c>
      <c r="W3136" s="0" t="str">
        <f aca="false">IF(OR(AND(B3136&gt;=1,B3136&lt;=6),B3136=10),"Vaca em lactação",IF(I3136="Male","Macho",IF(E3136&gt;=1,"Vaca seca",IF(I3136="Youngstock","Bezerra/recria","Novilha"))))</f>
        <v>Bezerra/recria</v>
      </c>
      <c r="X3136" s="0" t="str">
        <f aca="false">IF(AND(B3136&gt;=1,B3136&lt;=6),"Tanque",IF(B3136=10,"Descarte",""))</f>
        <v/>
      </c>
    </row>
    <row r="3137" customFormat="false" ht="15" hidden="false" customHeight="false" outlineLevel="0" collapsed="false">
      <c r="A3137" s="22" t="n">
        <v>46309</v>
      </c>
      <c r="B3137" s="0" t="n">
        <v>13</v>
      </c>
      <c r="C3137" s="0" t="n">
        <v>7660</v>
      </c>
      <c r="E3137" s="0" t="n">
        <v>0</v>
      </c>
      <c r="F3137" s="23" t="s">
        <v>1443</v>
      </c>
      <c r="I3137" s="23" t="s">
        <v>1249</v>
      </c>
      <c r="U3137" s="0" t="n">
        <v>174</v>
      </c>
      <c r="V3137" s="0" t="n">
        <v>0</v>
      </c>
      <c r="W3137" s="0" t="str">
        <f aca="false">IF(OR(AND(B3137&gt;=1,B3137&lt;=6),B3137=10),"Vaca em lactação",IF(I3137="Male","Macho",IF(E3137&gt;=1,"Vaca seca",IF(I3137="Youngstock","Bezerra/recria","Novilha"))))</f>
        <v>Bezerra/recria</v>
      </c>
      <c r="X3137" s="0" t="str">
        <f aca="false">IF(AND(B3137&gt;=1,B3137&lt;=6),"Tanque",IF(B3137=10,"Descarte",""))</f>
        <v/>
      </c>
    </row>
    <row r="3138" customFormat="false" ht="15" hidden="false" customHeight="false" outlineLevel="0" collapsed="false">
      <c r="A3138" s="22" t="n">
        <v>46309</v>
      </c>
      <c r="B3138" s="0" t="n">
        <v>13</v>
      </c>
      <c r="C3138" s="0" t="n">
        <v>7659</v>
      </c>
      <c r="E3138" s="0" t="n">
        <v>0</v>
      </c>
      <c r="F3138" s="23" t="s">
        <v>1443</v>
      </c>
      <c r="I3138" s="23" t="s">
        <v>1249</v>
      </c>
      <c r="U3138" s="0" t="n">
        <v>174</v>
      </c>
      <c r="V3138" s="0" t="n">
        <v>0</v>
      </c>
      <c r="W3138" s="0" t="str">
        <f aca="false">IF(OR(AND(B3138&gt;=1,B3138&lt;=6),B3138=10),"Vaca em lactação",IF(I3138="Male","Macho",IF(E3138&gt;=1,"Vaca seca",IF(I3138="Youngstock","Bezerra/recria","Novilha"))))</f>
        <v>Bezerra/recria</v>
      </c>
      <c r="X3138" s="0" t="str">
        <f aca="false">IF(AND(B3138&gt;=1,B3138&lt;=6),"Tanque",IF(B3138=10,"Descarte",""))</f>
        <v/>
      </c>
    </row>
    <row r="3139" customFormat="false" ht="15" hidden="false" customHeight="false" outlineLevel="0" collapsed="false">
      <c r="A3139" s="22" t="n">
        <v>46309</v>
      </c>
      <c r="B3139" s="0" t="n">
        <v>13</v>
      </c>
      <c r="C3139" s="0" t="n">
        <v>7662</v>
      </c>
      <c r="E3139" s="0" t="n">
        <v>0</v>
      </c>
      <c r="F3139" s="23" t="s">
        <v>1443</v>
      </c>
      <c r="I3139" s="23" t="s">
        <v>1249</v>
      </c>
      <c r="U3139" s="0" t="n">
        <v>174</v>
      </c>
      <c r="V3139" s="0" t="n">
        <v>0</v>
      </c>
      <c r="W3139" s="0" t="str">
        <f aca="false">IF(OR(AND(B3139&gt;=1,B3139&lt;=6),B3139=10),"Vaca em lactação",IF(I3139="Male","Macho",IF(E3139&gt;=1,"Vaca seca",IF(I3139="Youngstock","Bezerra/recria","Novilha"))))</f>
        <v>Bezerra/recria</v>
      </c>
      <c r="X3139" s="0" t="str">
        <f aca="false">IF(AND(B3139&gt;=1,B3139&lt;=6),"Tanque",IF(B3139=10,"Descarte",""))</f>
        <v/>
      </c>
    </row>
    <row r="3140" customFormat="false" ht="15" hidden="false" customHeight="false" outlineLevel="0" collapsed="false">
      <c r="A3140" s="22" t="n">
        <v>46309</v>
      </c>
      <c r="B3140" s="0" t="n">
        <v>13</v>
      </c>
      <c r="C3140" s="0" t="n">
        <v>7668</v>
      </c>
      <c r="E3140" s="0" t="n">
        <v>0</v>
      </c>
      <c r="F3140" s="23" t="s">
        <v>1444</v>
      </c>
      <c r="I3140" s="23" t="s">
        <v>1249</v>
      </c>
      <c r="U3140" s="0" t="n">
        <v>171</v>
      </c>
      <c r="V3140" s="0" t="n">
        <v>0</v>
      </c>
      <c r="W3140" s="0" t="str">
        <f aca="false">IF(OR(AND(B3140&gt;=1,B3140&lt;=6),B3140=10),"Vaca em lactação",IF(I3140="Male","Macho",IF(E3140&gt;=1,"Vaca seca",IF(I3140="Youngstock","Bezerra/recria","Novilha"))))</f>
        <v>Bezerra/recria</v>
      </c>
      <c r="X3140" s="0" t="str">
        <f aca="false">IF(AND(B3140&gt;=1,B3140&lt;=6),"Tanque",IF(B3140=10,"Descarte",""))</f>
        <v/>
      </c>
    </row>
    <row r="3141" customFormat="false" ht="15" hidden="false" customHeight="false" outlineLevel="0" collapsed="false">
      <c r="A3141" s="22" t="n">
        <v>46309</v>
      </c>
      <c r="B3141" s="0" t="n">
        <v>13</v>
      </c>
      <c r="C3141" s="0" t="n">
        <v>7665</v>
      </c>
      <c r="E3141" s="0" t="n">
        <v>0</v>
      </c>
      <c r="F3141" s="23" t="s">
        <v>1445</v>
      </c>
      <c r="I3141" s="23" t="s">
        <v>1249</v>
      </c>
      <c r="U3141" s="0" t="n">
        <v>172</v>
      </c>
      <c r="V3141" s="0" t="n">
        <v>0</v>
      </c>
      <c r="W3141" s="0" t="str">
        <f aca="false">IF(OR(AND(B3141&gt;=1,B3141&lt;=6),B3141=10),"Vaca em lactação",IF(I3141="Male","Macho",IF(E3141&gt;=1,"Vaca seca",IF(I3141="Youngstock","Bezerra/recria","Novilha"))))</f>
        <v>Bezerra/recria</v>
      </c>
      <c r="X3141" s="0" t="str">
        <f aca="false">IF(AND(B3141&gt;=1,B3141&lt;=6),"Tanque",IF(B3141=10,"Descarte",""))</f>
        <v/>
      </c>
    </row>
    <row r="3142" customFormat="false" ht="15" hidden="false" customHeight="false" outlineLevel="0" collapsed="false">
      <c r="A3142" s="22" t="n">
        <v>46309</v>
      </c>
      <c r="B3142" s="0" t="n">
        <v>13</v>
      </c>
      <c r="C3142" s="0" t="n">
        <v>7664</v>
      </c>
      <c r="E3142" s="0" t="n">
        <v>0</v>
      </c>
      <c r="F3142" s="23" t="s">
        <v>1445</v>
      </c>
      <c r="I3142" s="23" t="s">
        <v>1249</v>
      </c>
      <c r="U3142" s="0" t="n">
        <v>172</v>
      </c>
      <c r="V3142" s="0" t="n">
        <v>0</v>
      </c>
      <c r="W3142" s="0" t="str">
        <f aca="false">IF(OR(AND(B3142&gt;=1,B3142&lt;=6),B3142=10),"Vaca em lactação",IF(I3142="Male","Macho",IF(E3142&gt;=1,"Vaca seca",IF(I3142="Youngstock","Bezerra/recria","Novilha"))))</f>
        <v>Bezerra/recria</v>
      </c>
      <c r="X3142" s="0" t="str">
        <f aca="false">IF(AND(B3142&gt;=1,B3142&lt;=6),"Tanque",IF(B3142=10,"Descarte",""))</f>
        <v/>
      </c>
    </row>
    <row r="3143" customFormat="false" ht="15" hidden="false" customHeight="false" outlineLevel="0" collapsed="false">
      <c r="A3143" s="22" t="n">
        <v>46309</v>
      </c>
      <c r="B3143" s="0" t="n">
        <v>13</v>
      </c>
      <c r="C3143" s="0" t="n">
        <v>7663</v>
      </c>
      <c r="E3143" s="0" t="n">
        <v>0</v>
      </c>
      <c r="F3143" s="23" t="s">
        <v>1445</v>
      </c>
      <c r="I3143" s="23" t="s">
        <v>1249</v>
      </c>
      <c r="U3143" s="0" t="n">
        <v>172</v>
      </c>
      <c r="V3143" s="0" t="n">
        <v>0</v>
      </c>
      <c r="W3143" s="0" t="str">
        <f aca="false">IF(OR(AND(B3143&gt;=1,B3143&lt;=6),B3143=10),"Vaca em lactação",IF(I3143="Male","Macho",IF(E3143&gt;=1,"Vaca seca",IF(I3143="Youngstock","Bezerra/recria","Novilha"))))</f>
        <v>Bezerra/recria</v>
      </c>
      <c r="X3143" s="0" t="str">
        <f aca="false">IF(AND(B3143&gt;=1,B3143&lt;=6),"Tanque",IF(B3143=10,"Descarte",""))</f>
        <v/>
      </c>
    </row>
    <row r="3144" customFormat="false" ht="15" hidden="false" customHeight="false" outlineLevel="0" collapsed="false">
      <c r="A3144" s="22" t="n">
        <v>46309</v>
      </c>
      <c r="B3144" s="0" t="n">
        <v>13</v>
      </c>
      <c r="C3144" s="0" t="n">
        <v>7667</v>
      </c>
      <c r="E3144" s="0" t="n">
        <v>0</v>
      </c>
      <c r="F3144" s="23" t="s">
        <v>1445</v>
      </c>
      <c r="I3144" s="23" t="s">
        <v>1249</v>
      </c>
      <c r="U3144" s="0" t="n">
        <v>172</v>
      </c>
      <c r="V3144" s="0" t="n">
        <v>0</v>
      </c>
      <c r="W3144" s="0" t="str">
        <f aca="false">IF(OR(AND(B3144&gt;=1,B3144&lt;=6),B3144=10),"Vaca em lactação",IF(I3144="Male","Macho",IF(E3144&gt;=1,"Vaca seca",IF(I3144="Youngstock","Bezerra/recria","Novilha"))))</f>
        <v>Bezerra/recria</v>
      </c>
      <c r="X3144" s="0" t="str">
        <f aca="false">IF(AND(B3144&gt;=1,B3144&lt;=6),"Tanque",IF(B3144=10,"Descarte",""))</f>
        <v/>
      </c>
    </row>
    <row r="3145" customFormat="false" ht="15" hidden="false" customHeight="false" outlineLevel="0" collapsed="false">
      <c r="A3145" s="22" t="n">
        <v>46309</v>
      </c>
      <c r="B3145" s="0" t="n">
        <v>13</v>
      </c>
      <c r="C3145" s="0" t="n">
        <v>7671</v>
      </c>
      <c r="E3145" s="0" t="n">
        <v>0</v>
      </c>
      <c r="F3145" s="23" t="s">
        <v>1446</v>
      </c>
      <c r="I3145" s="23" t="s">
        <v>1249</v>
      </c>
      <c r="U3145" s="0" t="n">
        <v>170</v>
      </c>
      <c r="V3145" s="0" t="n">
        <v>0</v>
      </c>
      <c r="W3145" s="0" t="str">
        <f aca="false">IF(OR(AND(B3145&gt;=1,B3145&lt;=6),B3145=10),"Vaca em lactação",IF(I3145="Male","Macho",IF(E3145&gt;=1,"Vaca seca",IF(I3145="Youngstock","Bezerra/recria","Novilha"))))</f>
        <v>Bezerra/recria</v>
      </c>
      <c r="X3145" s="0" t="str">
        <f aca="false">IF(AND(B3145&gt;=1,B3145&lt;=6),"Tanque",IF(B3145=10,"Descarte",""))</f>
        <v/>
      </c>
    </row>
    <row r="3146" customFormat="false" ht="15" hidden="false" customHeight="false" outlineLevel="0" collapsed="false">
      <c r="A3146" s="22" t="n">
        <v>46309</v>
      </c>
      <c r="B3146" s="0" t="n">
        <v>13</v>
      </c>
      <c r="C3146" s="0" t="n">
        <v>7669</v>
      </c>
      <c r="E3146" s="0" t="n">
        <v>0</v>
      </c>
      <c r="F3146" s="23" t="s">
        <v>1444</v>
      </c>
      <c r="I3146" s="23" t="s">
        <v>1249</v>
      </c>
      <c r="U3146" s="0" t="n">
        <v>171</v>
      </c>
      <c r="V3146" s="0" t="n">
        <v>0</v>
      </c>
      <c r="W3146" s="0" t="str">
        <f aca="false">IF(OR(AND(B3146&gt;=1,B3146&lt;=6),B3146=10),"Vaca em lactação",IF(I3146="Male","Macho",IF(E3146&gt;=1,"Vaca seca",IF(I3146="Youngstock","Bezerra/recria","Novilha"))))</f>
        <v>Bezerra/recria</v>
      </c>
      <c r="X3146" s="0" t="str">
        <f aca="false">IF(AND(B3146&gt;=1,B3146&lt;=6),"Tanque",IF(B3146=10,"Descarte",""))</f>
        <v/>
      </c>
    </row>
    <row r="3147" customFormat="false" ht="15" hidden="false" customHeight="false" outlineLevel="0" collapsed="false">
      <c r="A3147" s="22" t="n">
        <v>46309</v>
      </c>
      <c r="B3147" s="0" t="n">
        <v>13</v>
      </c>
      <c r="C3147" s="0" t="n">
        <v>7674</v>
      </c>
      <c r="E3147" s="0" t="n">
        <v>0</v>
      </c>
      <c r="F3147" s="23" t="s">
        <v>1447</v>
      </c>
      <c r="I3147" s="23" t="s">
        <v>1249</v>
      </c>
      <c r="U3147" s="0" t="n">
        <v>169</v>
      </c>
      <c r="V3147" s="0" t="n">
        <v>0</v>
      </c>
      <c r="W3147" s="0" t="str">
        <f aca="false">IF(OR(AND(B3147&gt;=1,B3147&lt;=6),B3147=10),"Vaca em lactação",IF(I3147="Male","Macho",IF(E3147&gt;=1,"Vaca seca",IF(I3147="Youngstock","Bezerra/recria","Novilha"))))</f>
        <v>Bezerra/recria</v>
      </c>
      <c r="X3147" s="0" t="str">
        <f aca="false">IF(AND(B3147&gt;=1,B3147&lt;=6),"Tanque",IF(B3147=10,"Descarte",""))</f>
        <v/>
      </c>
    </row>
    <row r="3148" customFormat="false" ht="15" hidden="false" customHeight="false" outlineLevel="0" collapsed="false">
      <c r="A3148" s="22" t="n">
        <v>46309</v>
      </c>
      <c r="B3148" s="0" t="n">
        <v>13</v>
      </c>
      <c r="C3148" s="0" t="n">
        <v>7673</v>
      </c>
      <c r="E3148" s="0" t="n">
        <v>0</v>
      </c>
      <c r="F3148" s="23" t="s">
        <v>1447</v>
      </c>
      <c r="I3148" s="23" t="s">
        <v>1249</v>
      </c>
      <c r="U3148" s="0" t="n">
        <v>169</v>
      </c>
      <c r="V3148" s="0" t="n">
        <v>0</v>
      </c>
      <c r="W3148" s="0" t="str">
        <f aca="false">IF(OR(AND(B3148&gt;=1,B3148&lt;=6),B3148=10),"Vaca em lactação",IF(I3148="Male","Macho",IF(E3148&gt;=1,"Vaca seca",IF(I3148="Youngstock","Bezerra/recria","Novilha"))))</f>
        <v>Bezerra/recria</v>
      </c>
      <c r="X3148" s="0" t="str">
        <f aca="false">IF(AND(B3148&gt;=1,B3148&lt;=6),"Tanque",IF(B3148=10,"Descarte",""))</f>
        <v/>
      </c>
    </row>
    <row r="3149" customFormat="false" ht="15" hidden="false" customHeight="false" outlineLevel="0" collapsed="false">
      <c r="A3149" s="22" t="n">
        <v>46309</v>
      </c>
      <c r="B3149" s="0" t="n">
        <v>13</v>
      </c>
      <c r="C3149" s="0" t="n">
        <v>7672</v>
      </c>
      <c r="E3149" s="0" t="n">
        <v>0</v>
      </c>
      <c r="F3149" s="23" t="s">
        <v>1447</v>
      </c>
      <c r="I3149" s="23" t="s">
        <v>1249</v>
      </c>
      <c r="U3149" s="0" t="n">
        <v>169</v>
      </c>
      <c r="V3149" s="0" t="n">
        <v>0</v>
      </c>
      <c r="W3149" s="0" t="str">
        <f aca="false">IF(OR(AND(B3149&gt;=1,B3149&lt;=6),B3149=10),"Vaca em lactação",IF(I3149="Male","Macho",IF(E3149&gt;=1,"Vaca seca",IF(I3149="Youngstock","Bezerra/recria","Novilha"))))</f>
        <v>Bezerra/recria</v>
      </c>
      <c r="X3149" s="0" t="str">
        <f aca="false">IF(AND(B3149&gt;=1,B3149&lt;=6),"Tanque",IF(B3149=10,"Descarte",""))</f>
        <v/>
      </c>
    </row>
    <row r="3150" customFormat="false" ht="15" hidden="false" customHeight="false" outlineLevel="0" collapsed="false">
      <c r="A3150" s="22" t="n">
        <v>46309</v>
      </c>
      <c r="B3150" s="0" t="n">
        <v>13</v>
      </c>
      <c r="C3150" s="0" t="n">
        <v>7675</v>
      </c>
      <c r="E3150" s="0" t="n">
        <v>0</v>
      </c>
      <c r="F3150" s="23" t="s">
        <v>1448</v>
      </c>
      <c r="I3150" s="23" t="s">
        <v>1249</v>
      </c>
      <c r="U3150" s="0" t="n">
        <v>168</v>
      </c>
      <c r="V3150" s="0" t="n">
        <v>0</v>
      </c>
      <c r="W3150" s="0" t="str">
        <f aca="false">IF(OR(AND(B3150&gt;=1,B3150&lt;=6),B3150=10),"Vaca em lactação",IF(I3150="Male","Macho",IF(E3150&gt;=1,"Vaca seca",IF(I3150="Youngstock","Bezerra/recria","Novilha"))))</f>
        <v>Bezerra/recria</v>
      </c>
      <c r="X3150" s="0" t="str">
        <f aca="false">IF(AND(B3150&gt;=1,B3150&lt;=6),"Tanque",IF(B3150=10,"Descarte",""))</f>
        <v/>
      </c>
    </row>
    <row r="3151" customFormat="false" ht="15" hidden="false" customHeight="false" outlineLevel="0" collapsed="false">
      <c r="A3151" s="22" t="n">
        <v>46309</v>
      </c>
      <c r="B3151" s="0" t="n">
        <v>13</v>
      </c>
      <c r="C3151" s="0" t="n">
        <v>7676</v>
      </c>
      <c r="E3151" s="0" t="n">
        <v>0</v>
      </c>
      <c r="F3151" s="23" t="s">
        <v>1447</v>
      </c>
      <c r="I3151" s="23" t="s">
        <v>1249</v>
      </c>
      <c r="U3151" s="0" t="n">
        <v>169</v>
      </c>
      <c r="V3151" s="0" t="n">
        <v>0</v>
      </c>
      <c r="W3151" s="0" t="str">
        <f aca="false">IF(OR(AND(B3151&gt;=1,B3151&lt;=6),B3151=10),"Vaca em lactação",IF(I3151="Male","Macho",IF(E3151&gt;=1,"Vaca seca",IF(I3151="Youngstock","Bezerra/recria","Novilha"))))</f>
        <v>Bezerra/recria</v>
      </c>
      <c r="X3151" s="0" t="str">
        <f aca="false">IF(AND(B3151&gt;=1,B3151&lt;=6),"Tanque",IF(B3151=10,"Descarte",""))</f>
        <v/>
      </c>
    </row>
    <row r="3152" customFormat="false" ht="15" hidden="false" customHeight="false" outlineLevel="0" collapsed="false">
      <c r="A3152" s="22" t="n">
        <v>46309</v>
      </c>
      <c r="B3152" s="0" t="n">
        <v>13</v>
      </c>
      <c r="C3152" s="0" t="n">
        <v>7648</v>
      </c>
      <c r="E3152" s="0" t="n">
        <v>0</v>
      </c>
      <c r="F3152" s="23" t="s">
        <v>1449</v>
      </c>
      <c r="I3152" s="23" t="s">
        <v>1249</v>
      </c>
      <c r="U3152" s="0" t="n">
        <v>177</v>
      </c>
      <c r="V3152" s="0" t="n">
        <v>0</v>
      </c>
      <c r="W3152" s="0" t="str">
        <f aca="false">IF(OR(AND(B3152&gt;=1,B3152&lt;=6),B3152=10),"Vaca em lactação",IF(I3152="Male","Macho",IF(E3152&gt;=1,"Vaca seca",IF(I3152="Youngstock","Bezerra/recria","Novilha"))))</f>
        <v>Bezerra/recria</v>
      </c>
      <c r="X3152" s="0" t="str">
        <f aca="false">IF(AND(B3152&gt;=1,B3152&lt;=6),"Tanque",IF(B3152=10,"Descarte",""))</f>
        <v/>
      </c>
    </row>
    <row r="3153" customFormat="false" ht="15" hidden="false" customHeight="false" outlineLevel="0" collapsed="false">
      <c r="A3153" s="22" t="n">
        <v>46309</v>
      </c>
      <c r="B3153" s="0" t="n">
        <v>13</v>
      </c>
      <c r="C3153" s="0" t="n">
        <v>7647</v>
      </c>
      <c r="E3153" s="0" t="n">
        <v>0</v>
      </c>
      <c r="F3153" s="23" t="s">
        <v>1449</v>
      </c>
      <c r="I3153" s="23" t="s">
        <v>1249</v>
      </c>
      <c r="U3153" s="0" t="n">
        <v>177</v>
      </c>
      <c r="V3153" s="0" t="n">
        <v>0</v>
      </c>
      <c r="W3153" s="0" t="str">
        <f aca="false">IF(OR(AND(B3153&gt;=1,B3153&lt;=6),B3153=10),"Vaca em lactação",IF(I3153="Male","Macho",IF(E3153&gt;=1,"Vaca seca",IF(I3153="Youngstock","Bezerra/recria","Novilha"))))</f>
        <v>Bezerra/recria</v>
      </c>
      <c r="X3153" s="0" t="str">
        <f aca="false">IF(AND(B3153&gt;=1,B3153&lt;=6),"Tanque",IF(B3153=10,"Descarte",""))</f>
        <v/>
      </c>
    </row>
    <row r="3154" customFormat="false" ht="15" hidden="false" customHeight="false" outlineLevel="0" collapsed="false">
      <c r="A3154" s="22" t="n">
        <v>46309</v>
      </c>
      <c r="B3154" s="0" t="n">
        <v>13</v>
      </c>
      <c r="C3154" s="0" t="n">
        <v>7649</v>
      </c>
      <c r="E3154" s="0" t="n">
        <v>0</v>
      </c>
      <c r="F3154" s="23" t="s">
        <v>1449</v>
      </c>
      <c r="I3154" s="23" t="s">
        <v>1249</v>
      </c>
      <c r="U3154" s="0" t="n">
        <v>177</v>
      </c>
      <c r="V3154" s="0" t="n">
        <v>0</v>
      </c>
      <c r="W3154" s="0" t="str">
        <f aca="false">IF(OR(AND(B3154&gt;=1,B3154&lt;=6),B3154=10),"Vaca em lactação",IF(I3154="Male","Macho",IF(E3154&gt;=1,"Vaca seca",IF(I3154="Youngstock","Bezerra/recria","Novilha"))))</f>
        <v>Bezerra/recria</v>
      </c>
      <c r="X3154" s="0" t="str">
        <f aca="false">IF(AND(B3154&gt;=1,B3154&lt;=6),"Tanque",IF(B3154=10,"Descarte",""))</f>
        <v/>
      </c>
    </row>
    <row r="3155" customFormat="false" ht="15" hidden="false" customHeight="false" outlineLevel="0" collapsed="false">
      <c r="A3155" s="22" t="n">
        <v>46309</v>
      </c>
      <c r="B3155" s="0" t="n">
        <v>13</v>
      </c>
      <c r="C3155" s="0" t="n">
        <v>7650</v>
      </c>
      <c r="E3155" s="0" t="n">
        <v>0</v>
      </c>
      <c r="F3155" s="23" t="s">
        <v>1450</v>
      </c>
      <c r="I3155" s="23" t="s">
        <v>1249</v>
      </c>
      <c r="U3155" s="0" t="n">
        <v>176</v>
      </c>
      <c r="V3155" s="0" t="n">
        <v>0</v>
      </c>
      <c r="W3155" s="0" t="str">
        <f aca="false">IF(OR(AND(B3155&gt;=1,B3155&lt;=6),B3155=10),"Vaca em lactação",IF(I3155="Male","Macho",IF(E3155&gt;=1,"Vaca seca",IF(I3155="Youngstock","Bezerra/recria","Novilha"))))</f>
        <v>Bezerra/recria</v>
      </c>
      <c r="X3155" s="0" t="str">
        <f aca="false">IF(AND(B3155&gt;=1,B3155&lt;=6),"Tanque",IF(B3155=10,"Descarte",""))</f>
        <v/>
      </c>
    </row>
    <row r="3156" customFormat="false" ht="15" hidden="false" customHeight="false" outlineLevel="0" collapsed="false">
      <c r="A3156" s="22" t="n">
        <v>46309</v>
      </c>
      <c r="B3156" s="0" t="n">
        <v>13</v>
      </c>
      <c r="C3156" s="0" t="n">
        <v>7651</v>
      </c>
      <c r="E3156" s="0" t="n">
        <v>0</v>
      </c>
      <c r="F3156" s="23" t="s">
        <v>1450</v>
      </c>
      <c r="I3156" s="23" t="s">
        <v>1249</v>
      </c>
      <c r="U3156" s="0" t="n">
        <v>176</v>
      </c>
      <c r="V3156" s="0" t="n">
        <v>0</v>
      </c>
      <c r="W3156" s="0" t="str">
        <f aca="false">IF(OR(AND(B3156&gt;=1,B3156&lt;=6),B3156=10),"Vaca em lactação",IF(I3156="Male","Macho",IF(E3156&gt;=1,"Vaca seca",IF(I3156="Youngstock","Bezerra/recria","Novilha"))))</f>
        <v>Bezerra/recria</v>
      </c>
      <c r="X3156" s="0" t="str">
        <f aca="false">IF(AND(B3156&gt;=1,B3156&lt;=6),"Tanque",IF(B3156=10,"Descarte",""))</f>
        <v/>
      </c>
    </row>
    <row r="3157" customFormat="false" ht="15" hidden="false" customHeight="false" outlineLevel="0" collapsed="false">
      <c r="A3157" s="22" t="n">
        <v>46309</v>
      </c>
      <c r="B3157" s="0" t="n">
        <v>13</v>
      </c>
      <c r="C3157" s="0" t="n">
        <v>7653</v>
      </c>
      <c r="E3157" s="0" t="n">
        <v>0</v>
      </c>
      <c r="F3157" s="23" t="s">
        <v>1450</v>
      </c>
      <c r="I3157" s="23" t="s">
        <v>1249</v>
      </c>
      <c r="U3157" s="0" t="n">
        <v>176</v>
      </c>
      <c r="V3157" s="0" t="n">
        <v>0</v>
      </c>
      <c r="W3157" s="0" t="str">
        <f aca="false">IF(OR(AND(B3157&gt;=1,B3157&lt;=6),B3157=10),"Vaca em lactação",IF(I3157="Male","Macho",IF(E3157&gt;=1,"Vaca seca",IF(I3157="Youngstock","Bezerra/recria","Novilha"))))</f>
        <v>Bezerra/recria</v>
      </c>
      <c r="X3157" s="0" t="str">
        <f aca="false">IF(AND(B3157&gt;=1,B3157&lt;=6),"Tanque",IF(B3157=10,"Descarte",""))</f>
        <v/>
      </c>
    </row>
    <row r="3158" customFormat="false" ht="15" hidden="false" customHeight="false" outlineLevel="0" collapsed="false">
      <c r="A3158" s="22" t="n">
        <v>46309</v>
      </c>
      <c r="B3158" s="0" t="n">
        <v>13</v>
      </c>
      <c r="C3158" s="0" t="n">
        <v>7652</v>
      </c>
      <c r="E3158" s="0" t="n">
        <v>0</v>
      </c>
      <c r="F3158" s="23" t="s">
        <v>1450</v>
      </c>
      <c r="I3158" s="23" t="s">
        <v>1249</v>
      </c>
      <c r="U3158" s="0" t="n">
        <v>176</v>
      </c>
      <c r="V3158" s="0" t="n">
        <v>0</v>
      </c>
      <c r="W3158" s="0" t="str">
        <f aca="false">IF(OR(AND(B3158&gt;=1,B3158&lt;=6),B3158=10),"Vaca em lactação",IF(I3158="Male","Macho",IF(E3158&gt;=1,"Vaca seca",IF(I3158="Youngstock","Bezerra/recria","Novilha"))))</f>
        <v>Bezerra/recria</v>
      </c>
      <c r="X3158" s="0" t="str">
        <f aca="false">IF(AND(B3158&gt;=1,B3158&lt;=6),"Tanque",IF(B3158=10,"Descarte",""))</f>
        <v/>
      </c>
    </row>
    <row r="3159" customFormat="false" ht="15" hidden="false" customHeight="false" outlineLevel="0" collapsed="false">
      <c r="A3159" s="22" t="n">
        <v>46309</v>
      </c>
      <c r="B3159" s="0" t="n">
        <v>13</v>
      </c>
      <c r="C3159" s="0" t="n">
        <v>7654</v>
      </c>
      <c r="E3159" s="0" t="n">
        <v>0</v>
      </c>
      <c r="F3159" s="23" t="s">
        <v>1450</v>
      </c>
      <c r="I3159" s="23" t="s">
        <v>1249</v>
      </c>
      <c r="U3159" s="0" t="n">
        <v>176</v>
      </c>
      <c r="V3159" s="0" t="n">
        <v>0</v>
      </c>
      <c r="W3159" s="0" t="str">
        <f aca="false">IF(OR(AND(B3159&gt;=1,B3159&lt;=6),B3159=10),"Vaca em lactação",IF(I3159="Male","Macho",IF(E3159&gt;=1,"Vaca seca",IF(I3159="Youngstock","Bezerra/recria","Novilha"))))</f>
        <v>Bezerra/recria</v>
      </c>
      <c r="X3159" s="0" t="str">
        <f aca="false">IF(AND(B3159&gt;=1,B3159&lt;=6),"Tanque",IF(B3159=10,"Descarte",""))</f>
        <v/>
      </c>
    </row>
    <row r="3160" customFormat="false" ht="15" hidden="false" customHeight="false" outlineLevel="0" collapsed="false">
      <c r="A3160" s="22" t="n">
        <v>46309</v>
      </c>
      <c r="B3160" s="0" t="n">
        <v>13</v>
      </c>
      <c r="C3160" s="0" t="n">
        <v>7657</v>
      </c>
      <c r="E3160" s="0" t="n">
        <v>0</v>
      </c>
      <c r="F3160" s="23" t="s">
        <v>1451</v>
      </c>
      <c r="I3160" s="23" t="s">
        <v>1249</v>
      </c>
      <c r="U3160" s="0" t="n">
        <v>175</v>
      </c>
      <c r="V3160" s="0" t="n">
        <v>0</v>
      </c>
      <c r="W3160" s="0" t="str">
        <f aca="false">IF(OR(AND(B3160&gt;=1,B3160&lt;=6),B3160=10),"Vaca em lactação",IF(I3160="Male","Macho",IF(E3160&gt;=1,"Vaca seca",IF(I3160="Youngstock","Bezerra/recria","Novilha"))))</f>
        <v>Bezerra/recria</v>
      </c>
      <c r="X3160" s="0" t="str">
        <f aca="false">IF(AND(B3160&gt;=1,B3160&lt;=6),"Tanque",IF(B3160=10,"Descarte",""))</f>
        <v/>
      </c>
    </row>
    <row r="3161" customFormat="false" ht="15" hidden="false" customHeight="false" outlineLevel="0" collapsed="false">
      <c r="A3161" s="22" t="n">
        <v>46309</v>
      </c>
      <c r="B3161" s="0" t="n">
        <v>13</v>
      </c>
      <c r="C3161" s="0" t="n">
        <v>7656</v>
      </c>
      <c r="E3161" s="0" t="n">
        <v>0</v>
      </c>
      <c r="F3161" s="23" t="s">
        <v>1451</v>
      </c>
      <c r="I3161" s="23" t="s">
        <v>1249</v>
      </c>
      <c r="U3161" s="0" t="n">
        <v>175</v>
      </c>
      <c r="V3161" s="0" t="n">
        <v>0</v>
      </c>
      <c r="W3161" s="0" t="str">
        <f aca="false">IF(OR(AND(B3161&gt;=1,B3161&lt;=6),B3161=10),"Vaca em lactação",IF(I3161="Male","Macho",IF(E3161&gt;=1,"Vaca seca",IF(I3161="Youngstock","Bezerra/recria","Novilha"))))</f>
        <v>Bezerra/recria</v>
      </c>
      <c r="X3161" s="0" t="str">
        <f aca="false">IF(AND(B3161&gt;=1,B3161&lt;=6),"Tanque",IF(B3161=10,"Descarte",""))</f>
        <v/>
      </c>
    </row>
    <row r="3162" customFormat="false" ht="15" hidden="false" customHeight="false" outlineLevel="0" collapsed="false">
      <c r="A3162" s="22" t="n">
        <v>46309</v>
      </c>
      <c r="B3162" s="0" t="n">
        <v>13</v>
      </c>
      <c r="C3162" s="0" t="n">
        <v>7655</v>
      </c>
      <c r="E3162" s="0" t="n">
        <v>0</v>
      </c>
      <c r="F3162" s="23" t="s">
        <v>1451</v>
      </c>
      <c r="I3162" s="23" t="s">
        <v>1249</v>
      </c>
      <c r="U3162" s="0" t="n">
        <v>175</v>
      </c>
      <c r="V3162" s="0" t="n">
        <v>0</v>
      </c>
      <c r="W3162" s="0" t="str">
        <f aca="false">IF(OR(AND(B3162&gt;=1,B3162&lt;=6),B3162=10),"Vaca em lactação",IF(I3162="Male","Macho",IF(E3162&gt;=1,"Vaca seca",IF(I3162="Youngstock","Bezerra/recria","Novilha"))))</f>
        <v>Bezerra/recria</v>
      </c>
      <c r="X3162" s="0" t="str">
        <f aca="false">IF(AND(B3162&gt;=1,B3162&lt;=6),"Tanque",IF(B3162=10,"Descarte",""))</f>
        <v/>
      </c>
    </row>
    <row r="3163" customFormat="false" ht="15" hidden="false" customHeight="false" outlineLevel="0" collapsed="false">
      <c r="A3163" s="22" t="n">
        <v>46309</v>
      </c>
      <c r="B3163" s="0" t="n">
        <v>13</v>
      </c>
      <c r="C3163" s="0" t="n">
        <v>7658</v>
      </c>
      <c r="E3163" s="0" t="n">
        <v>0</v>
      </c>
      <c r="F3163" s="23" t="s">
        <v>1443</v>
      </c>
      <c r="I3163" s="23" t="s">
        <v>1249</v>
      </c>
      <c r="U3163" s="0" t="n">
        <v>174</v>
      </c>
      <c r="V3163" s="0" t="n">
        <v>0</v>
      </c>
      <c r="W3163" s="0" t="str">
        <f aca="false">IF(OR(AND(B3163&gt;=1,B3163&lt;=6),B3163=10),"Vaca em lactação",IF(I3163="Male","Macho",IF(E3163&gt;=1,"Vaca seca",IF(I3163="Youngstock","Bezerra/recria","Novilha"))))</f>
        <v>Bezerra/recria</v>
      </c>
      <c r="X3163" s="0" t="str">
        <f aca="false">IF(AND(B3163&gt;=1,B3163&lt;=6),"Tanque",IF(B3163=10,"Descarte",""))</f>
        <v/>
      </c>
    </row>
    <row r="3164" customFormat="false" ht="15" hidden="false" customHeight="false" outlineLevel="0" collapsed="false">
      <c r="A3164" s="22" t="n">
        <v>46309</v>
      </c>
      <c r="B3164" s="0" t="n">
        <v>13</v>
      </c>
      <c r="C3164" s="0" t="n">
        <v>7636</v>
      </c>
      <c r="E3164" s="0" t="n">
        <v>0</v>
      </c>
      <c r="F3164" s="23" t="s">
        <v>1452</v>
      </c>
      <c r="I3164" s="23" t="s">
        <v>1249</v>
      </c>
      <c r="U3164" s="0" t="n">
        <v>182</v>
      </c>
      <c r="V3164" s="0" t="n">
        <v>0</v>
      </c>
      <c r="W3164" s="0" t="str">
        <f aca="false">IF(OR(AND(B3164&gt;=1,B3164&lt;=6),B3164=10),"Vaca em lactação",IF(I3164="Male","Macho",IF(E3164&gt;=1,"Vaca seca",IF(I3164="Youngstock","Bezerra/recria","Novilha"))))</f>
        <v>Bezerra/recria</v>
      </c>
      <c r="X3164" s="0" t="str">
        <f aca="false">IF(AND(B3164&gt;=1,B3164&lt;=6),"Tanque",IF(B3164=10,"Descarte",""))</f>
        <v/>
      </c>
    </row>
    <row r="3165" customFormat="false" ht="15" hidden="false" customHeight="false" outlineLevel="0" collapsed="false">
      <c r="A3165" s="22" t="n">
        <v>46309</v>
      </c>
      <c r="B3165" s="0" t="n">
        <v>13</v>
      </c>
      <c r="C3165" s="0" t="n">
        <v>7640</v>
      </c>
      <c r="E3165" s="0" t="n">
        <v>0</v>
      </c>
      <c r="F3165" s="23" t="s">
        <v>1453</v>
      </c>
      <c r="I3165" s="23" t="s">
        <v>1249</v>
      </c>
      <c r="U3165" s="0" t="n">
        <v>181</v>
      </c>
      <c r="V3165" s="0" t="n">
        <v>0</v>
      </c>
      <c r="W3165" s="0" t="str">
        <f aca="false">IF(OR(AND(B3165&gt;=1,B3165&lt;=6),B3165=10),"Vaca em lactação",IF(I3165="Male","Macho",IF(E3165&gt;=1,"Vaca seca",IF(I3165="Youngstock","Bezerra/recria","Novilha"))))</f>
        <v>Bezerra/recria</v>
      </c>
      <c r="X3165" s="0" t="str">
        <f aca="false">IF(AND(B3165&gt;=1,B3165&lt;=6),"Tanque",IF(B3165=10,"Descarte",""))</f>
        <v/>
      </c>
    </row>
    <row r="3166" customFormat="false" ht="15" hidden="false" customHeight="false" outlineLevel="0" collapsed="false">
      <c r="A3166" s="22" t="n">
        <v>46309</v>
      </c>
      <c r="B3166" s="0" t="n">
        <v>13</v>
      </c>
      <c r="C3166" s="0" t="n">
        <v>7639</v>
      </c>
      <c r="E3166" s="0" t="n">
        <v>0</v>
      </c>
      <c r="F3166" s="23" t="s">
        <v>1453</v>
      </c>
      <c r="I3166" s="23" t="s">
        <v>1249</v>
      </c>
      <c r="U3166" s="0" t="n">
        <v>181</v>
      </c>
      <c r="V3166" s="0" t="n">
        <v>0</v>
      </c>
      <c r="W3166" s="0" t="str">
        <f aca="false">IF(OR(AND(B3166&gt;=1,B3166&lt;=6),B3166=10),"Vaca em lactação",IF(I3166="Male","Macho",IF(E3166&gt;=1,"Vaca seca",IF(I3166="Youngstock","Bezerra/recria","Novilha"))))</f>
        <v>Bezerra/recria</v>
      </c>
      <c r="X3166" s="0" t="str">
        <f aca="false">IF(AND(B3166&gt;=1,B3166&lt;=6),"Tanque",IF(B3166=10,"Descarte",""))</f>
        <v/>
      </c>
    </row>
    <row r="3167" customFormat="false" ht="15" hidden="false" customHeight="false" outlineLevel="0" collapsed="false">
      <c r="A3167" s="22" t="n">
        <v>46309</v>
      </c>
      <c r="B3167" s="0" t="n">
        <v>13</v>
      </c>
      <c r="C3167" s="0" t="n">
        <v>7638</v>
      </c>
      <c r="E3167" s="0" t="n">
        <v>0</v>
      </c>
      <c r="F3167" s="23" t="s">
        <v>1452</v>
      </c>
      <c r="I3167" s="23" t="s">
        <v>1249</v>
      </c>
      <c r="U3167" s="0" t="n">
        <v>182</v>
      </c>
      <c r="V3167" s="0" t="n">
        <v>0</v>
      </c>
      <c r="W3167" s="0" t="str">
        <f aca="false">IF(OR(AND(B3167&gt;=1,B3167&lt;=6),B3167=10),"Vaca em lactação",IF(I3167="Male","Macho",IF(E3167&gt;=1,"Vaca seca",IF(I3167="Youngstock","Bezerra/recria","Novilha"))))</f>
        <v>Bezerra/recria</v>
      </c>
      <c r="X3167" s="0" t="str">
        <f aca="false">IF(AND(B3167&gt;=1,B3167&lt;=6),"Tanque",IF(B3167=10,"Descarte",""))</f>
        <v/>
      </c>
    </row>
    <row r="3168" customFormat="false" ht="15" hidden="false" customHeight="false" outlineLevel="0" collapsed="false">
      <c r="A3168" s="22" t="n">
        <v>46309</v>
      </c>
      <c r="B3168" s="0" t="n">
        <v>13</v>
      </c>
      <c r="C3168" s="0" t="n">
        <v>7637</v>
      </c>
      <c r="E3168" s="0" t="n">
        <v>0</v>
      </c>
      <c r="F3168" s="23" t="s">
        <v>1452</v>
      </c>
      <c r="I3168" s="23" t="s">
        <v>1249</v>
      </c>
      <c r="U3168" s="0" t="n">
        <v>182</v>
      </c>
      <c r="V3168" s="0" t="n">
        <v>0</v>
      </c>
      <c r="W3168" s="0" t="str">
        <f aca="false">IF(OR(AND(B3168&gt;=1,B3168&lt;=6),B3168=10),"Vaca em lactação",IF(I3168="Male","Macho",IF(E3168&gt;=1,"Vaca seca",IF(I3168="Youngstock","Bezerra/recria","Novilha"))))</f>
        <v>Bezerra/recria</v>
      </c>
      <c r="X3168" s="0" t="str">
        <f aca="false">IF(AND(B3168&gt;=1,B3168&lt;=6),"Tanque",IF(B3168=10,"Descarte",""))</f>
        <v/>
      </c>
    </row>
    <row r="3169" customFormat="false" ht="15" hidden="false" customHeight="false" outlineLevel="0" collapsed="false">
      <c r="A3169" s="22" t="n">
        <v>46309</v>
      </c>
      <c r="B3169" s="0" t="n">
        <v>13</v>
      </c>
      <c r="C3169" s="0" t="n">
        <v>7644</v>
      </c>
      <c r="E3169" s="0" t="n">
        <v>0</v>
      </c>
      <c r="F3169" s="23" t="s">
        <v>1454</v>
      </c>
      <c r="I3169" s="23" t="s">
        <v>1249</v>
      </c>
      <c r="U3169" s="0" t="n">
        <v>178</v>
      </c>
      <c r="V3169" s="0" t="n">
        <v>0</v>
      </c>
      <c r="W3169" s="0" t="str">
        <f aca="false">IF(OR(AND(B3169&gt;=1,B3169&lt;=6),B3169=10),"Vaca em lactação",IF(I3169="Male","Macho",IF(E3169&gt;=1,"Vaca seca",IF(I3169="Youngstock","Bezerra/recria","Novilha"))))</f>
        <v>Bezerra/recria</v>
      </c>
      <c r="X3169" s="0" t="str">
        <f aca="false">IF(AND(B3169&gt;=1,B3169&lt;=6),"Tanque",IF(B3169=10,"Descarte",""))</f>
        <v/>
      </c>
    </row>
    <row r="3170" customFormat="false" ht="15" hidden="false" customHeight="false" outlineLevel="0" collapsed="false">
      <c r="A3170" s="22" t="n">
        <v>46309</v>
      </c>
      <c r="B3170" s="0" t="n">
        <v>13</v>
      </c>
      <c r="C3170" s="0" t="n">
        <v>7643</v>
      </c>
      <c r="E3170" s="0" t="n">
        <v>0</v>
      </c>
      <c r="F3170" s="23" t="s">
        <v>1455</v>
      </c>
      <c r="I3170" s="23" t="s">
        <v>1249</v>
      </c>
      <c r="U3170" s="0" t="n">
        <v>179</v>
      </c>
      <c r="V3170" s="0" t="n">
        <v>0</v>
      </c>
      <c r="W3170" s="0" t="str">
        <f aca="false">IF(OR(AND(B3170&gt;=1,B3170&lt;=6),B3170=10),"Vaca em lactação",IF(I3170="Male","Macho",IF(E3170&gt;=1,"Vaca seca",IF(I3170="Youngstock","Bezerra/recria","Novilha"))))</f>
        <v>Bezerra/recria</v>
      </c>
      <c r="X3170" s="0" t="str">
        <f aca="false">IF(AND(B3170&gt;=1,B3170&lt;=6),"Tanque",IF(B3170=10,"Descarte",""))</f>
        <v/>
      </c>
    </row>
    <row r="3171" customFormat="false" ht="15" hidden="false" customHeight="false" outlineLevel="0" collapsed="false">
      <c r="A3171" s="22" t="n">
        <v>46309</v>
      </c>
      <c r="B3171" s="0" t="n">
        <v>13</v>
      </c>
      <c r="C3171" s="0" t="n">
        <v>7642</v>
      </c>
      <c r="E3171" s="0" t="n">
        <v>0</v>
      </c>
      <c r="F3171" s="23" t="s">
        <v>1455</v>
      </c>
      <c r="I3171" s="23" t="s">
        <v>1249</v>
      </c>
      <c r="U3171" s="0" t="n">
        <v>179</v>
      </c>
      <c r="V3171" s="0" t="n">
        <v>0</v>
      </c>
      <c r="W3171" s="0" t="str">
        <f aca="false">IF(OR(AND(B3171&gt;=1,B3171&lt;=6),B3171=10),"Vaca em lactação",IF(I3171="Male","Macho",IF(E3171&gt;=1,"Vaca seca",IF(I3171="Youngstock","Bezerra/recria","Novilha"))))</f>
        <v>Bezerra/recria</v>
      </c>
      <c r="X3171" s="0" t="str">
        <f aca="false">IF(AND(B3171&gt;=1,B3171&lt;=6),"Tanque",IF(B3171=10,"Descarte",""))</f>
        <v/>
      </c>
    </row>
    <row r="3172" customFormat="false" ht="15" hidden="false" customHeight="false" outlineLevel="0" collapsed="false">
      <c r="A3172" s="22" t="n">
        <v>46309</v>
      </c>
      <c r="B3172" s="0" t="n">
        <v>13</v>
      </c>
      <c r="C3172" s="0" t="n">
        <v>7641</v>
      </c>
      <c r="E3172" s="0" t="n">
        <v>0</v>
      </c>
      <c r="F3172" s="23" t="s">
        <v>1456</v>
      </c>
      <c r="I3172" s="23" t="s">
        <v>1249</v>
      </c>
      <c r="U3172" s="0" t="n">
        <v>180</v>
      </c>
      <c r="V3172" s="0" t="n">
        <v>0</v>
      </c>
      <c r="W3172" s="0" t="str">
        <f aca="false">IF(OR(AND(B3172&gt;=1,B3172&lt;=6),B3172=10),"Vaca em lactação",IF(I3172="Male","Macho",IF(E3172&gt;=1,"Vaca seca",IF(I3172="Youngstock","Bezerra/recria","Novilha"))))</f>
        <v>Bezerra/recria</v>
      </c>
      <c r="X3172" s="0" t="str">
        <f aca="false">IF(AND(B3172&gt;=1,B3172&lt;=6),"Tanque",IF(B3172=10,"Descarte",""))</f>
        <v/>
      </c>
    </row>
    <row r="3173" customFormat="false" ht="15" hidden="false" customHeight="false" outlineLevel="0" collapsed="false">
      <c r="A3173" s="22" t="n">
        <v>46309</v>
      </c>
      <c r="B3173" s="0" t="n">
        <v>13</v>
      </c>
      <c r="C3173" s="0" t="n">
        <v>7646</v>
      </c>
      <c r="E3173" s="0" t="n">
        <v>0</v>
      </c>
      <c r="F3173" s="23" t="s">
        <v>1454</v>
      </c>
      <c r="I3173" s="23" t="s">
        <v>1249</v>
      </c>
      <c r="U3173" s="0" t="n">
        <v>178</v>
      </c>
      <c r="V3173" s="0" t="n">
        <v>0</v>
      </c>
      <c r="W3173" s="0" t="str">
        <f aca="false">IF(OR(AND(B3173&gt;=1,B3173&lt;=6),B3173=10),"Vaca em lactação",IF(I3173="Male","Macho",IF(E3173&gt;=1,"Vaca seca",IF(I3173="Youngstock","Bezerra/recria","Novilha"))))</f>
        <v>Bezerra/recria</v>
      </c>
      <c r="X3173" s="0" t="str">
        <f aca="false">IF(AND(B3173&gt;=1,B3173&lt;=6),"Tanque",IF(B3173=10,"Descarte",""))</f>
        <v/>
      </c>
    </row>
    <row r="3174" customFormat="false" ht="15" hidden="false" customHeight="false" outlineLevel="0" collapsed="false">
      <c r="A3174" s="22" t="n">
        <v>46309</v>
      </c>
      <c r="B3174" s="0" t="n">
        <v>13</v>
      </c>
      <c r="C3174" s="0" t="n">
        <v>7645</v>
      </c>
      <c r="E3174" s="0" t="n">
        <v>0</v>
      </c>
      <c r="F3174" s="23" t="s">
        <v>1454</v>
      </c>
      <c r="I3174" s="23" t="s">
        <v>1249</v>
      </c>
      <c r="U3174" s="0" t="n">
        <v>178</v>
      </c>
      <c r="V3174" s="0" t="n">
        <v>0</v>
      </c>
      <c r="W3174" s="0" t="str">
        <f aca="false">IF(OR(AND(B3174&gt;=1,B3174&lt;=6),B3174=10),"Vaca em lactação",IF(I3174="Male","Macho",IF(E3174&gt;=1,"Vaca seca",IF(I3174="Youngstock","Bezerra/recria","Novilha"))))</f>
        <v>Bezerra/recria</v>
      </c>
      <c r="X3174" s="0" t="str">
        <f aca="false">IF(AND(B3174&gt;=1,B3174&lt;=6),"Tanque",IF(B3174=10,"Descarte",""))</f>
        <v/>
      </c>
    </row>
    <row r="3175" customFormat="false" ht="15" hidden="false" customHeight="false" outlineLevel="0" collapsed="false">
      <c r="A3175" s="22" t="n">
        <v>46309</v>
      </c>
      <c r="B3175" s="0" t="n">
        <v>13</v>
      </c>
      <c r="C3175" s="0" t="n">
        <v>7631</v>
      </c>
      <c r="E3175" s="0" t="n">
        <v>0</v>
      </c>
      <c r="F3175" s="23" t="s">
        <v>1457</v>
      </c>
      <c r="I3175" s="23" t="s">
        <v>1249</v>
      </c>
      <c r="U3175" s="0" t="n">
        <v>184</v>
      </c>
      <c r="V3175" s="0" t="n">
        <v>0</v>
      </c>
      <c r="W3175" s="0" t="str">
        <f aca="false">IF(OR(AND(B3175&gt;=1,B3175&lt;=6),B3175=10),"Vaca em lactação",IF(I3175="Male","Macho",IF(E3175&gt;=1,"Vaca seca",IF(I3175="Youngstock","Bezerra/recria","Novilha"))))</f>
        <v>Bezerra/recria</v>
      </c>
      <c r="X3175" s="0" t="str">
        <f aca="false">IF(AND(B3175&gt;=1,B3175&lt;=6),"Tanque",IF(B3175=10,"Descarte",""))</f>
        <v/>
      </c>
    </row>
    <row r="3176" customFormat="false" ht="15" hidden="false" customHeight="false" outlineLevel="0" collapsed="false">
      <c r="A3176" s="22" t="n">
        <v>46309</v>
      </c>
      <c r="B3176" s="0" t="n">
        <v>13</v>
      </c>
      <c r="C3176" s="0" t="n">
        <v>7630</v>
      </c>
      <c r="E3176" s="0" t="n">
        <v>0</v>
      </c>
      <c r="F3176" s="23" t="s">
        <v>1421</v>
      </c>
      <c r="I3176" s="23" t="s">
        <v>1249</v>
      </c>
      <c r="U3176" s="0" t="n">
        <v>185</v>
      </c>
      <c r="V3176" s="0" t="n">
        <v>0</v>
      </c>
      <c r="W3176" s="0" t="str">
        <f aca="false">IF(OR(AND(B3176&gt;=1,B3176&lt;=6),B3176=10),"Vaca em lactação",IF(I3176="Male","Macho",IF(E3176&gt;=1,"Vaca seca",IF(I3176="Youngstock","Bezerra/recria","Novilha"))))</f>
        <v>Bezerra/recria</v>
      </c>
      <c r="X3176" s="0" t="str">
        <f aca="false">IF(AND(B3176&gt;=1,B3176&lt;=6),"Tanque",IF(B3176=10,"Descarte",""))</f>
        <v/>
      </c>
    </row>
    <row r="3177" customFormat="false" ht="15" hidden="false" customHeight="false" outlineLevel="0" collapsed="false">
      <c r="A3177" s="22" t="n">
        <v>46309</v>
      </c>
      <c r="B3177" s="0" t="n">
        <v>13</v>
      </c>
      <c r="C3177" s="0" t="n">
        <v>7635</v>
      </c>
      <c r="E3177" s="0" t="n">
        <v>0</v>
      </c>
      <c r="F3177" s="23" t="s">
        <v>1452</v>
      </c>
      <c r="I3177" s="23" t="s">
        <v>1249</v>
      </c>
      <c r="U3177" s="0" t="n">
        <v>182</v>
      </c>
      <c r="V3177" s="0" t="n">
        <v>0</v>
      </c>
      <c r="W3177" s="0" t="str">
        <f aca="false">IF(OR(AND(B3177&gt;=1,B3177&lt;=6),B3177=10),"Vaca em lactação",IF(I3177="Male","Macho",IF(E3177&gt;=1,"Vaca seca",IF(I3177="Youngstock","Bezerra/recria","Novilha"))))</f>
        <v>Bezerra/recria</v>
      </c>
      <c r="X3177" s="0" t="str">
        <f aca="false">IF(AND(B3177&gt;=1,B3177&lt;=6),"Tanque",IF(B3177=10,"Descarte",""))</f>
        <v/>
      </c>
    </row>
    <row r="3178" customFormat="false" ht="15" hidden="false" customHeight="false" outlineLevel="0" collapsed="false">
      <c r="A3178" s="22" t="n">
        <v>46309</v>
      </c>
      <c r="B3178" s="0" t="n">
        <v>13</v>
      </c>
      <c r="C3178" s="0" t="n">
        <v>7634</v>
      </c>
      <c r="E3178" s="0" t="n">
        <v>0</v>
      </c>
      <c r="F3178" s="23" t="s">
        <v>1452</v>
      </c>
      <c r="I3178" s="23" t="s">
        <v>1249</v>
      </c>
      <c r="U3178" s="0" t="n">
        <v>182</v>
      </c>
      <c r="V3178" s="0" t="n">
        <v>0</v>
      </c>
      <c r="W3178" s="0" t="str">
        <f aca="false">IF(OR(AND(B3178&gt;=1,B3178&lt;=6),B3178=10),"Vaca em lactação",IF(I3178="Male","Macho",IF(E3178&gt;=1,"Vaca seca",IF(I3178="Youngstock","Bezerra/recria","Novilha"))))</f>
        <v>Bezerra/recria</v>
      </c>
      <c r="X3178" s="0" t="str">
        <f aca="false">IF(AND(B3178&gt;=1,B3178&lt;=6),"Tanque",IF(B3178=10,"Descarte",""))</f>
        <v/>
      </c>
    </row>
    <row r="3179" customFormat="false" ht="15" hidden="false" customHeight="false" outlineLevel="0" collapsed="false">
      <c r="A3179" s="22" t="n">
        <v>46309</v>
      </c>
      <c r="B3179" s="0" t="n">
        <v>13</v>
      </c>
      <c r="C3179" s="0" t="n">
        <v>7633</v>
      </c>
      <c r="E3179" s="0" t="n">
        <v>0</v>
      </c>
      <c r="F3179" s="23" t="s">
        <v>1458</v>
      </c>
      <c r="I3179" s="23" t="s">
        <v>1249</v>
      </c>
      <c r="U3179" s="0" t="n">
        <v>183</v>
      </c>
      <c r="V3179" s="0" t="n">
        <v>0</v>
      </c>
      <c r="W3179" s="0" t="str">
        <f aca="false">IF(OR(AND(B3179&gt;=1,B3179&lt;=6),B3179=10),"Vaca em lactação",IF(I3179="Male","Macho",IF(E3179&gt;=1,"Vaca seca",IF(I3179="Youngstock","Bezerra/recria","Novilha"))))</f>
        <v>Bezerra/recria</v>
      </c>
      <c r="X3179" s="0" t="str">
        <f aca="false">IF(AND(B3179&gt;=1,B3179&lt;=6),"Tanque",IF(B3179=10,"Descarte",""))</f>
        <v/>
      </c>
    </row>
    <row r="3180" customFormat="false" ht="15" hidden="false" customHeight="false" outlineLevel="0" collapsed="false">
      <c r="A3180" s="22" t="n">
        <v>46309</v>
      </c>
      <c r="B3180" s="0" t="n">
        <v>13</v>
      </c>
      <c r="C3180" s="0" t="n">
        <v>7632</v>
      </c>
      <c r="E3180" s="0" t="n">
        <v>0</v>
      </c>
      <c r="F3180" s="23" t="s">
        <v>1457</v>
      </c>
      <c r="I3180" s="23" t="s">
        <v>1249</v>
      </c>
      <c r="U3180" s="0" t="n">
        <v>184</v>
      </c>
      <c r="V3180" s="0" t="n">
        <v>0</v>
      </c>
      <c r="W3180" s="0" t="str">
        <f aca="false">IF(OR(AND(B3180&gt;=1,B3180&lt;=6),B3180=10),"Vaca em lactação",IF(I3180="Male","Macho",IF(E3180&gt;=1,"Vaca seca",IF(I3180="Youngstock","Bezerra/recria","Novilha"))))</f>
        <v>Bezerra/recria</v>
      </c>
      <c r="X3180" s="0" t="str">
        <f aca="false">IF(AND(B3180&gt;=1,B3180&lt;=6),"Tanque",IF(B3180=10,"Descarte",""))</f>
        <v/>
      </c>
    </row>
    <row r="3181" customFormat="false" ht="15" hidden="false" customHeight="false" outlineLevel="0" collapsed="false">
      <c r="A3181" s="22" t="n">
        <v>46309</v>
      </c>
      <c r="B3181" s="0" t="n">
        <v>13</v>
      </c>
      <c r="C3181" s="0" t="n">
        <v>7740</v>
      </c>
      <c r="E3181" s="0" t="n">
        <v>0</v>
      </c>
      <c r="F3181" s="23" t="s">
        <v>1459</v>
      </c>
      <c r="I3181" s="23" t="s">
        <v>1249</v>
      </c>
      <c r="U3181" s="0" t="n">
        <v>147</v>
      </c>
      <c r="V3181" s="0" t="n">
        <v>0</v>
      </c>
      <c r="W3181" s="0" t="str">
        <f aca="false">IF(OR(AND(B3181&gt;=1,B3181&lt;=6),B3181=10),"Vaca em lactação",IF(I3181="Male","Macho",IF(E3181&gt;=1,"Vaca seca",IF(I3181="Youngstock","Bezerra/recria","Novilha"))))</f>
        <v>Bezerra/recria</v>
      </c>
      <c r="X3181" s="0" t="str">
        <f aca="false">IF(AND(B3181&gt;=1,B3181&lt;=6),"Tanque",IF(B3181=10,"Descarte",""))</f>
        <v/>
      </c>
    </row>
    <row r="3182" customFormat="false" ht="15" hidden="false" customHeight="false" outlineLevel="0" collapsed="false">
      <c r="A3182" s="22" t="n">
        <v>46309</v>
      </c>
      <c r="B3182" s="0" t="n">
        <v>13</v>
      </c>
      <c r="C3182" s="0" t="n">
        <v>7739</v>
      </c>
      <c r="E3182" s="0" t="n">
        <v>0</v>
      </c>
      <c r="F3182" s="23" t="s">
        <v>1460</v>
      </c>
      <c r="I3182" s="23" t="s">
        <v>1249</v>
      </c>
      <c r="U3182" s="0" t="n">
        <v>148</v>
      </c>
      <c r="V3182" s="0" t="n">
        <v>0</v>
      </c>
      <c r="W3182" s="0" t="str">
        <f aca="false">IF(OR(AND(B3182&gt;=1,B3182&lt;=6),B3182=10),"Vaca em lactação",IF(I3182="Male","Macho",IF(E3182&gt;=1,"Vaca seca",IF(I3182="Youngstock","Bezerra/recria","Novilha"))))</f>
        <v>Bezerra/recria</v>
      </c>
      <c r="X3182" s="0" t="str">
        <f aca="false">IF(AND(B3182&gt;=1,B3182&lt;=6),"Tanque",IF(B3182=10,"Descarte",""))</f>
        <v/>
      </c>
    </row>
    <row r="3183" customFormat="false" ht="15" hidden="false" customHeight="false" outlineLevel="0" collapsed="false">
      <c r="A3183" s="22" t="n">
        <v>46309</v>
      </c>
      <c r="B3183" s="0" t="n">
        <v>13</v>
      </c>
      <c r="C3183" s="0" t="n">
        <v>7743</v>
      </c>
      <c r="E3183" s="0" t="n">
        <v>0</v>
      </c>
      <c r="F3183" s="23" t="s">
        <v>1461</v>
      </c>
      <c r="I3183" s="23" t="s">
        <v>1249</v>
      </c>
      <c r="U3183" s="0" t="n">
        <v>146</v>
      </c>
      <c r="V3183" s="0" t="n">
        <v>0</v>
      </c>
      <c r="W3183" s="0" t="str">
        <f aca="false">IF(OR(AND(B3183&gt;=1,B3183&lt;=6),B3183=10),"Vaca em lactação",IF(I3183="Male","Macho",IF(E3183&gt;=1,"Vaca seca",IF(I3183="Youngstock","Bezerra/recria","Novilha"))))</f>
        <v>Bezerra/recria</v>
      </c>
      <c r="X3183" s="0" t="str">
        <f aca="false">IF(AND(B3183&gt;=1,B3183&lt;=6),"Tanque",IF(B3183=10,"Descarte",""))</f>
        <v/>
      </c>
    </row>
    <row r="3184" customFormat="false" ht="15" hidden="false" customHeight="false" outlineLevel="0" collapsed="false">
      <c r="A3184" s="22" t="n">
        <v>46309</v>
      </c>
      <c r="B3184" s="0" t="n">
        <v>13</v>
      </c>
      <c r="C3184" s="0" t="n">
        <v>7742</v>
      </c>
      <c r="E3184" s="0" t="n">
        <v>0</v>
      </c>
      <c r="F3184" s="23" t="s">
        <v>1461</v>
      </c>
      <c r="I3184" s="23" t="s">
        <v>1249</v>
      </c>
      <c r="U3184" s="0" t="n">
        <v>146</v>
      </c>
      <c r="V3184" s="0" t="n">
        <v>0</v>
      </c>
      <c r="W3184" s="0" t="str">
        <f aca="false">IF(OR(AND(B3184&gt;=1,B3184&lt;=6),B3184=10),"Vaca em lactação",IF(I3184="Male","Macho",IF(E3184&gt;=1,"Vaca seca",IF(I3184="Youngstock","Bezerra/recria","Novilha"))))</f>
        <v>Bezerra/recria</v>
      </c>
      <c r="X3184" s="0" t="str">
        <f aca="false">IF(AND(B3184&gt;=1,B3184&lt;=6),"Tanque",IF(B3184=10,"Descarte",""))</f>
        <v/>
      </c>
    </row>
    <row r="3185" customFormat="false" ht="15" hidden="false" customHeight="false" outlineLevel="0" collapsed="false">
      <c r="A3185" s="22" t="n">
        <v>46309</v>
      </c>
      <c r="B3185" s="0" t="n">
        <v>13</v>
      </c>
      <c r="C3185" s="0" t="n">
        <v>7748</v>
      </c>
      <c r="E3185" s="0" t="n">
        <v>0</v>
      </c>
      <c r="F3185" s="23" t="s">
        <v>1462</v>
      </c>
      <c r="I3185" s="23" t="s">
        <v>1249</v>
      </c>
      <c r="U3185" s="0" t="n">
        <v>144</v>
      </c>
      <c r="V3185" s="0" t="n">
        <v>0</v>
      </c>
      <c r="W3185" s="0" t="str">
        <f aca="false">IF(OR(AND(B3185&gt;=1,B3185&lt;=6),B3185=10),"Vaca em lactação",IF(I3185="Male","Macho",IF(E3185&gt;=1,"Vaca seca",IF(I3185="Youngstock","Bezerra/recria","Novilha"))))</f>
        <v>Bezerra/recria</v>
      </c>
      <c r="X3185" s="0" t="str">
        <f aca="false">IF(AND(B3185&gt;=1,B3185&lt;=6),"Tanque",IF(B3185=10,"Descarte",""))</f>
        <v/>
      </c>
    </row>
    <row r="3186" customFormat="false" ht="15" hidden="false" customHeight="false" outlineLevel="0" collapsed="false">
      <c r="A3186" s="22" t="n">
        <v>46309</v>
      </c>
      <c r="B3186" s="0" t="n">
        <v>13</v>
      </c>
      <c r="C3186" s="0" t="n">
        <v>7747</v>
      </c>
      <c r="E3186" s="0" t="n">
        <v>0</v>
      </c>
      <c r="F3186" s="23" t="s">
        <v>1462</v>
      </c>
      <c r="I3186" s="23" t="s">
        <v>1249</v>
      </c>
      <c r="U3186" s="0" t="n">
        <v>144</v>
      </c>
      <c r="V3186" s="0" t="n">
        <v>0</v>
      </c>
      <c r="W3186" s="0" t="str">
        <f aca="false">IF(OR(AND(B3186&gt;=1,B3186&lt;=6),B3186=10),"Vaca em lactação",IF(I3186="Male","Macho",IF(E3186&gt;=1,"Vaca seca",IF(I3186="Youngstock","Bezerra/recria","Novilha"))))</f>
        <v>Bezerra/recria</v>
      </c>
      <c r="X3186" s="0" t="str">
        <f aca="false">IF(AND(B3186&gt;=1,B3186&lt;=6),"Tanque",IF(B3186=10,"Descarte",""))</f>
        <v/>
      </c>
    </row>
    <row r="3187" customFormat="false" ht="15" hidden="false" customHeight="false" outlineLevel="0" collapsed="false">
      <c r="A3187" s="22" t="n">
        <v>46309</v>
      </c>
      <c r="B3187" s="0" t="n">
        <v>13</v>
      </c>
      <c r="C3187" s="0" t="n">
        <v>7746</v>
      </c>
      <c r="E3187" s="0" t="n">
        <v>0</v>
      </c>
      <c r="F3187" s="23" t="s">
        <v>1462</v>
      </c>
      <c r="I3187" s="23" t="s">
        <v>1249</v>
      </c>
      <c r="U3187" s="0" t="n">
        <v>144</v>
      </c>
      <c r="V3187" s="0" t="n">
        <v>0</v>
      </c>
      <c r="W3187" s="0" t="str">
        <f aca="false">IF(OR(AND(B3187&gt;=1,B3187&lt;=6),B3187=10),"Vaca em lactação",IF(I3187="Male","Macho",IF(E3187&gt;=1,"Vaca seca",IF(I3187="Youngstock","Bezerra/recria","Novilha"))))</f>
        <v>Bezerra/recria</v>
      </c>
      <c r="X3187" s="0" t="str">
        <f aca="false">IF(AND(B3187&gt;=1,B3187&lt;=6),"Tanque",IF(B3187=10,"Descarte",""))</f>
        <v/>
      </c>
    </row>
    <row r="3188" customFormat="false" ht="15" hidden="false" customHeight="false" outlineLevel="0" collapsed="false">
      <c r="A3188" s="22" t="n">
        <v>46309</v>
      </c>
      <c r="B3188" s="0" t="n">
        <v>13</v>
      </c>
      <c r="C3188" s="0" t="n">
        <v>7745</v>
      </c>
      <c r="E3188" s="0" t="n">
        <v>0</v>
      </c>
      <c r="F3188" s="23" t="s">
        <v>1462</v>
      </c>
      <c r="I3188" s="23" t="s">
        <v>1249</v>
      </c>
      <c r="U3188" s="0" t="n">
        <v>144</v>
      </c>
      <c r="V3188" s="0" t="n">
        <v>0</v>
      </c>
      <c r="W3188" s="0" t="str">
        <f aca="false">IF(OR(AND(B3188&gt;=1,B3188&lt;=6),B3188=10),"Vaca em lactação",IF(I3188="Male","Macho",IF(E3188&gt;=1,"Vaca seca",IF(I3188="Youngstock","Bezerra/recria","Novilha"))))</f>
        <v>Bezerra/recria</v>
      </c>
      <c r="X3188" s="0" t="str">
        <f aca="false">IF(AND(B3188&gt;=1,B3188&lt;=6),"Tanque",IF(B3188=10,"Descarte",""))</f>
        <v/>
      </c>
    </row>
    <row r="3189" customFormat="false" ht="15" hidden="false" customHeight="false" outlineLevel="0" collapsed="false">
      <c r="A3189" s="22" t="n">
        <v>46309</v>
      </c>
      <c r="B3189" s="0" t="n">
        <v>13</v>
      </c>
      <c r="C3189" s="0" t="n">
        <v>7744</v>
      </c>
      <c r="E3189" s="0" t="n">
        <v>0</v>
      </c>
      <c r="F3189" s="23" t="s">
        <v>1463</v>
      </c>
      <c r="I3189" s="23" t="s">
        <v>1249</v>
      </c>
      <c r="U3189" s="0" t="n">
        <v>145</v>
      </c>
      <c r="V3189" s="0" t="n">
        <v>0</v>
      </c>
      <c r="W3189" s="0" t="str">
        <f aca="false">IF(OR(AND(B3189&gt;=1,B3189&lt;=6),B3189=10),"Vaca em lactação",IF(I3189="Male","Macho",IF(E3189&gt;=1,"Vaca seca",IF(I3189="Youngstock","Bezerra/recria","Novilha"))))</f>
        <v>Bezerra/recria</v>
      </c>
      <c r="X3189" s="0" t="str">
        <f aca="false">IF(AND(B3189&gt;=1,B3189&lt;=6),"Tanque",IF(B3189=10,"Descarte",""))</f>
        <v/>
      </c>
    </row>
    <row r="3190" customFormat="false" ht="15" hidden="false" customHeight="false" outlineLevel="0" collapsed="false">
      <c r="A3190" s="22" t="n">
        <v>46309</v>
      </c>
      <c r="B3190" s="0" t="n">
        <v>13</v>
      </c>
      <c r="C3190" s="0" t="n">
        <v>7755</v>
      </c>
      <c r="E3190" s="0" t="n">
        <v>0</v>
      </c>
      <c r="F3190" s="23" t="s">
        <v>1464</v>
      </c>
      <c r="I3190" s="23" t="s">
        <v>1249</v>
      </c>
      <c r="U3190" s="0" t="n">
        <v>143</v>
      </c>
      <c r="V3190" s="0" t="n">
        <v>0</v>
      </c>
      <c r="W3190" s="0" t="str">
        <f aca="false">IF(OR(AND(B3190&gt;=1,B3190&lt;=6),B3190=10),"Vaca em lactação",IF(I3190="Male","Macho",IF(E3190&gt;=1,"Vaca seca",IF(I3190="Youngstock","Bezerra/recria","Novilha"))))</f>
        <v>Bezerra/recria</v>
      </c>
      <c r="X3190" s="0" t="str">
        <f aca="false">IF(AND(B3190&gt;=1,B3190&lt;=6),"Tanque",IF(B3190=10,"Descarte",""))</f>
        <v/>
      </c>
    </row>
    <row r="3191" customFormat="false" ht="15" hidden="false" customHeight="false" outlineLevel="0" collapsed="false">
      <c r="A3191" s="22" t="n">
        <v>46309</v>
      </c>
      <c r="B3191" s="0" t="n">
        <v>13</v>
      </c>
      <c r="C3191" s="0" t="n">
        <v>7754</v>
      </c>
      <c r="E3191" s="0" t="n">
        <v>0</v>
      </c>
      <c r="F3191" s="23" t="s">
        <v>1462</v>
      </c>
      <c r="I3191" s="23" t="s">
        <v>1249</v>
      </c>
      <c r="U3191" s="0" t="n">
        <v>144</v>
      </c>
      <c r="V3191" s="0" t="n">
        <v>0</v>
      </c>
      <c r="W3191" s="0" t="str">
        <f aca="false">IF(OR(AND(B3191&gt;=1,B3191&lt;=6),B3191=10),"Vaca em lactação",IF(I3191="Male","Macho",IF(E3191&gt;=1,"Vaca seca",IF(I3191="Youngstock","Bezerra/recria","Novilha"))))</f>
        <v>Bezerra/recria</v>
      </c>
      <c r="X3191" s="0" t="str">
        <f aca="false">IF(AND(B3191&gt;=1,B3191&lt;=6),"Tanque",IF(B3191=10,"Descarte",""))</f>
        <v/>
      </c>
    </row>
    <row r="3192" customFormat="false" ht="15" hidden="false" customHeight="false" outlineLevel="0" collapsed="false">
      <c r="A3192" s="22" t="n">
        <v>46309</v>
      </c>
      <c r="B3192" s="0" t="n">
        <v>13</v>
      </c>
      <c r="C3192" s="0" t="n">
        <v>7753</v>
      </c>
      <c r="E3192" s="0" t="n">
        <v>0</v>
      </c>
      <c r="F3192" s="23" t="s">
        <v>1462</v>
      </c>
      <c r="I3192" s="23" t="s">
        <v>1249</v>
      </c>
      <c r="U3192" s="0" t="n">
        <v>144</v>
      </c>
      <c r="V3192" s="0" t="n">
        <v>0</v>
      </c>
      <c r="W3192" s="0" t="str">
        <f aca="false">IF(OR(AND(B3192&gt;=1,B3192&lt;=6),B3192=10),"Vaca em lactação",IF(I3192="Male","Macho",IF(E3192&gt;=1,"Vaca seca",IF(I3192="Youngstock","Bezerra/recria","Novilha"))))</f>
        <v>Bezerra/recria</v>
      </c>
      <c r="X3192" s="0" t="str">
        <f aca="false">IF(AND(B3192&gt;=1,B3192&lt;=6),"Tanque",IF(B3192=10,"Descarte",""))</f>
        <v/>
      </c>
    </row>
    <row r="3193" customFormat="false" ht="15" hidden="false" customHeight="false" outlineLevel="0" collapsed="false">
      <c r="A3193" s="22" t="n">
        <v>46309</v>
      </c>
      <c r="B3193" s="0" t="n">
        <v>13</v>
      </c>
      <c r="C3193" s="0" t="n">
        <v>7752</v>
      </c>
      <c r="E3193" s="0" t="n">
        <v>0</v>
      </c>
      <c r="F3193" s="23" t="s">
        <v>1462</v>
      </c>
      <c r="I3193" s="23" t="s">
        <v>1249</v>
      </c>
      <c r="U3193" s="0" t="n">
        <v>144</v>
      </c>
      <c r="V3193" s="0" t="n">
        <v>0</v>
      </c>
      <c r="W3193" s="0" t="str">
        <f aca="false">IF(OR(AND(B3193&gt;=1,B3193&lt;=6),B3193=10),"Vaca em lactação",IF(I3193="Male","Macho",IF(E3193&gt;=1,"Vaca seca",IF(I3193="Youngstock","Bezerra/recria","Novilha"))))</f>
        <v>Bezerra/recria</v>
      </c>
      <c r="X3193" s="0" t="str">
        <f aca="false">IF(AND(B3193&gt;=1,B3193&lt;=6),"Tanque",IF(B3193=10,"Descarte",""))</f>
        <v/>
      </c>
    </row>
    <row r="3194" customFormat="false" ht="15" hidden="false" customHeight="false" outlineLevel="0" collapsed="false">
      <c r="A3194" s="22" t="n">
        <v>46309</v>
      </c>
      <c r="B3194" s="0" t="n">
        <v>13</v>
      </c>
      <c r="C3194" s="0" t="n">
        <v>7751</v>
      </c>
      <c r="E3194" s="0" t="n">
        <v>0</v>
      </c>
      <c r="F3194" s="23" t="s">
        <v>1462</v>
      </c>
      <c r="I3194" s="23" t="s">
        <v>1249</v>
      </c>
      <c r="U3194" s="0" t="n">
        <v>144</v>
      </c>
      <c r="V3194" s="0" t="n">
        <v>0</v>
      </c>
      <c r="W3194" s="0" t="str">
        <f aca="false">IF(OR(AND(B3194&gt;=1,B3194&lt;=6),B3194=10),"Vaca em lactação",IF(I3194="Male","Macho",IF(E3194&gt;=1,"Vaca seca",IF(I3194="Youngstock","Bezerra/recria","Novilha"))))</f>
        <v>Bezerra/recria</v>
      </c>
      <c r="X3194" s="0" t="str">
        <f aca="false">IF(AND(B3194&gt;=1,B3194&lt;=6),"Tanque",IF(B3194=10,"Descarte",""))</f>
        <v/>
      </c>
    </row>
    <row r="3195" customFormat="false" ht="15" hidden="false" customHeight="false" outlineLevel="0" collapsed="false">
      <c r="A3195" s="22" t="n">
        <v>46309</v>
      </c>
      <c r="B3195" s="0" t="n">
        <v>13</v>
      </c>
      <c r="C3195" s="0" t="n">
        <v>7750</v>
      </c>
      <c r="E3195" s="0" t="n">
        <v>0</v>
      </c>
      <c r="F3195" s="23" t="s">
        <v>1462</v>
      </c>
      <c r="I3195" s="23" t="s">
        <v>1249</v>
      </c>
      <c r="U3195" s="0" t="n">
        <v>144</v>
      </c>
      <c r="V3195" s="0" t="n">
        <v>0</v>
      </c>
      <c r="W3195" s="0" t="str">
        <f aca="false">IF(OR(AND(B3195&gt;=1,B3195&lt;=6),B3195=10),"Vaca em lactação",IF(I3195="Male","Macho",IF(E3195&gt;=1,"Vaca seca",IF(I3195="Youngstock","Bezerra/recria","Novilha"))))</f>
        <v>Bezerra/recria</v>
      </c>
      <c r="X3195" s="0" t="str">
        <f aca="false">IF(AND(B3195&gt;=1,B3195&lt;=6),"Tanque",IF(B3195=10,"Descarte",""))</f>
        <v/>
      </c>
    </row>
    <row r="3196" customFormat="false" ht="15" hidden="false" customHeight="false" outlineLevel="0" collapsed="false">
      <c r="A3196" s="22" t="n">
        <v>46309</v>
      </c>
      <c r="B3196" s="0" t="n">
        <v>13</v>
      </c>
      <c r="C3196" s="0" t="n">
        <v>7706</v>
      </c>
      <c r="E3196" s="0" t="n">
        <v>0</v>
      </c>
      <c r="F3196" s="23" t="s">
        <v>1465</v>
      </c>
      <c r="I3196" s="23" t="s">
        <v>1249</v>
      </c>
      <c r="U3196" s="0" t="n">
        <v>156</v>
      </c>
      <c r="V3196" s="0" t="n">
        <v>0</v>
      </c>
      <c r="W3196" s="0" t="str">
        <f aca="false">IF(OR(AND(B3196&gt;=1,B3196&lt;=6),B3196=10),"Vaca em lactação",IF(I3196="Male","Macho",IF(E3196&gt;=1,"Vaca seca",IF(I3196="Youngstock","Bezerra/recria","Novilha"))))</f>
        <v>Bezerra/recria</v>
      </c>
      <c r="X3196" s="0" t="str">
        <f aca="false">IF(AND(B3196&gt;=1,B3196&lt;=6),"Tanque",IF(B3196=10,"Descarte",""))</f>
        <v/>
      </c>
    </row>
    <row r="3197" customFormat="false" ht="15" hidden="false" customHeight="false" outlineLevel="0" collapsed="false">
      <c r="A3197" s="22" t="n">
        <v>46309</v>
      </c>
      <c r="B3197" s="0" t="n">
        <v>13</v>
      </c>
      <c r="C3197" s="0" t="n">
        <v>7712</v>
      </c>
      <c r="E3197" s="0" t="n">
        <v>0</v>
      </c>
      <c r="F3197" s="23" t="s">
        <v>1466</v>
      </c>
      <c r="I3197" s="23" t="s">
        <v>1249</v>
      </c>
      <c r="U3197" s="0" t="n">
        <v>155</v>
      </c>
      <c r="V3197" s="0" t="n">
        <v>0</v>
      </c>
      <c r="W3197" s="0" t="str">
        <f aca="false">IF(OR(AND(B3197&gt;=1,B3197&lt;=6),B3197=10),"Vaca em lactação",IF(I3197="Male","Macho",IF(E3197&gt;=1,"Vaca seca",IF(I3197="Youngstock","Bezerra/recria","Novilha"))))</f>
        <v>Bezerra/recria</v>
      </c>
      <c r="X3197" s="0" t="str">
        <f aca="false">IF(AND(B3197&gt;=1,B3197&lt;=6),"Tanque",IF(B3197=10,"Descarte",""))</f>
        <v/>
      </c>
    </row>
    <row r="3198" customFormat="false" ht="15" hidden="false" customHeight="false" outlineLevel="0" collapsed="false">
      <c r="A3198" s="22" t="n">
        <v>46309</v>
      </c>
      <c r="B3198" s="0" t="n">
        <v>13</v>
      </c>
      <c r="C3198" s="0" t="n">
        <v>7711</v>
      </c>
      <c r="E3198" s="0" t="n">
        <v>0</v>
      </c>
      <c r="F3198" s="23" t="s">
        <v>1466</v>
      </c>
      <c r="I3198" s="23" t="s">
        <v>1249</v>
      </c>
      <c r="U3198" s="0" t="n">
        <v>155</v>
      </c>
      <c r="V3198" s="0" t="n">
        <v>0</v>
      </c>
      <c r="W3198" s="0" t="str">
        <f aca="false">IF(OR(AND(B3198&gt;=1,B3198&lt;=6),B3198=10),"Vaca em lactação",IF(I3198="Male","Macho",IF(E3198&gt;=1,"Vaca seca",IF(I3198="Youngstock","Bezerra/recria","Novilha"))))</f>
        <v>Bezerra/recria</v>
      </c>
      <c r="X3198" s="0" t="str">
        <f aca="false">IF(AND(B3198&gt;=1,B3198&lt;=6),"Tanque",IF(B3198=10,"Descarte",""))</f>
        <v/>
      </c>
    </row>
    <row r="3199" customFormat="false" ht="15" hidden="false" customHeight="false" outlineLevel="0" collapsed="false">
      <c r="A3199" s="22" t="n">
        <v>46309</v>
      </c>
      <c r="B3199" s="0" t="n">
        <v>13</v>
      </c>
      <c r="C3199" s="0" t="n">
        <v>7710</v>
      </c>
      <c r="E3199" s="0" t="n">
        <v>0</v>
      </c>
      <c r="F3199" s="23" t="s">
        <v>1466</v>
      </c>
      <c r="I3199" s="23" t="s">
        <v>1249</v>
      </c>
      <c r="U3199" s="0" t="n">
        <v>155</v>
      </c>
      <c r="V3199" s="0" t="n">
        <v>0</v>
      </c>
      <c r="W3199" s="0" t="str">
        <f aca="false">IF(OR(AND(B3199&gt;=1,B3199&lt;=6),B3199=10),"Vaca em lactação",IF(I3199="Male","Macho",IF(E3199&gt;=1,"Vaca seca",IF(I3199="Youngstock","Bezerra/recria","Novilha"))))</f>
        <v>Bezerra/recria</v>
      </c>
      <c r="X3199" s="0" t="str">
        <f aca="false">IF(AND(B3199&gt;=1,B3199&lt;=6),"Tanque",IF(B3199=10,"Descarte",""))</f>
        <v/>
      </c>
    </row>
    <row r="3200" customFormat="false" ht="15" hidden="false" customHeight="false" outlineLevel="0" collapsed="false">
      <c r="A3200" s="22" t="n">
        <v>46309</v>
      </c>
      <c r="B3200" s="0" t="n">
        <v>13</v>
      </c>
      <c r="C3200" s="0" t="n">
        <v>7709</v>
      </c>
      <c r="E3200" s="0" t="n">
        <v>0</v>
      </c>
      <c r="F3200" s="23" t="s">
        <v>1466</v>
      </c>
      <c r="I3200" s="23" t="s">
        <v>1249</v>
      </c>
      <c r="U3200" s="0" t="n">
        <v>155</v>
      </c>
      <c r="V3200" s="0" t="n">
        <v>0</v>
      </c>
      <c r="W3200" s="0" t="str">
        <f aca="false">IF(OR(AND(B3200&gt;=1,B3200&lt;=6),B3200=10),"Vaca em lactação",IF(I3200="Male","Macho",IF(E3200&gt;=1,"Vaca seca",IF(I3200="Youngstock","Bezerra/recria","Novilha"))))</f>
        <v>Bezerra/recria</v>
      </c>
      <c r="X3200" s="0" t="str">
        <f aca="false">IF(AND(B3200&gt;=1,B3200&lt;=6),"Tanque",IF(B3200=10,"Descarte",""))</f>
        <v/>
      </c>
    </row>
    <row r="3201" customFormat="false" ht="15" hidden="false" customHeight="false" outlineLevel="0" collapsed="false">
      <c r="A3201" s="22" t="n">
        <v>46309</v>
      </c>
      <c r="B3201" s="0" t="n">
        <v>13</v>
      </c>
      <c r="C3201" s="0" t="n">
        <v>7708</v>
      </c>
      <c r="E3201" s="0" t="n">
        <v>0</v>
      </c>
      <c r="F3201" s="23" t="s">
        <v>1466</v>
      </c>
      <c r="I3201" s="23" t="s">
        <v>1249</v>
      </c>
      <c r="U3201" s="0" t="n">
        <v>155</v>
      </c>
      <c r="V3201" s="0" t="n">
        <v>0</v>
      </c>
      <c r="W3201" s="0" t="str">
        <f aca="false">IF(OR(AND(B3201&gt;=1,B3201&lt;=6),B3201=10),"Vaca em lactação",IF(I3201="Male","Macho",IF(E3201&gt;=1,"Vaca seca",IF(I3201="Youngstock","Bezerra/recria","Novilha"))))</f>
        <v>Bezerra/recria</v>
      </c>
      <c r="X3201" s="0" t="str">
        <f aca="false">IF(AND(B3201&gt;=1,B3201&lt;=6),"Tanque",IF(B3201=10,"Descarte",""))</f>
        <v/>
      </c>
    </row>
    <row r="3202" customFormat="false" ht="15" hidden="false" customHeight="false" outlineLevel="0" collapsed="false">
      <c r="A3202" s="22" t="n">
        <v>46309</v>
      </c>
      <c r="B3202" s="0" t="n">
        <v>13</v>
      </c>
      <c r="C3202" s="0" t="n">
        <v>7707</v>
      </c>
      <c r="E3202" s="0" t="n">
        <v>0</v>
      </c>
      <c r="F3202" s="23" t="s">
        <v>1466</v>
      </c>
      <c r="I3202" s="23" t="s">
        <v>1249</v>
      </c>
      <c r="U3202" s="0" t="n">
        <v>155</v>
      </c>
      <c r="V3202" s="0" t="n">
        <v>0</v>
      </c>
      <c r="W3202" s="0" t="str">
        <f aca="false">IF(OR(AND(B3202&gt;=1,B3202&lt;=6),B3202=10),"Vaca em lactação",IF(I3202="Male","Macho",IF(E3202&gt;=1,"Vaca seca",IF(I3202="Youngstock","Bezerra/recria","Novilha"))))</f>
        <v>Bezerra/recria</v>
      </c>
      <c r="X3202" s="0" t="str">
        <f aca="false">IF(AND(B3202&gt;=1,B3202&lt;=6),"Tanque",IF(B3202=10,"Descarte",""))</f>
        <v/>
      </c>
    </row>
    <row r="3203" customFormat="false" ht="15" hidden="false" customHeight="false" outlineLevel="0" collapsed="false">
      <c r="A3203" s="22" t="n">
        <v>46309</v>
      </c>
      <c r="B3203" s="0" t="n">
        <v>13</v>
      </c>
      <c r="C3203" s="0" t="n">
        <v>7715</v>
      </c>
      <c r="E3203" s="0" t="n">
        <v>0</v>
      </c>
      <c r="F3203" s="23" t="s">
        <v>1467</v>
      </c>
      <c r="I3203" s="23" t="s">
        <v>1249</v>
      </c>
      <c r="U3203" s="0" t="n">
        <v>154</v>
      </c>
      <c r="V3203" s="0" t="n">
        <v>0</v>
      </c>
      <c r="W3203" s="0" t="str">
        <f aca="false">IF(OR(AND(B3203&gt;=1,B3203&lt;=6),B3203=10),"Vaca em lactação",IF(I3203="Male","Macho",IF(E3203&gt;=1,"Vaca seca",IF(I3203="Youngstock","Bezerra/recria","Novilha"))))</f>
        <v>Bezerra/recria</v>
      </c>
      <c r="X3203" s="0" t="str">
        <f aca="false">IF(AND(B3203&gt;=1,B3203&lt;=6),"Tanque",IF(B3203=10,"Descarte",""))</f>
        <v/>
      </c>
    </row>
    <row r="3204" customFormat="false" ht="15" hidden="false" customHeight="false" outlineLevel="0" collapsed="false">
      <c r="A3204" s="22" t="n">
        <v>46309</v>
      </c>
      <c r="B3204" s="0" t="n">
        <v>13</v>
      </c>
      <c r="C3204" s="0" t="n">
        <v>7714</v>
      </c>
      <c r="E3204" s="0" t="n">
        <v>0</v>
      </c>
      <c r="F3204" s="23" t="s">
        <v>1466</v>
      </c>
      <c r="I3204" s="23" t="s">
        <v>1249</v>
      </c>
      <c r="U3204" s="0" t="n">
        <v>155</v>
      </c>
      <c r="V3204" s="0" t="n">
        <v>0</v>
      </c>
      <c r="W3204" s="0" t="str">
        <f aca="false">IF(OR(AND(B3204&gt;=1,B3204&lt;=6),B3204=10),"Vaca em lactação",IF(I3204="Male","Macho",IF(E3204&gt;=1,"Vaca seca",IF(I3204="Youngstock","Bezerra/recria","Novilha"))))</f>
        <v>Bezerra/recria</v>
      </c>
      <c r="X3204" s="0" t="str">
        <f aca="false">IF(AND(B3204&gt;=1,B3204&lt;=6),"Tanque",IF(B3204=10,"Descarte",""))</f>
        <v/>
      </c>
    </row>
    <row r="3205" customFormat="false" ht="15" hidden="false" customHeight="false" outlineLevel="0" collapsed="false">
      <c r="A3205" s="22" t="n">
        <v>46309</v>
      </c>
      <c r="B3205" s="0" t="n">
        <v>13</v>
      </c>
      <c r="C3205" s="0" t="n">
        <v>7713</v>
      </c>
      <c r="E3205" s="0" t="n">
        <v>0</v>
      </c>
      <c r="F3205" s="23" t="s">
        <v>1466</v>
      </c>
      <c r="I3205" s="23" t="s">
        <v>1249</v>
      </c>
      <c r="U3205" s="0" t="n">
        <v>155</v>
      </c>
      <c r="V3205" s="0" t="n">
        <v>0</v>
      </c>
      <c r="W3205" s="0" t="str">
        <f aca="false">IF(OR(AND(B3205&gt;=1,B3205&lt;=6),B3205=10),"Vaca em lactação",IF(I3205="Male","Macho",IF(E3205&gt;=1,"Vaca seca",IF(I3205="Youngstock","Bezerra/recria","Novilha"))))</f>
        <v>Bezerra/recria</v>
      </c>
      <c r="X3205" s="0" t="str">
        <f aca="false">IF(AND(B3205&gt;=1,B3205&lt;=6),"Tanque",IF(B3205=10,"Descarte",""))</f>
        <v/>
      </c>
    </row>
    <row r="3206" customFormat="false" ht="15" hidden="false" customHeight="false" outlineLevel="0" collapsed="false">
      <c r="A3206" s="22" t="n">
        <v>46309</v>
      </c>
      <c r="B3206" s="0" t="n">
        <v>13</v>
      </c>
      <c r="C3206" s="0" t="n">
        <v>7721</v>
      </c>
      <c r="E3206" s="0" t="n">
        <v>0</v>
      </c>
      <c r="F3206" s="23" t="s">
        <v>1467</v>
      </c>
      <c r="I3206" s="23" t="s">
        <v>1249</v>
      </c>
      <c r="U3206" s="0" t="n">
        <v>154</v>
      </c>
      <c r="V3206" s="0" t="n">
        <v>0</v>
      </c>
      <c r="W3206" s="0" t="str">
        <f aca="false">IF(OR(AND(B3206&gt;=1,B3206&lt;=6),B3206=10),"Vaca em lactação",IF(I3206="Male","Macho",IF(E3206&gt;=1,"Vaca seca",IF(I3206="Youngstock","Bezerra/recria","Novilha"))))</f>
        <v>Bezerra/recria</v>
      </c>
      <c r="X3206" s="0" t="str">
        <f aca="false">IF(AND(B3206&gt;=1,B3206&lt;=6),"Tanque",IF(B3206=10,"Descarte",""))</f>
        <v/>
      </c>
    </row>
    <row r="3207" customFormat="false" ht="15" hidden="false" customHeight="false" outlineLevel="0" collapsed="false">
      <c r="A3207" s="22" t="n">
        <v>46309</v>
      </c>
      <c r="B3207" s="0" t="n">
        <v>13</v>
      </c>
      <c r="C3207" s="0" t="n">
        <v>7720</v>
      </c>
      <c r="E3207" s="0" t="n">
        <v>0</v>
      </c>
      <c r="F3207" s="23" t="s">
        <v>1467</v>
      </c>
      <c r="I3207" s="23" t="s">
        <v>1249</v>
      </c>
      <c r="U3207" s="0" t="n">
        <v>154</v>
      </c>
      <c r="V3207" s="0" t="n">
        <v>0</v>
      </c>
      <c r="W3207" s="0" t="str">
        <f aca="false">IF(OR(AND(B3207&gt;=1,B3207&lt;=6),B3207=10),"Vaca em lactação",IF(I3207="Male","Macho",IF(E3207&gt;=1,"Vaca seca",IF(I3207="Youngstock","Bezerra/recria","Novilha"))))</f>
        <v>Bezerra/recria</v>
      </c>
      <c r="X3207" s="0" t="str">
        <f aca="false">IF(AND(B3207&gt;=1,B3207&lt;=6),"Tanque",IF(B3207=10,"Descarte",""))</f>
        <v/>
      </c>
    </row>
    <row r="3208" customFormat="false" ht="15" hidden="false" customHeight="false" outlineLevel="0" collapsed="false">
      <c r="A3208" s="22" t="n">
        <v>46309</v>
      </c>
      <c r="B3208" s="0" t="n">
        <v>13</v>
      </c>
      <c r="C3208" s="0" t="n">
        <v>7719</v>
      </c>
      <c r="E3208" s="0" t="n">
        <v>0</v>
      </c>
      <c r="F3208" s="23" t="s">
        <v>1467</v>
      </c>
      <c r="I3208" s="23" t="s">
        <v>1249</v>
      </c>
      <c r="U3208" s="0" t="n">
        <v>154</v>
      </c>
      <c r="V3208" s="0" t="n">
        <v>0</v>
      </c>
      <c r="W3208" s="0" t="str">
        <f aca="false">IF(OR(AND(B3208&gt;=1,B3208&lt;=6),B3208=10),"Vaca em lactação",IF(I3208="Male","Macho",IF(E3208&gt;=1,"Vaca seca",IF(I3208="Youngstock","Bezerra/recria","Novilha"))))</f>
        <v>Bezerra/recria</v>
      </c>
      <c r="X3208" s="0" t="str">
        <f aca="false">IF(AND(B3208&gt;=1,B3208&lt;=6),"Tanque",IF(B3208=10,"Descarte",""))</f>
        <v/>
      </c>
    </row>
    <row r="3209" customFormat="false" ht="15" hidden="false" customHeight="false" outlineLevel="0" collapsed="false">
      <c r="A3209" s="22" t="n">
        <v>46309</v>
      </c>
      <c r="B3209" s="0" t="n">
        <v>13</v>
      </c>
      <c r="C3209" s="0" t="n">
        <v>7718</v>
      </c>
      <c r="E3209" s="0" t="n">
        <v>0</v>
      </c>
      <c r="F3209" s="23" t="s">
        <v>1467</v>
      </c>
      <c r="I3209" s="23" t="s">
        <v>1249</v>
      </c>
      <c r="U3209" s="0" t="n">
        <v>154</v>
      </c>
      <c r="V3209" s="0" t="n">
        <v>0</v>
      </c>
      <c r="W3209" s="0" t="str">
        <f aca="false">IF(OR(AND(B3209&gt;=1,B3209&lt;=6),B3209=10),"Vaca em lactação",IF(I3209="Male","Macho",IF(E3209&gt;=1,"Vaca seca",IF(I3209="Youngstock","Bezerra/recria","Novilha"))))</f>
        <v>Bezerra/recria</v>
      </c>
      <c r="X3209" s="0" t="str">
        <f aca="false">IF(AND(B3209&gt;=1,B3209&lt;=6),"Tanque",IF(B3209=10,"Descarte",""))</f>
        <v/>
      </c>
    </row>
    <row r="3210" customFormat="false" ht="15" hidden="false" customHeight="false" outlineLevel="0" collapsed="false">
      <c r="A3210" s="22" t="n">
        <v>46309</v>
      </c>
      <c r="B3210" s="0" t="n">
        <v>13</v>
      </c>
      <c r="C3210" s="0" t="n">
        <v>7717</v>
      </c>
      <c r="E3210" s="0" t="n">
        <v>0</v>
      </c>
      <c r="F3210" s="23" t="s">
        <v>1467</v>
      </c>
      <c r="I3210" s="23" t="s">
        <v>1249</v>
      </c>
      <c r="U3210" s="0" t="n">
        <v>154</v>
      </c>
      <c r="V3210" s="0" t="n">
        <v>0</v>
      </c>
      <c r="W3210" s="0" t="str">
        <f aca="false">IF(OR(AND(B3210&gt;=1,B3210&lt;=6),B3210=10),"Vaca em lactação",IF(I3210="Male","Macho",IF(E3210&gt;=1,"Vaca seca",IF(I3210="Youngstock","Bezerra/recria","Novilha"))))</f>
        <v>Bezerra/recria</v>
      </c>
      <c r="X3210" s="0" t="str">
        <f aca="false">IF(AND(B3210&gt;=1,B3210&lt;=6),"Tanque",IF(B3210=10,"Descarte",""))</f>
        <v/>
      </c>
    </row>
    <row r="3211" customFormat="false" ht="15" hidden="false" customHeight="false" outlineLevel="0" collapsed="false">
      <c r="A3211" s="22" t="n">
        <v>46309</v>
      </c>
      <c r="B3211" s="0" t="n">
        <v>13</v>
      </c>
      <c r="C3211" s="0" t="n">
        <v>7716</v>
      </c>
      <c r="E3211" s="0" t="n">
        <v>0</v>
      </c>
      <c r="F3211" s="23" t="s">
        <v>1467</v>
      </c>
      <c r="I3211" s="23" t="s">
        <v>1249</v>
      </c>
      <c r="U3211" s="0" t="n">
        <v>154</v>
      </c>
      <c r="V3211" s="0" t="n">
        <v>0</v>
      </c>
      <c r="W3211" s="0" t="str">
        <f aca="false">IF(OR(AND(B3211&gt;=1,B3211&lt;=6),B3211=10),"Vaca em lactação",IF(I3211="Male","Macho",IF(E3211&gt;=1,"Vaca seca",IF(I3211="Youngstock","Bezerra/recria","Novilha"))))</f>
        <v>Bezerra/recria</v>
      </c>
      <c r="X3211" s="0" t="str">
        <f aca="false">IF(AND(B3211&gt;=1,B3211&lt;=6),"Tanque",IF(B3211=10,"Descarte",""))</f>
        <v/>
      </c>
    </row>
    <row r="3212" customFormat="false" ht="15" hidden="false" customHeight="false" outlineLevel="0" collapsed="false">
      <c r="A3212" s="22" t="n">
        <v>46309</v>
      </c>
      <c r="B3212" s="0" t="n">
        <v>13</v>
      </c>
      <c r="C3212" s="0" t="n">
        <v>7724</v>
      </c>
      <c r="E3212" s="0" t="n">
        <v>0</v>
      </c>
      <c r="F3212" s="23" t="s">
        <v>1468</v>
      </c>
      <c r="I3212" s="23" t="s">
        <v>1249</v>
      </c>
      <c r="U3212" s="0" t="n">
        <v>153</v>
      </c>
      <c r="V3212" s="0" t="n">
        <v>0</v>
      </c>
      <c r="W3212" s="0" t="str">
        <f aca="false">IF(OR(AND(B3212&gt;=1,B3212&lt;=6),B3212=10),"Vaca em lactação",IF(I3212="Male","Macho",IF(E3212&gt;=1,"Vaca seca",IF(I3212="Youngstock","Bezerra/recria","Novilha"))))</f>
        <v>Bezerra/recria</v>
      </c>
      <c r="X3212" s="0" t="str">
        <f aca="false">IF(AND(B3212&gt;=1,B3212&lt;=6),"Tanque",IF(B3212=10,"Descarte",""))</f>
        <v/>
      </c>
    </row>
    <row r="3213" customFormat="false" ht="15" hidden="false" customHeight="false" outlineLevel="0" collapsed="false">
      <c r="A3213" s="22" t="n">
        <v>46309</v>
      </c>
      <c r="B3213" s="0" t="n">
        <v>13</v>
      </c>
      <c r="C3213" s="0" t="n">
        <v>7723</v>
      </c>
      <c r="E3213" s="0" t="n">
        <v>0</v>
      </c>
      <c r="F3213" s="23" t="s">
        <v>1467</v>
      </c>
      <c r="I3213" s="23" t="s">
        <v>1249</v>
      </c>
      <c r="U3213" s="0" t="n">
        <v>154</v>
      </c>
      <c r="V3213" s="0" t="n">
        <v>0</v>
      </c>
      <c r="W3213" s="0" t="str">
        <f aca="false">IF(OR(AND(B3213&gt;=1,B3213&lt;=6),B3213=10),"Vaca em lactação",IF(I3213="Male","Macho",IF(E3213&gt;=1,"Vaca seca",IF(I3213="Youngstock","Bezerra/recria","Novilha"))))</f>
        <v>Bezerra/recria</v>
      </c>
      <c r="X3213" s="0" t="str">
        <f aca="false">IF(AND(B3213&gt;=1,B3213&lt;=6),"Tanque",IF(B3213=10,"Descarte",""))</f>
        <v/>
      </c>
    </row>
    <row r="3214" customFormat="false" ht="15" hidden="false" customHeight="false" outlineLevel="0" collapsed="false">
      <c r="A3214" s="22" t="n">
        <v>46309</v>
      </c>
      <c r="B3214" s="0" t="n">
        <v>13</v>
      </c>
      <c r="C3214" s="0" t="n">
        <v>7726</v>
      </c>
      <c r="E3214" s="0" t="n">
        <v>0</v>
      </c>
      <c r="F3214" s="23" t="s">
        <v>1468</v>
      </c>
      <c r="I3214" s="23" t="s">
        <v>1249</v>
      </c>
      <c r="U3214" s="0" t="n">
        <v>153</v>
      </c>
      <c r="V3214" s="0" t="n">
        <v>0</v>
      </c>
      <c r="W3214" s="0" t="str">
        <f aca="false">IF(OR(AND(B3214&gt;=1,B3214&lt;=6),B3214=10),"Vaca em lactação",IF(I3214="Male","Macho",IF(E3214&gt;=1,"Vaca seca",IF(I3214="Youngstock","Bezerra/recria","Novilha"))))</f>
        <v>Bezerra/recria</v>
      </c>
      <c r="X3214" s="0" t="str">
        <f aca="false">IF(AND(B3214&gt;=1,B3214&lt;=6),"Tanque",IF(B3214=10,"Descarte",""))</f>
        <v/>
      </c>
    </row>
    <row r="3215" customFormat="false" ht="15" hidden="false" customHeight="false" outlineLevel="0" collapsed="false">
      <c r="A3215" s="22" t="n">
        <v>46309</v>
      </c>
      <c r="B3215" s="0" t="n">
        <v>13</v>
      </c>
      <c r="C3215" s="0" t="n">
        <v>7729</v>
      </c>
      <c r="E3215" s="0" t="n">
        <v>0</v>
      </c>
      <c r="F3215" s="23" t="s">
        <v>1468</v>
      </c>
      <c r="I3215" s="23" t="s">
        <v>1249</v>
      </c>
      <c r="U3215" s="0" t="n">
        <v>153</v>
      </c>
      <c r="V3215" s="0" t="n">
        <v>0</v>
      </c>
      <c r="W3215" s="0" t="str">
        <f aca="false">IF(OR(AND(B3215&gt;=1,B3215&lt;=6),B3215=10),"Vaca em lactação",IF(I3215="Male","Macho",IF(E3215&gt;=1,"Vaca seca",IF(I3215="Youngstock","Bezerra/recria","Novilha"))))</f>
        <v>Bezerra/recria</v>
      </c>
      <c r="X3215" s="0" t="str">
        <f aca="false">IF(AND(B3215&gt;=1,B3215&lt;=6),"Tanque",IF(B3215=10,"Descarte",""))</f>
        <v/>
      </c>
    </row>
    <row r="3216" customFormat="false" ht="15" hidden="false" customHeight="false" outlineLevel="0" collapsed="false">
      <c r="A3216" s="22" t="n">
        <v>46309</v>
      </c>
      <c r="B3216" s="0" t="n">
        <v>13</v>
      </c>
      <c r="C3216" s="0" t="n">
        <v>7728</v>
      </c>
      <c r="E3216" s="0" t="n">
        <v>0</v>
      </c>
      <c r="F3216" s="23" t="s">
        <v>1468</v>
      </c>
      <c r="I3216" s="23" t="s">
        <v>1249</v>
      </c>
      <c r="U3216" s="0" t="n">
        <v>153</v>
      </c>
      <c r="V3216" s="0" t="n">
        <v>0</v>
      </c>
      <c r="W3216" s="0" t="str">
        <f aca="false">IF(OR(AND(B3216&gt;=1,B3216&lt;=6),B3216=10),"Vaca em lactação",IF(I3216="Male","Macho",IF(E3216&gt;=1,"Vaca seca",IF(I3216="Youngstock","Bezerra/recria","Novilha"))))</f>
        <v>Bezerra/recria</v>
      </c>
      <c r="X3216" s="0" t="str">
        <f aca="false">IF(AND(B3216&gt;=1,B3216&lt;=6),"Tanque",IF(B3216=10,"Descarte",""))</f>
        <v/>
      </c>
    </row>
    <row r="3217" customFormat="false" ht="15" hidden="false" customHeight="false" outlineLevel="0" collapsed="false">
      <c r="A3217" s="22" t="n">
        <v>46309</v>
      </c>
      <c r="B3217" s="0" t="n">
        <v>13</v>
      </c>
      <c r="C3217" s="0" t="n">
        <v>7727</v>
      </c>
      <c r="E3217" s="0" t="n">
        <v>0</v>
      </c>
      <c r="F3217" s="23" t="s">
        <v>1468</v>
      </c>
      <c r="I3217" s="23" t="s">
        <v>1249</v>
      </c>
      <c r="U3217" s="0" t="n">
        <v>153</v>
      </c>
      <c r="V3217" s="0" t="n">
        <v>0</v>
      </c>
      <c r="W3217" s="0" t="str">
        <f aca="false">IF(OR(AND(B3217&gt;=1,B3217&lt;=6),B3217=10),"Vaca em lactação",IF(I3217="Male","Macho",IF(E3217&gt;=1,"Vaca seca",IF(I3217="Youngstock","Bezerra/recria","Novilha"))))</f>
        <v>Bezerra/recria</v>
      </c>
      <c r="X3217" s="0" t="str">
        <f aca="false">IF(AND(B3217&gt;=1,B3217&lt;=6),"Tanque",IF(B3217=10,"Descarte",""))</f>
        <v/>
      </c>
    </row>
    <row r="3218" customFormat="false" ht="15" hidden="false" customHeight="false" outlineLevel="0" collapsed="false">
      <c r="A3218" s="22" t="n">
        <v>46309</v>
      </c>
      <c r="B3218" s="0" t="n">
        <v>13</v>
      </c>
      <c r="C3218" s="0" t="n">
        <v>7734</v>
      </c>
      <c r="E3218" s="0" t="n">
        <v>0</v>
      </c>
      <c r="F3218" s="23" t="s">
        <v>1469</v>
      </c>
      <c r="I3218" s="23" t="s">
        <v>1249</v>
      </c>
      <c r="U3218" s="0" t="n">
        <v>151</v>
      </c>
      <c r="V3218" s="0" t="n">
        <v>0</v>
      </c>
      <c r="W3218" s="0" t="str">
        <f aca="false">IF(OR(AND(B3218&gt;=1,B3218&lt;=6),B3218=10),"Vaca em lactação",IF(I3218="Male","Macho",IF(E3218&gt;=1,"Vaca seca",IF(I3218="Youngstock","Bezerra/recria","Novilha"))))</f>
        <v>Bezerra/recria</v>
      </c>
      <c r="X3218" s="0" t="str">
        <f aca="false">IF(AND(B3218&gt;=1,B3218&lt;=6),"Tanque",IF(B3218=10,"Descarte",""))</f>
        <v/>
      </c>
    </row>
    <row r="3219" customFormat="false" ht="15" hidden="false" customHeight="false" outlineLevel="0" collapsed="false">
      <c r="A3219" s="22" t="n">
        <v>46309</v>
      </c>
      <c r="B3219" s="0" t="n">
        <v>13</v>
      </c>
      <c r="C3219" s="0" t="n">
        <v>7732</v>
      </c>
      <c r="E3219" s="0" t="n">
        <v>0</v>
      </c>
      <c r="F3219" s="23" t="s">
        <v>1470</v>
      </c>
      <c r="I3219" s="23" t="s">
        <v>1249</v>
      </c>
      <c r="U3219" s="0" t="n">
        <v>152</v>
      </c>
      <c r="V3219" s="0" t="n">
        <v>0</v>
      </c>
      <c r="W3219" s="0" t="str">
        <f aca="false">IF(OR(AND(B3219&gt;=1,B3219&lt;=6),B3219=10),"Vaca em lactação",IF(I3219="Male","Macho",IF(E3219&gt;=1,"Vaca seca",IF(I3219="Youngstock","Bezerra/recria","Novilha"))))</f>
        <v>Bezerra/recria</v>
      </c>
      <c r="X3219" s="0" t="str">
        <f aca="false">IF(AND(B3219&gt;=1,B3219&lt;=6),"Tanque",IF(B3219=10,"Descarte",""))</f>
        <v/>
      </c>
    </row>
    <row r="3220" customFormat="false" ht="15" hidden="false" customHeight="false" outlineLevel="0" collapsed="false">
      <c r="A3220" s="22" t="n">
        <v>46309</v>
      </c>
      <c r="B3220" s="0" t="n">
        <v>13</v>
      </c>
      <c r="C3220" s="0" t="n">
        <v>7731</v>
      </c>
      <c r="E3220" s="0" t="n">
        <v>0</v>
      </c>
      <c r="F3220" s="23" t="s">
        <v>1470</v>
      </c>
      <c r="I3220" s="23" t="s">
        <v>1249</v>
      </c>
      <c r="U3220" s="0" t="n">
        <v>152</v>
      </c>
      <c r="V3220" s="0" t="n">
        <v>0</v>
      </c>
      <c r="W3220" s="0" t="str">
        <f aca="false">IF(OR(AND(B3220&gt;=1,B3220&lt;=6),B3220=10),"Vaca em lactação",IF(I3220="Male","Macho",IF(E3220&gt;=1,"Vaca seca",IF(I3220="Youngstock","Bezerra/recria","Novilha"))))</f>
        <v>Bezerra/recria</v>
      </c>
      <c r="X3220" s="0" t="str">
        <f aca="false">IF(AND(B3220&gt;=1,B3220&lt;=6),"Tanque",IF(B3220=10,"Descarte",""))</f>
        <v/>
      </c>
    </row>
    <row r="3221" customFormat="false" ht="15" hidden="false" customHeight="false" outlineLevel="0" collapsed="false">
      <c r="A3221" s="22" t="n">
        <v>46309</v>
      </c>
      <c r="B3221" s="0" t="n">
        <v>13</v>
      </c>
      <c r="C3221" s="0" t="n">
        <v>7730</v>
      </c>
      <c r="E3221" s="0" t="n">
        <v>0</v>
      </c>
      <c r="F3221" s="23" t="s">
        <v>1470</v>
      </c>
      <c r="I3221" s="23" t="s">
        <v>1249</v>
      </c>
      <c r="U3221" s="0" t="n">
        <v>152</v>
      </c>
      <c r="V3221" s="0" t="n">
        <v>0</v>
      </c>
      <c r="W3221" s="0" t="str">
        <f aca="false">IF(OR(AND(B3221&gt;=1,B3221&lt;=6),B3221=10),"Vaca em lactação",IF(I3221="Male","Macho",IF(E3221&gt;=1,"Vaca seca",IF(I3221="Youngstock","Bezerra/recria","Novilha"))))</f>
        <v>Bezerra/recria</v>
      </c>
      <c r="X3221" s="0" t="str">
        <f aca="false">IF(AND(B3221&gt;=1,B3221&lt;=6),"Tanque",IF(B3221=10,"Descarte",""))</f>
        <v/>
      </c>
    </row>
    <row r="3222" customFormat="false" ht="15" hidden="false" customHeight="false" outlineLevel="0" collapsed="false">
      <c r="A3222" s="22" t="n">
        <v>46309</v>
      </c>
      <c r="B3222" s="0" t="n">
        <v>13</v>
      </c>
      <c r="C3222" s="0" t="n">
        <v>7735</v>
      </c>
      <c r="E3222" s="0" t="n">
        <v>0</v>
      </c>
      <c r="F3222" s="23" t="s">
        <v>1471</v>
      </c>
      <c r="I3222" s="23" t="s">
        <v>1249</v>
      </c>
      <c r="U3222" s="0" t="n">
        <v>149</v>
      </c>
      <c r="V3222" s="0" t="n">
        <v>0</v>
      </c>
      <c r="W3222" s="0" t="str">
        <f aca="false">IF(OR(AND(B3222&gt;=1,B3222&lt;=6),B3222=10),"Vaca em lactação",IF(I3222="Male","Macho",IF(E3222&gt;=1,"Vaca seca",IF(I3222="Youngstock","Bezerra/recria","Novilha"))))</f>
        <v>Bezerra/recria</v>
      </c>
      <c r="X3222" s="0" t="str">
        <f aca="false">IF(AND(B3222&gt;=1,B3222&lt;=6),"Tanque",IF(B3222=10,"Descarte",""))</f>
        <v/>
      </c>
    </row>
    <row r="3223" customFormat="false" ht="15" hidden="false" customHeight="false" outlineLevel="0" collapsed="false">
      <c r="A3223" s="22" t="n">
        <v>46309</v>
      </c>
      <c r="B3223" s="0" t="n">
        <v>13</v>
      </c>
      <c r="C3223" s="0" t="n">
        <v>7733</v>
      </c>
      <c r="E3223" s="0" t="n">
        <v>0</v>
      </c>
      <c r="F3223" s="23" t="s">
        <v>1472</v>
      </c>
      <c r="I3223" s="23" t="s">
        <v>1249</v>
      </c>
      <c r="U3223" s="0" t="n">
        <v>150</v>
      </c>
      <c r="V3223" s="0" t="n">
        <v>0</v>
      </c>
      <c r="W3223" s="0" t="str">
        <f aca="false">IF(OR(AND(B3223&gt;=1,B3223&lt;=6),B3223=10),"Vaca em lactação",IF(I3223="Male","Macho",IF(E3223&gt;=1,"Vaca seca",IF(I3223="Youngstock","Bezerra/recria","Novilha"))))</f>
        <v>Bezerra/recria</v>
      </c>
      <c r="X3223" s="0" t="str">
        <f aca="false">IF(AND(B3223&gt;=1,B3223&lt;=6),"Tanque",IF(B3223=10,"Descarte",""))</f>
        <v/>
      </c>
    </row>
    <row r="3224" customFormat="false" ht="15" hidden="false" customHeight="false" outlineLevel="0" collapsed="false">
      <c r="A3224" s="22" t="n">
        <v>46309</v>
      </c>
      <c r="B3224" s="0" t="n">
        <v>13</v>
      </c>
      <c r="C3224" s="0" t="n">
        <v>7737</v>
      </c>
      <c r="E3224" s="0" t="n">
        <v>0</v>
      </c>
      <c r="F3224" s="23" t="s">
        <v>1471</v>
      </c>
      <c r="I3224" s="23" t="s">
        <v>1249</v>
      </c>
      <c r="U3224" s="0" t="n">
        <v>149</v>
      </c>
      <c r="V3224" s="0" t="n">
        <v>0</v>
      </c>
      <c r="W3224" s="0" t="str">
        <f aca="false">IF(OR(AND(B3224&gt;=1,B3224&lt;=6),B3224=10),"Vaca em lactação",IF(I3224="Male","Macho",IF(E3224&gt;=1,"Vaca seca",IF(I3224="Youngstock","Bezerra/recria","Novilha"))))</f>
        <v>Bezerra/recria</v>
      </c>
      <c r="X3224" s="0" t="str">
        <f aca="false">IF(AND(B3224&gt;=1,B3224&lt;=6),"Tanque",IF(B3224=10,"Descarte",""))</f>
        <v/>
      </c>
    </row>
    <row r="3225" customFormat="false" ht="15" hidden="false" customHeight="false" outlineLevel="0" collapsed="false">
      <c r="A3225" s="22" t="n">
        <v>46309</v>
      </c>
      <c r="B3225" s="0" t="n">
        <v>13</v>
      </c>
      <c r="C3225" s="0" t="n">
        <v>7736</v>
      </c>
      <c r="E3225" s="0" t="n">
        <v>0</v>
      </c>
      <c r="F3225" s="23" t="s">
        <v>1471</v>
      </c>
      <c r="I3225" s="23" t="s">
        <v>1249</v>
      </c>
      <c r="U3225" s="0" t="n">
        <v>149</v>
      </c>
      <c r="V3225" s="0" t="n">
        <v>0</v>
      </c>
      <c r="W3225" s="0" t="str">
        <f aca="false">IF(OR(AND(B3225&gt;=1,B3225&lt;=6),B3225=10),"Vaca em lactação",IF(I3225="Male","Macho",IF(E3225&gt;=1,"Vaca seca",IF(I3225="Youngstock","Bezerra/recria","Novilha"))))</f>
        <v>Bezerra/recria</v>
      </c>
      <c r="X3225" s="0" t="str">
        <f aca="false">IF(AND(B3225&gt;=1,B3225&lt;=6),"Tanque",IF(B3225=10,"Descarte",""))</f>
        <v/>
      </c>
    </row>
    <row r="3226" customFormat="false" ht="15" hidden="false" customHeight="false" outlineLevel="0" collapsed="false">
      <c r="A3226" s="22" t="n">
        <v>46309</v>
      </c>
      <c r="B3226" s="0" t="n">
        <v>13</v>
      </c>
      <c r="C3226" s="0" t="n">
        <v>7738</v>
      </c>
      <c r="E3226" s="0" t="n">
        <v>0</v>
      </c>
      <c r="F3226" s="23" t="s">
        <v>1471</v>
      </c>
      <c r="I3226" s="23" t="s">
        <v>1249</v>
      </c>
      <c r="U3226" s="0" t="n">
        <v>149</v>
      </c>
      <c r="V3226" s="0" t="n">
        <v>0</v>
      </c>
      <c r="W3226" s="0" t="str">
        <f aca="false">IF(OR(AND(B3226&gt;=1,B3226&lt;=6),B3226=10),"Vaca em lactação",IF(I3226="Male","Macho",IF(E3226&gt;=1,"Vaca seca",IF(I3226="Youngstock","Bezerra/recria","Novilha"))))</f>
        <v>Bezerra/recria</v>
      </c>
      <c r="X3226" s="0" t="str">
        <f aca="false">IF(AND(B3226&gt;=1,B3226&lt;=6),"Tanque",IF(B3226=10,"Descarte",""))</f>
        <v/>
      </c>
    </row>
    <row r="3227" customFormat="false" ht="15" hidden="false" customHeight="false" outlineLevel="0" collapsed="false">
      <c r="A3227" s="22" t="n">
        <v>46309</v>
      </c>
      <c r="B3227" s="0" t="n">
        <v>13</v>
      </c>
      <c r="C3227" s="0" t="n">
        <v>7697</v>
      </c>
      <c r="E3227" s="0" t="n">
        <v>0</v>
      </c>
      <c r="F3227" s="23" t="s">
        <v>1473</v>
      </c>
      <c r="I3227" s="23" t="s">
        <v>1249</v>
      </c>
      <c r="U3227" s="0" t="n">
        <v>160</v>
      </c>
      <c r="V3227" s="0" t="n">
        <v>0</v>
      </c>
      <c r="W3227" s="0" t="str">
        <f aca="false">IF(OR(AND(B3227&gt;=1,B3227&lt;=6),B3227=10),"Vaca em lactação",IF(I3227="Male","Macho",IF(E3227&gt;=1,"Vaca seca",IF(I3227="Youngstock","Bezerra/recria","Novilha"))))</f>
        <v>Bezerra/recria</v>
      </c>
      <c r="X3227" s="0" t="str">
        <f aca="false">IF(AND(B3227&gt;=1,B3227&lt;=6),"Tanque",IF(B3227=10,"Descarte",""))</f>
        <v/>
      </c>
    </row>
    <row r="3228" customFormat="false" ht="15" hidden="false" customHeight="false" outlineLevel="0" collapsed="false">
      <c r="A3228" s="22" t="n">
        <v>46309</v>
      </c>
      <c r="B3228" s="0" t="n">
        <v>13</v>
      </c>
      <c r="C3228" s="0" t="n">
        <v>7696</v>
      </c>
      <c r="E3228" s="0" t="n">
        <v>0</v>
      </c>
      <c r="F3228" s="23" t="s">
        <v>1474</v>
      </c>
      <c r="I3228" s="23" t="s">
        <v>1249</v>
      </c>
      <c r="U3228" s="0" t="n">
        <v>161</v>
      </c>
      <c r="V3228" s="0" t="n">
        <v>0</v>
      </c>
      <c r="W3228" s="0" t="str">
        <f aca="false">IF(OR(AND(B3228&gt;=1,B3228&lt;=6),B3228=10),"Vaca em lactação",IF(I3228="Male","Macho",IF(E3228&gt;=1,"Vaca seca",IF(I3228="Youngstock","Bezerra/recria","Novilha"))))</f>
        <v>Bezerra/recria</v>
      </c>
      <c r="X3228" s="0" t="str">
        <f aca="false">IF(AND(B3228&gt;=1,B3228&lt;=6),"Tanque",IF(B3228=10,"Descarte",""))</f>
        <v/>
      </c>
    </row>
    <row r="3229" customFormat="false" ht="15" hidden="false" customHeight="false" outlineLevel="0" collapsed="false">
      <c r="A3229" s="22" t="n">
        <v>46309</v>
      </c>
      <c r="B3229" s="0" t="n">
        <v>13</v>
      </c>
      <c r="C3229" s="0" t="n">
        <v>7695</v>
      </c>
      <c r="E3229" s="0" t="n">
        <v>0</v>
      </c>
      <c r="F3229" s="23" t="s">
        <v>1474</v>
      </c>
      <c r="I3229" s="23" t="s">
        <v>1249</v>
      </c>
      <c r="U3229" s="0" t="n">
        <v>161</v>
      </c>
      <c r="V3229" s="0" t="n">
        <v>0</v>
      </c>
      <c r="W3229" s="0" t="str">
        <f aca="false">IF(OR(AND(B3229&gt;=1,B3229&lt;=6),B3229=10),"Vaca em lactação",IF(I3229="Male","Macho",IF(E3229&gt;=1,"Vaca seca",IF(I3229="Youngstock","Bezerra/recria","Novilha"))))</f>
        <v>Bezerra/recria</v>
      </c>
      <c r="X3229" s="0" t="str">
        <f aca="false">IF(AND(B3229&gt;=1,B3229&lt;=6),"Tanque",IF(B3229=10,"Descarte",""))</f>
        <v/>
      </c>
    </row>
    <row r="3230" customFormat="false" ht="15" hidden="false" customHeight="false" outlineLevel="0" collapsed="false">
      <c r="A3230" s="22" t="n">
        <v>46309</v>
      </c>
      <c r="B3230" s="0" t="n">
        <v>13</v>
      </c>
      <c r="C3230" s="0" t="n">
        <v>7694</v>
      </c>
      <c r="E3230" s="0" t="n">
        <v>0</v>
      </c>
      <c r="F3230" s="23" t="s">
        <v>1474</v>
      </c>
      <c r="I3230" s="23" t="s">
        <v>1249</v>
      </c>
      <c r="U3230" s="0" t="n">
        <v>161</v>
      </c>
      <c r="V3230" s="0" t="n">
        <v>0</v>
      </c>
      <c r="W3230" s="0" t="str">
        <f aca="false">IF(OR(AND(B3230&gt;=1,B3230&lt;=6),B3230=10),"Vaca em lactação",IF(I3230="Male","Macho",IF(E3230&gt;=1,"Vaca seca",IF(I3230="Youngstock","Bezerra/recria","Novilha"))))</f>
        <v>Bezerra/recria</v>
      </c>
      <c r="X3230" s="0" t="str">
        <f aca="false">IF(AND(B3230&gt;=1,B3230&lt;=6),"Tanque",IF(B3230=10,"Descarte",""))</f>
        <v/>
      </c>
    </row>
    <row r="3231" customFormat="false" ht="15" hidden="false" customHeight="false" outlineLevel="0" collapsed="false">
      <c r="A3231" s="22" t="n">
        <v>46309</v>
      </c>
      <c r="B3231" s="0" t="n">
        <v>13</v>
      </c>
      <c r="C3231" s="0" t="n">
        <v>7693</v>
      </c>
      <c r="E3231" s="0" t="n">
        <v>0</v>
      </c>
      <c r="F3231" s="23" t="s">
        <v>1474</v>
      </c>
      <c r="I3231" s="23" t="s">
        <v>1249</v>
      </c>
      <c r="U3231" s="0" t="n">
        <v>161</v>
      </c>
      <c r="V3231" s="0" t="n">
        <v>0</v>
      </c>
      <c r="W3231" s="0" t="str">
        <f aca="false">IF(OR(AND(B3231&gt;=1,B3231&lt;=6),B3231=10),"Vaca em lactação",IF(I3231="Male","Macho",IF(E3231&gt;=1,"Vaca seca",IF(I3231="Youngstock","Bezerra/recria","Novilha"))))</f>
        <v>Bezerra/recria</v>
      </c>
      <c r="X3231" s="0" t="str">
        <f aca="false">IF(AND(B3231&gt;=1,B3231&lt;=6),"Tanque",IF(B3231=10,"Descarte",""))</f>
        <v/>
      </c>
    </row>
    <row r="3232" customFormat="false" ht="15" hidden="false" customHeight="false" outlineLevel="0" collapsed="false">
      <c r="A3232" s="22" t="n">
        <v>46309</v>
      </c>
      <c r="B3232" s="0" t="n">
        <v>13</v>
      </c>
      <c r="C3232" s="0" t="n">
        <v>7699</v>
      </c>
      <c r="E3232" s="0" t="n">
        <v>0</v>
      </c>
      <c r="F3232" s="23" t="s">
        <v>1473</v>
      </c>
      <c r="I3232" s="23" t="s">
        <v>1249</v>
      </c>
      <c r="U3232" s="0" t="n">
        <v>160</v>
      </c>
      <c r="V3232" s="0" t="n">
        <v>0</v>
      </c>
      <c r="W3232" s="0" t="str">
        <f aca="false">IF(OR(AND(B3232&gt;=1,B3232&lt;=6),B3232=10),"Vaca em lactação",IF(I3232="Male","Macho",IF(E3232&gt;=1,"Vaca seca",IF(I3232="Youngstock","Bezerra/recria","Novilha"))))</f>
        <v>Bezerra/recria</v>
      </c>
      <c r="X3232" s="0" t="str">
        <f aca="false">IF(AND(B3232&gt;=1,B3232&lt;=6),"Tanque",IF(B3232=10,"Descarte",""))</f>
        <v/>
      </c>
    </row>
    <row r="3233" customFormat="false" ht="15" hidden="false" customHeight="false" outlineLevel="0" collapsed="false">
      <c r="A3233" s="22" t="n">
        <v>46309</v>
      </c>
      <c r="B3233" s="0" t="n">
        <v>13</v>
      </c>
      <c r="C3233" s="0" t="n">
        <v>7698</v>
      </c>
      <c r="E3233" s="0" t="n">
        <v>0</v>
      </c>
      <c r="F3233" s="23" t="s">
        <v>1473</v>
      </c>
      <c r="I3233" s="23" t="s">
        <v>1249</v>
      </c>
      <c r="U3233" s="0" t="n">
        <v>160</v>
      </c>
      <c r="V3233" s="0" t="n">
        <v>0</v>
      </c>
      <c r="W3233" s="0" t="str">
        <f aca="false">IF(OR(AND(B3233&gt;=1,B3233&lt;=6),B3233=10),"Vaca em lactação",IF(I3233="Male","Macho",IF(E3233&gt;=1,"Vaca seca",IF(I3233="Youngstock","Bezerra/recria","Novilha"))))</f>
        <v>Bezerra/recria</v>
      </c>
      <c r="X3233" s="0" t="str">
        <f aca="false">IF(AND(B3233&gt;=1,B3233&lt;=6),"Tanque",IF(B3233=10,"Descarte",""))</f>
        <v/>
      </c>
    </row>
    <row r="3234" customFormat="false" ht="15" hidden="false" customHeight="false" outlineLevel="0" collapsed="false">
      <c r="A3234" s="22" t="n">
        <v>46309</v>
      </c>
      <c r="B3234" s="0" t="n">
        <v>13</v>
      </c>
      <c r="C3234" s="0" t="n">
        <v>7704</v>
      </c>
      <c r="E3234" s="0" t="n">
        <v>0</v>
      </c>
      <c r="F3234" s="23" t="s">
        <v>1475</v>
      </c>
      <c r="I3234" s="23" t="s">
        <v>1249</v>
      </c>
      <c r="U3234" s="0" t="n">
        <v>157</v>
      </c>
      <c r="V3234" s="0" t="n">
        <v>0</v>
      </c>
      <c r="W3234" s="0" t="str">
        <f aca="false">IF(OR(AND(B3234&gt;=1,B3234&lt;=6),B3234=10),"Vaca em lactação",IF(I3234="Male","Macho",IF(E3234&gt;=1,"Vaca seca",IF(I3234="Youngstock","Bezerra/recria","Novilha"))))</f>
        <v>Bezerra/recria</v>
      </c>
      <c r="X3234" s="0" t="str">
        <f aca="false">IF(AND(B3234&gt;=1,B3234&lt;=6),"Tanque",IF(B3234=10,"Descarte",""))</f>
        <v/>
      </c>
    </row>
    <row r="3235" customFormat="false" ht="15" hidden="false" customHeight="false" outlineLevel="0" collapsed="false">
      <c r="A3235" s="22" t="n">
        <v>46309</v>
      </c>
      <c r="B3235" s="0" t="n">
        <v>13</v>
      </c>
      <c r="C3235" s="0" t="n">
        <v>7703</v>
      </c>
      <c r="E3235" s="0" t="n">
        <v>0</v>
      </c>
      <c r="F3235" s="23" t="s">
        <v>1476</v>
      </c>
      <c r="I3235" s="23" t="s">
        <v>1249</v>
      </c>
      <c r="U3235" s="0" t="n">
        <v>158</v>
      </c>
      <c r="V3235" s="0" t="n">
        <v>0</v>
      </c>
      <c r="W3235" s="0" t="str">
        <f aca="false">IF(OR(AND(B3235&gt;=1,B3235&lt;=6),B3235=10),"Vaca em lactação",IF(I3235="Male","Macho",IF(E3235&gt;=1,"Vaca seca",IF(I3235="Youngstock","Bezerra/recria","Novilha"))))</f>
        <v>Bezerra/recria</v>
      </c>
      <c r="X3235" s="0" t="str">
        <f aca="false">IF(AND(B3235&gt;=1,B3235&lt;=6),"Tanque",IF(B3235=10,"Descarte",""))</f>
        <v/>
      </c>
    </row>
    <row r="3236" customFormat="false" ht="15" hidden="false" customHeight="false" outlineLevel="0" collapsed="false">
      <c r="A3236" s="22" t="n">
        <v>46309</v>
      </c>
      <c r="B3236" s="0" t="n">
        <v>13</v>
      </c>
      <c r="C3236" s="0" t="n">
        <v>7702</v>
      </c>
      <c r="E3236" s="0" t="n">
        <v>0</v>
      </c>
      <c r="F3236" s="23" t="s">
        <v>1476</v>
      </c>
      <c r="I3236" s="23" t="s">
        <v>1249</v>
      </c>
      <c r="U3236" s="0" t="n">
        <v>158</v>
      </c>
      <c r="V3236" s="0" t="n">
        <v>0</v>
      </c>
      <c r="W3236" s="0" t="str">
        <f aca="false">IF(OR(AND(B3236&gt;=1,B3236&lt;=6),B3236=10),"Vaca em lactação",IF(I3236="Male","Macho",IF(E3236&gt;=1,"Vaca seca",IF(I3236="Youngstock","Bezerra/recria","Novilha"))))</f>
        <v>Bezerra/recria</v>
      </c>
      <c r="X3236" s="0" t="str">
        <f aca="false">IF(AND(B3236&gt;=1,B3236&lt;=6),"Tanque",IF(B3236=10,"Descarte",""))</f>
        <v/>
      </c>
    </row>
    <row r="3237" customFormat="false" ht="15" hidden="false" customHeight="false" outlineLevel="0" collapsed="false">
      <c r="A3237" s="22" t="n">
        <v>46309</v>
      </c>
      <c r="B3237" s="0" t="n">
        <v>13</v>
      </c>
      <c r="C3237" s="0" t="n">
        <v>7701</v>
      </c>
      <c r="E3237" s="0" t="n">
        <v>0</v>
      </c>
      <c r="F3237" s="23" t="s">
        <v>1477</v>
      </c>
      <c r="I3237" s="23" t="s">
        <v>1249</v>
      </c>
      <c r="U3237" s="0" t="n">
        <v>159</v>
      </c>
      <c r="V3237" s="0" t="n">
        <v>0</v>
      </c>
      <c r="W3237" s="0" t="str">
        <f aca="false">IF(OR(AND(B3237&gt;=1,B3237&lt;=6),B3237=10),"Vaca em lactação",IF(I3237="Male","Macho",IF(E3237&gt;=1,"Vaca seca",IF(I3237="Youngstock","Bezerra/recria","Novilha"))))</f>
        <v>Bezerra/recria</v>
      </c>
      <c r="X3237" s="0" t="str">
        <f aca="false">IF(AND(B3237&gt;=1,B3237&lt;=6),"Tanque",IF(B3237=10,"Descarte",""))</f>
        <v/>
      </c>
    </row>
    <row r="3238" customFormat="false" ht="15" hidden="false" customHeight="false" outlineLevel="0" collapsed="false">
      <c r="A3238" s="22" t="n">
        <v>46309</v>
      </c>
      <c r="B3238" s="0" t="n">
        <v>13</v>
      </c>
      <c r="C3238" s="0" t="n">
        <v>7700</v>
      </c>
      <c r="E3238" s="0" t="n">
        <v>0</v>
      </c>
      <c r="F3238" s="23" t="s">
        <v>1477</v>
      </c>
      <c r="I3238" s="23" t="s">
        <v>1249</v>
      </c>
      <c r="U3238" s="0" t="n">
        <v>159</v>
      </c>
      <c r="V3238" s="0" t="n">
        <v>0</v>
      </c>
      <c r="W3238" s="0" t="str">
        <f aca="false">IF(OR(AND(B3238&gt;=1,B3238&lt;=6),B3238=10),"Vaca em lactação",IF(I3238="Male","Macho",IF(E3238&gt;=1,"Vaca seca",IF(I3238="Youngstock","Bezerra/recria","Novilha"))))</f>
        <v>Bezerra/recria</v>
      </c>
      <c r="X3238" s="0" t="str">
        <f aca="false">IF(AND(B3238&gt;=1,B3238&lt;=6),"Tanque",IF(B3238=10,"Descarte",""))</f>
        <v/>
      </c>
    </row>
    <row r="3239" customFormat="false" ht="15" hidden="false" customHeight="false" outlineLevel="0" collapsed="false">
      <c r="A3239" s="22" t="n">
        <v>46309</v>
      </c>
      <c r="B3239" s="0" t="n">
        <v>13</v>
      </c>
      <c r="C3239" s="0" t="n">
        <v>7705</v>
      </c>
      <c r="E3239" s="0" t="n">
        <v>0</v>
      </c>
      <c r="F3239" s="23" t="s">
        <v>1475</v>
      </c>
      <c r="I3239" s="23" t="s">
        <v>1249</v>
      </c>
      <c r="U3239" s="0" t="n">
        <v>157</v>
      </c>
      <c r="V3239" s="0" t="n">
        <v>0</v>
      </c>
      <c r="W3239" s="0" t="str">
        <f aca="false">IF(OR(AND(B3239&gt;=1,B3239&lt;=6),B3239=10),"Vaca em lactação",IF(I3239="Male","Macho",IF(E3239&gt;=1,"Vaca seca",IF(I3239="Youngstock","Bezerra/recria","Novilha"))))</f>
        <v>Bezerra/recria</v>
      </c>
      <c r="X3239" s="0" t="str">
        <f aca="false">IF(AND(B3239&gt;=1,B3239&lt;=6),"Tanque",IF(B3239=10,"Descarte",""))</f>
        <v/>
      </c>
    </row>
    <row r="3240" customFormat="false" ht="15" hidden="false" customHeight="false" outlineLevel="0" collapsed="false">
      <c r="A3240" s="22" t="n">
        <v>46309</v>
      </c>
      <c r="B3240" s="0" t="n">
        <v>13</v>
      </c>
      <c r="C3240" s="0" t="n">
        <v>7678</v>
      </c>
      <c r="E3240" s="0" t="n">
        <v>0</v>
      </c>
      <c r="F3240" s="23" t="s">
        <v>1478</v>
      </c>
      <c r="I3240" s="23" t="s">
        <v>1249</v>
      </c>
      <c r="U3240" s="0" t="n">
        <v>167</v>
      </c>
      <c r="V3240" s="0" t="n">
        <v>0</v>
      </c>
      <c r="W3240" s="0" t="str">
        <f aca="false">IF(OR(AND(B3240&gt;=1,B3240&lt;=6),B3240=10),"Vaca em lactação",IF(I3240="Male","Macho",IF(E3240&gt;=1,"Vaca seca",IF(I3240="Youngstock","Bezerra/recria","Novilha"))))</f>
        <v>Bezerra/recria</v>
      </c>
      <c r="X3240" s="0" t="str">
        <f aca="false">IF(AND(B3240&gt;=1,B3240&lt;=6),"Tanque",IF(B3240=10,"Descarte",""))</f>
        <v/>
      </c>
    </row>
    <row r="3241" customFormat="false" ht="15" hidden="false" customHeight="false" outlineLevel="0" collapsed="false">
      <c r="A3241" s="22" t="n">
        <v>46309</v>
      </c>
      <c r="B3241" s="0" t="n">
        <v>13</v>
      </c>
      <c r="C3241" s="0" t="n">
        <v>7677</v>
      </c>
      <c r="E3241" s="0" t="n">
        <v>0</v>
      </c>
      <c r="F3241" s="23" t="s">
        <v>1478</v>
      </c>
      <c r="I3241" s="23" t="s">
        <v>1249</v>
      </c>
      <c r="U3241" s="0" t="n">
        <v>167</v>
      </c>
      <c r="V3241" s="0" t="n">
        <v>0</v>
      </c>
      <c r="W3241" s="0" t="str">
        <f aca="false">IF(OR(AND(B3241&gt;=1,B3241&lt;=6),B3241=10),"Vaca em lactação",IF(I3241="Male","Macho",IF(E3241&gt;=1,"Vaca seca",IF(I3241="Youngstock","Bezerra/recria","Novilha"))))</f>
        <v>Bezerra/recria</v>
      </c>
      <c r="X3241" s="0" t="str">
        <f aca="false">IF(AND(B3241&gt;=1,B3241&lt;=6),"Tanque",IF(B3241=10,"Descarte",""))</f>
        <v/>
      </c>
    </row>
    <row r="3242" customFormat="false" ht="15" hidden="false" customHeight="false" outlineLevel="0" collapsed="false">
      <c r="A3242" s="22" t="n">
        <v>46309</v>
      </c>
      <c r="B3242" s="0" t="n">
        <v>13</v>
      </c>
      <c r="C3242" s="0" t="n">
        <v>7680</v>
      </c>
      <c r="E3242" s="0" t="n">
        <v>0</v>
      </c>
      <c r="F3242" s="23" t="s">
        <v>1479</v>
      </c>
      <c r="I3242" s="23" t="s">
        <v>1249</v>
      </c>
      <c r="U3242" s="0" t="n">
        <v>166</v>
      </c>
      <c r="V3242" s="0" t="n">
        <v>0</v>
      </c>
      <c r="W3242" s="0" t="str">
        <f aca="false">IF(OR(AND(B3242&gt;=1,B3242&lt;=6),B3242=10),"Vaca em lactação",IF(I3242="Male","Macho",IF(E3242&gt;=1,"Vaca seca",IF(I3242="Youngstock","Bezerra/recria","Novilha"))))</f>
        <v>Bezerra/recria</v>
      </c>
      <c r="X3242" s="0" t="str">
        <f aca="false">IF(AND(B3242&gt;=1,B3242&lt;=6),"Tanque",IF(B3242=10,"Descarte",""))</f>
        <v/>
      </c>
    </row>
    <row r="3243" customFormat="false" ht="15" hidden="false" customHeight="false" outlineLevel="0" collapsed="false">
      <c r="A3243" s="22" t="n">
        <v>46309</v>
      </c>
      <c r="B3243" s="0" t="n">
        <v>13</v>
      </c>
      <c r="C3243" s="0" t="n">
        <v>7679</v>
      </c>
      <c r="E3243" s="0" t="n">
        <v>0</v>
      </c>
      <c r="F3243" s="23" t="s">
        <v>1478</v>
      </c>
      <c r="I3243" s="23" t="s">
        <v>1249</v>
      </c>
      <c r="U3243" s="0" t="n">
        <v>167</v>
      </c>
      <c r="V3243" s="0" t="n">
        <v>0</v>
      </c>
      <c r="W3243" s="0" t="str">
        <f aca="false">IF(OR(AND(B3243&gt;=1,B3243&lt;=6),B3243=10),"Vaca em lactação",IF(I3243="Male","Macho",IF(E3243&gt;=1,"Vaca seca",IF(I3243="Youngstock","Bezerra/recria","Novilha"))))</f>
        <v>Bezerra/recria</v>
      </c>
      <c r="X3243" s="0" t="str">
        <f aca="false">IF(AND(B3243&gt;=1,B3243&lt;=6),"Tanque",IF(B3243=10,"Descarte",""))</f>
        <v/>
      </c>
    </row>
    <row r="3244" customFormat="false" ht="15" hidden="false" customHeight="false" outlineLevel="0" collapsed="false">
      <c r="A3244" s="22" t="n">
        <v>46309</v>
      </c>
      <c r="B3244" s="0" t="n">
        <v>13</v>
      </c>
      <c r="C3244" s="0" t="n">
        <v>7683</v>
      </c>
      <c r="E3244" s="0" t="n">
        <v>0</v>
      </c>
      <c r="F3244" s="23" t="s">
        <v>1480</v>
      </c>
      <c r="I3244" s="23" t="s">
        <v>1249</v>
      </c>
      <c r="U3244" s="0" t="n">
        <v>165</v>
      </c>
      <c r="V3244" s="0" t="n">
        <v>0</v>
      </c>
      <c r="W3244" s="0" t="str">
        <f aca="false">IF(OR(AND(B3244&gt;=1,B3244&lt;=6),B3244=10),"Vaca em lactação",IF(I3244="Male","Macho",IF(E3244&gt;=1,"Vaca seca",IF(I3244="Youngstock","Bezerra/recria","Novilha"))))</f>
        <v>Bezerra/recria</v>
      </c>
      <c r="X3244" s="0" t="str">
        <f aca="false">IF(AND(B3244&gt;=1,B3244&lt;=6),"Tanque",IF(B3244=10,"Descarte",""))</f>
        <v/>
      </c>
    </row>
    <row r="3245" customFormat="false" ht="15" hidden="false" customHeight="false" outlineLevel="0" collapsed="false">
      <c r="A3245" s="22" t="n">
        <v>46309</v>
      </c>
      <c r="B3245" s="0" t="n">
        <v>13</v>
      </c>
      <c r="C3245" s="0" t="n">
        <v>7682</v>
      </c>
      <c r="E3245" s="0" t="n">
        <v>0</v>
      </c>
      <c r="F3245" s="23" t="s">
        <v>1480</v>
      </c>
      <c r="I3245" s="23" t="s">
        <v>1249</v>
      </c>
      <c r="U3245" s="0" t="n">
        <v>165</v>
      </c>
      <c r="V3245" s="0" t="n">
        <v>0</v>
      </c>
      <c r="W3245" s="0" t="str">
        <f aca="false">IF(OR(AND(B3245&gt;=1,B3245&lt;=6),B3245=10),"Vaca em lactação",IF(I3245="Male","Macho",IF(E3245&gt;=1,"Vaca seca",IF(I3245="Youngstock","Bezerra/recria","Novilha"))))</f>
        <v>Bezerra/recria</v>
      </c>
      <c r="X3245" s="0" t="str">
        <f aca="false">IF(AND(B3245&gt;=1,B3245&lt;=6),"Tanque",IF(B3245=10,"Descarte",""))</f>
        <v/>
      </c>
    </row>
    <row r="3246" customFormat="false" ht="15" hidden="false" customHeight="false" outlineLevel="0" collapsed="false">
      <c r="A3246" s="22" t="n">
        <v>46309</v>
      </c>
      <c r="B3246" s="0" t="n">
        <v>13</v>
      </c>
      <c r="C3246" s="0" t="n">
        <v>7681</v>
      </c>
      <c r="E3246" s="0" t="n">
        <v>0</v>
      </c>
      <c r="F3246" s="23" t="s">
        <v>1479</v>
      </c>
      <c r="I3246" s="23" t="s">
        <v>1249</v>
      </c>
      <c r="U3246" s="0" t="n">
        <v>166</v>
      </c>
      <c r="V3246" s="0" t="n">
        <v>0</v>
      </c>
      <c r="W3246" s="0" t="str">
        <f aca="false">IF(OR(AND(B3246&gt;=1,B3246&lt;=6),B3246=10),"Vaca em lactação",IF(I3246="Male","Macho",IF(E3246&gt;=1,"Vaca seca",IF(I3246="Youngstock","Bezerra/recria","Novilha"))))</f>
        <v>Bezerra/recria</v>
      </c>
      <c r="X3246" s="0" t="str">
        <f aca="false">IF(AND(B3246&gt;=1,B3246&lt;=6),"Tanque",IF(B3246=10,"Descarte",""))</f>
        <v/>
      </c>
    </row>
    <row r="3247" customFormat="false" ht="15" hidden="false" customHeight="false" outlineLevel="0" collapsed="false">
      <c r="A3247" s="22" t="n">
        <v>46309</v>
      </c>
      <c r="B3247" s="0" t="n">
        <v>13</v>
      </c>
      <c r="C3247" s="0" t="n">
        <v>7686</v>
      </c>
      <c r="E3247" s="0" t="n">
        <v>0</v>
      </c>
      <c r="F3247" s="23" t="s">
        <v>1481</v>
      </c>
      <c r="I3247" s="23" t="s">
        <v>1249</v>
      </c>
      <c r="U3247" s="0" t="n">
        <v>163</v>
      </c>
      <c r="V3247" s="0" t="n">
        <v>0</v>
      </c>
      <c r="W3247" s="0" t="str">
        <f aca="false">IF(OR(AND(B3247&gt;=1,B3247&lt;=6),B3247=10),"Vaca em lactação",IF(I3247="Male","Macho",IF(E3247&gt;=1,"Vaca seca",IF(I3247="Youngstock","Bezerra/recria","Novilha"))))</f>
        <v>Bezerra/recria</v>
      </c>
      <c r="X3247" s="0" t="str">
        <f aca="false">IF(AND(B3247&gt;=1,B3247&lt;=6),"Tanque",IF(B3247=10,"Descarte",""))</f>
        <v/>
      </c>
    </row>
    <row r="3248" customFormat="false" ht="15" hidden="false" customHeight="false" outlineLevel="0" collapsed="false">
      <c r="A3248" s="22" t="n">
        <v>46309</v>
      </c>
      <c r="B3248" s="0" t="n">
        <v>13</v>
      </c>
      <c r="C3248" s="0" t="n">
        <v>7685</v>
      </c>
      <c r="E3248" s="0" t="n">
        <v>0</v>
      </c>
      <c r="F3248" s="23" t="s">
        <v>1482</v>
      </c>
      <c r="I3248" s="23" t="s">
        <v>1249</v>
      </c>
      <c r="U3248" s="0" t="n">
        <v>164</v>
      </c>
      <c r="V3248" s="0" t="n">
        <v>0</v>
      </c>
      <c r="W3248" s="0" t="str">
        <f aca="false">IF(OR(AND(B3248&gt;=1,B3248&lt;=6),B3248=10),"Vaca em lactação",IF(I3248="Male","Macho",IF(E3248&gt;=1,"Vaca seca",IF(I3248="Youngstock","Bezerra/recria","Novilha"))))</f>
        <v>Bezerra/recria</v>
      </c>
      <c r="X3248" s="0" t="str">
        <f aca="false">IF(AND(B3248&gt;=1,B3248&lt;=6),"Tanque",IF(B3248=10,"Descarte",""))</f>
        <v/>
      </c>
    </row>
    <row r="3249" customFormat="false" ht="15" hidden="false" customHeight="false" outlineLevel="0" collapsed="false">
      <c r="A3249" s="22" t="n">
        <v>46309</v>
      </c>
      <c r="B3249" s="0" t="n">
        <v>13</v>
      </c>
      <c r="C3249" s="0" t="n">
        <v>7684</v>
      </c>
      <c r="E3249" s="0" t="n">
        <v>0</v>
      </c>
      <c r="F3249" s="23" t="s">
        <v>1482</v>
      </c>
      <c r="I3249" s="23" t="s">
        <v>1249</v>
      </c>
      <c r="U3249" s="0" t="n">
        <v>164</v>
      </c>
      <c r="V3249" s="0" t="n">
        <v>0</v>
      </c>
      <c r="W3249" s="0" t="str">
        <f aca="false">IF(OR(AND(B3249&gt;=1,B3249&lt;=6),B3249=10),"Vaca em lactação",IF(I3249="Male","Macho",IF(E3249&gt;=1,"Vaca seca",IF(I3249="Youngstock","Bezerra/recria","Novilha"))))</f>
        <v>Bezerra/recria</v>
      </c>
      <c r="X3249" s="0" t="str">
        <f aca="false">IF(AND(B3249&gt;=1,B3249&lt;=6),"Tanque",IF(B3249=10,"Descarte",""))</f>
        <v/>
      </c>
    </row>
    <row r="3250" customFormat="false" ht="15" hidden="false" customHeight="false" outlineLevel="0" collapsed="false">
      <c r="A3250" s="22" t="n">
        <v>46309</v>
      </c>
      <c r="B3250" s="0" t="n">
        <v>13</v>
      </c>
      <c r="C3250" s="0" t="n">
        <v>7687</v>
      </c>
      <c r="E3250" s="0" t="n">
        <v>0</v>
      </c>
      <c r="F3250" s="23" t="s">
        <v>1481</v>
      </c>
      <c r="I3250" s="23" t="s">
        <v>1249</v>
      </c>
      <c r="U3250" s="0" t="n">
        <v>163</v>
      </c>
      <c r="V3250" s="0" t="n">
        <v>0</v>
      </c>
      <c r="W3250" s="0" t="str">
        <f aca="false">IF(OR(AND(B3250&gt;=1,B3250&lt;=6),B3250=10),"Vaca em lactação",IF(I3250="Male","Macho",IF(E3250&gt;=1,"Vaca seca",IF(I3250="Youngstock","Bezerra/recria","Novilha"))))</f>
        <v>Bezerra/recria</v>
      </c>
      <c r="X3250" s="0" t="str">
        <f aca="false">IF(AND(B3250&gt;=1,B3250&lt;=6),"Tanque",IF(B3250=10,"Descarte",""))</f>
        <v/>
      </c>
    </row>
    <row r="3251" customFormat="false" ht="15" hidden="false" customHeight="false" outlineLevel="0" collapsed="false">
      <c r="A3251" s="22" t="n">
        <v>46309</v>
      </c>
      <c r="B3251" s="0" t="n">
        <v>13</v>
      </c>
      <c r="C3251" s="0" t="n">
        <v>7688</v>
      </c>
      <c r="E3251" s="0" t="n">
        <v>0</v>
      </c>
      <c r="F3251" s="23" t="s">
        <v>1483</v>
      </c>
      <c r="I3251" s="23" t="s">
        <v>1249</v>
      </c>
      <c r="U3251" s="0" t="n">
        <v>162</v>
      </c>
      <c r="V3251" s="0" t="n">
        <v>0</v>
      </c>
      <c r="W3251" s="0" t="str">
        <f aca="false">IF(OR(AND(B3251&gt;=1,B3251&lt;=6),B3251=10),"Vaca em lactação",IF(I3251="Male","Macho",IF(E3251&gt;=1,"Vaca seca",IF(I3251="Youngstock","Bezerra/recria","Novilha"))))</f>
        <v>Bezerra/recria</v>
      </c>
      <c r="X3251" s="0" t="str">
        <f aca="false">IF(AND(B3251&gt;=1,B3251&lt;=6),"Tanque",IF(B3251=10,"Descarte",""))</f>
        <v/>
      </c>
    </row>
    <row r="3252" customFormat="false" ht="15" hidden="false" customHeight="false" outlineLevel="0" collapsed="false">
      <c r="A3252" s="22" t="n">
        <v>46309</v>
      </c>
      <c r="B3252" s="0" t="n">
        <v>13</v>
      </c>
      <c r="C3252" s="0" t="n">
        <v>7691</v>
      </c>
      <c r="E3252" s="0" t="n">
        <v>0</v>
      </c>
      <c r="F3252" s="23" t="s">
        <v>1474</v>
      </c>
      <c r="I3252" s="23" t="s">
        <v>1249</v>
      </c>
      <c r="U3252" s="0" t="n">
        <v>161</v>
      </c>
      <c r="V3252" s="0" t="n">
        <v>0</v>
      </c>
      <c r="W3252" s="0" t="str">
        <f aca="false">IF(OR(AND(B3252&gt;=1,B3252&lt;=6),B3252=10),"Vaca em lactação",IF(I3252="Male","Macho",IF(E3252&gt;=1,"Vaca seca",IF(I3252="Youngstock","Bezerra/recria","Novilha"))))</f>
        <v>Bezerra/recria</v>
      </c>
      <c r="X3252" s="0" t="str">
        <f aca="false">IF(AND(B3252&gt;=1,B3252&lt;=6),"Tanque",IF(B3252=10,"Descarte",""))</f>
        <v/>
      </c>
    </row>
    <row r="3253" customFormat="false" ht="15" hidden="false" customHeight="false" outlineLevel="0" collapsed="false">
      <c r="A3253" s="22" t="n">
        <v>46309</v>
      </c>
      <c r="B3253" s="0" t="n">
        <v>13</v>
      </c>
      <c r="C3253" s="0" t="n">
        <v>7690</v>
      </c>
      <c r="E3253" s="0" t="n">
        <v>0</v>
      </c>
      <c r="F3253" s="23" t="s">
        <v>1474</v>
      </c>
      <c r="I3253" s="23" t="s">
        <v>1249</v>
      </c>
      <c r="U3253" s="0" t="n">
        <v>161</v>
      </c>
      <c r="V3253" s="0" t="n">
        <v>0</v>
      </c>
      <c r="W3253" s="0" t="str">
        <f aca="false">IF(OR(AND(B3253&gt;=1,B3253&lt;=6),B3253=10),"Vaca em lactação",IF(I3253="Male","Macho",IF(E3253&gt;=1,"Vaca seca",IF(I3253="Youngstock","Bezerra/recria","Novilha"))))</f>
        <v>Bezerra/recria</v>
      </c>
      <c r="X3253" s="0" t="str">
        <f aca="false">IF(AND(B3253&gt;=1,B3253&lt;=6),"Tanque",IF(B3253=10,"Descarte",""))</f>
        <v/>
      </c>
    </row>
    <row r="3254" customFormat="false" ht="15" hidden="false" customHeight="false" outlineLevel="0" collapsed="false">
      <c r="A3254" s="22" t="n">
        <v>46309</v>
      </c>
      <c r="B3254" s="0" t="n">
        <v>13</v>
      </c>
      <c r="C3254" s="0" t="n">
        <v>7689</v>
      </c>
      <c r="E3254" s="0" t="n">
        <v>0</v>
      </c>
      <c r="F3254" s="23" t="s">
        <v>1483</v>
      </c>
      <c r="I3254" s="23" t="s">
        <v>1249</v>
      </c>
      <c r="U3254" s="0" t="n">
        <v>162</v>
      </c>
      <c r="V3254" s="0" t="n">
        <v>0</v>
      </c>
      <c r="W3254" s="0" t="str">
        <f aca="false">IF(OR(AND(B3254&gt;=1,B3254&lt;=6),B3254=10),"Vaca em lactação",IF(I3254="Male","Macho",IF(E3254&gt;=1,"Vaca seca",IF(I3254="Youngstock","Bezerra/recria","Novilha"))))</f>
        <v>Bezerra/recria</v>
      </c>
      <c r="X3254" s="0" t="str">
        <f aca="false">IF(AND(B3254&gt;=1,B3254&lt;=6),"Tanque",IF(B3254=10,"Descarte",""))</f>
        <v/>
      </c>
    </row>
    <row r="3255" customFormat="false" ht="15" hidden="false" customHeight="false" outlineLevel="0" collapsed="false">
      <c r="A3255" s="22" t="n">
        <v>46309</v>
      </c>
      <c r="B3255" s="0" t="n">
        <v>13</v>
      </c>
      <c r="C3255" s="0" t="n">
        <v>7823</v>
      </c>
      <c r="E3255" s="0" t="n">
        <v>0</v>
      </c>
      <c r="F3255" s="23" t="s">
        <v>1484</v>
      </c>
      <c r="I3255" s="23" t="s">
        <v>1249</v>
      </c>
      <c r="U3255" s="0" t="n">
        <v>123</v>
      </c>
      <c r="V3255" s="0" t="n">
        <v>0</v>
      </c>
      <c r="W3255" s="0" t="str">
        <f aca="false">IF(OR(AND(B3255&gt;=1,B3255&lt;=6),B3255=10),"Vaca em lactação",IF(I3255="Male","Macho",IF(E3255&gt;=1,"Vaca seca",IF(I3255="Youngstock","Bezerra/recria","Novilha"))))</f>
        <v>Bezerra/recria</v>
      </c>
      <c r="X3255" s="0" t="str">
        <f aca="false">IF(AND(B3255&gt;=1,B3255&lt;=6),"Tanque",IF(B3255=10,"Descarte",""))</f>
        <v/>
      </c>
    </row>
    <row r="3256" customFormat="false" ht="15" hidden="false" customHeight="false" outlineLevel="0" collapsed="false">
      <c r="A3256" s="22" t="n">
        <v>46309</v>
      </c>
      <c r="B3256" s="0" t="n">
        <v>13</v>
      </c>
      <c r="C3256" s="0" t="n">
        <v>7822</v>
      </c>
      <c r="E3256" s="0" t="n">
        <v>0</v>
      </c>
      <c r="F3256" s="23" t="s">
        <v>1484</v>
      </c>
      <c r="I3256" s="23" t="s">
        <v>1249</v>
      </c>
      <c r="U3256" s="0" t="n">
        <v>123</v>
      </c>
      <c r="V3256" s="0" t="n">
        <v>0</v>
      </c>
      <c r="W3256" s="0" t="str">
        <f aca="false">IF(OR(AND(B3256&gt;=1,B3256&lt;=6),B3256=10),"Vaca em lactação",IF(I3256="Male","Macho",IF(E3256&gt;=1,"Vaca seca",IF(I3256="Youngstock","Bezerra/recria","Novilha"))))</f>
        <v>Bezerra/recria</v>
      </c>
      <c r="X3256" s="0" t="str">
        <f aca="false">IF(AND(B3256&gt;=1,B3256&lt;=6),"Tanque",IF(B3256=10,"Descarte",""))</f>
        <v/>
      </c>
    </row>
    <row r="3257" customFormat="false" ht="15" hidden="false" customHeight="false" outlineLevel="0" collapsed="false">
      <c r="A3257" s="22" t="n">
        <v>46309</v>
      </c>
      <c r="B3257" s="0" t="n">
        <v>13</v>
      </c>
      <c r="C3257" s="0" t="n">
        <v>7821</v>
      </c>
      <c r="E3257" s="0" t="n">
        <v>0</v>
      </c>
      <c r="F3257" s="23" t="s">
        <v>1485</v>
      </c>
      <c r="I3257" s="23" t="s">
        <v>1249</v>
      </c>
      <c r="U3257" s="0" t="n">
        <v>125</v>
      </c>
      <c r="V3257" s="0" t="n">
        <v>0</v>
      </c>
      <c r="W3257" s="0" t="str">
        <f aca="false">IF(OR(AND(B3257&gt;=1,B3257&lt;=6),B3257=10),"Vaca em lactação",IF(I3257="Male","Macho",IF(E3257&gt;=1,"Vaca seca",IF(I3257="Youngstock","Bezerra/recria","Novilha"))))</f>
        <v>Bezerra/recria</v>
      </c>
      <c r="X3257" s="0" t="str">
        <f aca="false">IF(AND(B3257&gt;=1,B3257&lt;=6),"Tanque",IF(B3257=10,"Descarte",""))</f>
        <v/>
      </c>
    </row>
    <row r="3258" customFormat="false" ht="15" hidden="false" customHeight="false" outlineLevel="0" collapsed="false">
      <c r="A3258" s="22" t="n">
        <v>46309</v>
      </c>
      <c r="B3258" s="0" t="n">
        <v>13</v>
      </c>
      <c r="C3258" s="0" t="n">
        <v>7820</v>
      </c>
      <c r="E3258" s="0" t="n">
        <v>0</v>
      </c>
      <c r="F3258" s="23" t="s">
        <v>1485</v>
      </c>
      <c r="I3258" s="23" t="s">
        <v>1249</v>
      </c>
      <c r="U3258" s="0" t="n">
        <v>125</v>
      </c>
      <c r="V3258" s="0" t="n">
        <v>0</v>
      </c>
      <c r="W3258" s="0" t="str">
        <f aca="false">IF(OR(AND(B3258&gt;=1,B3258&lt;=6),B3258=10),"Vaca em lactação",IF(I3258="Male","Macho",IF(E3258&gt;=1,"Vaca seca",IF(I3258="Youngstock","Bezerra/recria","Novilha"))))</f>
        <v>Bezerra/recria</v>
      </c>
      <c r="X3258" s="0" t="str">
        <f aca="false">IF(AND(B3258&gt;=1,B3258&lt;=6),"Tanque",IF(B3258=10,"Descarte",""))</f>
        <v/>
      </c>
    </row>
    <row r="3259" customFormat="false" ht="15" hidden="false" customHeight="false" outlineLevel="0" collapsed="false">
      <c r="A3259" s="22" t="n">
        <v>46309</v>
      </c>
      <c r="B3259" s="0" t="n">
        <v>13</v>
      </c>
      <c r="C3259" s="0" t="n">
        <v>7819</v>
      </c>
      <c r="E3259" s="0" t="n">
        <v>0</v>
      </c>
      <c r="F3259" s="23" t="s">
        <v>1485</v>
      </c>
      <c r="I3259" s="23" t="s">
        <v>1249</v>
      </c>
      <c r="U3259" s="0" t="n">
        <v>125</v>
      </c>
      <c r="V3259" s="0" t="n">
        <v>0</v>
      </c>
      <c r="W3259" s="0" t="str">
        <f aca="false">IF(OR(AND(B3259&gt;=1,B3259&lt;=6),B3259=10),"Vaca em lactação",IF(I3259="Male","Macho",IF(E3259&gt;=1,"Vaca seca",IF(I3259="Youngstock","Bezerra/recria","Novilha"))))</f>
        <v>Bezerra/recria</v>
      </c>
      <c r="X3259" s="0" t="str">
        <f aca="false">IF(AND(B3259&gt;=1,B3259&lt;=6),"Tanque",IF(B3259=10,"Descarte",""))</f>
        <v/>
      </c>
    </row>
    <row r="3260" customFormat="false" ht="15" hidden="false" customHeight="false" outlineLevel="0" collapsed="false">
      <c r="A3260" s="22" t="n">
        <v>46309</v>
      </c>
      <c r="B3260" s="0" t="n">
        <v>13</v>
      </c>
      <c r="C3260" s="0" t="n">
        <v>7824</v>
      </c>
      <c r="E3260" s="0" t="n">
        <v>0</v>
      </c>
      <c r="F3260" s="23" t="s">
        <v>1486</v>
      </c>
      <c r="I3260" s="23" t="s">
        <v>1249</v>
      </c>
      <c r="U3260" s="0" t="n">
        <v>122</v>
      </c>
      <c r="V3260" s="0" t="n">
        <v>0</v>
      </c>
      <c r="W3260" s="0" t="str">
        <f aca="false">IF(OR(AND(B3260&gt;=1,B3260&lt;=6),B3260=10),"Vaca em lactação",IF(I3260="Male","Macho",IF(E3260&gt;=1,"Vaca seca",IF(I3260="Youngstock","Bezerra/recria","Novilha"))))</f>
        <v>Bezerra/recria</v>
      </c>
      <c r="X3260" s="0" t="str">
        <f aca="false">IF(AND(B3260&gt;=1,B3260&lt;=6),"Tanque",IF(B3260=10,"Descarte",""))</f>
        <v/>
      </c>
    </row>
    <row r="3261" customFormat="false" ht="15" hidden="false" customHeight="false" outlineLevel="0" collapsed="false">
      <c r="A3261" s="22" t="n">
        <v>46309</v>
      </c>
      <c r="B3261" s="0" t="n">
        <v>13</v>
      </c>
      <c r="C3261" s="0" t="n">
        <v>7804</v>
      </c>
      <c r="E3261" s="0" t="n">
        <v>0</v>
      </c>
      <c r="F3261" s="23" t="s">
        <v>1487</v>
      </c>
      <c r="I3261" s="23" t="s">
        <v>1249</v>
      </c>
      <c r="U3261" s="0" t="n">
        <v>129</v>
      </c>
      <c r="V3261" s="0" t="n">
        <v>0</v>
      </c>
      <c r="W3261" s="0" t="str">
        <f aca="false">IF(OR(AND(B3261&gt;=1,B3261&lt;=6),B3261=10),"Vaca em lactação",IF(I3261="Male","Macho",IF(E3261&gt;=1,"Vaca seca",IF(I3261="Youngstock","Bezerra/recria","Novilha"))))</f>
        <v>Bezerra/recria</v>
      </c>
      <c r="X3261" s="0" t="str">
        <f aca="false">IF(AND(B3261&gt;=1,B3261&lt;=6),"Tanque",IF(B3261=10,"Descarte",""))</f>
        <v/>
      </c>
    </row>
    <row r="3262" customFormat="false" ht="15" hidden="false" customHeight="false" outlineLevel="0" collapsed="false">
      <c r="A3262" s="22" t="n">
        <v>46309</v>
      </c>
      <c r="B3262" s="0" t="n">
        <v>13</v>
      </c>
      <c r="C3262" s="0" t="n">
        <v>7806</v>
      </c>
      <c r="E3262" s="0" t="n">
        <v>0</v>
      </c>
      <c r="F3262" s="23" t="s">
        <v>1488</v>
      </c>
      <c r="I3262" s="23" t="s">
        <v>1249</v>
      </c>
      <c r="U3262" s="0" t="n">
        <v>128</v>
      </c>
      <c r="V3262" s="0" t="n">
        <v>0</v>
      </c>
      <c r="W3262" s="0" t="str">
        <f aca="false">IF(OR(AND(B3262&gt;=1,B3262&lt;=6),B3262=10),"Vaca em lactação",IF(I3262="Male","Macho",IF(E3262&gt;=1,"Vaca seca",IF(I3262="Youngstock","Bezerra/recria","Novilha"))))</f>
        <v>Bezerra/recria</v>
      </c>
      <c r="X3262" s="0" t="str">
        <f aca="false">IF(AND(B3262&gt;=1,B3262&lt;=6),"Tanque",IF(B3262=10,"Descarte",""))</f>
        <v/>
      </c>
    </row>
    <row r="3263" customFormat="false" ht="15" hidden="false" customHeight="false" outlineLevel="0" collapsed="false">
      <c r="A3263" s="22" t="n">
        <v>46309</v>
      </c>
      <c r="B3263" s="0" t="n">
        <v>13</v>
      </c>
      <c r="C3263" s="0" t="n">
        <v>7805</v>
      </c>
      <c r="E3263" s="0" t="n">
        <v>0</v>
      </c>
      <c r="F3263" s="23" t="s">
        <v>1487</v>
      </c>
      <c r="I3263" s="23" t="s">
        <v>1249</v>
      </c>
      <c r="U3263" s="0" t="n">
        <v>129</v>
      </c>
      <c r="V3263" s="0" t="n">
        <v>0</v>
      </c>
      <c r="W3263" s="0" t="str">
        <f aca="false">IF(OR(AND(B3263&gt;=1,B3263&lt;=6),B3263=10),"Vaca em lactação",IF(I3263="Male","Macho",IF(E3263&gt;=1,"Vaca seca",IF(I3263="Youngstock","Bezerra/recria","Novilha"))))</f>
        <v>Bezerra/recria</v>
      </c>
      <c r="X3263" s="0" t="str">
        <f aca="false">IF(AND(B3263&gt;=1,B3263&lt;=6),"Tanque",IF(B3263=10,"Descarte",""))</f>
        <v/>
      </c>
    </row>
    <row r="3264" customFormat="false" ht="15" hidden="false" customHeight="false" outlineLevel="0" collapsed="false">
      <c r="A3264" s="22" t="n">
        <v>46309</v>
      </c>
      <c r="B3264" s="0" t="n">
        <v>13</v>
      </c>
      <c r="C3264" s="0" t="n">
        <v>7811</v>
      </c>
      <c r="E3264" s="0" t="n">
        <v>0</v>
      </c>
      <c r="F3264" s="23" t="s">
        <v>1489</v>
      </c>
      <c r="I3264" s="23" t="s">
        <v>1249</v>
      </c>
      <c r="U3264" s="0" t="n">
        <v>126</v>
      </c>
      <c r="V3264" s="0" t="n">
        <v>0</v>
      </c>
      <c r="W3264" s="0" t="str">
        <f aca="false">IF(OR(AND(B3264&gt;=1,B3264&lt;=6),B3264=10),"Vaca em lactação",IF(I3264="Male","Macho",IF(E3264&gt;=1,"Vaca seca",IF(I3264="Youngstock","Bezerra/recria","Novilha"))))</f>
        <v>Bezerra/recria</v>
      </c>
      <c r="X3264" s="0" t="str">
        <f aca="false">IF(AND(B3264&gt;=1,B3264&lt;=6),"Tanque",IF(B3264=10,"Descarte",""))</f>
        <v/>
      </c>
    </row>
    <row r="3265" customFormat="false" ht="15" hidden="false" customHeight="false" outlineLevel="0" collapsed="false">
      <c r="A3265" s="22" t="n">
        <v>46309</v>
      </c>
      <c r="B3265" s="0" t="n">
        <v>13</v>
      </c>
      <c r="C3265" s="0" t="n">
        <v>7810</v>
      </c>
      <c r="E3265" s="0" t="n">
        <v>0</v>
      </c>
      <c r="F3265" s="23" t="s">
        <v>1489</v>
      </c>
      <c r="I3265" s="23" t="s">
        <v>1249</v>
      </c>
      <c r="U3265" s="0" t="n">
        <v>126</v>
      </c>
      <c r="V3265" s="0" t="n">
        <v>0</v>
      </c>
      <c r="W3265" s="0" t="str">
        <f aca="false">IF(OR(AND(B3265&gt;=1,B3265&lt;=6),B3265=10),"Vaca em lactação",IF(I3265="Male","Macho",IF(E3265&gt;=1,"Vaca seca",IF(I3265="Youngstock","Bezerra/recria","Novilha"))))</f>
        <v>Bezerra/recria</v>
      </c>
      <c r="X3265" s="0" t="str">
        <f aca="false">IF(AND(B3265&gt;=1,B3265&lt;=6),"Tanque",IF(B3265=10,"Descarte",""))</f>
        <v/>
      </c>
    </row>
    <row r="3266" customFormat="false" ht="15" hidden="false" customHeight="false" outlineLevel="0" collapsed="false">
      <c r="A3266" s="22" t="n">
        <v>46309</v>
      </c>
      <c r="B3266" s="0" t="n">
        <v>13</v>
      </c>
      <c r="C3266" s="0" t="n">
        <v>7809</v>
      </c>
      <c r="E3266" s="0" t="n">
        <v>0</v>
      </c>
      <c r="F3266" s="23" t="s">
        <v>1490</v>
      </c>
      <c r="I3266" s="23" t="s">
        <v>1249</v>
      </c>
      <c r="U3266" s="0" t="n">
        <v>127</v>
      </c>
      <c r="V3266" s="0" t="n">
        <v>0</v>
      </c>
      <c r="W3266" s="0" t="str">
        <f aca="false">IF(OR(AND(B3266&gt;=1,B3266&lt;=6),B3266=10),"Vaca em lactação",IF(I3266="Male","Macho",IF(E3266&gt;=1,"Vaca seca",IF(I3266="Youngstock","Bezerra/recria","Novilha"))))</f>
        <v>Bezerra/recria</v>
      </c>
      <c r="X3266" s="0" t="str">
        <f aca="false">IF(AND(B3266&gt;=1,B3266&lt;=6),"Tanque",IF(B3266=10,"Descarte",""))</f>
        <v/>
      </c>
    </row>
    <row r="3267" customFormat="false" ht="15" hidden="false" customHeight="false" outlineLevel="0" collapsed="false">
      <c r="A3267" s="22" t="n">
        <v>46309</v>
      </c>
      <c r="B3267" s="0" t="n">
        <v>13</v>
      </c>
      <c r="C3267" s="0" t="n">
        <v>7808</v>
      </c>
      <c r="E3267" s="0" t="n">
        <v>0</v>
      </c>
      <c r="F3267" s="23" t="s">
        <v>1490</v>
      </c>
      <c r="I3267" s="23" t="s">
        <v>1249</v>
      </c>
      <c r="U3267" s="0" t="n">
        <v>127</v>
      </c>
      <c r="V3267" s="0" t="n">
        <v>0</v>
      </c>
      <c r="W3267" s="0" t="str">
        <f aca="false">IF(OR(AND(B3267&gt;=1,B3267&lt;=6),B3267=10),"Vaca em lactação",IF(I3267="Male","Macho",IF(E3267&gt;=1,"Vaca seca",IF(I3267="Youngstock","Bezerra/recria","Novilha"))))</f>
        <v>Bezerra/recria</v>
      </c>
      <c r="X3267" s="0" t="str">
        <f aca="false">IF(AND(B3267&gt;=1,B3267&lt;=6),"Tanque",IF(B3267=10,"Descarte",""))</f>
        <v/>
      </c>
    </row>
    <row r="3268" customFormat="false" ht="15" hidden="false" customHeight="false" outlineLevel="0" collapsed="false">
      <c r="A3268" s="22" t="n">
        <v>46309</v>
      </c>
      <c r="B3268" s="0" t="n">
        <v>13</v>
      </c>
      <c r="C3268" s="0" t="n">
        <v>7807</v>
      </c>
      <c r="E3268" s="0" t="n">
        <v>0</v>
      </c>
      <c r="F3268" s="23" t="s">
        <v>1490</v>
      </c>
      <c r="I3268" s="23" t="s">
        <v>1249</v>
      </c>
      <c r="U3268" s="0" t="n">
        <v>127</v>
      </c>
      <c r="V3268" s="0" t="n">
        <v>0</v>
      </c>
      <c r="W3268" s="0" t="str">
        <f aca="false">IF(OR(AND(B3268&gt;=1,B3268&lt;=6),B3268=10),"Vaca em lactação",IF(I3268="Male","Macho",IF(E3268&gt;=1,"Vaca seca",IF(I3268="Youngstock","Bezerra/recria","Novilha"))))</f>
        <v>Bezerra/recria</v>
      </c>
      <c r="X3268" s="0" t="str">
        <f aca="false">IF(AND(B3268&gt;=1,B3268&lt;=6),"Tanque",IF(B3268=10,"Descarte",""))</f>
        <v/>
      </c>
    </row>
    <row r="3269" customFormat="false" ht="15" hidden="false" customHeight="false" outlineLevel="0" collapsed="false">
      <c r="A3269" s="22" t="n">
        <v>46309</v>
      </c>
      <c r="B3269" s="0" t="n">
        <v>13</v>
      </c>
      <c r="C3269" s="0" t="n">
        <v>7818</v>
      </c>
      <c r="E3269" s="0" t="n">
        <v>0</v>
      </c>
      <c r="F3269" s="23" t="s">
        <v>1485</v>
      </c>
      <c r="I3269" s="23" t="s">
        <v>1249</v>
      </c>
      <c r="U3269" s="0" t="n">
        <v>125</v>
      </c>
      <c r="V3269" s="0" t="n">
        <v>0</v>
      </c>
      <c r="W3269" s="0" t="str">
        <f aca="false">IF(OR(AND(B3269&gt;=1,B3269&lt;=6),B3269=10),"Vaca em lactação",IF(I3269="Male","Macho",IF(E3269&gt;=1,"Vaca seca",IF(I3269="Youngstock","Bezerra/recria","Novilha"))))</f>
        <v>Bezerra/recria</v>
      </c>
      <c r="X3269" s="0" t="str">
        <f aca="false">IF(AND(B3269&gt;=1,B3269&lt;=6),"Tanque",IF(B3269=10,"Descarte",""))</f>
        <v/>
      </c>
    </row>
    <row r="3270" customFormat="false" ht="15" hidden="false" customHeight="false" outlineLevel="0" collapsed="false">
      <c r="A3270" s="22" t="n">
        <v>46309</v>
      </c>
      <c r="B3270" s="0" t="n">
        <v>13</v>
      </c>
      <c r="C3270" s="0" t="n">
        <v>7817</v>
      </c>
      <c r="E3270" s="0" t="n">
        <v>0</v>
      </c>
      <c r="F3270" s="23" t="s">
        <v>1485</v>
      </c>
      <c r="I3270" s="23" t="s">
        <v>1249</v>
      </c>
      <c r="U3270" s="0" t="n">
        <v>125</v>
      </c>
      <c r="V3270" s="0" t="n">
        <v>0</v>
      </c>
      <c r="W3270" s="0" t="str">
        <f aca="false">IF(OR(AND(B3270&gt;=1,B3270&lt;=6),B3270=10),"Vaca em lactação",IF(I3270="Male","Macho",IF(E3270&gt;=1,"Vaca seca",IF(I3270="Youngstock","Bezerra/recria","Novilha"))))</f>
        <v>Bezerra/recria</v>
      </c>
      <c r="X3270" s="0" t="str">
        <f aca="false">IF(AND(B3270&gt;=1,B3270&lt;=6),"Tanque",IF(B3270=10,"Descarte",""))</f>
        <v/>
      </c>
    </row>
    <row r="3271" customFormat="false" ht="15" hidden="false" customHeight="false" outlineLevel="0" collapsed="false">
      <c r="A3271" s="22" t="n">
        <v>46309</v>
      </c>
      <c r="B3271" s="0" t="n">
        <v>13</v>
      </c>
      <c r="C3271" s="0" t="n">
        <v>7816</v>
      </c>
      <c r="E3271" s="0" t="n">
        <v>0</v>
      </c>
      <c r="F3271" s="23" t="s">
        <v>1485</v>
      </c>
      <c r="I3271" s="23" t="s">
        <v>1249</v>
      </c>
      <c r="U3271" s="0" t="n">
        <v>125</v>
      </c>
      <c r="V3271" s="0" t="n">
        <v>0</v>
      </c>
      <c r="W3271" s="0" t="str">
        <f aca="false">IF(OR(AND(B3271&gt;=1,B3271&lt;=6),B3271=10),"Vaca em lactação",IF(I3271="Male","Macho",IF(E3271&gt;=1,"Vaca seca",IF(I3271="Youngstock","Bezerra/recria","Novilha"))))</f>
        <v>Bezerra/recria</v>
      </c>
      <c r="X3271" s="0" t="str">
        <f aca="false">IF(AND(B3271&gt;=1,B3271&lt;=6),"Tanque",IF(B3271=10,"Descarte",""))</f>
        <v/>
      </c>
    </row>
    <row r="3272" customFormat="false" ht="15" hidden="false" customHeight="false" outlineLevel="0" collapsed="false">
      <c r="A3272" s="22" t="n">
        <v>46309</v>
      </c>
      <c r="B3272" s="0" t="n">
        <v>13</v>
      </c>
      <c r="C3272" s="0" t="n">
        <v>7815</v>
      </c>
      <c r="E3272" s="0" t="n">
        <v>0</v>
      </c>
      <c r="F3272" s="23" t="s">
        <v>1489</v>
      </c>
      <c r="I3272" s="23" t="s">
        <v>1249</v>
      </c>
      <c r="U3272" s="0" t="n">
        <v>126</v>
      </c>
      <c r="V3272" s="0" t="n">
        <v>0</v>
      </c>
      <c r="W3272" s="0" t="str">
        <f aca="false">IF(OR(AND(B3272&gt;=1,B3272&lt;=6),B3272=10),"Vaca em lactação",IF(I3272="Male","Macho",IF(E3272&gt;=1,"Vaca seca",IF(I3272="Youngstock","Bezerra/recria","Novilha"))))</f>
        <v>Bezerra/recria</v>
      </c>
      <c r="X3272" s="0" t="str">
        <f aca="false">IF(AND(B3272&gt;=1,B3272&lt;=6),"Tanque",IF(B3272=10,"Descarte",""))</f>
        <v/>
      </c>
    </row>
    <row r="3273" customFormat="false" ht="15" hidden="false" customHeight="false" outlineLevel="0" collapsed="false">
      <c r="A3273" s="22" t="n">
        <v>46309</v>
      </c>
      <c r="B3273" s="0" t="n">
        <v>13</v>
      </c>
      <c r="C3273" s="0" t="n">
        <v>7813</v>
      </c>
      <c r="E3273" s="0" t="n">
        <v>0</v>
      </c>
      <c r="F3273" s="23" t="s">
        <v>1489</v>
      </c>
      <c r="I3273" s="23" t="s">
        <v>1249</v>
      </c>
      <c r="U3273" s="0" t="n">
        <v>126</v>
      </c>
      <c r="V3273" s="0" t="n">
        <v>0</v>
      </c>
      <c r="W3273" s="0" t="str">
        <f aca="false">IF(OR(AND(B3273&gt;=1,B3273&lt;=6),B3273=10),"Vaca em lactação",IF(I3273="Male","Macho",IF(E3273&gt;=1,"Vaca seca",IF(I3273="Youngstock","Bezerra/recria","Novilha"))))</f>
        <v>Bezerra/recria</v>
      </c>
      <c r="X3273" s="0" t="str">
        <f aca="false">IF(AND(B3273&gt;=1,B3273&lt;=6),"Tanque",IF(B3273=10,"Descarte",""))</f>
        <v/>
      </c>
    </row>
    <row r="3274" customFormat="false" ht="15" hidden="false" customHeight="false" outlineLevel="0" collapsed="false">
      <c r="A3274" s="22" t="n">
        <v>46309</v>
      </c>
      <c r="B3274" s="0" t="n">
        <v>13</v>
      </c>
      <c r="C3274" s="0" t="n">
        <v>7812</v>
      </c>
      <c r="E3274" s="0" t="n">
        <v>0</v>
      </c>
      <c r="F3274" s="23" t="s">
        <v>1489</v>
      </c>
      <c r="I3274" s="23" t="s">
        <v>1249</v>
      </c>
      <c r="U3274" s="0" t="n">
        <v>126</v>
      </c>
      <c r="V3274" s="0" t="n">
        <v>0</v>
      </c>
      <c r="W3274" s="0" t="str">
        <f aca="false">IF(OR(AND(B3274&gt;=1,B3274&lt;=6),B3274=10),"Vaca em lactação",IF(I3274="Male","Macho",IF(E3274&gt;=1,"Vaca seca",IF(I3274="Youngstock","Bezerra/recria","Novilha"))))</f>
        <v>Bezerra/recria</v>
      </c>
      <c r="X3274" s="0" t="str">
        <f aca="false">IF(AND(B3274&gt;=1,B3274&lt;=6),"Tanque",IF(B3274=10,"Descarte",""))</f>
        <v/>
      </c>
    </row>
    <row r="3275" customFormat="false" ht="15" hidden="false" customHeight="false" outlineLevel="0" collapsed="false">
      <c r="A3275" s="22" t="n">
        <v>46309</v>
      </c>
      <c r="B3275" s="0" t="n">
        <v>13</v>
      </c>
      <c r="C3275" s="0" t="n">
        <v>7783</v>
      </c>
      <c r="E3275" s="0" t="n">
        <v>0</v>
      </c>
      <c r="F3275" s="23" t="s">
        <v>1491</v>
      </c>
      <c r="I3275" s="23" t="s">
        <v>1249</v>
      </c>
      <c r="U3275" s="0" t="n">
        <v>134</v>
      </c>
      <c r="V3275" s="0" t="n">
        <v>0</v>
      </c>
      <c r="W3275" s="0" t="str">
        <f aca="false">IF(OR(AND(B3275&gt;=1,B3275&lt;=6),B3275=10),"Vaca em lactação",IF(I3275="Male","Macho",IF(E3275&gt;=1,"Vaca seca",IF(I3275="Youngstock","Bezerra/recria","Novilha"))))</f>
        <v>Bezerra/recria</v>
      </c>
      <c r="X3275" s="0" t="str">
        <f aca="false">IF(AND(B3275&gt;=1,B3275&lt;=6),"Tanque",IF(B3275=10,"Descarte",""))</f>
        <v/>
      </c>
    </row>
    <row r="3276" customFormat="false" ht="15" hidden="false" customHeight="false" outlineLevel="0" collapsed="false">
      <c r="A3276" s="22" t="n">
        <v>46309</v>
      </c>
      <c r="B3276" s="0" t="n">
        <v>13</v>
      </c>
      <c r="C3276" s="0" t="n">
        <v>7782</v>
      </c>
      <c r="E3276" s="0" t="n">
        <v>0</v>
      </c>
      <c r="F3276" s="23" t="s">
        <v>1492</v>
      </c>
      <c r="I3276" s="23" t="s">
        <v>1249</v>
      </c>
      <c r="U3276" s="0" t="n">
        <v>135</v>
      </c>
      <c r="V3276" s="0" t="n">
        <v>0</v>
      </c>
      <c r="W3276" s="0" t="str">
        <f aca="false">IF(OR(AND(B3276&gt;=1,B3276&lt;=6),B3276=10),"Vaca em lactação",IF(I3276="Male","Macho",IF(E3276&gt;=1,"Vaca seca",IF(I3276="Youngstock","Bezerra/recria","Novilha"))))</f>
        <v>Bezerra/recria</v>
      </c>
      <c r="X3276" s="0" t="str">
        <f aca="false">IF(AND(B3276&gt;=1,B3276&lt;=6),"Tanque",IF(B3276=10,"Descarte",""))</f>
        <v/>
      </c>
    </row>
    <row r="3277" customFormat="false" ht="15" hidden="false" customHeight="false" outlineLevel="0" collapsed="false">
      <c r="A3277" s="22" t="n">
        <v>46309</v>
      </c>
      <c r="B3277" s="0" t="n">
        <v>13</v>
      </c>
      <c r="C3277" s="0" t="n">
        <v>7781</v>
      </c>
      <c r="E3277" s="0" t="n">
        <v>0</v>
      </c>
      <c r="F3277" s="23" t="s">
        <v>1492</v>
      </c>
      <c r="I3277" s="23" t="s">
        <v>1249</v>
      </c>
      <c r="U3277" s="0" t="n">
        <v>135</v>
      </c>
      <c r="V3277" s="0" t="n">
        <v>0</v>
      </c>
      <c r="W3277" s="0" t="str">
        <f aca="false">IF(OR(AND(B3277&gt;=1,B3277&lt;=6),B3277=10),"Vaca em lactação",IF(I3277="Male","Macho",IF(E3277&gt;=1,"Vaca seca",IF(I3277="Youngstock","Bezerra/recria","Novilha"))))</f>
        <v>Bezerra/recria</v>
      </c>
      <c r="X3277" s="0" t="str">
        <f aca="false">IF(AND(B3277&gt;=1,B3277&lt;=6),"Tanque",IF(B3277=10,"Descarte",""))</f>
        <v/>
      </c>
    </row>
    <row r="3278" customFormat="false" ht="15" hidden="false" customHeight="false" outlineLevel="0" collapsed="false">
      <c r="A3278" s="22" t="n">
        <v>46309</v>
      </c>
      <c r="B3278" s="0" t="n">
        <v>13</v>
      </c>
      <c r="C3278" s="0" t="n">
        <v>7779</v>
      </c>
      <c r="E3278" s="0" t="n">
        <v>0</v>
      </c>
      <c r="F3278" s="23" t="s">
        <v>1493</v>
      </c>
      <c r="I3278" s="23" t="s">
        <v>1249</v>
      </c>
      <c r="U3278" s="0" t="n">
        <v>136</v>
      </c>
      <c r="V3278" s="0" t="n">
        <v>0</v>
      </c>
      <c r="W3278" s="0" t="str">
        <f aca="false">IF(OR(AND(B3278&gt;=1,B3278&lt;=6),B3278=10),"Vaca em lactação",IF(I3278="Male","Macho",IF(E3278&gt;=1,"Vaca seca",IF(I3278="Youngstock","Bezerra/recria","Novilha"))))</f>
        <v>Bezerra/recria</v>
      </c>
      <c r="X3278" s="0" t="str">
        <f aca="false">IF(AND(B3278&gt;=1,B3278&lt;=6),"Tanque",IF(B3278=10,"Descarte",""))</f>
        <v/>
      </c>
    </row>
    <row r="3279" customFormat="false" ht="15" hidden="false" customHeight="false" outlineLevel="0" collapsed="false">
      <c r="A3279" s="22" t="n">
        <v>46309</v>
      </c>
      <c r="B3279" s="0" t="n">
        <v>13</v>
      </c>
      <c r="C3279" s="0" t="n">
        <v>7784</v>
      </c>
      <c r="E3279" s="0" t="n">
        <v>0</v>
      </c>
      <c r="F3279" s="23" t="s">
        <v>1491</v>
      </c>
      <c r="I3279" s="23" t="s">
        <v>1249</v>
      </c>
      <c r="U3279" s="0" t="n">
        <v>134</v>
      </c>
      <c r="V3279" s="0" t="n">
        <v>0</v>
      </c>
      <c r="W3279" s="0" t="str">
        <f aca="false">IF(OR(AND(B3279&gt;=1,B3279&lt;=6),B3279=10),"Vaca em lactação",IF(I3279="Male","Macho",IF(E3279&gt;=1,"Vaca seca",IF(I3279="Youngstock","Bezerra/recria","Novilha"))))</f>
        <v>Bezerra/recria</v>
      </c>
      <c r="X3279" s="0" t="str">
        <f aca="false">IF(AND(B3279&gt;=1,B3279&lt;=6),"Tanque",IF(B3279=10,"Descarte",""))</f>
        <v/>
      </c>
    </row>
    <row r="3280" customFormat="false" ht="15" hidden="false" customHeight="false" outlineLevel="0" collapsed="false">
      <c r="A3280" s="22" t="n">
        <v>46309</v>
      </c>
      <c r="B3280" s="0" t="n">
        <v>13</v>
      </c>
      <c r="C3280" s="0" t="n">
        <v>7791</v>
      </c>
      <c r="E3280" s="0" t="n">
        <v>0</v>
      </c>
      <c r="F3280" s="23" t="s">
        <v>1494</v>
      </c>
      <c r="I3280" s="23" t="s">
        <v>1249</v>
      </c>
      <c r="U3280" s="0" t="n">
        <v>132</v>
      </c>
      <c r="V3280" s="0" t="n">
        <v>0</v>
      </c>
      <c r="W3280" s="0" t="str">
        <f aca="false">IF(OR(AND(B3280&gt;=1,B3280&lt;=6),B3280=10),"Vaca em lactação",IF(I3280="Male","Macho",IF(E3280&gt;=1,"Vaca seca",IF(I3280="Youngstock","Bezerra/recria","Novilha"))))</f>
        <v>Bezerra/recria</v>
      </c>
      <c r="X3280" s="0" t="str">
        <f aca="false">IF(AND(B3280&gt;=1,B3280&lt;=6),"Tanque",IF(B3280=10,"Descarte",""))</f>
        <v/>
      </c>
    </row>
    <row r="3281" customFormat="false" ht="15" hidden="false" customHeight="false" outlineLevel="0" collapsed="false">
      <c r="A3281" s="22" t="n">
        <v>46309</v>
      </c>
      <c r="B3281" s="0" t="n">
        <v>13</v>
      </c>
      <c r="C3281" s="0" t="n">
        <v>7785</v>
      </c>
      <c r="E3281" s="0" t="n">
        <v>0</v>
      </c>
      <c r="F3281" s="23" t="s">
        <v>1491</v>
      </c>
      <c r="I3281" s="23" t="s">
        <v>1249</v>
      </c>
      <c r="U3281" s="0" t="n">
        <v>134</v>
      </c>
      <c r="V3281" s="0" t="n">
        <v>0</v>
      </c>
      <c r="W3281" s="0" t="str">
        <f aca="false">IF(OR(AND(B3281&gt;=1,B3281&lt;=6),B3281=10),"Vaca em lactação",IF(I3281="Male","Macho",IF(E3281&gt;=1,"Vaca seca",IF(I3281="Youngstock","Bezerra/recria","Novilha"))))</f>
        <v>Bezerra/recria</v>
      </c>
      <c r="X3281" s="0" t="str">
        <f aca="false">IF(AND(B3281&gt;=1,B3281&lt;=6),"Tanque",IF(B3281=10,"Descarte",""))</f>
        <v/>
      </c>
    </row>
    <row r="3282" customFormat="false" ht="15" hidden="false" customHeight="false" outlineLevel="0" collapsed="false">
      <c r="A3282" s="22" t="n">
        <v>46309</v>
      </c>
      <c r="B3282" s="0" t="n">
        <v>13</v>
      </c>
      <c r="C3282" s="0" t="n">
        <v>7790</v>
      </c>
      <c r="E3282" s="0" t="n">
        <v>0</v>
      </c>
      <c r="F3282" s="23" t="s">
        <v>1494</v>
      </c>
      <c r="I3282" s="23" t="s">
        <v>1249</v>
      </c>
      <c r="U3282" s="0" t="n">
        <v>132</v>
      </c>
      <c r="V3282" s="0" t="n">
        <v>0</v>
      </c>
      <c r="W3282" s="0" t="str">
        <f aca="false">IF(OR(AND(B3282&gt;=1,B3282&lt;=6),B3282=10),"Vaca em lactação",IF(I3282="Male","Macho",IF(E3282&gt;=1,"Vaca seca",IF(I3282="Youngstock","Bezerra/recria","Novilha"))))</f>
        <v>Bezerra/recria</v>
      </c>
      <c r="X3282" s="0" t="str">
        <f aca="false">IF(AND(B3282&gt;=1,B3282&lt;=6),"Tanque",IF(B3282=10,"Descarte",""))</f>
        <v/>
      </c>
    </row>
    <row r="3283" customFormat="false" ht="15" hidden="false" customHeight="false" outlineLevel="0" collapsed="false">
      <c r="A3283" s="22" t="n">
        <v>46309</v>
      </c>
      <c r="B3283" s="0" t="n">
        <v>13</v>
      </c>
      <c r="C3283" s="0" t="n">
        <v>7789</v>
      </c>
      <c r="E3283" s="0" t="n">
        <v>0</v>
      </c>
      <c r="F3283" s="23" t="s">
        <v>1495</v>
      </c>
      <c r="I3283" s="23" t="s">
        <v>1249</v>
      </c>
      <c r="U3283" s="0" t="n">
        <v>133</v>
      </c>
      <c r="V3283" s="0" t="n">
        <v>0</v>
      </c>
      <c r="W3283" s="0" t="str">
        <f aca="false">IF(OR(AND(B3283&gt;=1,B3283&lt;=6),B3283=10),"Vaca em lactação",IF(I3283="Male","Macho",IF(E3283&gt;=1,"Vaca seca",IF(I3283="Youngstock","Bezerra/recria","Novilha"))))</f>
        <v>Bezerra/recria</v>
      </c>
      <c r="X3283" s="0" t="str">
        <f aca="false">IF(AND(B3283&gt;=1,B3283&lt;=6),"Tanque",IF(B3283=10,"Descarte",""))</f>
        <v/>
      </c>
    </row>
    <row r="3284" customFormat="false" ht="15" hidden="false" customHeight="false" outlineLevel="0" collapsed="false">
      <c r="A3284" s="22" t="n">
        <v>46309</v>
      </c>
      <c r="B3284" s="0" t="n">
        <v>13</v>
      </c>
      <c r="C3284" s="0" t="n">
        <v>7788</v>
      </c>
      <c r="E3284" s="0" t="n">
        <v>0</v>
      </c>
      <c r="F3284" s="23" t="s">
        <v>1495</v>
      </c>
      <c r="I3284" s="23" t="s">
        <v>1249</v>
      </c>
      <c r="U3284" s="0" t="n">
        <v>133</v>
      </c>
      <c r="V3284" s="0" t="n">
        <v>0</v>
      </c>
      <c r="W3284" s="0" t="str">
        <f aca="false">IF(OR(AND(B3284&gt;=1,B3284&lt;=6),B3284=10),"Vaca em lactação",IF(I3284="Male","Macho",IF(E3284&gt;=1,"Vaca seca",IF(I3284="Youngstock","Bezerra/recria","Novilha"))))</f>
        <v>Bezerra/recria</v>
      </c>
      <c r="X3284" s="0" t="str">
        <f aca="false">IF(AND(B3284&gt;=1,B3284&lt;=6),"Tanque",IF(B3284=10,"Descarte",""))</f>
        <v/>
      </c>
    </row>
    <row r="3285" customFormat="false" ht="15" hidden="false" customHeight="false" outlineLevel="0" collapsed="false">
      <c r="A3285" s="22" t="n">
        <v>46309</v>
      </c>
      <c r="B3285" s="0" t="n">
        <v>13</v>
      </c>
      <c r="C3285" s="0" t="n">
        <v>7787</v>
      </c>
      <c r="E3285" s="0" t="n">
        <v>0</v>
      </c>
      <c r="F3285" s="23" t="s">
        <v>1495</v>
      </c>
      <c r="I3285" s="23" t="s">
        <v>1249</v>
      </c>
      <c r="U3285" s="0" t="n">
        <v>133</v>
      </c>
      <c r="V3285" s="0" t="n">
        <v>0</v>
      </c>
      <c r="W3285" s="0" t="str">
        <f aca="false">IF(OR(AND(B3285&gt;=1,B3285&lt;=6),B3285=10),"Vaca em lactação",IF(I3285="Male","Macho",IF(E3285&gt;=1,"Vaca seca",IF(I3285="Youngstock","Bezerra/recria","Novilha"))))</f>
        <v>Bezerra/recria</v>
      </c>
      <c r="X3285" s="0" t="str">
        <f aca="false">IF(AND(B3285&gt;=1,B3285&lt;=6),"Tanque",IF(B3285=10,"Descarte",""))</f>
        <v/>
      </c>
    </row>
    <row r="3286" customFormat="false" ht="15" hidden="false" customHeight="false" outlineLevel="0" collapsed="false">
      <c r="A3286" s="22" t="n">
        <v>46309</v>
      </c>
      <c r="B3286" s="0" t="n">
        <v>13</v>
      </c>
      <c r="C3286" s="0" t="n">
        <v>7786</v>
      </c>
      <c r="E3286" s="0" t="n">
        <v>0</v>
      </c>
      <c r="F3286" s="23" t="s">
        <v>1491</v>
      </c>
      <c r="I3286" s="23" t="s">
        <v>1249</v>
      </c>
      <c r="U3286" s="0" t="n">
        <v>134</v>
      </c>
      <c r="V3286" s="0" t="n">
        <v>0</v>
      </c>
      <c r="W3286" s="0" t="str">
        <f aca="false">IF(OR(AND(B3286&gt;=1,B3286&lt;=6),B3286=10),"Vaca em lactação",IF(I3286="Male","Macho",IF(E3286&gt;=1,"Vaca seca",IF(I3286="Youngstock","Bezerra/recria","Novilha"))))</f>
        <v>Bezerra/recria</v>
      </c>
      <c r="X3286" s="0" t="str">
        <f aca="false">IF(AND(B3286&gt;=1,B3286&lt;=6),"Tanque",IF(B3286=10,"Descarte",""))</f>
        <v/>
      </c>
    </row>
    <row r="3287" customFormat="false" ht="15" hidden="false" customHeight="false" outlineLevel="0" collapsed="false">
      <c r="A3287" s="22" t="n">
        <v>46309</v>
      </c>
      <c r="B3287" s="0" t="n">
        <v>13</v>
      </c>
      <c r="C3287" s="0" t="n">
        <v>7793</v>
      </c>
      <c r="E3287" s="0" t="n">
        <v>0</v>
      </c>
      <c r="F3287" s="23" t="s">
        <v>1494</v>
      </c>
      <c r="I3287" s="23" t="s">
        <v>1249</v>
      </c>
      <c r="U3287" s="0" t="n">
        <v>132</v>
      </c>
      <c r="V3287" s="0" t="n">
        <v>0</v>
      </c>
      <c r="W3287" s="0" t="str">
        <f aca="false">IF(OR(AND(B3287&gt;=1,B3287&lt;=6),B3287=10),"Vaca em lactação",IF(I3287="Male","Macho",IF(E3287&gt;=1,"Vaca seca",IF(I3287="Youngstock","Bezerra/recria","Novilha"))))</f>
        <v>Bezerra/recria</v>
      </c>
      <c r="X3287" s="0" t="str">
        <f aca="false">IF(AND(B3287&gt;=1,B3287&lt;=6),"Tanque",IF(B3287=10,"Descarte",""))</f>
        <v/>
      </c>
    </row>
    <row r="3288" customFormat="false" ht="15" hidden="false" customHeight="false" outlineLevel="0" collapsed="false">
      <c r="A3288" s="22" t="n">
        <v>46309</v>
      </c>
      <c r="B3288" s="0" t="n">
        <v>13</v>
      </c>
      <c r="C3288" s="0" t="n">
        <v>7792</v>
      </c>
      <c r="E3288" s="0" t="n">
        <v>0</v>
      </c>
      <c r="F3288" s="23" t="s">
        <v>1494</v>
      </c>
      <c r="I3288" s="23" t="s">
        <v>1249</v>
      </c>
      <c r="U3288" s="0" t="n">
        <v>132</v>
      </c>
      <c r="V3288" s="0" t="n">
        <v>0</v>
      </c>
      <c r="W3288" s="0" t="str">
        <f aca="false">IF(OR(AND(B3288&gt;=1,B3288&lt;=6),B3288=10),"Vaca em lactação",IF(I3288="Male","Macho",IF(E3288&gt;=1,"Vaca seca",IF(I3288="Youngstock","Bezerra/recria","Novilha"))))</f>
        <v>Bezerra/recria</v>
      </c>
      <c r="X3288" s="0" t="str">
        <f aca="false">IF(AND(B3288&gt;=1,B3288&lt;=6),"Tanque",IF(B3288=10,"Descarte",""))</f>
        <v/>
      </c>
    </row>
    <row r="3289" customFormat="false" ht="15" hidden="false" customHeight="false" outlineLevel="0" collapsed="false">
      <c r="A3289" s="22" t="n">
        <v>46309</v>
      </c>
      <c r="B3289" s="0" t="n">
        <v>13</v>
      </c>
      <c r="C3289" s="0" t="n">
        <v>7797</v>
      </c>
      <c r="E3289" s="0" t="n">
        <v>0</v>
      </c>
      <c r="F3289" s="23" t="s">
        <v>1496</v>
      </c>
      <c r="I3289" s="23" t="s">
        <v>1249</v>
      </c>
      <c r="U3289" s="0" t="n">
        <v>131</v>
      </c>
      <c r="V3289" s="0" t="n">
        <v>0</v>
      </c>
      <c r="W3289" s="0" t="str">
        <f aca="false">IF(OR(AND(B3289&gt;=1,B3289&lt;=6),B3289=10),"Vaca em lactação",IF(I3289="Male","Macho",IF(E3289&gt;=1,"Vaca seca",IF(I3289="Youngstock","Bezerra/recria","Novilha"))))</f>
        <v>Bezerra/recria</v>
      </c>
      <c r="X3289" s="0" t="str">
        <f aca="false">IF(AND(B3289&gt;=1,B3289&lt;=6),"Tanque",IF(B3289=10,"Descarte",""))</f>
        <v/>
      </c>
    </row>
    <row r="3290" customFormat="false" ht="15" hidden="false" customHeight="false" outlineLevel="0" collapsed="false">
      <c r="A3290" s="22" t="n">
        <v>46309</v>
      </c>
      <c r="B3290" s="0" t="n">
        <v>13</v>
      </c>
      <c r="C3290" s="0" t="n">
        <v>7796</v>
      </c>
      <c r="E3290" s="0" t="n">
        <v>0</v>
      </c>
      <c r="F3290" s="23" t="s">
        <v>1496</v>
      </c>
      <c r="I3290" s="23" t="s">
        <v>1249</v>
      </c>
      <c r="U3290" s="0" t="n">
        <v>131</v>
      </c>
      <c r="V3290" s="0" t="n">
        <v>0</v>
      </c>
      <c r="W3290" s="0" t="str">
        <f aca="false">IF(OR(AND(B3290&gt;=1,B3290&lt;=6),B3290=10),"Vaca em lactação",IF(I3290="Male","Macho",IF(E3290&gt;=1,"Vaca seca",IF(I3290="Youngstock","Bezerra/recria","Novilha"))))</f>
        <v>Bezerra/recria</v>
      </c>
      <c r="X3290" s="0" t="str">
        <f aca="false">IF(AND(B3290&gt;=1,B3290&lt;=6),"Tanque",IF(B3290=10,"Descarte",""))</f>
        <v/>
      </c>
    </row>
    <row r="3291" customFormat="false" ht="15" hidden="false" customHeight="false" outlineLevel="0" collapsed="false">
      <c r="A3291" s="22" t="n">
        <v>46309</v>
      </c>
      <c r="B3291" s="0" t="n">
        <v>13</v>
      </c>
      <c r="C3291" s="0" t="n">
        <v>7795</v>
      </c>
      <c r="E3291" s="0" t="n">
        <v>0</v>
      </c>
      <c r="F3291" s="23" t="s">
        <v>1496</v>
      </c>
      <c r="I3291" s="23" t="s">
        <v>1249</v>
      </c>
      <c r="U3291" s="0" t="n">
        <v>131</v>
      </c>
      <c r="V3291" s="0" t="n">
        <v>0</v>
      </c>
      <c r="W3291" s="0" t="str">
        <f aca="false">IF(OR(AND(B3291&gt;=1,B3291&lt;=6),B3291=10),"Vaca em lactação",IF(I3291="Male","Macho",IF(E3291&gt;=1,"Vaca seca",IF(I3291="Youngstock","Bezerra/recria","Novilha"))))</f>
        <v>Bezerra/recria</v>
      </c>
      <c r="X3291" s="0" t="str">
        <f aca="false">IF(AND(B3291&gt;=1,B3291&lt;=6),"Tanque",IF(B3291=10,"Descarte",""))</f>
        <v/>
      </c>
    </row>
    <row r="3292" customFormat="false" ht="15" hidden="false" customHeight="false" outlineLevel="0" collapsed="false">
      <c r="A3292" s="22" t="n">
        <v>46309</v>
      </c>
      <c r="B3292" s="0" t="n">
        <v>13</v>
      </c>
      <c r="C3292" s="0" t="n">
        <v>7794</v>
      </c>
      <c r="E3292" s="0" t="n">
        <v>0</v>
      </c>
      <c r="F3292" s="23" t="s">
        <v>1494</v>
      </c>
      <c r="I3292" s="23" t="s">
        <v>1249</v>
      </c>
      <c r="U3292" s="0" t="n">
        <v>132</v>
      </c>
      <c r="V3292" s="0" t="n">
        <v>0</v>
      </c>
      <c r="W3292" s="0" t="str">
        <f aca="false">IF(OR(AND(B3292&gt;=1,B3292&lt;=6),B3292=10),"Vaca em lactação",IF(I3292="Male","Macho",IF(E3292&gt;=1,"Vaca seca",IF(I3292="Youngstock","Bezerra/recria","Novilha"))))</f>
        <v>Bezerra/recria</v>
      </c>
      <c r="X3292" s="0" t="str">
        <f aca="false">IF(AND(B3292&gt;=1,B3292&lt;=6),"Tanque",IF(B3292=10,"Descarte",""))</f>
        <v/>
      </c>
    </row>
    <row r="3293" customFormat="false" ht="15" hidden="false" customHeight="false" outlineLevel="0" collapsed="false">
      <c r="A3293" s="22" t="n">
        <v>46309</v>
      </c>
      <c r="B3293" s="0" t="n">
        <v>13</v>
      </c>
      <c r="C3293" s="0" t="n">
        <v>7800</v>
      </c>
      <c r="E3293" s="0" t="n">
        <v>0</v>
      </c>
      <c r="F3293" s="23" t="s">
        <v>1497</v>
      </c>
      <c r="I3293" s="23" t="s">
        <v>1249</v>
      </c>
      <c r="U3293" s="0" t="n">
        <v>130</v>
      </c>
      <c r="V3293" s="0" t="n">
        <v>0</v>
      </c>
      <c r="W3293" s="0" t="str">
        <f aca="false">IF(OR(AND(B3293&gt;=1,B3293&lt;=6),B3293=10),"Vaca em lactação",IF(I3293="Male","Macho",IF(E3293&gt;=1,"Vaca seca",IF(I3293="Youngstock","Bezerra/recria","Novilha"))))</f>
        <v>Bezerra/recria</v>
      </c>
      <c r="X3293" s="0" t="str">
        <f aca="false">IF(AND(B3293&gt;=1,B3293&lt;=6),"Tanque",IF(B3293=10,"Descarte",""))</f>
        <v/>
      </c>
    </row>
    <row r="3294" customFormat="false" ht="15" hidden="false" customHeight="false" outlineLevel="0" collapsed="false">
      <c r="A3294" s="22" t="n">
        <v>46309</v>
      </c>
      <c r="B3294" s="0" t="n">
        <v>13</v>
      </c>
      <c r="C3294" s="0" t="n">
        <v>7799</v>
      </c>
      <c r="E3294" s="0" t="n">
        <v>0</v>
      </c>
      <c r="F3294" s="23" t="s">
        <v>1496</v>
      </c>
      <c r="I3294" s="23" t="s">
        <v>1249</v>
      </c>
      <c r="U3294" s="0" t="n">
        <v>131</v>
      </c>
      <c r="V3294" s="0" t="n">
        <v>0</v>
      </c>
      <c r="W3294" s="0" t="str">
        <f aca="false">IF(OR(AND(B3294&gt;=1,B3294&lt;=6),B3294=10),"Vaca em lactação",IF(I3294="Male","Macho",IF(E3294&gt;=1,"Vaca seca",IF(I3294="Youngstock","Bezerra/recria","Novilha"))))</f>
        <v>Bezerra/recria</v>
      </c>
      <c r="X3294" s="0" t="str">
        <f aca="false">IF(AND(B3294&gt;=1,B3294&lt;=6),"Tanque",IF(B3294=10,"Descarte",""))</f>
        <v/>
      </c>
    </row>
    <row r="3295" customFormat="false" ht="15" hidden="false" customHeight="false" outlineLevel="0" collapsed="false">
      <c r="A3295" s="22" t="n">
        <v>46309</v>
      </c>
      <c r="B3295" s="0" t="n">
        <v>13</v>
      </c>
      <c r="C3295" s="0" t="n">
        <v>7803</v>
      </c>
      <c r="E3295" s="0" t="n">
        <v>0</v>
      </c>
      <c r="F3295" s="23" t="s">
        <v>1487</v>
      </c>
      <c r="I3295" s="23" t="s">
        <v>1249</v>
      </c>
      <c r="U3295" s="0" t="n">
        <v>129</v>
      </c>
      <c r="V3295" s="0" t="n">
        <v>0</v>
      </c>
      <c r="W3295" s="0" t="str">
        <f aca="false">IF(OR(AND(B3295&gt;=1,B3295&lt;=6),B3295=10),"Vaca em lactação",IF(I3295="Male","Macho",IF(E3295&gt;=1,"Vaca seca",IF(I3295="Youngstock","Bezerra/recria","Novilha"))))</f>
        <v>Bezerra/recria</v>
      </c>
      <c r="X3295" s="0" t="str">
        <f aca="false">IF(AND(B3295&gt;=1,B3295&lt;=6),"Tanque",IF(B3295=10,"Descarte",""))</f>
        <v/>
      </c>
    </row>
    <row r="3296" customFormat="false" ht="15" hidden="false" customHeight="false" outlineLevel="0" collapsed="false">
      <c r="A3296" s="22" t="n">
        <v>46309</v>
      </c>
      <c r="B3296" s="0" t="n">
        <v>13</v>
      </c>
      <c r="C3296" s="0" t="n">
        <v>7802</v>
      </c>
      <c r="E3296" s="0" t="n">
        <v>0</v>
      </c>
      <c r="F3296" s="23" t="s">
        <v>1497</v>
      </c>
      <c r="I3296" s="23" t="s">
        <v>1249</v>
      </c>
      <c r="U3296" s="0" t="n">
        <v>130</v>
      </c>
      <c r="V3296" s="0" t="n">
        <v>0</v>
      </c>
      <c r="W3296" s="0" t="str">
        <f aca="false">IF(OR(AND(B3296&gt;=1,B3296&lt;=6),B3296=10),"Vaca em lactação",IF(I3296="Male","Macho",IF(E3296&gt;=1,"Vaca seca",IF(I3296="Youngstock","Bezerra/recria","Novilha"))))</f>
        <v>Bezerra/recria</v>
      </c>
      <c r="X3296" s="0" t="str">
        <f aca="false">IF(AND(B3296&gt;=1,B3296&lt;=6),"Tanque",IF(B3296=10,"Descarte",""))</f>
        <v/>
      </c>
    </row>
    <row r="3297" customFormat="false" ht="15" hidden="false" customHeight="false" outlineLevel="0" collapsed="false">
      <c r="A3297" s="22" t="n">
        <v>46309</v>
      </c>
      <c r="B3297" s="0" t="n">
        <v>13</v>
      </c>
      <c r="C3297" s="0" t="n">
        <v>7801</v>
      </c>
      <c r="E3297" s="0" t="n">
        <v>0</v>
      </c>
      <c r="F3297" s="23" t="s">
        <v>1497</v>
      </c>
      <c r="I3297" s="23" t="s">
        <v>1249</v>
      </c>
      <c r="U3297" s="0" t="n">
        <v>130</v>
      </c>
      <c r="V3297" s="0" t="n">
        <v>0</v>
      </c>
      <c r="W3297" s="0" t="str">
        <f aca="false">IF(OR(AND(B3297&gt;=1,B3297&lt;=6),B3297=10),"Vaca em lactação",IF(I3297="Male","Macho",IF(E3297&gt;=1,"Vaca seca",IF(I3297="Youngstock","Bezerra/recria","Novilha"))))</f>
        <v>Bezerra/recria</v>
      </c>
      <c r="X3297" s="0" t="str">
        <f aca="false">IF(AND(B3297&gt;=1,B3297&lt;=6),"Tanque",IF(B3297=10,"Descarte",""))</f>
        <v/>
      </c>
    </row>
    <row r="3298" customFormat="false" ht="15" hidden="false" customHeight="false" outlineLevel="0" collapsed="false">
      <c r="A3298" s="22" t="n">
        <v>46309</v>
      </c>
      <c r="B3298" s="0" t="n">
        <v>13</v>
      </c>
      <c r="C3298" s="0" t="n">
        <v>7760</v>
      </c>
      <c r="E3298" s="0" t="n">
        <v>0</v>
      </c>
      <c r="F3298" s="23" t="s">
        <v>1498</v>
      </c>
      <c r="I3298" s="23" t="s">
        <v>1249</v>
      </c>
      <c r="U3298" s="0" t="n">
        <v>142</v>
      </c>
      <c r="V3298" s="0" t="n">
        <v>0</v>
      </c>
      <c r="W3298" s="0" t="str">
        <f aca="false">IF(OR(AND(B3298&gt;=1,B3298&lt;=6),B3298=10),"Vaca em lactação",IF(I3298="Male","Macho",IF(E3298&gt;=1,"Vaca seca",IF(I3298="Youngstock","Bezerra/recria","Novilha"))))</f>
        <v>Bezerra/recria</v>
      </c>
      <c r="X3298" s="0" t="str">
        <f aca="false">IF(AND(B3298&gt;=1,B3298&lt;=6),"Tanque",IF(B3298=10,"Descarte",""))</f>
        <v/>
      </c>
    </row>
    <row r="3299" customFormat="false" ht="15" hidden="false" customHeight="false" outlineLevel="0" collapsed="false">
      <c r="A3299" s="22" t="n">
        <v>46309</v>
      </c>
      <c r="B3299" s="0" t="n">
        <v>13</v>
      </c>
      <c r="C3299" s="0" t="n">
        <v>7759</v>
      </c>
      <c r="E3299" s="0" t="n">
        <v>0</v>
      </c>
      <c r="F3299" s="23" t="s">
        <v>1498</v>
      </c>
      <c r="I3299" s="23" t="s">
        <v>1249</v>
      </c>
      <c r="U3299" s="0" t="n">
        <v>142</v>
      </c>
      <c r="V3299" s="0" t="n">
        <v>0</v>
      </c>
      <c r="W3299" s="0" t="str">
        <f aca="false">IF(OR(AND(B3299&gt;=1,B3299&lt;=6),B3299=10),"Vaca em lactação",IF(I3299="Male","Macho",IF(E3299&gt;=1,"Vaca seca",IF(I3299="Youngstock","Bezerra/recria","Novilha"))))</f>
        <v>Bezerra/recria</v>
      </c>
      <c r="X3299" s="0" t="str">
        <f aca="false">IF(AND(B3299&gt;=1,B3299&lt;=6),"Tanque",IF(B3299=10,"Descarte",""))</f>
        <v/>
      </c>
    </row>
    <row r="3300" customFormat="false" ht="15" hidden="false" customHeight="false" outlineLevel="0" collapsed="false">
      <c r="A3300" s="22" t="n">
        <v>46309</v>
      </c>
      <c r="B3300" s="0" t="n">
        <v>13</v>
      </c>
      <c r="C3300" s="0" t="n">
        <v>7756</v>
      </c>
      <c r="E3300" s="0" t="n">
        <v>0</v>
      </c>
      <c r="F3300" s="23" t="s">
        <v>1464</v>
      </c>
      <c r="I3300" s="23" t="s">
        <v>1249</v>
      </c>
      <c r="U3300" s="0" t="n">
        <v>143</v>
      </c>
      <c r="V3300" s="0" t="n">
        <v>0</v>
      </c>
      <c r="W3300" s="0" t="str">
        <f aca="false">IF(OR(AND(B3300&gt;=1,B3300&lt;=6),B3300=10),"Vaca em lactação",IF(I3300="Male","Macho",IF(E3300&gt;=1,"Vaca seca",IF(I3300="Youngstock","Bezerra/recria","Novilha"))))</f>
        <v>Bezerra/recria</v>
      </c>
      <c r="X3300" s="0" t="str">
        <f aca="false">IF(AND(B3300&gt;=1,B3300&lt;=6),"Tanque",IF(B3300=10,"Descarte",""))</f>
        <v/>
      </c>
    </row>
    <row r="3301" customFormat="false" ht="15" hidden="false" customHeight="false" outlineLevel="0" collapsed="false">
      <c r="A3301" s="22" t="n">
        <v>46309</v>
      </c>
      <c r="B3301" s="0" t="n">
        <v>13</v>
      </c>
      <c r="C3301" s="0" t="n">
        <v>7766</v>
      </c>
      <c r="E3301" s="0" t="n">
        <v>0</v>
      </c>
      <c r="F3301" s="23" t="s">
        <v>1499</v>
      </c>
      <c r="I3301" s="23" t="s">
        <v>1249</v>
      </c>
      <c r="U3301" s="0" t="n">
        <v>141</v>
      </c>
      <c r="V3301" s="0" t="n">
        <v>0</v>
      </c>
      <c r="W3301" s="0" t="str">
        <f aca="false">IF(OR(AND(B3301&gt;=1,B3301&lt;=6),B3301=10),"Vaca em lactação",IF(I3301="Male","Macho",IF(E3301&gt;=1,"Vaca seca",IF(I3301="Youngstock","Bezerra/recria","Novilha"))))</f>
        <v>Bezerra/recria</v>
      </c>
      <c r="X3301" s="0" t="str">
        <f aca="false">IF(AND(B3301&gt;=1,B3301&lt;=6),"Tanque",IF(B3301=10,"Descarte",""))</f>
        <v/>
      </c>
    </row>
    <row r="3302" customFormat="false" ht="15" hidden="false" customHeight="false" outlineLevel="0" collapsed="false">
      <c r="A3302" s="22" t="n">
        <v>46309</v>
      </c>
      <c r="B3302" s="0" t="n">
        <v>13</v>
      </c>
      <c r="C3302" s="0" t="n">
        <v>7765</v>
      </c>
      <c r="E3302" s="0" t="n">
        <v>0</v>
      </c>
      <c r="F3302" s="23" t="s">
        <v>1499</v>
      </c>
      <c r="I3302" s="23" t="s">
        <v>1249</v>
      </c>
      <c r="U3302" s="0" t="n">
        <v>141</v>
      </c>
      <c r="V3302" s="0" t="n">
        <v>0</v>
      </c>
      <c r="W3302" s="0" t="str">
        <f aca="false">IF(OR(AND(B3302&gt;=1,B3302&lt;=6),B3302=10),"Vaca em lactação",IF(I3302="Male","Macho",IF(E3302&gt;=1,"Vaca seca",IF(I3302="Youngstock","Bezerra/recria","Novilha"))))</f>
        <v>Bezerra/recria</v>
      </c>
      <c r="X3302" s="0" t="str">
        <f aca="false">IF(AND(B3302&gt;=1,B3302&lt;=6),"Tanque",IF(B3302=10,"Descarte",""))</f>
        <v/>
      </c>
    </row>
    <row r="3303" customFormat="false" ht="15" hidden="false" customHeight="false" outlineLevel="0" collapsed="false">
      <c r="A3303" s="22" t="n">
        <v>46309</v>
      </c>
      <c r="B3303" s="0" t="n">
        <v>13</v>
      </c>
      <c r="C3303" s="0" t="n">
        <v>7764</v>
      </c>
      <c r="E3303" s="0" t="n">
        <v>0</v>
      </c>
      <c r="F3303" s="23" t="s">
        <v>1499</v>
      </c>
      <c r="I3303" s="23" t="s">
        <v>1249</v>
      </c>
      <c r="U3303" s="0" t="n">
        <v>141</v>
      </c>
      <c r="V3303" s="0" t="n">
        <v>0</v>
      </c>
      <c r="W3303" s="0" t="str">
        <f aca="false">IF(OR(AND(B3303&gt;=1,B3303&lt;=6),B3303=10),"Vaca em lactação",IF(I3303="Male","Macho",IF(E3303&gt;=1,"Vaca seca",IF(I3303="Youngstock","Bezerra/recria","Novilha"))))</f>
        <v>Bezerra/recria</v>
      </c>
      <c r="X3303" s="0" t="str">
        <f aca="false">IF(AND(B3303&gt;=1,B3303&lt;=6),"Tanque",IF(B3303=10,"Descarte",""))</f>
        <v/>
      </c>
    </row>
    <row r="3304" customFormat="false" ht="15" hidden="false" customHeight="false" outlineLevel="0" collapsed="false">
      <c r="A3304" s="22" t="n">
        <v>46309</v>
      </c>
      <c r="B3304" s="0" t="n">
        <v>13</v>
      </c>
      <c r="C3304" s="0" t="n">
        <v>7763</v>
      </c>
      <c r="E3304" s="0" t="n">
        <v>0</v>
      </c>
      <c r="F3304" s="23" t="s">
        <v>1499</v>
      </c>
      <c r="I3304" s="23" t="s">
        <v>1249</v>
      </c>
      <c r="U3304" s="0" t="n">
        <v>141</v>
      </c>
      <c r="V3304" s="0" t="n">
        <v>0</v>
      </c>
      <c r="W3304" s="0" t="str">
        <f aca="false">IF(OR(AND(B3304&gt;=1,B3304&lt;=6),B3304=10),"Vaca em lactação",IF(I3304="Male","Macho",IF(E3304&gt;=1,"Vaca seca",IF(I3304="Youngstock","Bezerra/recria","Novilha"))))</f>
        <v>Bezerra/recria</v>
      </c>
      <c r="X3304" s="0" t="str">
        <f aca="false">IF(AND(B3304&gt;=1,B3304&lt;=6),"Tanque",IF(B3304=10,"Descarte",""))</f>
        <v/>
      </c>
    </row>
    <row r="3305" customFormat="false" ht="15" hidden="false" customHeight="false" outlineLevel="0" collapsed="false">
      <c r="A3305" s="22" t="n">
        <v>46309</v>
      </c>
      <c r="B3305" s="0" t="n">
        <v>13</v>
      </c>
      <c r="C3305" s="0" t="n">
        <v>7762</v>
      </c>
      <c r="E3305" s="0" t="n">
        <v>0</v>
      </c>
      <c r="F3305" s="23" t="s">
        <v>1498</v>
      </c>
      <c r="I3305" s="23" t="s">
        <v>1249</v>
      </c>
      <c r="U3305" s="0" t="n">
        <v>142</v>
      </c>
      <c r="V3305" s="0" t="n">
        <v>0</v>
      </c>
      <c r="W3305" s="0" t="str">
        <f aca="false">IF(OR(AND(B3305&gt;=1,B3305&lt;=6),B3305=10),"Vaca em lactação",IF(I3305="Male","Macho",IF(E3305&gt;=1,"Vaca seca",IF(I3305="Youngstock","Bezerra/recria","Novilha"))))</f>
        <v>Bezerra/recria</v>
      </c>
      <c r="X3305" s="0" t="str">
        <f aca="false">IF(AND(B3305&gt;=1,B3305&lt;=6),"Tanque",IF(B3305=10,"Descarte",""))</f>
        <v/>
      </c>
    </row>
    <row r="3306" customFormat="false" ht="15" hidden="false" customHeight="false" outlineLevel="0" collapsed="false">
      <c r="A3306" s="22" t="n">
        <v>46309</v>
      </c>
      <c r="B3306" s="0" t="n">
        <v>13</v>
      </c>
      <c r="C3306" s="0" t="n">
        <v>7761</v>
      </c>
      <c r="E3306" s="0" t="n">
        <v>0</v>
      </c>
      <c r="F3306" s="23" t="s">
        <v>1498</v>
      </c>
      <c r="I3306" s="23" t="s">
        <v>1249</v>
      </c>
      <c r="U3306" s="0" t="n">
        <v>142</v>
      </c>
      <c r="V3306" s="0" t="n">
        <v>0</v>
      </c>
      <c r="W3306" s="0" t="str">
        <f aca="false">IF(OR(AND(B3306&gt;=1,B3306&lt;=6),B3306=10),"Vaca em lactação",IF(I3306="Male","Macho",IF(E3306&gt;=1,"Vaca seca",IF(I3306="Youngstock","Bezerra/recria","Novilha"))))</f>
        <v>Bezerra/recria</v>
      </c>
      <c r="X3306" s="0" t="str">
        <f aca="false">IF(AND(B3306&gt;=1,B3306&lt;=6),"Tanque",IF(B3306=10,"Descarte",""))</f>
        <v/>
      </c>
    </row>
    <row r="3307" customFormat="false" ht="15" hidden="false" customHeight="false" outlineLevel="0" collapsed="false">
      <c r="A3307" s="22" t="n">
        <v>46309</v>
      </c>
      <c r="B3307" s="0" t="n">
        <v>13</v>
      </c>
      <c r="C3307" s="0" t="n">
        <v>7770</v>
      </c>
      <c r="E3307" s="0" t="n">
        <v>0</v>
      </c>
      <c r="F3307" s="23" t="s">
        <v>1500</v>
      </c>
      <c r="I3307" s="23" t="s">
        <v>1249</v>
      </c>
      <c r="U3307" s="0" t="n">
        <v>140</v>
      </c>
      <c r="V3307" s="0" t="n">
        <v>0</v>
      </c>
      <c r="W3307" s="0" t="str">
        <f aca="false">IF(OR(AND(B3307&gt;=1,B3307&lt;=6),B3307=10),"Vaca em lactação",IF(I3307="Male","Macho",IF(E3307&gt;=1,"Vaca seca",IF(I3307="Youngstock","Bezerra/recria","Novilha"))))</f>
        <v>Bezerra/recria</v>
      </c>
      <c r="X3307" s="0" t="str">
        <f aca="false">IF(AND(B3307&gt;=1,B3307&lt;=6),"Tanque",IF(B3307=10,"Descarte",""))</f>
        <v/>
      </c>
    </row>
    <row r="3308" customFormat="false" ht="15" hidden="false" customHeight="false" outlineLevel="0" collapsed="false">
      <c r="A3308" s="22" t="n">
        <v>46309</v>
      </c>
      <c r="B3308" s="0" t="n">
        <v>13</v>
      </c>
      <c r="C3308" s="0" t="n">
        <v>7768</v>
      </c>
      <c r="E3308" s="0" t="n">
        <v>0</v>
      </c>
      <c r="F3308" s="23" t="s">
        <v>1500</v>
      </c>
      <c r="I3308" s="23" t="s">
        <v>1249</v>
      </c>
      <c r="U3308" s="0" t="n">
        <v>140</v>
      </c>
      <c r="V3308" s="0" t="n">
        <v>0</v>
      </c>
      <c r="W3308" s="0" t="str">
        <f aca="false">IF(OR(AND(B3308&gt;=1,B3308&lt;=6),B3308=10),"Vaca em lactação",IF(I3308="Male","Macho",IF(E3308&gt;=1,"Vaca seca",IF(I3308="Youngstock","Bezerra/recria","Novilha"))))</f>
        <v>Bezerra/recria</v>
      </c>
      <c r="X3308" s="0" t="str">
        <f aca="false">IF(AND(B3308&gt;=1,B3308&lt;=6),"Tanque",IF(B3308=10,"Descarte",""))</f>
        <v/>
      </c>
    </row>
    <row r="3309" customFormat="false" ht="15" hidden="false" customHeight="false" outlineLevel="0" collapsed="false">
      <c r="A3309" s="22" t="n">
        <v>46309</v>
      </c>
      <c r="B3309" s="0" t="n">
        <v>13</v>
      </c>
      <c r="C3309" s="0" t="n">
        <v>7767</v>
      </c>
      <c r="E3309" s="0" t="n">
        <v>0</v>
      </c>
      <c r="F3309" s="23" t="s">
        <v>1500</v>
      </c>
      <c r="I3309" s="23" t="s">
        <v>1249</v>
      </c>
      <c r="U3309" s="0" t="n">
        <v>140</v>
      </c>
      <c r="V3309" s="0" t="n">
        <v>0</v>
      </c>
      <c r="W3309" s="0" t="str">
        <f aca="false">IF(OR(AND(B3309&gt;=1,B3309&lt;=6),B3309=10),"Vaca em lactação",IF(I3309="Male","Macho",IF(E3309&gt;=1,"Vaca seca",IF(I3309="Youngstock","Bezerra/recria","Novilha"))))</f>
        <v>Bezerra/recria</v>
      </c>
      <c r="X3309" s="0" t="str">
        <f aca="false">IF(AND(B3309&gt;=1,B3309&lt;=6),"Tanque",IF(B3309=10,"Descarte",""))</f>
        <v/>
      </c>
    </row>
    <row r="3310" customFormat="false" ht="15" hidden="false" customHeight="false" outlineLevel="0" collapsed="false">
      <c r="A3310" s="22" t="n">
        <v>46309</v>
      </c>
      <c r="B3310" s="0" t="n">
        <v>13</v>
      </c>
      <c r="C3310" s="0" t="n">
        <v>7775</v>
      </c>
      <c r="E3310" s="0" t="n">
        <v>0</v>
      </c>
      <c r="F3310" s="23" t="s">
        <v>1501</v>
      </c>
      <c r="I3310" s="23" t="s">
        <v>1249</v>
      </c>
      <c r="U3310" s="0" t="n">
        <v>137</v>
      </c>
      <c r="V3310" s="0" t="n">
        <v>0</v>
      </c>
      <c r="W3310" s="0" t="str">
        <f aca="false">IF(OR(AND(B3310&gt;=1,B3310&lt;=6),B3310=10),"Vaca em lactação",IF(I3310="Male","Macho",IF(E3310&gt;=1,"Vaca seca",IF(I3310="Youngstock","Bezerra/recria","Novilha"))))</f>
        <v>Bezerra/recria</v>
      </c>
      <c r="X3310" s="0" t="str">
        <f aca="false">IF(AND(B3310&gt;=1,B3310&lt;=6),"Tanque",IF(B3310=10,"Descarte",""))</f>
        <v/>
      </c>
    </row>
    <row r="3311" customFormat="false" ht="15" hidden="false" customHeight="false" outlineLevel="0" collapsed="false">
      <c r="A3311" s="22" t="n">
        <v>46309</v>
      </c>
      <c r="B3311" s="0" t="n">
        <v>13</v>
      </c>
      <c r="C3311" s="0" t="n">
        <v>7774</v>
      </c>
      <c r="E3311" s="0" t="n">
        <v>0</v>
      </c>
      <c r="F3311" s="23" t="s">
        <v>1501</v>
      </c>
      <c r="I3311" s="23" t="s">
        <v>1249</v>
      </c>
      <c r="U3311" s="0" t="n">
        <v>137</v>
      </c>
      <c r="V3311" s="0" t="n">
        <v>0</v>
      </c>
      <c r="W3311" s="0" t="str">
        <f aca="false">IF(OR(AND(B3311&gt;=1,B3311&lt;=6),B3311=10),"Vaca em lactação",IF(I3311="Male","Macho",IF(E3311&gt;=1,"Vaca seca",IF(I3311="Youngstock","Bezerra/recria","Novilha"))))</f>
        <v>Bezerra/recria</v>
      </c>
      <c r="X3311" s="0" t="str">
        <f aca="false">IF(AND(B3311&gt;=1,B3311&lt;=6),"Tanque",IF(B3311=10,"Descarte",""))</f>
        <v/>
      </c>
    </row>
    <row r="3312" customFormat="false" ht="15" hidden="false" customHeight="false" outlineLevel="0" collapsed="false">
      <c r="A3312" s="22" t="n">
        <v>46309</v>
      </c>
      <c r="B3312" s="0" t="n">
        <v>13</v>
      </c>
      <c r="C3312" s="0" t="n">
        <v>7773</v>
      </c>
      <c r="E3312" s="0" t="n">
        <v>0</v>
      </c>
      <c r="F3312" s="23" t="s">
        <v>1501</v>
      </c>
      <c r="I3312" s="23" t="s">
        <v>1249</v>
      </c>
      <c r="U3312" s="0" t="n">
        <v>137</v>
      </c>
      <c r="V3312" s="0" t="n">
        <v>0</v>
      </c>
      <c r="W3312" s="0" t="str">
        <f aca="false">IF(OR(AND(B3312&gt;=1,B3312&lt;=6),B3312=10),"Vaca em lactação",IF(I3312="Male","Macho",IF(E3312&gt;=1,"Vaca seca",IF(I3312="Youngstock","Bezerra/recria","Novilha"))))</f>
        <v>Bezerra/recria</v>
      </c>
      <c r="X3312" s="0" t="str">
        <f aca="false">IF(AND(B3312&gt;=1,B3312&lt;=6),"Tanque",IF(B3312=10,"Descarte",""))</f>
        <v/>
      </c>
    </row>
    <row r="3313" customFormat="false" ht="15" hidden="false" customHeight="false" outlineLevel="0" collapsed="false">
      <c r="A3313" s="22" t="n">
        <v>46309</v>
      </c>
      <c r="B3313" s="0" t="n">
        <v>13</v>
      </c>
      <c r="C3313" s="0" t="n">
        <v>7772</v>
      </c>
      <c r="E3313" s="0" t="n">
        <v>0</v>
      </c>
      <c r="F3313" s="23" t="s">
        <v>1501</v>
      </c>
      <c r="I3313" s="23" t="s">
        <v>1249</v>
      </c>
      <c r="U3313" s="0" t="n">
        <v>137</v>
      </c>
      <c r="V3313" s="0" t="n">
        <v>0</v>
      </c>
      <c r="W3313" s="0" t="str">
        <f aca="false">IF(OR(AND(B3313&gt;=1,B3313&lt;=6),B3313=10),"Vaca em lactação",IF(I3313="Male","Macho",IF(E3313&gt;=1,"Vaca seca",IF(I3313="Youngstock","Bezerra/recria","Novilha"))))</f>
        <v>Bezerra/recria</v>
      </c>
      <c r="X3313" s="0" t="str">
        <f aca="false">IF(AND(B3313&gt;=1,B3313&lt;=6),"Tanque",IF(B3313=10,"Descarte",""))</f>
        <v/>
      </c>
    </row>
    <row r="3314" customFormat="false" ht="15" hidden="false" customHeight="false" outlineLevel="0" collapsed="false">
      <c r="A3314" s="22" t="n">
        <v>46309</v>
      </c>
      <c r="B3314" s="0" t="n">
        <v>13</v>
      </c>
      <c r="C3314" s="0" t="n">
        <v>7771</v>
      </c>
      <c r="E3314" s="0" t="n">
        <v>0</v>
      </c>
      <c r="F3314" s="23" t="s">
        <v>1502</v>
      </c>
      <c r="I3314" s="23" t="s">
        <v>1249</v>
      </c>
      <c r="U3314" s="0" t="n">
        <v>138</v>
      </c>
      <c r="V3314" s="0" t="n">
        <v>0</v>
      </c>
      <c r="W3314" s="0" t="str">
        <f aca="false">IF(OR(AND(B3314&gt;=1,B3314&lt;=6),B3314=10),"Vaca em lactação",IF(I3314="Male","Macho",IF(E3314&gt;=1,"Vaca seca",IF(I3314="Youngstock","Bezerra/recria","Novilha"))))</f>
        <v>Bezerra/recria</v>
      </c>
      <c r="X3314" s="0" t="str">
        <f aca="false">IF(AND(B3314&gt;=1,B3314&lt;=6),"Tanque",IF(B3314=10,"Descarte",""))</f>
        <v/>
      </c>
    </row>
    <row r="3315" customFormat="false" ht="15" hidden="false" customHeight="false" outlineLevel="0" collapsed="false">
      <c r="A3315" s="22" t="n">
        <v>46309</v>
      </c>
      <c r="B3315" s="0" t="n">
        <v>13</v>
      </c>
      <c r="C3315" s="0" t="n">
        <v>7776</v>
      </c>
      <c r="E3315" s="0" t="n">
        <v>0</v>
      </c>
      <c r="F3315" s="23" t="s">
        <v>1493</v>
      </c>
      <c r="I3315" s="23" t="s">
        <v>1249</v>
      </c>
      <c r="U3315" s="0" t="n">
        <v>136</v>
      </c>
      <c r="V3315" s="0" t="n">
        <v>0</v>
      </c>
      <c r="W3315" s="0" t="str">
        <f aca="false">IF(OR(AND(B3315&gt;=1,B3315&lt;=6),B3315=10),"Vaca em lactação",IF(I3315="Male","Macho",IF(E3315&gt;=1,"Vaca seca",IF(I3315="Youngstock","Bezerra/recria","Novilha"))))</f>
        <v>Bezerra/recria</v>
      </c>
      <c r="X3315" s="0" t="str">
        <f aca="false">IF(AND(B3315&gt;=1,B3315&lt;=6),"Tanque",IF(B3315=10,"Descarte",""))</f>
        <v/>
      </c>
    </row>
    <row r="3316" customFormat="false" ht="15" hidden="false" customHeight="false" outlineLevel="0" collapsed="false">
      <c r="A3316" s="22" t="n">
        <v>46309</v>
      </c>
      <c r="B3316" s="0" t="n">
        <v>13</v>
      </c>
      <c r="C3316" s="0" t="n">
        <v>7890</v>
      </c>
      <c r="E3316" s="0" t="n">
        <v>0</v>
      </c>
      <c r="F3316" s="23" t="s">
        <v>1503</v>
      </c>
      <c r="I3316" s="23" t="s">
        <v>1249</v>
      </c>
      <c r="U3316" s="0" t="n">
        <v>104</v>
      </c>
      <c r="V3316" s="0" t="n">
        <v>0</v>
      </c>
      <c r="W3316" s="0" t="str">
        <f aca="false">IF(OR(AND(B3316&gt;=1,B3316&lt;=6),B3316=10),"Vaca em lactação",IF(I3316="Male","Macho",IF(E3316&gt;=1,"Vaca seca",IF(I3316="Youngstock","Bezerra/recria","Novilha"))))</f>
        <v>Bezerra/recria</v>
      </c>
      <c r="X3316" s="0" t="str">
        <f aca="false">IF(AND(B3316&gt;=1,B3316&lt;=6),"Tanque",IF(B3316=10,"Descarte",""))</f>
        <v/>
      </c>
    </row>
    <row r="3317" customFormat="false" ht="15" hidden="false" customHeight="false" outlineLevel="0" collapsed="false">
      <c r="A3317" s="22" t="n">
        <v>46309</v>
      </c>
      <c r="B3317" s="0" t="n">
        <v>13</v>
      </c>
      <c r="C3317" s="0" t="n">
        <v>7888</v>
      </c>
      <c r="E3317" s="0" t="n">
        <v>0</v>
      </c>
      <c r="F3317" s="23" t="s">
        <v>1504</v>
      </c>
      <c r="I3317" s="23" t="s">
        <v>1249</v>
      </c>
      <c r="U3317" s="0" t="n">
        <v>106</v>
      </c>
      <c r="V3317" s="0" t="n">
        <v>0</v>
      </c>
      <c r="W3317" s="0" t="str">
        <f aca="false">IF(OR(AND(B3317&gt;=1,B3317&lt;=6),B3317=10),"Vaca em lactação",IF(I3317="Male","Macho",IF(E3317&gt;=1,"Vaca seca",IF(I3317="Youngstock","Bezerra/recria","Novilha"))))</f>
        <v>Bezerra/recria</v>
      </c>
      <c r="X3317" s="0" t="str">
        <f aca="false">IF(AND(B3317&gt;=1,B3317&lt;=6),"Tanque",IF(B3317=10,"Descarte",""))</f>
        <v/>
      </c>
    </row>
    <row r="3318" customFormat="false" ht="15" hidden="false" customHeight="false" outlineLevel="0" collapsed="false">
      <c r="A3318" s="22" t="n">
        <v>46309</v>
      </c>
      <c r="B3318" s="0" t="n">
        <v>13</v>
      </c>
      <c r="C3318" s="0" t="n">
        <v>7887</v>
      </c>
      <c r="E3318" s="0" t="n">
        <v>0</v>
      </c>
      <c r="F3318" s="23" t="s">
        <v>1504</v>
      </c>
      <c r="I3318" s="23" t="s">
        <v>1249</v>
      </c>
      <c r="U3318" s="0" t="n">
        <v>106</v>
      </c>
      <c r="V3318" s="0" t="n">
        <v>0</v>
      </c>
      <c r="W3318" s="0" t="str">
        <f aca="false">IF(OR(AND(B3318&gt;=1,B3318&lt;=6),B3318=10),"Vaca em lactação",IF(I3318="Male","Macho",IF(E3318&gt;=1,"Vaca seca",IF(I3318="Youngstock","Bezerra/recria","Novilha"))))</f>
        <v>Bezerra/recria</v>
      </c>
      <c r="X3318" s="0" t="str">
        <f aca="false">IF(AND(B3318&gt;=1,B3318&lt;=6),"Tanque",IF(B3318=10,"Descarte",""))</f>
        <v/>
      </c>
    </row>
    <row r="3319" customFormat="false" ht="15" hidden="false" customHeight="false" outlineLevel="0" collapsed="false">
      <c r="A3319" s="22" t="n">
        <v>46309</v>
      </c>
      <c r="B3319" s="0" t="n">
        <v>13</v>
      </c>
      <c r="C3319" s="0" t="n">
        <v>7898</v>
      </c>
      <c r="E3319" s="0" t="n">
        <v>0</v>
      </c>
      <c r="F3319" s="23" t="s">
        <v>1505</v>
      </c>
      <c r="I3319" s="23" t="s">
        <v>1249</v>
      </c>
      <c r="U3319" s="0" t="n">
        <v>102</v>
      </c>
      <c r="V3319" s="0" t="n">
        <v>0</v>
      </c>
      <c r="W3319" s="0" t="str">
        <f aca="false">IF(OR(AND(B3319&gt;=1,B3319&lt;=6),B3319=10),"Vaca em lactação",IF(I3319="Male","Macho",IF(E3319&gt;=1,"Vaca seca",IF(I3319="Youngstock","Bezerra/recria","Novilha"))))</f>
        <v>Bezerra/recria</v>
      </c>
      <c r="X3319" s="0" t="str">
        <f aca="false">IF(AND(B3319&gt;=1,B3319&lt;=6),"Tanque",IF(B3319=10,"Descarte",""))</f>
        <v/>
      </c>
    </row>
    <row r="3320" customFormat="false" ht="15" hidden="false" customHeight="false" outlineLevel="0" collapsed="false">
      <c r="A3320" s="22" t="n">
        <v>46309</v>
      </c>
      <c r="B3320" s="0" t="n">
        <v>13</v>
      </c>
      <c r="C3320" s="0" t="n">
        <v>7897</v>
      </c>
      <c r="E3320" s="0" t="n">
        <v>0</v>
      </c>
      <c r="F3320" s="23" t="s">
        <v>1506</v>
      </c>
      <c r="I3320" s="23" t="s">
        <v>1249</v>
      </c>
      <c r="U3320" s="0" t="n">
        <v>103</v>
      </c>
      <c r="V3320" s="0" t="n">
        <v>0</v>
      </c>
      <c r="W3320" s="0" t="str">
        <f aca="false">IF(OR(AND(B3320&gt;=1,B3320&lt;=6),B3320=10),"Vaca em lactação",IF(I3320="Male","Macho",IF(E3320&gt;=1,"Vaca seca",IF(I3320="Youngstock","Bezerra/recria","Novilha"))))</f>
        <v>Bezerra/recria</v>
      </c>
      <c r="X3320" s="0" t="str">
        <f aca="false">IF(AND(B3320&gt;=1,B3320&lt;=6),"Tanque",IF(B3320=10,"Descarte",""))</f>
        <v/>
      </c>
    </row>
    <row r="3321" customFormat="false" ht="15" hidden="false" customHeight="false" outlineLevel="0" collapsed="false">
      <c r="A3321" s="22" t="n">
        <v>46309</v>
      </c>
      <c r="B3321" s="0" t="n">
        <v>13</v>
      </c>
      <c r="C3321" s="0" t="n">
        <v>7896</v>
      </c>
      <c r="E3321" s="0" t="n">
        <v>0</v>
      </c>
      <c r="F3321" s="23" t="s">
        <v>1506</v>
      </c>
      <c r="I3321" s="23" t="s">
        <v>1249</v>
      </c>
      <c r="U3321" s="0" t="n">
        <v>103</v>
      </c>
      <c r="V3321" s="0" t="n">
        <v>0</v>
      </c>
      <c r="W3321" s="0" t="str">
        <f aca="false">IF(OR(AND(B3321&gt;=1,B3321&lt;=6),B3321=10),"Vaca em lactação",IF(I3321="Male","Macho",IF(E3321&gt;=1,"Vaca seca",IF(I3321="Youngstock","Bezerra/recria","Novilha"))))</f>
        <v>Bezerra/recria</v>
      </c>
      <c r="X3321" s="0" t="str">
        <f aca="false">IF(AND(B3321&gt;=1,B3321&lt;=6),"Tanque",IF(B3321=10,"Descarte",""))</f>
        <v/>
      </c>
    </row>
    <row r="3322" customFormat="false" ht="15" hidden="false" customHeight="false" outlineLevel="0" collapsed="false">
      <c r="A3322" s="22" t="n">
        <v>46309</v>
      </c>
      <c r="B3322" s="0" t="n">
        <v>13</v>
      </c>
      <c r="C3322" s="0" t="n">
        <v>7903</v>
      </c>
      <c r="E3322" s="0" t="n">
        <v>0</v>
      </c>
      <c r="F3322" s="23" t="s">
        <v>1507</v>
      </c>
      <c r="I3322" s="23" t="s">
        <v>1249</v>
      </c>
      <c r="U3322" s="0" t="n">
        <v>101</v>
      </c>
      <c r="V3322" s="0" t="n">
        <v>0</v>
      </c>
      <c r="W3322" s="0" t="str">
        <f aca="false">IF(OR(AND(B3322&gt;=1,B3322&lt;=6),B3322=10),"Vaca em lactação",IF(I3322="Male","Macho",IF(E3322&gt;=1,"Vaca seca",IF(I3322="Youngstock","Bezerra/recria","Novilha"))))</f>
        <v>Bezerra/recria</v>
      </c>
      <c r="X3322" s="0" t="str">
        <f aca="false">IF(AND(B3322&gt;=1,B3322&lt;=6),"Tanque",IF(B3322=10,"Descarte",""))</f>
        <v/>
      </c>
    </row>
    <row r="3323" customFormat="false" ht="15" hidden="false" customHeight="false" outlineLevel="0" collapsed="false">
      <c r="A3323" s="22" t="n">
        <v>46309</v>
      </c>
      <c r="B3323" s="0" t="n">
        <v>13</v>
      </c>
      <c r="C3323" s="0" t="n">
        <v>7902</v>
      </c>
      <c r="E3323" s="0" t="n">
        <v>0</v>
      </c>
      <c r="F3323" s="23" t="s">
        <v>1505</v>
      </c>
      <c r="I3323" s="23" t="s">
        <v>1249</v>
      </c>
      <c r="U3323" s="0" t="n">
        <v>102</v>
      </c>
      <c r="V3323" s="0" t="n">
        <v>0</v>
      </c>
      <c r="W3323" s="0" t="str">
        <f aca="false">IF(OR(AND(B3323&gt;=1,B3323&lt;=6),B3323=10),"Vaca em lactação",IF(I3323="Male","Macho",IF(E3323&gt;=1,"Vaca seca",IF(I3323="Youngstock","Bezerra/recria","Novilha"))))</f>
        <v>Bezerra/recria</v>
      </c>
      <c r="X3323" s="0" t="str">
        <f aca="false">IF(AND(B3323&gt;=1,B3323&lt;=6),"Tanque",IF(B3323=10,"Descarte",""))</f>
        <v/>
      </c>
    </row>
    <row r="3324" customFormat="false" ht="15" hidden="false" customHeight="false" outlineLevel="0" collapsed="false">
      <c r="A3324" s="22" t="n">
        <v>46309</v>
      </c>
      <c r="B3324" s="0" t="n">
        <v>13</v>
      </c>
      <c r="C3324" s="0" t="n">
        <v>7901</v>
      </c>
      <c r="E3324" s="0" t="n">
        <v>0</v>
      </c>
      <c r="F3324" s="23" t="s">
        <v>1505</v>
      </c>
      <c r="I3324" s="23" t="s">
        <v>1249</v>
      </c>
      <c r="U3324" s="0" t="n">
        <v>102</v>
      </c>
      <c r="V3324" s="0" t="n">
        <v>0</v>
      </c>
      <c r="W3324" s="0" t="str">
        <f aca="false">IF(OR(AND(B3324&gt;=1,B3324&lt;=6),B3324=10),"Vaca em lactação",IF(I3324="Male","Macho",IF(E3324&gt;=1,"Vaca seca",IF(I3324="Youngstock","Bezerra/recria","Novilha"))))</f>
        <v>Bezerra/recria</v>
      </c>
      <c r="X3324" s="0" t="str">
        <f aca="false">IF(AND(B3324&gt;=1,B3324&lt;=6),"Tanque",IF(B3324=10,"Descarte",""))</f>
        <v/>
      </c>
    </row>
    <row r="3325" customFormat="false" ht="15" hidden="false" customHeight="false" outlineLevel="0" collapsed="false">
      <c r="A3325" s="22" t="n">
        <v>46309</v>
      </c>
      <c r="B3325" s="0" t="n">
        <v>13</v>
      </c>
      <c r="C3325" s="0" t="n">
        <v>7900</v>
      </c>
      <c r="E3325" s="0" t="n">
        <v>0</v>
      </c>
      <c r="F3325" s="23" t="s">
        <v>1505</v>
      </c>
      <c r="I3325" s="23" t="s">
        <v>1249</v>
      </c>
      <c r="U3325" s="0" t="n">
        <v>102</v>
      </c>
      <c r="V3325" s="0" t="n">
        <v>0</v>
      </c>
      <c r="W3325" s="0" t="str">
        <f aca="false">IF(OR(AND(B3325&gt;=1,B3325&lt;=6),B3325=10),"Vaca em lactação",IF(I3325="Male","Macho",IF(E3325&gt;=1,"Vaca seca",IF(I3325="Youngstock","Bezerra/recria","Novilha"))))</f>
        <v>Bezerra/recria</v>
      </c>
      <c r="X3325" s="0" t="str">
        <f aca="false">IF(AND(B3325&gt;=1,B3325&lt;=6),"Tanque",IF(B3325=10,"Descarte",""))</f>
        <v/>
      </c>
    </row>
    <row r="3326" customFormat="false" ht="15" hidden="false" customHeight="false" outlineLevel="0" collapsed="false">
      <c r="A3326" s="22" t="n">
        <v>46309</v>
      </c>
      <c r="B3326" s="0" t="n">
        <v>13</v>
      </c>
      <c r="C3326" s="0" t="n">
        <v>7899</v>
      </c>
      <c r="E3326" s="0" t="n">
        <v>0</v>
      </c>
      <c r="F3326" s="23" t="s">
        <v>1505</v>
      </c>
      <c r="I3326" s="23" t="s">
        <v>1249</v>
      </c>
      <c r="U3326" s="0" t="n">
        <v>102</v>
      </c>
      <c r="V3326" s="0" t="n">
        <v>0</v>
      </c>
      <c r="W3326" s="0" t="str">
        <f aca="false">IF(OR(AND(B3326&gt;=1,B3326&lt;=6),B3326=10),"Vaca em lactação",IF(I3326="Male","Macho",IF(E3326&gt;=1,"Vaca seca",IF(I3326="Youngstock","Bezerra/recria","Novilha"))))</f>
        <v>Bezerra/recria</v>
      </c>
      <c r="X3326" s="0" t="str">
        <f aca="false">IF(AND(B3326&gt;=1,B3326&lt;=6),"Tanque",IF(B3326=10,"Descarte",""))</f>
        <v/>
      </c>
    </row>
    <row r="3327" customFormat="false" ht="15" hidden="false" customHeight="false" outlineLevel="0" collapsed="false">
      <c r="A3327" s="22" t="n">
        <v>46309</v>
      </c>
      <c r="B3327" s="0" t="n">
        <v>13</v>
      </c>
      <c r="C3327" s="0" t="n">
        <v>7892</v>
      </c>
      <c r="E3327" s="0" t="n">
        <v>0</v>
      </c>
      <c r="F3327" s="23" t="s">
        <v>1503</v>
      </c>
      <c r="I3327" s="23" t="s">
        <v>1249</v>
      </c>
      <c r="U3327" s="0" t="n">
        <v>104</v>
      </c>
      <c r="V3327" s="0" t="n">
        <v>0</v>
      </c>
      <c r="W3327" s="0" t="str">
        <f aca="false">IF(OR(AND(B3327&gt;=1,B3327&lt;=6),B3327=10),"Vaca em lactação",IF(I3327="Male","Macho",IF(E3327&gt;=1,"Vaca seca",IF(I3327="Youngstock","Bezerra/recria","Novilha"))))</f>
        <v>Bezerra/recria</v>
      </c>
      <c r="X3327" s="0" t="str">
        <f aca="false">IF(AND(B3327&gt;=1,B3327&lt;=6),"Tanque",IF(B3327=10,"Descarte",""))</f>
        <v/>
      </c>
    </row>
    <row r="3328" customFormat="false" ht="15" hidden="false" customHeight="false" outlineLevel="0" collapsed="false">
      <c r="A3328" s="22" t="n">
        <v>46309</v>
      </c>
      <c r="B3328" s="0" t="n">
        <v>13</v>
      </c>
      <c r="C3328" s="0" t="n">
        <v>7891</v>
      </c>
      <c r="E3328" s="0" t="n">
        <v>0</v>
      </c>
      <c r="F3328" s="23" t="s">
        <v>1503</v>
      </c>
      <c r="I3328" s="23" t="s">
        <v>1249</v>
      </c>
      <c r="U3328" s="0" t="n">
        <v>104</v>
      </c>
      <c r="V3328" s="0" t="n">
        <v>0</v>
      </c>
      <c r="W3328" s="0" t="str">
        <f aca="false">IF(OR(AND(B3328&gt;=1,B3328&lt;=6),B3328=10),"Vaca em lactação",IF(I3328="Male","Macho",IF(E3328&gt;=1,"Vaca seca",IF(I3328="Youngstock","Bezerra/recria","Novilha"))))</f>
        <v>Bezerra/recria</v>
      </c>
      <c r="X3328" s="0" t="str">
        <f aca="false">IF(AND(B3328&gt;=1,B3328&lt;=6),"Tanque",IF(B3328=10,"Descarte",""))</f>
        <v/>
      </c>
    </row>
    <row r="3329" customFormat="false" ht="15" hidden="false" customHeight="false" outlineLevel="0" collapsed="false">
      <c r="A3329" s="22" t="n">
        <v>46309</v>
      </c>
      <c r="B3329" s="0" t="n">
        <v>13</v>
      </c>
      <c r="C3329" s="0" t="n">
        <v>7895</v>
      </c>
      <c r="E3329" s="0" t="n">
        <v>0</v>
      </c>
      <c r="F3329" s="23" t="s">
        <v>1506</v>
      </c>
      <c r="I3329" s="23" t="s">
        <v>1249</v>
      </c>
      <c r="U3329" s="0" t="n">
        <v>103</v>
      </c>
      <c r="V3329" s="0" t="n">
        <v>0</v>
      </c>
      <c r="W3329" s="0" t="str">
        <f aca="false">IF(OR(AND(B3329&gt;=1,B3329&lt;=6),B3329=10),"Vaca em lactação",IF(I3329="Male","Macho",IF(E3329&gt;=1,"Vaca seca",IF(I3329="Youngstock","Bezerra/recria","Novilha"))))</f>
        <v>Bezerra/recria</v>
      </c>
      <c r="X3329" s="0" t="str">
        <f aca="false">IF(AND(B3329&gt;=1,B3329&lt;=6),"Tanque",IF(B3329=10,"Descarte",""))</f>
        <v/>
      </c>
    </row>
    <row r="3330" customFormat="false" ht="15" hidden="false" customHeight="false" outlineLevel="0" collapsed="false">
      <c r="A3330" s="22" t="n">
        <v>46309</v>
      </c>
      <c r="B3330" s="0" t="n">
        <v>13</v>
      </c>
      <c r="C3330" s="0" t="n">
        <v>7894</v>
      </c>
      <c r="E3330" s="0" t="n">
        <v>0</v>
      </c>
      <c r="F3330" s="23" t="s">
        <v>1506</v>
      </c>
      <c r="I3330" s="23" t="s">
        <v>1249</v>
      </c>
      <c r="U3330" s="0" t="n">
        <v>103</v>
      </c>
      <c r="V3330" s="0" t="n">
        <v>0</v>
      </c>
      <c r="W3330" s="0" t="str">
        <f aca="false">IF(OR(AND(B3330&gt;=1,B3330&lt;=6),B3330=10),"Vaca em lactação",IF(I3330="Male","Macho",IF(E3330&gt;=1,"Vaca seca",IF(I3330="Youngstock","Bezerra/recria","Novilha"))))</f>
        <v>Bezerra/recria</v>
      </c>
      <c r="X3330" s="0" t="str">
        <f aca="false">IF(AND(B3330&gt;=1,B3330&lt;=6),"Tanque",IF(B3330=10,"Descarte",""))</f>
        <v/>
      </c>
    </row>
    <row r="3331" customFormat="false" ht="15" hidden="false" customHeight="false" outlineLevel="0" collapsed="false">
      <c r="A3331" s="22" t="n">
        <v>46309</v>
      </c>
      <c r="B3331" s="0" t="n">
        <v>13</v>
      </c>
      <c r="C3331" s="0" t="n">
        <v>7893</v>
      </c>
      <c r="E3331" s="0" t="n">
        <v>0</v>
      </c>
      <c r="F3331" s="23" t="s">
        <v>1506</v>
      </c>
      <c r="I3331" s="23" t="s">
        <v>1249</v>
      </c>
      <c r="U3331" s="0" t="n">
        <v>103</v>
      </c>
      <c r="V3331" s="0" t="n">
        <v>0</v>
      </c>
      <c r="W3331" s="0" t="str">
        <f aca="false">IF(OR(AND(B3331&gt;=1,B3331&lt;=6),B3331=10),"Vaca em lactação",IF(I3331="Male","Macho",IF(E3331&gt;=1,"Vaca seca",IF(I3331="Youngstock","Bezerra/recria","Novilha"))))</f>
        <v>Bezerra/recria</v>
      </c>
      <c r="X3331" s="0" t="str">
        <f aca="false">IF(AND(B3331&gt;=1,B3331&lt;=6),"Tanque",IF(B3331=10,"Descarte",""))</f>
        <v/>
      </c>
    </row>
    <row r="3332" customFormat="false" ht="15" hidden="false" customHeight="false" outlineLevel="0" collapsed="false">
      <c r="A3332" s="22" t="n">
        <v>46309</v>
      </c>
      <c r="B3332" s="0" t="n">
        <v>13</v>
      </c>
      <c r="C3332" s="0" t="n">
        <v>7864</v>
      </c>
      <c r="E3332" s="0" t="n">
        <v>0</v>
      </c>
      <c r="F3332" s="23" t="s">
        <v>1508</v>
      </c>
      <c r="I3332" s="23" t="s">
        <v>1249</v>
      </c>
      <c r="U3332" s="0" t="n">
        <v>111</v>
      </c>
      <c r="V3332" s="0" t="n">
        <v>0</v>
      </c>
      <c r="W3332" s="0" t="str">
        <f aca="false">IF(OR(AND(B3332&gt;=1,B3332&lt;=6),B3332=10),"Vaca em lactação",IF(I3332="Male","Macho",IF(E3332&gt;=1,"Vaca seca",IF(I3332="Youngstock","Bezerra/recria","Novilha"))))</f>
        <v>Bezerra/recria</v>
      </c>
      <c r="X3332" s="0" t="str">
        <f aca="false">IF(AND(B3332&gt;=1,B3332&lt;=6),"Tanque",IF(B3332=10,"Descarte",""))</f>
        <v/>
      </c>
    </row>
    <row r="3333" customFormat="false" ht="15" hidden="false" customHeight="false" outlineLevel="0" collapsed="false">
      <c r="A3333" s="22" t="n">
        <v>46309</v>
      </c>
      <c r="B3333" s="0" t="n">
        <v>13</v>
      </c>
      <c r="C3333" s="0" t="n">
        <v>7865</v>
      </c>
      <c r="E3333" s="0" t="n">
        <v>0</v>
      </c>
      <c r="F3333" s="23" t="s">
        <v>1508</v>
      </c>
      <c r="I3333" s="23" t="s">
        <v>1249</v>
      </c>
      <c r="U3333" s="0" t="n">
        <v>111</v>
      </c>
      <c r="V3333" s="0" t="n">
        <v>0</v>
      </c>
      <c r="W3333" s="0" t="str">
        <f aca="false">IF(OR(AND(B3333&gt;=1,B3333&lt;=6),B3333=10),"Vaca em lactação",IF(I3333="Male","Macho",IF(E3333&gt;=1,"Vaca seca",IF(I3333="Youngstock","Bezerra/recria","Novilha"))))</f>
        <v>Bezerra/recria</v>
      </c>
      <c r="X3333" s="0" t="str">
        <f aca="false">IF(AND(B3333&gt;=1,B3333&lt;=6),"Tanque",IF(B3333=10,"Descarte",""))</f>
        <v/>
      </c>
    </row>
    <row r="3334" customFormat="false" ht="15" hidden="false" customHeight="false" outlineLevel="0" collapsed="false">
      <c r="A3334" s="22" t="n">
        <v>46309</v>
      </c>
      <c r="B3334" s="0" t="n">
        <v>13</v>
      </c>
      <c r="C3334" s="0" t="n">
        <v>7859</v>
      </c>
      <c r="E3334" s="0" t="n">
        <v>0</v>
      </c>
      <c r="F3334" s="23" t="s">
        <v>1509</v>
      </c>
      <c r="I3334" s="23" t="s">
        <v>1249</v>
      </c>
      <c r="U3334" s="0" t="n">
        <v>112</v>
      </c>
      <c r="V3334" s="0" t="n">
        <v>0</v>
      </c>
      <c r="W3334" s="0" t="str">
        <f aca="false">IF(OR(AND(B3334&gt;=1,B3334&lt;=6),B3334=10),"Vaca em lactação",IF(I3334="Male","Macho",IF(E3334&gt;=1,"Vaca seca",IF(I3334="Youngstock","Bezerra/recria","Novilha"))))</f>
        <v>Bezerra/recria</v>
      </c>
      <c r="X3334" s="0" t="str">
        <f aca="false">IF(AND(B3334&gt;=1,B3334&lt;=6),"Tanque",IF(B3334=10,"Descarte",""))</f>
        <v/>
      </c>
    </row>
    <row r="3335" customFormat="false" ht="15" hidden="false" customHeight="false" outlineLevel="0" collapsed="false">
      <c r="A3335" s="22" t="n">
        <v>46309</v>
      </c>
      <c r="B3335" s="0" t="n">
        <v>13</v>
      </c>
      <c r="C3335" s="0" t="n">
        <v>7860</v>
      </c>
      <c r="E3335" s="0" t="n">
        <v>0</v>
      </c>
      <c r="F3335" s="23" t="s">
        <v>1509</v>
      </c>
      <c r="I3335" s="23" t="s">
        <v>1249</v>
      </c>
      <c r="U3335" s="0" t="n">
        <v>112</v>
      </c>
      <c r="V3335" s="0" t="n">
        <v>0</v>
      </c>
      <c r="W3335" s="0" t="str">
        <f aca="false">IF(OR(AND(B3335&gt;=1,B3335&lt;=6),B3335=10),"Vaca em lactação",IF(I3335="Male","Macho",IF(E3335&gt;=1,"Vaca seca",IF(I3335="Youngstock","Bezerra/recria","Novilha"))))</f>
        <v>Bezerra/recria</v>
      </c>
      <c r="X3335" s="0" t="str">
        <f aca="false">IF(AND(B3335&gt;=1,B3335&lt;=6),"Tanque",IF(B3335=10,"Descarte",""))</f>
        <v/>
      </c>
    </row>
    <row r="3336" customFormat="false" ht="15" hidden="false" customHeight="false" outlineLevel="0" collapsed="false">
      <c r="A3336" s="22" t="n">
        <v>46309</v>
      </c>
      <c r="B3336" s="0" t="n">
        <v>13</v>
      </c>
      <c r="C3336" s="0" t="n">
        <v>7858</v>
      </c>
      <c r="E3336" s="0" t="n">
        <v>0</v>
      </c>
      <c r="F3336" s="23" t="s">
        <v>1509</v>
      </c>
      <c r="I3336" s="23" t="s">
        <v>1249</v>
      </c>
      <c r="U3336" s="0" t="n">
        <v>112</v>
      </c>
      <c r="V3336" s="0" t="n">
        <v>0</v>
      </c>
      <c r="W3336" s="0" t="str">
        <f aca="false">IF(OR(AND(B3336&gt;=1,B3336&lt;=6),B3336=10),"Vaca em lactação",IF(I3336="Male","Macho",IF(E3336&gt;=1,"Vaca seca",IF(I3336="Youngstock","Bezerra/recria","Novilha"))))</f>
        <v>Bezerra/recria</v>
      </c>
      <c r="X3336" s="0" t="str">
        <f aca="false">IF(AND(B3336&gt;=1,B3336&lt;=6),"Tanque",IF(B3336=10,"Descarte",""))</f>
        <v/>
      </c>
    </row>
    <row r="3337" customFormat="false" ht="15" hidden="false" customHeight="false" outlineLevel="0" collapsed="false">
      <c r="A3337" s="22" t="n">
        <v>46309</v>
      </c>
      <c r="B3337" s="0" t="n">
        <v>13</v>
      </c>
      <c r="C3337" s="0" t="n">
        <v>7863</v>
      </c>
      <c r="E3337" s="0" t="n">
        <v>0</v>
      </c>
      <c r="F3337" s="23" t="s">
        <v>1508</v>
      </c>
      <c r="I3337" s="23" t="s">
        <v>1249</v>
      </c>
      <c r="U3337" s="0" t="n">
        <v>111</v>
      </c>
      <c r="V3337" s="0" t="n">
        <v>0</v>
      </c>
      <c r="W3337" s="0" t="str">
        <f aca="false">IF(OR(AND(B3337&gt;=1,B3337&lt;=6),B3337=10),"Vaca em lactação",IF(I3337="Male","Macho",IF(E3337&gt;=1,"Vaca seca",IF(I3337="Youngstock","Bezerra/recria","Novilha"))))</f>
        <v>Bezerra/recria</v>
      </c>
      <c r="X3337" s="0" t="str">
        <f aca="false">IF(AND(B3337&gt;=1,B3337&lt;=6),"Tanque",IF(B3337=10,"Descarte",""))</f>
        <v/>
      </c>
    </row>
    <row r="3338" customFormat="false" ht="15" hidden="false" customHeight="false" outlineLevel="0" collapsed="false">
      <c r="A3338" s="22" t="n">
        <v>46309</v>
      </c>
      <c r="B3338" s="0" t="n">
        <v>13</v>
      </c>
      <c r="C3338" s="0" t="n">
        <v>7861</v>
      </c>
      <c r="E3338" s="0" t="n">
        <v>0</v>
      </c>
      <c r="F3338" s="23" t="s">
        <v>1508</v>
      </c>
      <c r="I3338" s="23" t="s">
        <v>1249</v>
      </c>
      <c r="U3338" s="0" t="n">
        <v>111</v>
      </c>
      <c r="V3338" s="0" t="n">
        <v>0</v>
      </c>
      <c r="W3338" s="0" t="str">
        <f aca="false">IF(OR(AND(B3338&gt;=1,B3338&lt;=6),B3338=10),"Vaca em lactação",IF(I3338="Male","Macho",IF(E3338&gt;=1,"Vaca seca",IF(I3338="Youngstock","Bezerra/recria","Novilha"))))</f>
        <v>Bezerra/recria</v>
      </c>
      <c r="X3338" s="0" t="str">
        <f aca="false">IF(AND(B3338&gt;=1,B3338&lt;=6),"Tanque",IF(B3338=10,"Descarte",""))</f>
        <v/>
      </c>
    </row>
    <row r="3339" customFormat="false" ht="15" hidden="false" customHeight="false" outlineLevel="0" collapsed="false">
      <c r="A3339" s="22" t="n">
        <v>46309</v>
      </c>
      <c r="B3339" s="0" t="n">
        <v>13</v>
      </c>
      <c r="C3339" s="0" t="n">
        <v>7862</v>
      </c>
      <c r="E3339" s="0" t="n">
        <v>0</v>
      </c>
      <c r="F3339" s="23" t="s">
        <v>1508</v>
      </c>
      <c r="I3339" s="23" t="s">
        <v>1249</v>
      </c>
      <c r="U3339" s="0" t="n">
        <v>111</v>
      </c>
      <c r="V3339" s="0" t="n">
        <v>0</v>
      </c>
      <c r="W3339" s="0" t="str">
        <f aca="false">IF(OR(AND(B3339&gt;=1,B3339&lt;=6),B3339=10),"Vaca em lactação",IF(I3339="Male","Macho",IF(E3339&gt;=1,"Vaca seca",IF(I3339="Youngstock","Bezerra/recria","Novilha"))))</f>
        <v>Bezerra/recria</v>
      </c>
      <c r="X3339" s="0" t="str">
        <f aca="false">IF(AND(B3339&gt;=1,B3339&lt;=6),"Tanque",IF(B3339=10,"Descarte",""))</f>
        <v/>
      </c>
    </row>
    <row r="3340" customFormat="false" ht="15" hidden="false" customHeight="false" outlineLevel="0" collapsed="false">
      <c r="A3340" s="22" t="n">
        <v>46309</v>
      </c>
      <c r="B3340" s="0" t="n">
        <v>13</v>
      </c>
      <c r="C3340" s="0" t="n">
        <v>7830</v>
      </c>
      <c r="E3340" s="0" t="n">
        <v>0</v>
      </c>
      <c r="F3340" s="23" t="s">
        <v>1510</v>
      </c>
      <c r="I3340" s="23" t="s">
        <v>1249</v>
      </c>
      <c r="U3340" s="0" t="n">
        <v>114</v>
      </c>
      <c r="V3340" s="0" t="n">
        <v>0</v>
      </c>
      <c r="W3340" s="0" t="str">
        <f aca="false">IF(OR(AND(B3340&gt;=1,B3340&lt;=6),B3340=10),"Vaca em lactação",IF(I3340="Male","Macho",IF(E3340&gt;=1,"Vaca seca",IF(I3340="Youngstock","Bezerra/recria","Novilha"))))</f>
        <v>Bezerra/recria</v>
      </c>
      <c r="X3340" s="0" t="str">
        <f aca="false">IF(AND(B3340&gt;=1,B3340&lt;=6),"Tanque",IF(B3340=10,"Descarte",""))</f>
        <v/>
      </c>
    </row>
    <row r="3341" customFormat="false" ht="15" hidden="false" customHeight="false" outlineLevel="0" collapsed="false">
      <c r="A3341" s="22" t="n">
        <v>46309</v>
      </c>
      <c r="B3341" s="0" t="n">
        <v>13</v>
      </c>
      <c r="C3341" s="0" t="n">
        <v>7851</v>
      </c>
      <c r="E3341" s="0" t="n">
        <v>0</v>
      </c>
      <c r="F3341" s="23" t="s">
        <v>1510</v>
      </c>
      <c r="I3341" s="23" t="s">
        <v>1249</v>
      </c>
      <c r="U3341" s="0" t="n">
        <v>114</v>
      </c>
      <c r="V3341" s="0" t="n">
        <v>0</v>
      </c>
      <c r="W3341" s="0" t="str">
        <f aca="false">IF(OR(AND(B3341&gt;=1,B3341&lt;=6),B3341=10),"Vaca em lactação",IF(I3341="Male","Macho",IF(E3341&gt;=1,"Vaca seca",IF(I3341="Youngstock","Bezerra/recria","Novilha"))))</f>
        <v>Bezerra/recria</v>
      </c>
      <c r="X3341" s="0" t="str">
        <f aca="false">IF(AND(B3341&gt;=1,B3341&lt;=6),"Tanque",IF(B3341=10,"Descarte",""))</f>
        <v/>
      </c>
    </row>
    <row r="3342" customFormat="false" ht="15" hidden="false" customHeight="false" outlineLevel="0" collapsed="false">
      <c r="A3342" s="22" t="n">
        <v>46309</v>
      </c>
      <c r="B3342" s="0" t="n">
        <v>13</v>
      </c>
      <c r="C3342" s="0" t="n">
        <v>7852</v>
      </c>
      <c r="E3342" s="0" t="n">
        <v>0</v>
      </c>
      <c r="F3342" s="23" t="s">
        <v>1510</v>
      </c>
      <c r="I3342" s="23" t="s">
        <v>1249</v>
      </c>
      <c r="U3342" s="0" t="n">
        <v>114</v>
      </c>
      <c r="V3342" s="0" t="n">
        <v>0</v>
      </c>
      <c r="W3342" s="0" t="str">
        <f aca="false">IF(OR(AND(B3342&gt;=1,B3342&lt;=6),B3342=10),"Vaca em lactação",IF(I3342="Male","Macho",IF(E3342&gt;=1,"Vaca seca",IF(I3342="Youngstock","Bezerra/recria","Novilha"))))</f>
        <v>Bezerra/recria</v>
      </c>
      <c r="X3342" s="0" t="str">
        <f aca="false">IF(AND(B3342&gt;=1,B3342&lt;=6),"Tanque",IF(B3342=10,"Descarte",""))</f>
        <v/>
      </c>
    </row>
    <row r="3343" customFormat="false" ht="15" hidden="false" customHeight="false" outlineLevel="0" collapsed="false">
      <c r="A3343" s="22" t="n">
        <v>46309</v>
      </c>
      <c r="B3343" s="0" t="n">
        <v>13</v>
      </c>
      <c r="C3343" s="0" t="n">
        <v>7856</v>
      </c>
      <c r="E3343" s="0" t="n">
        <v>0</v>
      </c>
      <c r="F3343" s="23" t="s">
        <v>1511</v>
      </c>
      <c r="I3343" s="23" t="s">
        <v>1249</v>
      </c>
      <c r="U3343" s="0" t="n">
        <v>113</v>
      </c>
      <c r="V3343" s="0" t="n">
        <v>0</v>
      </c>
      <c r="W3343" s="0" t="str">
        <f aca="false">IF(OR(AND(B3343&gt;=1,B3343&lt;=6),B3343=10),"Vaca em lactação",IF(I3343="Male","Macho",IF(E3343&gt;=1,"Vaca seca",IF(I3343="Youngstock","Bezerra/recria","Novilha"))))</f>
        <v>Bezerra/recria</v>
      </c>
      <c r="X3343" s="0" t="str">
        <f aca="false">IF(AND(B3343&gt;=1,B3343&lt;=6),"Tanque",IF(B3343=10,"Descarte",""))</f>
        <v/>
      </c>
    </row>
    <row r="3344" customFormat="false" ht="15" hidden="false" customHeight="false" outlineLevel="0" collapsed="false">
      <c r="A3344" s="22" t="n">
        <v>46309</v>
      </c>
      <c r="B3344" s="0" t="n">
        <v>13</v>
      </c>
      <c r="C3344" s="0" t="n">
        <v>7857</v>
      </c>
      <c r="E3344" s="0" t="n">
        <v>0</v>
      </c>
      <c r="F3344" s="23" t="s">
        <v>1509</v>
      </c>
      <c r="I3344" s="23" t="s">
        <v>1249</v>
      </c>
      <c r="U3344" s="0" t="n">
        <v>112</v>
      </c>
      <c r="V3344" s="0" t="n">
        <v>0</v>
      </c>
      <c r="W3344" s="0" t="str">
        <f aca="false">IF(OR(AND(B3344&gt;=1,B3344&lt;=6),B3344=10),"Vaca em lactação",IF(I3344="Male","Macho",IF(E3344&gt;=1,"Vaca seca",IF(I3344="Youngstock","Bezerra/recria","Novilha"))))</f>
        <v>Bezerra/recria</v>
      </c>
      <c r="X3344" s="0" t="str">
        <f aca="false">IF(AND(B3344&gt;=1,B3344&lt;=6),"Tanque",IF(B3344=10,"Descarte",""))</f>
        <v/>
      </c>
    </row>
    <row r="3345" customFormat="false" ht="15" hidden="false" customHeight="false" outlineLevel="0" collapsed="false">
      <c r="A3345" s="22" t="n">
        <v>46309</v>
      </c>
      <c r="B3345" s="0" t="n">
        <v>13</v>
      </c>
      <c r="C3345" s="0" t="n">
        <v>7853</v>
      </c>
      <c r="E3345" s="0" t="n">
        <v>0</v>
      </c>
      <c r="F3345" s="23" t="s">
        <v>1510</v>
      </c>
      <c r="I3345" s="23" t="s">
        <v>1249</v>
      </c>
      <c r="U3345" s="0" t="n">
        <v>114</v>
      </c>
      <c r="V3345" s="0" t="n">
        <v>0</v>
      </c>
      <c r="W3345" s="0" t="str">
        <f aca="false">IF(OR(AND(B3345&gt;=1,B3345&lt;=6),B3345=10),"Vaca em lactação",IF(I3345="Male","Macho",IF(E3345&gt;=1,"Vaca seca",IF(I3345="Youngstock","Bezerra/recria","Novilha"))))</f>
        <v>Bezerra/recria</v>
      </c>
      <c r="X3345" s="0" t="str">
        <f aca="false">IF(AND(B3345&gt;=1,B3345&lt;=6),"Tanque",IF(B3345=10,"Descarte",""))</f>
        <v/>
      </c>
    </row>
    <row r="3346" customFormat="false" ht="15" hidden="false" customHeight="false" outlineLevel="0" collapsed="false">
      <c r="A3346" s="22" t="n">
        <v>46309</v>
      </c>
      <c r="B3346" s="0" t="n">
        <v>13</v>
      </c>
      <c r="C3346" s="0" t="n">
        <v>7854</v>
      </c>
      <c r="E3346" s="0" t="n">
        <v>0</v>
      </c>
      <c r="F3346" s="23" t="s">
        <v>1511</v>
      </c>
      <c r="I3346" s="23" t="s">
        <v>1249</v>
      </c>
      <c r="U3346" s="0" t="n">
        <v>113</v>
      </c>
      <c r="V3346" s="0" t="n">
        <v>0</v>
      </c>
      <c r="W3346" s="0" t="str">
        <f aca="false">IF(OR(AND(B3346&gt;=1,B3346&lt;=6),B3346=10),"Vaca em lactação",IF(I3346="Male","Macho",IF(E3346&gt;=1,"Vaca seca",IF(I3346="Youngstock","Bezerra/recria","Novilha"))))</f>
        <v>Bezerra/recria</v>
      </c>
      <c r="X3346" s="0" t="str">
        <f aca="false">IF(AND(B3346&gt;=1,B3346&lt;=6),"Tanque",IF(B3346=10,"Descarte",""))</f>
        <v/>
      </c>
    </row>
    <row r="3347" customFormat="false" ht="15" hidden="false" customHeight="false" outlineLevel="0" collapsed="false">
      <c r="A3347" s="22" t="n">
        <v>46309</v>
      </c>
      <c r="B3347" s="0" t="n">
        <v>13</v>
      </c>
      <c r="C3347" s="0" t="n">
        <v>7855</v>
      </c>
      <c r="E3347" s="0" t="n">
        <v>0</v>
      </c>
      <c r="F3347" s="23" t="s">
        <v>1511</v>
      </c>
      <c r="I3347" s="23" t="s">
        <v>1249</v>
      </c>
      <c r="U3347" s="0" t="n">
        <v>113</v>
      </c>
      <c r="V3347" s="0" t="n">
        <v>0</v>
      </c>
      <c r="W3347" s="0" t="str">
        <f aca="false">IF(OR(AND(B3347&gt;=1,B3347&lt;=6),B3347=10),"Vaca em lactação",IF(I3347="Male","Macho",IF(E3347&gt;=1,"Vaca seca",IF(I3347="Youngstock","Bezerra/recria","Novilha"))))</f>
        <v>Bezerra/recria</v>
      </c>
      <c r="X3347" s="0" t="str">
        <f aca="false">IF(AND(B3347&gt;=1,B3347&lt;=6),"Tanque",IF(B3347=10,"Descarte",""))</f>
        <v/>
      </c>
    </row>
    <row r="3348" customFormat="false" ht="15" hidden="false" customHeight="false" outlineLevel="0" collapsed="false">
      <c r="A3348" s="22" t="n">
        <v>46309</v>
      </c>
      <c r="B3348" s="0" t="n">
        <v>13</v>
      </c>
      <c r="C3348" s="0" t="n">
        <v>7867</v>
      </c>
      <c r="E3348" s="0" t="n">
        <v>0</v>
      </c>
      <c r="F3348" s="23" t="s">
        <v>1508</v>
      </c>
      <c r="I3348" s="23" t="s">
        <v>1249</v>
      </c>
      <c r="U3348" s="0" t="n">
        <v>111</v>
      </c>
      <c r="V3348" s="0" t="n">
        <v>0</v>
      </c>
      <c r="W3348" s="0" t="str">
        <f aca="false">IF(OR(AND(B3348&gt;=1,B3348&lt;=6),B3348=10),"Vaca em lactação",IF(I3348="Male","Macho",IF(E3348&gt;=1,"Vaca seca",IF(I3348="Youngstock","Bezerra/recria","Novilha"))))</f>
        <v>Bezerra/recria</v>
      </c>
      <c r="X3348" s="0" t="str">
        <f aca="false">IF(AND(B3348&gt;=1,B3348&lt;=6),"Tanque",IF(B3348=10,"Descarte",""))</f>
        <v/>
      </c>
    </row>
    <row r="3349" customFormat="false" ht="15" hidden="false" customHeight="false" outlineLevel="0" collapsed="false">
      <c r="A3349" s="22" t="n">
        <v>46309</v>
      </c>
      <c r="B3349" s="0" t="n">
        <v>13</v>
      </c>
      <c r="C3349" s="0" t="n">
        <v>7870</v>
      </c>
      <c r="E3349" s="0" t="n">
        <v>0</v>
      </c>
      <c r="F3349" s="23" t="s">
        <v>1512</v>
      </c>
      <c r="I3349" s="23" t="s">
        <v>1249</v>
      </c>
      <c r="U3349" s="0" t="n">
        <v>110</v>
      </c>
      <c r="V3349" s="0" t="n">
        <v>0</v>
      </c>
      <c r="W3349" s="0" t="str">
        <f aca="false">IF(OR(AND(B3349&gt;=1,B3349&lt;=6),B3349=10),"Vaca em lactação",IF(I3349="Male","Macho",IF(E3349&gt;=1,"Vaca seca",IF(I3349="Youngstock","Bezerra/recria","Novilha"))))</f>
        <v>Bezerra/recria</v>
      </c>
      <c r="X3349" s="0" t="str">
        <f aca="false">IF(AND(B3349&gt;=1,B3349&lt;=6),"Tanque",IF(B3349=10,"Descarte",""))</f>
        <v/>
      </c>
    </row>
    <row r="3350" customFormat="false" ht="15" hidden="false" customHeight="false" outlineLevel="0" collapsed="false">
      <c r="A3350" s="22" t="n">
        <v>46309</v>
      </c>
      <c r="B3350" s="0" t="n">
        <v>13</v>
      </c>
      <c r="C3350" s="0" t="n">
        <v>7869</v>
      </c>
      <c r="E3350" s="0" t="n">
        <v>0</v>
      </c>
      <c r="F3350" s="23" t="s">
        <v>1512</v>
      </c>
      <c r="I3350" s="23" t="s">
        <v>1249</v>
      </c>
      <c r="U3350" s="0" t="n">
        <v>110</v>
      </c>
      <c r="V3350" s="0" t="n">
        <v>0</v>
      </c>
      <c r="W3350" s="0" t="str">
        <f aca="false">IF(OR(AND(B3350&gt;=1,B3350&lt;=6),B3350=10),"Vaca em lactação",IF(I3350="Male","Macho",IF(E3350&gt;=1,"Vaca seca",IF(I3350="Youngstock","Bezerra/recria","Novilha"))))</f>
        <v>Bezerra/recria</v>
      </c>
      <c r="X3350" s="0" t="str">
        <f aca="false">IF(AND(B3350&gt;=1,B3350&lt;=6),"Tanque",IF(B3350=10,"Descarte",""))</f>
        <v/>
      </c>
    </row>
    <row r="3351" customFormat="false" ht="15" hidden="false" customHeight="false" outlineLevel="0" collapsed="false">
      <c r="A3351" s="22" t="n">
        <v>46309</v>
      </c>
      <c r="B3351" s="0" t="n">
        <v>13</v>
      </c>
      <c r="C3351" s="0" t="n">
        <v>7868</v>
      </c>
      <c r="E3351" s="0" t="n">
        <v>0</v>
      </c>
      <c r="F3351" s="23" t="s">
        <v>1512</v>
      </c>
      <c r="I3351" s="23" t="s">
        <v>1249</v>
      </c>
      <c r="U3351" s="0" t="n">
        <v>110</v>
      </c>
      <c r="V3351" s="0" t="n">
        <v>0</v>
      </c>
      <c r="W3351" s="0" t="str">
        <f aca="false">IF(OR(AND(B3351&gt;=1,B3351&lt;=6),B3351=10),"Vaca em lactação",IF(I3351="Male","Macho",IF(E3351&gt;=1,"Vaca seca",IF(I3351="Youngstock","Bezerra/recria","Novilha"))))</f>
        <v>Bezerra/recria</v>
      </c>
      <c r="X3351" s="0" t="str">
        <f aca="false">IF(AND(B3351&gt;=1,B3351&lt;=6),"Tanque",IF(B3351=10,"Descarte",""))</f>
        <v/>
      </c>
    </row>
    <row r="3352" customFormat="false" ht="15" hidden="false" customHeight="false" outlineLevel="0" collapsed="false">
      <c r="A3352" s="22" t="n">
        <v>46309</v>
      </c>
      <c r="B3352" s="0" t="n">
        <v>13</v>
      </c>
      <c r="C3352" s="0" t="n">
        <v>7873</v>
      </c>
      <c r="E3352" s="0" t="n">
        <v>0</v>
      </c>
      <c r="F3352" s="23" t="s">
        <v>1513</v>
      </c>
      <c r="I3352" s="23" t="s">
        <v>1249</v>
      </c>
      <c r="U3352" s="0" t="n">
        <v>108</v>
      </c>
      <c r="V3352" s="0" t="n">
        <v>0</v>
      </c>
      <c r="W3352" s="0" t="str">
        <f aca="false">IF(OR(AND(B3352&gt;=1,B3352&lt;=6),B3352=10),"Vaca em lactação",IF(I3352="Male","Macho",IF(E3352&gt;=1,"Vaca seca",IF(I3352="Youngstock","Bezerra/recria","Novilha"))))</f>
        <v>Bezerra/recria</v>
      </c>
      <c r="X3352" s="0" t="str">
        <f aca="false">IF(AND(B3352&gt;=1,B3352&lt;=6),"Tanque",IF(B3352=10,"Descarte",""))</f>
        <v/>
      </c>
    </row>
    <row r="3353" customFormat="false" ht="15" hidden="false" customHeight="false" outlineLevel="0" collapsed="false">
      <c r="A3353" s="22" t="n">
        <v>46309</v>
      </c>
      <c r="B3353" s="0" t="n">
        <v>13</v>
      </c>
      <c r="C3353" s="0" t="n">
        <v>7872</v>
      </c>
      <c r="E3353" s="0" t="n">
        <v>0</v>
      </c>
      <c r="F3353" s="23" t="s">
        <v>1514</v>
      </c>
      <c r="I3353" s="23" t="s">
        <v>1249</v>
      </c>
      <c r="U3353" s="0" t="n">
        <v>109</v>
      </c>
      <c r="V3353" s="0" t="n">
        <v>0</v>
      </c>
      <c r="W3353" s="0" t="str">
        <f aca="false">IF(OR(AND(B3353&gt;=1,B3353&lt;=6),B3353=10),"Vaca em lactação",IF(I3353="Male","Macho",IF(E3353&gt;=1,"Vaca seca",IF(I3353="Youngstock","Bezerra/recria","Novilha"))))</f>
        <v>Bezerra/recria</v>
      </c>
      <c r="X3353" s="0" t="str">
        <f aca="false">IF(AND(B3353&gt;=1,B3353&lt;=6),"Tanque",IF(B3353=10,"Descarte",""))</f>
        <v/>
      </c>
    </row>
    <row r="3354" customFormat="false" ht="15" hidden="false" customHeight="false" outlineLevel="0" collapsed="false">
      <c r="A3354" s="22" t="n">
        <v>46309</v>
      </c>
      <c r="B3354" s="0" t="n">
        <v>13</v>
      </c>
      <c r="C3354" s="0" t="n">
        <v>7871</v>
      </c>
      <c r="E3354" s="0" t="n">
        <v>0</v>
      </c>
      <c r="F3354" s="23" t="s">
        <v>1512</v>
      </c>
      <c r="I3354" s="23" t="s">
        <v>1249</v>
      </c>
      <c r="U3354" s="0" t="n">
        <v>110</v>
      </c>
      <c r="V3354" s="0" t="n">
        <v>0</v>
      </c>
      <c r="W3354" s="0" t="str">
        <f aca="false">IF(OR(AND(B3354&gt;=1,B3354&lt;=6),B3354=10),"Vaca em lactação",IF(I3354="Male","Macho",IF(E3354&gt;=1,"Vaca seca",IF(I3354="Youngstock","Bezerra/recria","Novilha"))))</f>
        <v>Bezerra/recria</v>
      </c>
      <c r="X3354" s="0" t="str">
        <f aca="false">IF(AND(B3354&gt;=1,B3354&lt;=6),"Tanque",IF(B3354=10,"Descarte",""))</f>
        <v/>
      </c>
    </row>
    <row r="3355" customFormat="false" ht="15" hidden="false" customHeight="false" outlineLevel="0" collapsed="false">
      <c r="A3355" s="22" t="n">
        <v>46309</v>
      </c>
      <c r="B3355" s="0" t="n">
        <v>13</v>
      </c>
      <c r="C3355" s="0" t="n">
        <v>7875</v>
      </c>
      <c r="E3355" s="0" t="n">
        <v>0</v>
      </c>
      <c r="F3355" s="23" t="s">
        <v>1513</v>
      </c>
      <c r="I3355" s="23" t="s">
        <v>1249</v>
      </c>
      <c r="U3355" s="0" t="n">
        <v>108</v>
      </c>
      <c r="V3355" s="0" t="n">
        <v>0</v>
      </c>
      <c r="W3355" s="0" t="str">
        <f aca="false">IF(OR(AND(B3355&gt;=1,B3355&lt;=6),B3355=10),"Vaca em lactação",IF(I3355="Male","Macho",IF(E3355&gt;=1,"Vaca seca",IF(I3355="Youngstock","Bezerra/recria","Novilha"))))</f>
        <v>Bezerra/recria</v>
      </c>
      <c r="X3355" s="0" t="str">
        <f aca="false">IF(AND(B3355&gt;=1,B3355&lt;=6),"Tanque",IF(B3355=10,"Descarte",""))</f>
        <v/>
      </c>
    </row>
    <row r="3356" customFormat="false" ht="15" hidden="false" customHeight="false" outlineLevel="0" collapsed="false">
      <c r="A3356" s="22" t="n">
        <v>46309</v>
      </c>
      <c r="B3356" s="0" t="n">
        <v>13</v>
      </c>
      <c r="C3356" s="0" t="n">
        <v>7874</v>
      </c>
      <c r="E3356" s="0" t="n">
        <v>0</v>
      </c>
      <c r="F3356" s="23" t="s">
        <v>1513</v>
      </c>
      <c r="I3356" s="23" t="s">
        <v>1249</v>
      </c>
      <c r="U3356" s="0" t="n">
        <v>108</v>
      </c>
      <c r="V3356" s="0" t="n">
        <v>0</v>
      </c>
      <c r="W3356" s="0" t="str">
        <f aca="false">IF(OR(AND(B3356&gt;=1,B3356&lt;=6),B3356=10),"Vaca em lactação",IF(I3356="Male","Macho",IF(E3356&gt;=1,"Vaca seca",IF(I3356="Youngstock","Bezerra/recria","Novilha"))))</f>
        <v>Bezerra/recria</v>
      </c>
      <c r="X3356" s="0" t="str">
        <f aca="false">IF(AND(B3356&gt;=1,B3356&lt;=6),"Tanque",IF(B3356=10,"Descarte",""))</f>
        <v/>
      </c>
    </row>
    <row r="3357" customFormat="false" ht="15" hidden="false" customHeight="false" outlineLevel="0" collapsed="false">
      <c r="A3357" s="22" t="n">
        <v>46309</v>
      </c>
      <c r="B3357" s="0" t="n">
        <v>13</v>
      </c>
      <c r="C3357" s="0" t="n">
        <v>7879</v>
      </c>
      <c r="E3357" s="0" t="n">
        <v>0</v>
      </c>
      <c r="F3357" s="23" t="s">
        <v>1504</v>
      </c>
      <c r="I3357" s="23" t="s">
        <v>1249</v>
      </c>
      <c r="U3357" s="0" t="n">
        <v>106</v>
      </c>
      <c r="V3357" s="0" t="n">
        <v>0</v>
      </c>
      <c r="W3357" s="0" t="str">
        <f aca="false">IF(OR(AND(B3357&gt;=1,B3357&lt;=6),B3357=10),"Vaca em lactação",IF(I3357="Male","Macho",IF(E3357&gt;=1,"Vaca seca",IF(I3357="Youngstock","Bezerra/recria","Novilha"))))</f>
        <v>Bezerra/recria</v>
      </c>
      <c r="X3357" s="0" t="str">
        <f aca="false">IF(AND(B3357&gt;=1,B3357&lt;=6),"Tanque",IF(B3357=10,"Descarte",""))</f>
        <v/>
      </c>
    </row>
    <row r="3358" customFormat="false" ht="15" hidden="false" customHeight="false" outlineLevel="0" collapsed="false">
      <c r="A3358" s="22" t="n">
        <v>46309</v>
      </c>
      <c r="B3358" s="0" t="n">
        <v>13</v>
      </c>
      <c r="C3358" s="0" t="n">
        <v>7878</v>
      </c>
      <c r="E3358" s="0" t="n">
        <v>0</v>
      </c>
      <c r="F3358" s="23" t="s">
        <v>1504</v>
      </c>
      <c r="I3358" s="23" t="s">
        <v>1249</v>
      </c>
      <c r="U3358" s="0" t="n">
        <v>106</v>
      </c>
      <c r="V3358" s="0" t="n">
        <v>0</v>
      </c>
      <c r="W3358" s="0" t="str">
        <f aca="false">IF(OR(AND(B3358&gt;=1,B3358&lt;=6),B3358=10),"Vaca em lactação",IF(I3358="Male","Macho",IF(E3358&gt;=1,"Vaca seca",IF(I3358="Youngstock","Bezerra/recria","Novilha"))))</f>
        <v>Bezerra/recria</v>
      </c>
      <c r="X3358" s="0" t="str">
        <f aca="false">IF(AND(B3358&gt;=1,B3358&lt;=6),"Tanque",IF(B3358=10,"Descarte",""))</f>
        <v/>
      </c>
    </row>
    <row r="3359" customFormat="false" ht="15" hidden="false" customHeight="false" outlineLevel="0" collapsed="false">
      <c r="A3359" s="22" t="n">
        <v>46309</v>
      </c>
      <c r="B3359" s="0" t="n">
        <v>13</v>
      </c>
      <c r="C3359" s="0" t="n">
        <v>7877</v>
      </c>
      <c r="E3359" s="0" t="n">
        <v>0</v>
      </c>
      <c r="F3359" s="23" t="s">
        <v>1504</v>
      </c>
      <c r="I3359" s="23" t="s">
        <v>1249</v>
      </c>
      <c r="U3359" s="0" t="n">
        <v>106</v>
      </c>
      <c r="V3359" s="0" t="n">
        <v>0</v>
      </c>
      <c r="W3359" s="0" t="str">
        <f aca="false">IF(OR(AND(B3359&gt;=1,B3359&lt;=6),B3359=10),"Vaca em lactação",IF(I3359="Male","Macho",IF(E3359&gt;=1,"Vaca seca",IF(I3359="Youngstock","Bezerra/recria","Novilha"))))</f>
        <v>Bezerra/recria</v>
      </c>
      <c r="X3359" s="0" t="str">
        <f aca="false">IF(AND(B3359&gt;=1,B3359&lt;=6),"Tanque",IF(B3359=10,"Descarte",""))</f>
        <v/>
      </c>
    </row>
    <row r="3360" customFormat="false" ht="15" hidden="false" customHeight="false" outlineLevel="0" collapsed="false">
      <c r="A3360" s="22" t="n">
        <v>46309</v>
      </c>
      <c r="B3360" s="0" t="n">
        <v>13</v>
      </c>
      <c r="C3360" s="0" t="n">
        <v>7884</v>
      </c>
      <c r="E3360" s="0" t="n">
        <v>0</v>
      </c>
      <c r="F3360" s="23" t="s">
        <v>1504</v>
      </c>
      <c r="I3360" s="23" t="s">
        <v>1249</v>
      </c>
      <c r="U3360" s="0" t="n">
        <v>106</v>
      </c>
      <c r="V3360" s="0" t="n">
        <v>0</v>
      </c>
      <c r="W3360" s="0" t="str">
        <f aca="false">IF(OR(AND(B3360&gt;=1,B3360&lt;=6),B3360=10),"Vaca em lactação",IF(I3360="Male","Macho",IF(E3360&gt;=1,"Vaca seca",IF(I3360="Youngstock","Bezerra/recria","Novilha"))))</f>
        <v>Bezerra/recria</v>
      </c>
      <c r="X3360" s="0" t="str">
        <f aca="false">IF(AND(B3360&gt;=1,B3360&lt;=6),"Tanque",IF(B3360=10,"Descarte",""))</f>
        <v/>
      </c>
    </row>
    <row r="3361" customFormat="false" ht="15" hidden="false" customHeight="false" outlineLevel="0" collapsed="false">
      <c r="A3361" s="22" t="n">
        <v>46309</v>
      </c>
      <c r="B3361" s="0" t="n">
        <v>13</v>
      </c>
      <c r="C3361" s="0" t="n">
        <v>7883</v>
      </c>
      <c r="E3361" s="0" t="n">
        <v>0</v>
      </c>
      <c r="F3361" s="23" t="s">
        <v>1504</v>
      </c>
      <c r="I3361" s="23" t="s">
        <v>1249</v>
      </c>
      <c r="U3361" s="0" t="n">
        <v>106</v>
      </c>
      <c r="V3361" s="0" t="n">
        <v>0</v>
      </c>
      <c r="W3361" s="0" t="str">
        <f aca="false">IF(OR(AND(B3361&gt;=1,B3361&lt;=6),B3361=10),"Vaca em lactação",IF(I3361="Male","Macho",IF(E3361&gt;=1,"Vaca seca",IF(I3361="Youngstock","Bezerra/recria","Novilha"))))</f>
        <v>Bezerra/recria</v>
      </c>
      <c r="X3361" s="0" t="str">
        <f aca="false">IF(AND(B3361&gt;=1,B3361&lt;=6),"Tanque",IF(B3361=10,"Descarte",""))</f>
        <v/>
      </c>
    </row>
    <row r="3362" customFormat="false" ht="15" hidden="false" customHeight="false" outlineLevel="0" collapsed="false">
      <c r="A3362" s="22" t="n">
        <v>46309</v>
      </c>
      <c r="B3362" s="0" t="n">
        <v>13</v>
      </c>
      <c r="C3362" s="0" t="n">
        <v>7882</v>
      </c>
      <c r="E3362" s="0" t="n">
        <v>0</v>
      </c>
      <c r="F3362" s="23" t="s">
        <v>1504</v>
      </c>
      <c r="I3362" s="23" t="s">
        <v>1249</v>
      </c>
      <c r="U3362" s="0" t="n">
        <v>106</v>
      </c>
      <c r="V3362" s="0" t="n">
        <v>0</v>
      </c>
      <c r="W3362" s="0" t="str">
        <f aca="false">IF(OR(AND(B3362&gt;=1,B3362&lt;=6),B3362=10),"Vaca em lactação",IF(I3362="Male","Macho",IF(E3362&gt;=1,"Vaca seca",IF(I3362="Youngstock","Bezerra/recria","Novilha"))))</f>
        <v>Bezerra/recria</v>
      </c>
      <c r="X3362" s="0" t="str">
        <f aca="false">IF(AND(B3362&gt;=1,B3362&lt;=6),"Tanque",IF(B3362=10,"Descarte",""))</f>
        <v/>
      </c>
    </row>
    <row r="3363" customFormat="false" ht="15" hidden="false" customHeight="false" outlineLevel="0" collapsed="false">
      <c r="A3363" s="22" t="n">
        <v>46309</v>
      </c>
      <c r="B3363" s="0" t="n">
        <v>13</v>
      </c>
      <c r="C3363" s="0" t="n">
        <v>7881</v>
      </c>
      <c r="E3363" s="0" t="n">
        <v>0</v>
      </c>
      <c r="F3363" s="23" t="s">
        <v>1504</v>
      </c>
      <c r="I3363" s="23" t="s">
        <v>1249</v>
      </c>
      <c r="U3363" s="0" t="n">
        <v>106</v>
      </c>
      <c r="V3363" s="0" t="n">
        <v>0</v>
      </c>
      <c r="W3363" s="0" t="str">
        <f aca="false">IF(OR(AND(B3363&gt;=1,B3363&lt;=6),B3363=10),"Vaca em lactação",IF(I3363="Male","Macho",IF(E3363&gt;=1,"Vaca seca",IF(I3363="Youngstock","Bezerra/recria","Novilha"))))</f>
        <v>Bezerra/recria</v>
      </c>
      <c r="X3363" s="0" t="str">
        <f aca="false">IF(AND(B3363&gt;=1,B3363&lt;=6),"Tanque",IF(B3363=10,"Descarte",""))</f>
        <v/>
      </c>
    </row>
    <row r="3364" customFormat="false" ht="15" hidden="false" customHeight="false" outlineLevel="0" collapsed="false">
      <c r="A3364" s="22" t="n">
        <v>46309</v>
      </c>
      <c r="B3364" s="0" t="n">
        <v>13</v>
      </c>
      <c r="C3364" s="0" t="n">
        <v>7880</v>
      </c>
      <c r="E3364" s="0" t="n">
        <v>0</v>
      </c>
      <c r="F3364" s="23" t="s">
        <v>1504</v>
      </c>
      <c r="I3364" s="23" t="s">
        <v>1249</v>
      </c>
      <c r="U3364" s="0" t="n">
        <v>106</v>
      </c>
      <c r="V3364" s="0" t="n">
        <v>0</v>
      </c>
      <c r="W3364" s="0" t="str">
        <f aca="false">IF(OR(AND(B3364&gt;=1,B3364&lt;=6),B3364=10),"Vaca em lactação",IF(I3364="Male","Macho",IF(E3364&gt;=1,"Vaca seca",IF(I3364="Youngstock","Bezerra/recria","Novilha"))))</f>
        <v>Bezerra/recria</v>
      </c>
      <c r="X3364" s="0" t="str">
        <f aca="false">IF(AND(B3364&gt;=1,B3364&lt;=6),"Tanque",IF(B3364=10,"Descarte",""))</f>
        <v/>
      </c>
    </row>
    <row r="3365" customFormat="false" ht="15" hidden="false" customHeight="false" outlineLevel="0" collapsed="false">
      <c r="A3365" s="22" t="n">
        <v>46309</v>
      </c>
      <c r="B3365" s="0" t="n">
        <v>13</v>
      </c>
      <c r="C3365" s="0" t="n">
        <v>7886</v>
      </c>
      <c r="E3365" s="0" t="n">
        <v>0</v>
      </c>
      <c r="F3365" s="23" t="s">
        <v>1504</v>
      </c>
      <c r="I3365" s="23" t="s">
        <v>1249</v>
      </c>
      <c r="U3365" s="0" t="n">
        <v>106</v>
      </c>
      <c r="V3365" s="0" t="n">
        <v>0</v>
      </c>
      <c r="W3365" s="0" t="str">
        <f aca="false">IF(OR(AND(B3365&gt;=1,B3365&lt;=6),B3365=10),"Vaca em lactação",IF(I3365="Male","Macho",IF(E3365&gt;=1,"Vaca seca",IF(I3365="Youngstock","Bezerra/recria","Novilha"))))</f>
        <v>Bezerra/recria</v>
      </c>
      <c r="X3365" s="0" t="str">
        <f aca="false">IF(AND(B3365&gt;=1,B3365&lt;=6),"Tanque",IF(B3365=10,"Descarte",""))</f>
        <v/>
      </c>
    </row>
    <row r="3366" customFormat="false" ht="15" hidden="false" customHeight="false" outlineLevel="0" collapsed="false">
      <c r="A3366" s="22" t="n">
        <v>46309</v>
      </c>
      <c r="B3366" s="0" t="n">
        <v>13</v>
      </c>
      <c r="C3366" s="0" t="n">
        <v>7885</v>
      </c>
      <c r="E3366" s="0" t="n">
        <v>0</v>
      </c>
      <c r="F3366" s="23" t="s">
        <v>1504</v>
      </c>
      <c r="I3366" s="23" t="s">
        <v>1249</v>
      </c>
      <c r="U3366" s="0" t="n">
        <v>106</v>
      </c>
      <c r="V3366" s="0" t="n">
        <v>0</v>
      </c>
      <c r="W3366" s="0" t="str">
        <f aca="false">IF(OR(AND(B3366&gt;=1,B3366&lt;=6),B3366=10),"Vaca em lactação",IF(I3366="Male","Macho",IF(E3366&gt;=1,"Vaca seca",IF(I3366="Youngstock","Bezerra/recria","Novilha"))))</f>
        <v>Bezerra/recria</v>
      </c>
      <c r="X3366" s="0" t="str">
        <f aca="false">IF(AND(B3366&gt;=1,B3366&lt;=6),"Tanque",IF(B3366=10,"Descarte",""))</f>
        <v/>
      </c>
    </row>
    <row r="3367" customFormat="false" ht="15" hidden="false" customHeight="false" outlineLevel="0" collapsed="false">
      <c r="A3367" s="22" t="n">
        <v>46309</v>
      </c>
      <c r="B3367" s="0" t="n">
        <v>13</v>
      </c>
      <c r="C3367" s="0" t="n">
        <v>7828</v>
      </c>
      <c r="E3367" s="0" t="n">
        <v>0</v>
      </c>
      <c r="F3367" s="23" t="s">
        <v>1515</v>
      </c>
      <c r="I3367" s="23" t="s">
        <v>1249</v>
      </c>
      <c r="U3367" s="0" t="n">
        <v>121</v>
      </c>
      <c r="V3367" s="0" t="n">
        <v>0</v>
      </c>
      <c r="W3367" s="0" t="str">
        <f aca="false">IF(OR(AND(B3367&gt;=1,B3367&lt;=6),B3367=10),"Vaca em lactação",IF(I3367="Male","Macho",IF(E3367&gt;=1,"Vaca seca",IF(I3367="Youngstock","Bezerra/recria","Novilha"))))</f>
        <v>Bezerra/recria</v>
      </c>
      <c r="X3367" s="0" t="str">
        <f aca="false">IF(AND(B3367&gt;=1,B3367&lt;=6),"Tanque",IF(B3367=10,"Descarte",""))</f>
        <v/>
      </c>
    </row>
    <row r="3368" customFormat="false" ht="15" hidden="false" customHeight="false" outlineLevel="0" collapsed="false">
      <c r="A3368" s="22" t="n">
        <v>46309</v>
      </c>
      <c r="B3368" s="0" t="n">
        <v>13</v>
      </c>
      <c r="C3368" s="0" t="n">
        <v>7829</v>
      </c>
      <c r="E3368" s="0" t="n">
        <v>0</v>
      </c>
      <c r="F3368" s="23" t="s">
        <v>1516</v>
      </c>
      <c r="I3368" s="23" t="s">
        <v>1249</v>
      </c>
      <c r="U3368" s="0" t="n">
        <v>120</v>
      </c>
      <c r="V3368" s="0" t="n">
        <v>0</v>
      </c>
      <c r="W3368" s="0" t="str">
        <f aca="false">IF(OR(AND(B3368&gt;=1,B3368&lt;=6),B3368=10),"Vaca em lactação",IF(I3368="Male","Macho",IF(E3368&gt;=1,"Vaca seca",IF(I3368="Youngstock","Bezerra/recria","Novilha"))))</f>
        <v>Bezerra/recria</v>
      </c>
      <c r="X3368" s="0" t="str">
        <f aca="false">IF(AND(B3368&gt;=1,B3368&lt;=6),"Tanque",IF(B3368=10,"Descarte",""))</f>
        <v/>
      </c>
    </row>
    <row r="3369" customFormat="false" ht="15" hidden="false" customHeight="false" outlineLevel="0" collapsed="false">
      <c r="A3369" s="22" t="n">
        <v>46309</v>
      </c>
      <c r="B3369" s="0" t="n">
        <v>13</v>
      </c>
      <c r="C3369" s="0" t="n">
        <v>7825</v>
      </c>
      <c r="E3369" s="0" t="n">
        <v>0</v>
      </c>
      <c r="F3369" s="23" t="s">
        <v>1515</v>
      </c>
      <c r="I3369" s="23" t="s">
        <v>1249</v>
      </c>
      <c r="U3369" s="0" t="n">
        <v>121</v>
      </c>
      <c r="V3369" s="0" t="n">
        <v>0</v>
      </c>
      <c r="W3369" s="0" t="str">
        <f aca="false">IF(OR(AND(B3369&gt;=1,B3369&lt;=6),B3369=10),"Vaca em lactação",IF(I3369="Male","Macho",IF(E3369&gt;=1,"Vaca seca",IF(I3369="Youngstock","Bezerra/recria","Novilha"))))</f>
        <v>Bezerra/recria</v>
      </c>
      <c r="X3369" s="0" t="str">
        <f aca="false">IF(AND(B3369&gt;=1,B3369&lt;=6),"Tanque",IF(B3369=10,"Descarte",""))</f>
        <v/>
      </c>
    </row>
    <row r="3370" customFormat="false" ht="15" hidden="false" customHeight="false" outlineLevel="0" collapsed="false">
      <c r="A3370" s="22" t="n">
        <v>46309</v>
      </c>
      <c r="B3370" s="0" t="n">
        <v>13</v>
      </c>
      <c r="C3370" s="0" t="n">
        <v>7827</v>
      </c>
      <c r="E3370" s="0" t="n">
        <v>0</v>
      </c>
      <c r="F3370" s="23" t="s">
        <v>1515</v>
      </c>
      <c r="I3370" s="23" t="s">
        <v>1249</v>
      </c>
      <c r="U3370" s="0" t="n">
        <v>121</v>
      </c>
      <c r="V3370" s="0" t="n">
        <v>0</v>
      </c>
      <c r="W3370" s="0" t="str">
        <f aca="false">IF(OR(AND(B3370&gt;=1,B3370&lt;=6),B3370=10),"Vaca em lactação",IF(I3370="Male","Macho",IF(E3370&gt;=1,"Vaca seca",IF(I3370="Youngstock","Bezerra/recria","Novilha"))))</f>
        <v>Bezerra/recria</v>
      </c>
      <c r="X3370" s="0" t="str">
        <f aca="false">IF(AND(B3370&gt;=1,B3370&lt;=6),"Tanque",IF(B3370=10,"Descarte",""))</f>
        <v/>
      </c>
    </row>
    <row r="3371" customFormat="false" ht="15" hidden="false" customHeight="false" outlineLevel="0" collapsed="false">
      <c r="A3371" s="22" t="n">
        <v>46309</v>
      </c>
      <c r="B3371" s="0" t="n">
        <v>13</v>
      </c>
      <c r="C3371" s="0" t="n">
        <v>7826</v>
      </c>
      <c r="E3371" s="0" t="n">
        <v>0</v>
      </c>
      <c r="F3371" s="23" t="s">
        <v>1515</v>
      </c>
      <c r="I3371" s="23" t="s">
        <v>1249</v>
      </c>
      <c r="U3371" s="0" t="n">
        <v>121</v>
      </c>
      <c r="V3371" s="0" t="n">
        <v>0</v>
      </c>
      <c r="W3371" s="0" t="str">
        <f aca="false">IF(OR(AND(B3371&gt;=1,B3371&lt;=6),B3371=10),"Vaca em lactação",IF(I3371="Male","Macho",IF(E3371&gt;=1,"Vaca seca",IF(I3371="Youngstock","Bezerra/recria","Novilha"))))</f>
        <v>Bezerra/recria</v>
      </c>
      <c r="X3371" s="0" t="str">
        <f aca="false">IF(AND(B3371&gt;=1,B3371&lt;=6),"Tanque",IF(B3371=10,"Descarte",""))</f>
        <v/>
      </c>
    </row>
    <row r="3372" customFormat="false" ht="15" hidden="false" customHeight="false" outlineLevel="0" collapsed="false">
      <c r="A3372" s="22" t="n">
        <v>46309</v>
      </c>
      <c r="B3372" s="0" t="n">
        <v>13</v>
      </c>
      <c r="C3372" s="0" t="n">
        <v>7833</v>
      </c>
      <c r="E3372" s="0" t="n">
        <v>0</v>
      </c>
      <c r="F3372" s="23" t="s">
        <v>1516</v>
      </c>
      <c r="I3372" s="23" t="s">
        <v>1249</v>
      </c>
      <c r="U3372" s="0" t="n">
        <v>120</v>
      </c>
      <c r="V3372" s="0" t="n">
        <v>0</v>
      </c>
      <c r="W3372" s="0" t="str">
        <f aca="false">IF(OR(AND(B3372&gt;=1,B3372&lt;=6),B3372=10),"Vaca em lactação",IF(I3372="Male","Macho",IF(E3372&gt;=1,"Vaca seca",IF(I3372="Youngstock","Bezerra/recria","Novilha"))))</f>
        <v>Bezerra/recria</v>
      </c>
      <c r="X3372" s="0" t="str">
        <f aca="false">IF(AND(B3372&gt;=1,B3372&lt;=6),"Tanque",IF(B3372=10,"Descarte",""))</f>
        <v/>
      </c>
    </row>
    <row r="3373" customFormat="false" ht="15" hidden="false" customHeight="false" outlineLevel="0" collapsed="false">
      <c r="A3373" s="22" t="n">
        <v>46309</v>
      </c>
      <c r="B3373" s="0" t="n">
        <v>13</v>
      </c>
      <c r="C3373" s="0" t="n">
        <v>7832</v>
      </c>
      <c r="E3373" s="0" t="n">
        <v>0</v>
      </c>
      <c r="F3373" s="23" t="s">
        <v>1516</v>
      </c>
      <c r="I3373" s="23" t="s">
        <v>1249</v>
      </c>
      <c r="U3373" s="0" t="n">
        <v>120</v>
      </c>
      <c r="V3373" s="0" t="n">
        <v>0</v>
      </c>
      <c r="W3373" s="0" t="str">
        <f aca="false">IF(OR(AND(B3373&gt;=1,B3373&lt;=6),B3373=10),"Vaca em lactação",IF(I3373="Male","Macho",IF(E3373&gt;=1,"Vaca seca",IF(I3373="Youngstock","Bezerra/recria","Novilha"))))</f>
        <v>Bezerra/recria</v>
      </c>
      <c r="X3373" s="0" t="str">
        <f aca="false">IF(AND(B3373&gt;=1,B3373&lt;=6),"Tanque",IF(B3373=10,"Descarte",""))</f>
        <v/>
      </c>
    </row>
    <row r="3374" customFormat="false" ht="15" hidden="false" customHeight="false" outlineLevel="0" collapsed="false">
      <c r="A3374" s="22" t="n">
        <v>46309</v>
      </c>
      <c r="B3374" s="0" t="n">
        <v>13</v>
      </c>
      <c r="C3374" s="0" t="n">
        <v>7831</v>
      </c>
      <c r="E3374" s="0" t="n">
        <v>0</v>
      </c>
      <c r="F3374" s="23" t="s">
        <v>1516</v>
      </c>
      <c r="I3374" s="23" t="s">
        <v>1249</v>
      </c>
      <c r="U3374" s="0" t="n">
        <v>120</v>
      </c>
      <c r="V3374" s="0" t="n">
        <v>0</v>
      </c>
      <c r="W3374" s="0" t="str">
        <f aca="false">IF(OR(AND(B3374&gt;=1,B3374&lt;=6),B3374=10),"Vaca em lactação",IF(I3374="Male","Macho",IF(E3374&gt;=1,"Vaca seca",IF(I3374="Youngstock","Bezerra/recria","Novilha"))))</f>
        <v>Bezerra/recria</v>
      </c>
      <c r="X3374" s="0" t="str">
        <f aca="false">IF(AND(B3374&gt;=1,B3374&lt;=6),"Tanque",IF(B3374=10,"Descarte",""))</f>
        <v/>
      </c>
    </row>
    <row r="3375" customFormat="false" ht="15" hidden="false" customHeight="false" outlineLevel="0" collapsed="false">
      <c r="A3375" s="22" t="n">
        <v>46309</v>
      </c>
      <c r="B3375" s="0" t="n">
        <v>13</v>
      </c>
      <c r="C3375" s="0" t="n">
        <v>7835</v>
      </c>
      <c r="E3375" s="0" t="n">
        <v>0</v>
      </c>
      <c r="F3375" s="23" t="s">
        <v>1517</v>
      </c>
      <c r="I3375" s="23" t="s">
        <v>1249</v>
      </c>
      <c r="U3375" s="0" t="n">
        <v>119</v>
      </c>
      <c r="V3375" s="0" t="n">
        <v>0</v>
      </c>
      <c r="W3375" s="0" t="str">
        <f aca="false">IF(OR(AND(B3375&gt;=1,B3375&lt;=6),B3375=10),"Vaca em lactação",IF(I3375="Male","Macho",IF(E3375&gt;=1,"Vaca seca",IF(I3375="Youngstock","Bezerra/recria","Novilha"))))</f>
        <v>Bezerra/recria</v>
      </c>
      <c r="X3375" s="0" t="str">
        <f aca="false">IF(AND(B3375&gt;=1,B3375&lt;=6),"Tanque",IF(B3375=10,"Descarte",""))</f>
        <v/>
      </c>
    </row>
    <row r="3376" customFormat="false" ht="15" hidden="false" customHeight="false" outlineLevel="0" collapsed="false">
      <c r="A3376" s="22" t="n">
        <v>46309</v>
      </c>
      <c r="B3376" s="0" t="n">
        <v>13</v>
      </c>
      <c r="C3376" s="0" t="n">
        <v>7838</v>
      </c>
      <c r="E3376" s="0" t="n">
        <v>0</v>
      </c>
      <c r="F3376" s="23" t="s">
        <v>1518</v>
      </c>
      <c r="I3376" s="23" t="s">
        <v>1249</v>
      </c>
      <c r="U3376" s="0" t="n">
        <v>118</v>
      </c>
      <c r="V3376" s="0" t="n">
        <v>0</v>
      </c>
      <c r="W3376" s="0" t="str">
        <f aca="false">IF(OR(AND(B3376&gt;=1,B3376&lt;=6),B3376=10),"Vaca em lactação",IF(I3376="Male","Macho",IF(E3376&gt;=1,"Vaca seca",IF(I3376="Youngstock","Bezerra/recria","Novilha"))))</f>
        <v>Bezerra/recria</v>
      </c>
      <c r="X3376" s="0" t="str">
        <f aca="false">IF(AND(B3376&gt;=1,B3376&lt;=6),"Tanque",IF(B3376=10,"Descarte",""))</f>
        <v/>
      </c>
    </row>
    <row r="3377" customFormat="false" ht="15" hidden="false" customHeight="false" outlineLevel="0" collapsed="false">
      <c r="A3377" s="22" t="n">
        <v>46309</v>
      </c>
      <c r="B3377" s="0" t="n">
        <v>13</v>
      </c>
      <c r="C3377" s="0" t="n">
        <v>7837</v>
      </c>
      <c r="E3377" s="0" t="n">
        <v>0</v>
      </c>
      <c r="F3377" s="23" t="s">
        <v>1518</v>
      </c>
      <c r="I3377" s="23" t="s">
        <v>1249</v>
      </c>
      <c r="U3377" s="0" t="n">
        <v>118</v>
      </c>
      <c r="V3377" s="0" t="n">
        <v>0</v>
      </c>
      <c r="W3377" s="0" t="str">
        <f aca="false">IF(OR(AND(B3377&gt;=1,B3377&lt;=6),B3377=10),"Vaca em lactação",IF(I3377="Male","Macho",IF(E3377&gt;=1,"Vaca seca",IF(I3377="Youngstock","Bezerra/recria","Novilha"))))</f>
        <v>Bezerra/recria</v>
      </c>
      <c r="X3377" s="0" t="str">
        <f aca="false">IF(AND(B3377&gt;=1,B3377&lt;=6),"Tanque",IF(B3377=10,"Descarte",""))</f>
        <v/>
      </c>
    </row>
    <row r="3378" customFormat="false" ht="15" hidden="false" customHeight="false" outlineLevel="0" collapsed="false">
      <c r="A3378" s="22" t="n">
        <v>46309</v>
      </c>
      <c r="B3378" s="0" t="n">
        <v>13</v>
      </c>
      <c r="C3378" s="0" t="n">
        <v>7836</v>
      </c>
      <c r="E3378" s="0" t="n">
        <v>0</v>
      </c>
      <c r="F3378" s="23" t="s">
        <v>1517</v>
      </c>
      <c r="I3378" s="23" t="s">
        <v>1249</v>
      </c>
      <c r="U3378" s="0" t="n">
        <v>119</v>
      </c>
      <c r="V3378" s="0" t="n">
        <v>0</v>
      </c>
      <c r="W3378" s="0" t="str">
        <f aca="false">IF(OR(AND(B3378&gt;=1,B3378&lt;=6),B3378=10),"Vaca em lactação",IF(I3378="Male","Macho",IF(E3378&gt;=1,"Vaca seca",IF(I3378="Youngstock","Bezerra/recria","Novilha"))))</f>
        <v>Bezerra/recria</v>
      </c>
      <c r="X3378" s="0" t="str">
        <f aca="false">IF(AND(B3378&gt;=1,B3378&lt;=6),"Tanque",IF(B3378=10,"Descarte",""))</f>
        <v/>
      </c>
    </row>
    <row r="3379" customFormat="false" ht="15" hidden="false" customHeight="false" outlineLevel="0" collapsed="false">
      <c r="A3379" s="22" t="n">
        <v>46309</v>
      </c>
      <c r="B3379" s="0" t="n">
        <v>13</v>
      </c>
      <c r="C3379" s="0" t="n">
        <v>7839</v>
      </c>
      <c r="E3379" s="0" t="n">
        <v>0</v>
      </c>
      <c r="F3379" s="23" t="s">
        <v>1518</v>
      </c>
      <c r="I3379" s="23" t="s">
        <v>1249</v>
      </c>
      <c r="U3379" s="0" t="n">
        <v>118</v>
      </c>
      <c r="V3379" s="0" t="n">
        <v>0</v>
      </c>
      <c r="W3379" s="0" t="str">
        <f aca="false">IF(OR(AND(B3379&gt;=1,B3379&lt;=6),B3379=10),"Vaca em lactação",IF(I3379="Male","Macho",IF(E3379&gt;=1,"Vaca seca",IF(I3379="Youngstock","Bezerra/recria","Novilha"))))</f>
        <v>Bezerra/recria</v>
      </c>
      <c r="X3379" s="0" t="str">
        <f aca="false">IF(AND(B3379&gt;=1,B3379&lt;=6),"Tanque",IF(B3379=10,"Descarte",""))</f>
        <v/>
      </c>
    </row>
    <row r="3380" customFormat="false" ht="15" hidden="false" customHeight="false" outlineLevel="0" collapsed="false">
      <c r="A3380" s="22" t="n">
        <v>46309</v>
      </c>
      <c r="B3380" s="0" t="n">
        <v>13</v>
      </c>
      <c r="C3380" s="0" t="n">
        <v>7843</v>
      </c>
      <c r="E3380" s="0" t="n">
        <v>0</v>
      </c>
      <c r="F3380" s="23" t="s">
        <v>1518</v>
      </c>
      <c r="I3380" s="23" t="s">
        <v>1249</v>
      </c>
      <c r="U3380" s="0" t="n">
        <v>118</v>
      </c>
      <c r="V3380" s="0" t="n">
        <v>0</v>
      </c>
      <c r="W3380" s="0" t="str">
        <f aca="false">IF(OR(AND(B3380&gt;=1,B3380&lt;=6),B3380=10),"Vaca em lactação",IF(I3380="Male","Macho",IF(E3380&gt;=1,"Vaca seca",IF(I3380="Youngstock","Bezerra/recria","Novilha"))))</f>
        <v>Bezerra/recria</v>
      </c>
      <c r="X3380" s="0" t="str">
        <f aca="false">IF(AND(B3380&gt;=1,B3380&lt;=6),"Tanque",IF(B3380=10,"Descarte",""))</f>
        <v/>
      </c>
    </row>
    <row r="3381" customFormat="false" ht="15" hidden="false" customHeight="false" outlineLevel="0" collapsed="false">
      <c r="A3381" s="22" t="n">
        <v>46309</v>
      </c>
      <c r="B3381" s="0" t="n">
        <v>13</v>
      </c>
      <c r="C3381" s="0" t="n">
        <v>7842</v>
      </c>
      <c r="E3381" s="0" t="n">
        <v>0</v>
      </c>
      <c r="F3381" s="23" t="s">
        <v>1518</v>
      </c>
      <c r="I3381" s="23" t="s">
        <v>1249</v>
      </c>
      <c r="U3381" s="0" t="n">
        <v>118</v>
      </c>
      <c r="V3381" s="0" t="n">
        <v>0</v>
      </c>
      <c r="W3381" s="0" t="str">
        <f aca="false">IF(OR(AND(B3381&gt;=1,B3381&lt;=6),B3381=10),"Vaca em lactação",IF(I3381="Male","Macho",IF(E3381&gt;=1,"Vaca seca",IF(I3381="Youngstock","Bezerra/recria","Novilha"))))</f>
        <v>Bezerra/recria</v>
      </c>
      <c r="X3381" s="0" t="str">
        <f aca="false">IF(AND(B3381&gt;=1,B3381&lt;=6),"Tanque",IF(B3381=10,"Descarte",""))</f>
        <v/>
      </c>
    </row>
    <row r="3382" customFormat="false" ht="15" hidden="false" customHeight="false" outlineLevel="0" collapsed="false">
      <c r="A3382" s="22" t="n">
        <v>46309</v>
      </c>
      <c r="B3382" s="0" t="n">
        <v>13</v>
      </c>
      <c r="C3382" s="0" t="n">
        <v>7841</v>
      </c>
      <c r="E3382" s="0" t="n">
        <v>0</v>
      </c>
      <c r="F3382" s="23" t="s">
        <v>1518</v>
      </c>
      <c r="I3382" s="23" t="s">
        <v>1249</v>
      </c>
      <c r="U3382" s="0" t="n">
        <v>118</v>
      </c>
      <c r="V3382" s="0" t="n">
        <v>0</v>
      </c>
      <c r="W3382" s="0" t="str">
        <f aca="false">IF(OR(AND(B3382&gt;=1,B3382&lt;=6),B3382=10),"Vaca em lactação",IF(I3382="Male","Macho",IF(E3382&gt;=1,"Vaca seca",IF(I3382="Youngstock","Bezerra/recria","Novilha"))))</f>
        <v>Bezerra/recria</v>
      </c>
      <c r="X3382" s="0" t="str">
        <f aca="false">IF(AND(B3382&gt;=1,B3382&lt;=6),"Tanque",IF(B3382=10,"Descarte",""))</f>
        <v/>
      </c>
    </row>
    <row r="3383" customFormat="false" ht="15" hidden="false" customHeight="false" outlineLevel="0" collapsed="false">
      <c r="A3383" s="22" t="n">
        <v>46309</v>
      </c>
      <c r="B3383" s="0" t="n">
        <v>13</v>
      </c>
      <c r="C3383" s="0" t="n">
        <v>7840</v>
      </c>
      <c r="E3383" s="0" t="n">
        <v>0</v>
      </c>
      <c r="F3383" s="23" t="s">
        <v>1518</v>
      </c>
      <c r="I3383" s="23" t="s">
        <v>1249</v>
      </c>
      <c r="U3383" s="0" t="n">
        <v>118</v>
      </c>
      <c r="V3383" s="0" t="n">
        <v>0</v>
      </c>
      <c r="W3383" s="0" t="str">
        <f aca="false">IF(OR(AND(B3383&gt;=1,B3383&lt;=6),B3383=10),"Vaca em lactação",IF(I3383="Male","Macho",IF(E3383&gt;=1,"Vaca seca",IF(I3383="Youngstock","Bezerra/recria","Novilha"))))</f>
        <v>Bezerra/recria</v>
      </c>
      <c r="X3383" s="0" t="str">
        <f aca="false">IF(AND(B3383&gt;=1,B3383&lt;=6),"Tanque",IF(B3383=10,"Descarte",""))</f>
        <v/>
      </c>
    </row>
    <row r="3384" customFormat="false" ht="15" hidden="false" customHeight="false" outlineLevel="0" collapsed="false">
      <c r="A3384" s="22" t="n">
        <v>46309</v>
      </c>
      <c r="B3384" s="0" t="n">
        <v>13</v>
      </c>
      <c r="C3384" s="0" t="n">
        <v>7845</v>
      </c>
      <c r="E3384" s="0" t="n">
        <v>0</v>
      </c>
      <c r="F3384" s="23" t="s">
        <v>1519</v>
      </c>
      <c r="I3384" s="23" t="s">
        <v>1249</v>
      </c>
      <c r="U3384" s="0" t="n">
        <v>117</v>
      </c>
      <c r="V3384" s="0" t="n">
        <v>0</v>
      </c>
      <c r="W3384" s="0" t="str">
        <f aca="false">IF(OR(AND(B3384&gt;=1,B3384&lt;=6),B3384=10),"Vaca em lactação",IF(I3384="Male","Macho",IF(E3384&gt;=1,"Vaca seca",IF(I3384="Youngstock","Bezerra/recria","Novilha"))))</f>
        <v>Bezerra/recria</v>
      </c>
      <c r="X3384" s="0" t="str">
        <f aca="false">IF(AND(B3384&gt;=1,B3384&lt;=6),"Tanque",IF(B3384=10,"Descarte",""))</f>
        <v/>
      </c>
    </row>
    <row r="3385" customFormat="false" ht="15" hidden="false" customHeight="false" outlineLevel="0" collapsed="false">
      <c r="A3385" s="22" t="n">
        <v>46309</v>
      </c>
      <c r="B3385" s="0" t="n">
        <v>13</v>
      </c>
      <c r="C3385" s="0" t="n">
        <v>7589</v>
      </c>
      <c r="E3385" s="0" t="n">
        <v>0</v>
      </c>
      <c r="F3385" s="23" t="s">
        <v>1410</v>
      </c>
      <c r="I3385" s="23" t="s">
        <v>1249</v>
      </c>
      <c r="U3385" s="0" t="n">
        <v>196</v>
      </c>
      <c r="V3385" s="0" t="n">
        <v>0</v>
      </c>
      <c r="W3385" s="0" t="str">
        <f aca="false">IF(OR(AND(B3385&gt;=1,B3385&lt;=6),B3385=10),"Vaca em lactação",IF(I3385="Male","Macho",IF(E3385&gt;=1,"Vaca seca",IF(I3385="Youngstock","Bezerra/recria","Novilha"))))</f>
        <v>Bezerra/recria</v>
      </c>
      <c r="X3385" s="0" t="str">
        <f aca="false">IF(AND(B3385&gt;=1,B3385&lt;=6),"Tanque",IF(B3385=10,"Descarte",""))</f>
        <v/>
      </c>
    </row>
    <row r="3386" customFormat="false" ht="15" hidden="false" customHeight="false" outlineLevel="0" collapsed="false">
      <c r="A3386" s="22" t="n">
        <v>46309</v>
      </c>
      <c r="B3386" s="0" t="n">
        <v>13</v>
      </c>
      <c r="C3386" s="0" t="n">
        <v>7849</v>
      </c>
      <c r="E3386" s="0" t="n">
        <v>0</v>
      </c>
      <c r="F3386" s="23" t="s">
        <v>1520</v>
      </c>
      <c r="I3386" s="23" t="s">
        <v>1249</v>
      </c>
      <c r="U3386" s="0" t="n">
        <v>116</v>
      </c>
      <c r="V3386" s="0" t="n">
        <v>0</v>
      </c>
      <c r="W3386" s="0" t="str">
        <f aca="false">IF(OR(AND(B3386&gt;=1,B3386&lt;=6),B3386=10),"Vaca em lactação",IF(I3386="Male","Macho",IF(E3386&gt;=1,"Vaca seca",IF(I3386="Youngstock","Bezerra/recria","Novilha"))))</f>
        <v>Bezerra/recria</v>
      </c>
      <c r="X3386" s="0" t="str">
        <f aca="false">IF(AND(B3386&gt;=1,B3386&lt;=6),"Tanque",IF(B3386=10,"Descarte",""))</f>
        <v/>
      </c>
    </row>
    <row r="3387" customFormat="false" ht="15" hidden="false" customHeight="false" outlineLevel="0" collapsed="false">
      <c r="A3387" s="22" t="n">
        <v>46309</v>
      </c>
      <c r="B3387" s="0" t="n">
        <v>13</v>
      </c>
      <c r="C3387" s="0" t="n">
        <v>7848</v>
      </c>
      <c r="E3387" s="0" t="n">
        <v>0</v>
      </c>
      <c r="F3387" s="23" t="s">
        <v>1519</v>
      </c>
      <c r="I3387" s="23" t="s">
        <v>1249</v>
      </c>
      <c r="U3387" s="0" t="n">
        <v>117</v>
      </c>
      <c r="V3387" s="0" t="n">
        <v>0</v>
      </c>
      <c r="W3387" s="0" t="str">
        <f aca="false">IF(OR(AND(B3387&gt;=1,B3387&lt;=6),B3387=10),"Vaca em lactação",IF(I3387="Male","Macho",IF(E3387&gt;=1,"Vaca seca",IF(I3387="Youngstock","Bezerra/recria","Novilha"))))</f>
        <v>Bezerra/recria</v>
      </c>
      <c r="X3387" s="0" t="str">
        <f aca="false">IF(AND(B3387&gt;=1,B3387&lt;=6),"Tanque",IF(B3387=10,"Descarte",""))</f>
        <v/>
      </c>
    </row>
    <row r="3388" customFormat="false" ht="15" hidden="false" customHeight="false" outlineLevel="0" collapsed="false">
      <c r="A3388" s="22" t="n">
        <v>46309</v>
      </c>
      <c r="B3388" s="0" t="n">
        <v>13</v>
      </c>
      <c r="C3388" s="0" t="n">
        <v>7847</v>
      </c>
      <c r="E3388" s="0" t="n">
        <v>0</v>
      </c>
      <c r="F3388" s="23" t="s">
        <v>1519</v>
      </c>
      <c r="I3388" s="23" t="s">
        <v>1249</v>
      </c>
      <c r="U3388" s="0" t="n">
        <v>117</v>
      </c>
      <c r="V3388" s="0" t="n">
        <v>0</v>
      </c>
      <c r="W3388" s="0" t="str">
        <f aca="false">IF(OR(AND(B3388&gt;=1,B3388&lt;=6),B3388=10),"Vaca em lactação",IF(I3388="Male","Macho",IF(E3388&gt;=1,"Vaca seca",IF(I3388="Youngstock","Bezerra/recria","Novilha"))))</f>
        <v>Bezerra/recria</v>
      </c>
      <c r="X3388" s="0" t="str">
        <f aca="false">IF(AND(B3388&gt;=1,B3388&lt;=6),"Tanque",IF(B3388=10,"Descarte",""))</f>
        <v/>
      </c>
    </row>
    <row r="3389" customFormat="false" ht="15" hidden="false" customHeight="false" outlineLevel="0" collapsed="false">
      <c r="A3389" s="22" t="n">
        <v>46309</v>
      </c>
      <c r="B3389" s="0" t="n">
        <v>13</v>
      </c>
      <c r="C3389" s="0" t="n">
        <v>7846</v>
      </c>
      <c r="E3389" s="0" t="n">
        <v>0</v>
      </c>
      <c r="F3389" s="23" t="s">
        <v>1519</v>
      </c>
      <c r="I3389" s="23" t="s">
        <v>1249</v>
      </c>
      <c r="U3389" s="0" t="n">
        <v>117</v>
      </c>
      <c r="V3389" s="0" t="n">
        <v>0</v>
      </c>
      <c r="W3389" s="0" t="str">
        <f aca="false">IF(OR(AND(B3389&gt;=1,B3389&lt;=6),B3389=10),"Vaca em lactação",IF(I3389="Male","Macho",IF(E3389&gt;=1,"Vaca seca",IF(I3389="Youngstock","Bezerra/recria","Novilha"))))</f>
        <v>Bezerra/recria</v>
      </c>
      <c r="X3389" s="0" t="str">
        <f aca="false">IF(AND(B3389&gt;=1,B3389&lt;=6),"Tanque",IF(B3389=10,"Descarte",""))</f>
        <v/>
      </c>
    </row>
    <row r="3390" customFormat="false" ht="15" hidden="false" customHeight="false" outlineLevel="0" collapsed="false">
      <c r="A3390" s="22" t="n">
        <v>46309</v>
      </c>
      <c r="B3390" s="0" t="n">
        <v>13</v>
      </c>
      <c r="C3390" s="0" t="n">
        <v>7910</v>
      </c>
      <c r="E3390" s="0" t="n">
        <v>0</v>
      </c>
      <c r="F3390" s="23" t="s">
        <v>1521</v>
      </c>
      <c r="I3390" s="23" t="s">
        <v>1249</v>
      </c>
      <c r="U3390" s="0" t="n">
        <v>100</v>
      </c>
      <c r="V3390" s="0" t="n">
        <v>0</v>
      </c>
      <c r="W3390" s="0" t="str">
        <f aca="false">IF(OR(AND(B3390&gt;=1,B3390&lt;=6),B3390=10),"Vaca em lactação",IF(I3390="Male","Macho",IF(E3390&gt;=1,"Vaca seca",IF(I3390="Youngstock","Bezerra/recria","Novilha"))))</f>
        <v>Bezerra/recria</v>
      </c>
      <c r="X3390" s="0" t="str">
        <f aca="false">IF(AND(B3390&gt;=1,B3390&lt;=6),"Tanque",IF(B3390=10,"Descarte",""))</f>
        <v/>
      </c>
    </row>
    <row r="3391" customFormat="false" ht="15" hidden="false" customHeight="false" outlineLevel="0" collapsed="false">
      <c r="A3391" s="22" t="n">
        <v>46309</v>
      </c>
      <c r="B3391" s="0" t="n">
        <v>13</v>
      </c>
      <c r="C3391" s="0" t="n">
        <v>7909</v>
      </c>
      <c r="E3391" s="0" t="n">
        <v>0</v>
      </c>
      <c r="F3391" s="23" t="s">
        <v>1521</v>
      </c>
      <c r="I3391" s="23" t="s">
        <v>1249</v>
      </c>
      <c r="U3391" s="0" t="n">
        <v>100</v>
      </c>
      <c r="V3391" s="0" t="n">
        <v>0</v>
      </c>
      <c r="W3391" s="0" t="str">
        <f aca="false">IF(OR(AND(B3391&gt;=1,B3391&lt;=6),B3391=10),"Vaca em lactação",IF(I3391="Male","Macho",IF(E3391&gt;=1,"Vaca seca",IF(I3391="Youngstock","Bezerra/recria","Novilha"))))</f>
        <v>Bezerra/recria</v>
      </c>
      <c r="X3391" s="0" t="str">
        <f aca="false">IF(AND(B3391&gt;=1,B3391&lt;=6),"Tanque",IF(B3391=10,"Descarte",""))</f>
        <v/>
      </c>
    </row>
    <row r="3392" customFormat="false" ht="15" hidden="false" customHeight="false" outlineLevel="0" collapsed="false">
      <c r="A3392" s="22" t="n">
        <v>46309</v>
      </c>
      <c r="B3392" s="0" t="n">
        <v>13</v>
      </c>
      <c r="C3392" s="0" t="n">
        <v>7906</v>
      </c>
      <c r="E3392" s="0" t="n">
        <v>0</v>
      </c>
      <c r="F3392" s="23" t="s">
        <v>1507</v>
      </c>
      <c r="I3392" s="23" t="s">
        <v>1249</v>
      </c>
      <c r="U3392" s="0" t="n">
        <v>101</v>
      </c>
      <c r="V3392" s="0" t="n">
        <v>0</v>
      </c>
      <c r="W3392" s="0" t="str">
        <f aca="false">IF(OR(AND(B3392&gt;=1,B3392&lt;=6),B3392=10),"Vaca em lactação",IF(I3392="Male","Macho",IF(E3392&gt;=1,"Vaca seca",IF(I3392="Youngstock","Bezerra/recria","Novilha"))))</f>
        <v>Bezerra/recria</v>
      </c>
      <c r="X3392" s="0" t="str">
        <f aca="false">IF(AND(B3392&gt;=1,B3392&lt;=6),"Tanque",IF(B3392=10,"Descarte",""))</f>
        <v/>
      </c>
    </row>
    <row r="3393" customFormat="false" ht="15" hidden="false" customHeight="false" outlineLevel="0" collapsed="false">
      <c r="A3393" s="22" t="n">
        <v>46309</v>
      </c>
      <c r="B3393" s="0" t="n">
        <v>13</v>
      </c>
      <c r="C3393" s="0" t="n">
        <v>7905</v>
      </c>
      <c r="E3393" s="0" t="n">
        <v>0</v>
      </c>
      <c r="F3393" s="23" t="s">
        <v>1507</v>
      </c>
      <c r="I3393" s="23" t="s">
        <v>1249</v>
      </c>
      <c r="U3393" s="0" t="n">
        <v>101</v>
      </c>
      <c r="V3393" s="0" t="n">
        <v>0</v>
      </c>
      <c r="W3393" s="0" t="str">
        <f aca="false">IF(OR(AND(B3393&gt;=1,B3393&lt;=6),B3393=10),"Vaca em lactação",IF(I3393="Male","Macho",IF(E3393&gt;=1,"Vaca seca",IF(I3393="Youngstock","Bezerra/recria","Novilha"))))</f>
        <v>Bezerra/recria</v>
      </c>
      <c r="X3393" s="0" t="str">
        <f aca="false">IF(AND(B3393&gt;=1,B3393&lt;=6),"Tanque",IF(B3393=10,"Descarte",""))</f>
        <v/>
      </c>
    </row>
    <row r="3394" customFormat="false" ht="15" hidden="false" customHeight="false" outlineLevel="0" collapsed="false">
      <c r="A3394" s="22" t="n">
        <v>46309</v>
      </c>
      <c r="B3394" s="0" t="n">
        <v>13</v>
      </c>
      <c r="C3394" s="0" t="n">
        <v>7904</v>
      </c>
      <c r="E3394" s="0" t="n">
        <v>0</v>
      </c>
      <c r="F3394" s="23" t="s">
        <v>1507</v>
      </c>
      <c r="I3394" s="23" t="s">
        <v>1249</v>
      </c>
      <c r="U3394" s="0" t="n">
        <v>101</v>
      </c>
      <c r="V3394" s="0" t="n">
        <v>0</v>
      </c>
      <c r="W3394" s="0" t="str">
        <f aca="false">IF(OR(AND(B3394&gt;=1,B3394&lt;=6),B3394=10),"Vaca em lactação",IF(I3394="Male","Macho",IF(E3394&gt;=1,"Vaca seca",IF(I3394="Youngstock","Bezerra/recria","Novilha"))))</f>
        <v>Bezerra/recria</v>
      </c>
      <c r="X3394" s="0" t="str">
        <f aca="false">IF(AND(B3394&gt;=1,B3394&lt;=6),"Tanque",IF(B3394=10,"Descarte",""))</f>
        <v/>
      </c>
    </row>
    <row r="3395" customFormat="false" ht="15" hidden="false" customHeight="false" outlineLevel="0" collapsed="false">
      <c r="A3395" s="22" t="n">
        <v>46309</v>
      </c>
      <c r="B3395" s="0" t="n">
        <v>13</v>
      </c>
      <c r="C3395" s="0" t="n">
        <v>7913</v>
      </c>
      <c r="E3395" s="0" t="n">
        <v>0</v>
      </c>
      <c r="F3395" s="23" t="s">
        <v>1521</v>
      </c>
      <c r="I3395" s="23" t="s">
        <v>1249</v>
      </c>
      <c r="U3395" s="0" t="n">
        <v>100</v>
      </c>
      <c r="V3395" s="0" t="n">
        <v>0</v>
      </c>
      <c r="W3395" s="0" t="str">
        <f aca="false">IF(OR(AND(B3395&gt;=1,B3395&lt;=6),B3395=10),"Vaca em lactação",IF(I3395="Male","Macho",IF(E3395&gt;=1,"Vaca seca",IF(I3395="Youngstock","Bezerra/recria","Novilha"))))</f>
        <v>Bezerra/recria</v>
      </c>
      <c r="X3395" s="0" t="str">
        <f aca="false">IF(AND(B3395&gt;=1,B3395&lt;=6),"Tanque",IF(B3395=10,"Descarte",""))</f>
        <v/>
      </c>
    </row>
    <row r="3396" customFormat="false" ht="15" hidden="false" customHeight="false" outlineLevel="0" collapsed="false">
      <c r="A3396" s="22" t="n">
        <v>46309</v>
      </c>
      <c r="B3396" s="0" t="n">
        <v>13</v>
      </c>
      <c r="C3396" s="0" t="n">
        <v>7912</v>
      </c>
      <c r="E3396" s="0" t="n">
        <v>0</v>
      </c>
      <c r="F3396" s="23" t="s">
        <v>1521</v>
      </c>
      <c r="I3396" s="23" t="s">
        <v>1249</v>
      </c>
      <c r="U3396" s="0" t="n">
        <v>100</v>
      </c>
      <c r="V3396" s="0" t="n">
        <v>0</v>
      </c>
      <c r="W3396" s="0" t="str">
        <f aca="false">IF(OR(AND(B3396&gt;=1,B3396&lt;=6),B3396=10),"Vaca em lactação",IF(I3396="Male","Macho",IF(E3396&gt;=1,"Vaca seca",IF(I3396="Youngstock","Bezerra/recria","Novilha"))))</f>
        <v>Bezerra/recria</v>
      </c>
      <c r="X3396" s="0" t="str">
        <f aca="false">IF(AND(B3396&gt;=1,B3396&lt;=6),"Tanque",IF(B3396=10,"Descarte",""))</f>
        <v/>
      </c>
    </row>
    <row r="3397" customFormat="false" ht="15" hidden="false" customHeight="false" outlineLevel="0" collapsed="false">
      <c r="A3397" s="22" t="n">
        <v>46309</v>
      </c>
      <c r="B3397" s="0" t="n">
        <v>13</v>
      </c>
      <c r="C3397" s="0" t="n">
        <v>7911</v>
      </c>
      <c r="E3397" s="0" t="n">
        <v>0</v>
      </c>
      <c r="F3397" s="23" t="s">
        <v>1521</v>
      </c>
      <c r="I3397" s="23" t="s">
        <v>1249</v>
      </c>
      <c r="U3397" s="0" t="n">
        <v>100</v>
      </c>
      <c r="V3397" s="0" t="n">
        <v>0</v>
      </c>
      <c r="W3397" s="0" t="str">
        <f aca="false">IF(OR(AND(B3397&gt;=1,B3397&lt;=6),B3397=10),"Vaca em lactação",IF(I3397="Male","Macho",IF(E3397&gt;=1,"Vaca seca",IF(I3397="Youngstock","Bezerra/recria","Novilha"))))</f>
        <v>Bezerra/recria</v>
      </c>
      <c r="X3397" s="0" t="str">
        <f aca="false">IF(AND(B3397&gt;=1,B3397&lt;=6),"Tanque",IF(B3397=10,"Descarte",""))</f>
        <v/>
      </c>
    </row>
    <row r="3398" customFormat="false" ht="15" hidden="false" customHeight="false" outlineLevel="0" collapsed="false">
      <c r="A3398" s="22" t="n">
        <v>46309</v>
      </c>
      <c r="B3398" s="0" t="n">
        <v>13</v>
      </c>
      <c r="C3398" s="0" t="n">
        <v>7917</v>
      </c>
      <c r="E3398" s="0" t="n">
        <v>0</v>
      </c>
      <c r="F3398" s="23" t="s">
        <v>1522</v>
      </c>
      <c r="I3398" s="23" t="s">
        <v>1249</v>
      </c>
      <c r="U3398" s="0" t="n">
        <v>99</v>
      </c>
      <c r="V3398" s="0" t="n">
        <v>0</v>
      </c>
      <c r="W3398" s="0" t="str">
        <f aca="false">IF(OR(AND(B3398&gt;=1,B3398&lt;=6),B3398=10),"Vaca em lactação",IF(I3398="Male","Macho",IF(E3398&gt;=1,"Vaca seca",IF(I3398="Youngstock","Bezerra/recria","Novilha"))))</f>
        <v>Bezerra/recria</v>
      </c>
      <c r="X3398" s="0" t="str">
        <f aca="false">IF(AND(B3398&gt;=1,B3398&lt;=6),"Tanque",IF(B3398=10,"Descarte",""))</f>
        <v/>
      </c>
    </row>
    <row r="3399" customFormat="false" ht="15" hidden="false" customHeight="false" outlineLevel="0" collapsed="false">
      <c r="A3399" s="22" t="n">
        <v>46309</v>
      </c>
      <c r="B3399" s="0" t="n">
        <v>13</v>
      </c>
      <c r="C3399" s="0" t="n">
        <v>7916</v>
      </c>
      <c r="E3399" s="0" t="n">
        <v>0</v>
      </c>
      <c r="F3399" s="23" t="s">
        <v>1522</v>
      </c>
      <c r="I3399" s="23" t="s">
        <v>1249</v>
      </c>
      <c r="U3399" s="0" t="n">
        <v>99</v>
      </c>
      <c r="V3399" s="0" t="n">
        <v>0</v>
      </c>
      <c r="W3399" s="0" t="str">
        <f aca="false">IF(OR(AND(B3399&gt;=1,B3399&lt;=6),B3399=10),"Vaca em lactação",IF(I3399="Male","Macho",IF(E3399&gt;=1,"Vaca seca",IF(I3399="Youngstock","Bezerra/recria","Novilha"))))</f>
        <v>Bezerra/recria</v>
      </c>
      <c r="X3399" s="0" t="str">
        <f aca="false">IF(AND(B3399&gt;=1,B3399&lt;=6),"Tanque",IF(B3399=10,"Descarte",""))</f>
        <v/>
      </c>
    </row>
    <row r="3400" customFormat="false" ht="15" hidden="false" customHeight="false" outlineLevel="0" collapsed="false">
      <c r="A3400" s="22" t="n">
        <v>46309</v>
      </c>
      <c r="B3400" s="0" t="n">
        <v>13</v>
      </c>
      <c r="C3400" s="0" t="n">
        <v>7915</v>
      </c>
      <c r="E3400" s="0" t="n">
        <v>0</v>
      </c>
      <c r="F3400" s="23" t="s">
        <v>1521</v>
      </c>
      <c r="I3400" s="23" t="s">
        <v>1249</v>
      </c>
      <c r="U3400" s="0" t="n">
        <v>100</v>
      </c>
      <c r="V3400" s="0" t="n">
        <v>0</v>
      </c>
      <c r="W3400" s="0" t="str">
        <f aca="false">IF(OR(AND(B3400&gt;=1,B3400&lt;=6),B3400=10),"Vaca em lactação",IF(I3400="Male","Macho",IF(E3400&gt;=1,"Vaca seca",IF(I3400="Youngstock","Bezerra/recria","Novilha"))))</f>
        <v>Bezerra/recria</v>
      </c>
      <c r="X3400" s="0" t="str">
        <f aca="false">IF(AND(B3400&gt;=1,B3400&lt;=6),"Tanque",IF(B3400=10,"Descarte",""))</f>
        <v/>
      </c>
    </row>
    <row r="3401" customFormat="false" ht="15" hidden="false" customHeight="false" outlineLevel="0" collapsed="false">
      <c r="A3401" s="22" t="n">
        <v>46309</v>
      </c>
      <c r="B3401" s="0" t="n">
        <v>13</v>
      </c>
      <c r="C3401" s="0" t="n">
        <v>7914</v>
      </c>
      <c r="E3401" s="0" t="n">
        <v>0</v>
      </c>
      <c r="F3401" s="23" t="s">
        <v>1521</v>
      </c>
      <c r="I3401" s="23" t="s">
        <v>1249</v>
      </c>
      <c r="U3401" s="0" t="n">
        <v>100</v>
      </c>
      <c r="V3401" s="0" t="n">
        <v>0</v>
      </c>
      <c r="W3401" s="0" t="str">
        <f aca="false">IF(OR(AND(B3401&gt;=1,B3401&lt;=6),B3401=10),"Vaca em lactação",IF(I3401="Male","Macho",IF(E3401&gt;=1,"Vaca seca",IF(I3401="Youngstock","Bezerra/recria","Novilha"))))</f>
        <v>Bezerra/recria</v>
      </c>
      <c r="X3401" s="0" t="str">
        <f aca="false">IF(AND(B3401&gt;=1,B3401&lt;=6),"Tanque",IF(B3401=10,"Descarte",""))</f>
        <v/>
      </c>
    </row>
    <row r="3402" customFormat="false" ht="15" hidden="false" customHeight="false" outlineLevel="0" collapsed="false">
      <c r="A3402" s="22" t="n">
        <v>46309</v>
      </c>
      <c r="B3402" s="0" t="n">
        <v>13</v>
      </c>
      <c r="C3402" s="0" t="n">
        <v>7921</v>
      </c>
      <c r="E3402" s="0" t="n">
        <v>0</v>
      </c>
      <c r="F3402" s="23" t="s">
        <v>1523</v>
      </c>
      <c r="I3402" s="23" t="s">
        <v>1249</v>
      </c>
      <c r="U3402" s="0" t="n">
        <v>98</v>
      </c>
      <c r="V3402" s="0" t="n">
        <v>0</v>
      </c>
      <c r="W3402" s="0" t="str">
        <f aca="false">IF(OR(AND(B3402&gt;=1,B3402&lt;=6),B3402=10),"Vaca em lactação",IF(I3402="Male","Macho",IF(E3402&gt;=1,"Vaca seca",IF(I3402="Youngstock","Bezerra/recria","Novilha"))))</f>
        <v>Bezerra/recria</v>
      </c>
      <c r="X3402" s="0" t="str">
        <f aca="false">IF(AND(B3402&gt;=1,B3402&lt;=6),"Tanque",IF(B3402=10,"Descarte",""))</f>
        <v/>
      </c>
    </row>
    <row r="3403" customFormat="false" ht="15" hidden="false" customHeight="false" outlineLevel="0" collapsed="false">
      <c r="A3403" s="22" t="n">
        <v>46309</v>
      </c>
      <c r="B3403" s="0" t="n">
        <v>13</v>
      </c>
      <c r="C3403" s="0" t="n">
        <v>7920</v>
      </c>
      <c r="E3403" s="0" t="n">
        <v>0</v>
      </c>
      <c r="F3403" s="23" t="s">
        <v>1522</v>
      </c>
      <c r="I3403" s="23" t="s">
        <v>1249</v>
      </c>
      <c r="U3403" s="0" t="n">
        <v>99</v>
      </c>
      <c r="V3403" s="0" t="n">
        <v>0</v>
      </c>
      <c r="W3403" s="0" t="str">
        <f aca="false">IF(OR(AND(B3403&gt;=1,B3403&lt;=6),B3403=10),"Vaca em lactação",IF(I3403="Male","Macho",IF(E3403&gt;=1,"Vaca seca",IF(I3403="Youngstock","Bezerra/recria","Novilha"))))</f>
        <v>Bezerra/recria</v>
      </c>
      <c r="X3403" s="0" t="str">
        <f aca="false">IF(AND(B3403&gt;=1,B3403&lt;=6),"Tanque",IF(B3403=10,"Descarte",""))</f>
        <v/>
      </c>
    </row>
    <row r="3404" customFormat="false" ht="15" hidden="false" customHeight="false" outlineLevel="0" collapsed="false">
      <c r="A3404" s="22" t="n">
        <v>46309</v>
      </c>
      <c r="B3404" s="0" t="n">
        <v>13</v>
      </c>
      <c r="C3404" s="0" t="n">
        <v>7919</v>
      </c>
      <c r="E3404" s="0" t="n">
        <v>0</v>
      </c>
      <c r="F3404" s="23" t="s">
        <v>1522</v>
      </c>
      <c r="I3404" s="23" t="s">
        <v>1249</v>
      </c>
      <c r="U3404" s="0" t="n">
        <v>99</v>
      </c>
      <c r="V3404" s="0" t="n">
        <v>0</v>
      </c>
      <c r="W3404" s="0" t="str">
        <f aca="false">IF(OR(AND(B3404&gt;=1,B3404&lt;=6),B3404=10),"Vaca em lactação",IF(I3404="Male","Macho",IF(E3404&gt;=1,"Vaca seca",IF(I3404="Youngstock","Bezerra/recria","Novilha"))))</f>
        <v>Bezerra/recria</v>
      </c>
      <c r="X3404" s="0" t="str">
        <f aca="false">IF(AND(B3404&gt;=1,B3404&lt;=6),"Tanque",IF(B3404=10,"Descarte",""))</f>
        <v/>
      </c>
    </row>
    <row r="3405" customFormat="false" ht="15" hidden="false" customHeight="false" outlineLevel="0" collapsed="false">
      <c r="A3405" s="22" t="n">
        <v>46309</v>
      </c>
      <c r="B3405" s="0" t="n">
        <v>13</v>
      </c>
      <c r="C3405" s="0" t="n">
        <v>7918</v>
      </c>
      <c r="E3405" s="0" t="n">
        <v>0</v>
      </c>
      <c r="F3405" s="23" t="s">
        <v>1522</v>
      </c>
      <c r="I3405" s="23" t="s">
        <v>1249</v>
      </c>
      <c r="U3405" s="0" t="n">
        <v>99</v>
      </c>
      <c r="V3405" s="0" t="n">
        <v>0</v>
      </c>
      <c r="W3405" s="0" t="str">
        <f aca="false">IF(OR(AND(B3405&gt;=1,B3405&lt;=6),B3405=10),"Vaca em lactação",IF(I3405="Male","Macho",IF(E3405&gt;=1,"Vaca seca",IF(I3405="Youngstock","Bezerra/recria","Novilha"))))</f>
        <v>Bezerra/recria</v>
      </c>
      <c r="X3405" s="0" t="str">
        <f aca="false">IF(AND(B3405&gt;=1,B3405&lt;=6),"Tanque",IF(B3405=10,"Descarte",""))</f>
        <v/>
      </c>
    </row>
    <row r="3406" customFormat="false" ht="15" hidden="false" customHeight="false" outlineLevel="0" collapsed="false">
      <c r="A3406" s="22" t="n">
        <v>46309</v>
      </c>
      <c r="B3406" s="0" t="n">
        <v>13</v>
      </c>
      <c r="C3406" s="0" t="n">
        <v>7927</v>
      </c>
      <c r="E3406" s="0" t="n">
        <v>0</v>
      </c>
      <c r="F3406" s="23" t="s">
        <v>1524</v>
      </c>
      <c r="I3406" s="23" t="s">
        <v>1249</v>
      </c>
      <c r="U3406" s="0" t="n">
        <v>97</v>
      </c>
      <c r="V3406" s="0" t="n">
        <v>0</v>
      </c>
      <c r="W3406" s="0" t="str">
        <f aca="false">IF(OR(AND(B3406&gt;=1,B3406&lt;=6),B3406=10),"Vaca em lactação",IF(I3406="Male","Macho",IF(E3406&gt;=1,"Vaca seca",IF(I3406="Youngstock","Bezerra/recria","Novilha"))))</f>
        <v>Bezerra/recria</v>
      </c>
      <c r="X3406" s="0" t="str">
        <f aca="false">IF(AND(B3406&gt;=1,B3406&lt;=6),"Tanque",IF(B3406=10,"Descarte",""))</f>
        <v/>
      </c>
    </row>
    <row r="3407" customFormat="false" ht="15" hidden="false" customHeight="false" outlineLevel="0" collapsed="false">
      <c r="A3407" s="22" t="n">
        <v>46309</v>
      </c>
      <c r="B3407" s="0" t="n">
        <v>13</v>
      </c>
      <c r="C3407" s="0" t="n">
        <v>7926</v>
      </c>
      <c r="E3407" s="0" t="n">
        <v>0</v>
      </c>
      <c r="F3407" s="23" t="s">
        <v>1524</v>
      </c>
      <c r="I3407" s="23" t="s">
        <v>1249</v>
      </c>
      <c r="U3407" s="0" t="n">
        <v>97</v>
      </c>
      <c r="V3407" s="0" t="n">
        <v>0</v>
      </c>
      <c r="W3407" s="0" t="str">
        <f aca="false">IF(OR(AND(B3407&gt;=1,B3407&lt;=6),B3407=10),"Vaca em lactação",IF(I3407="Male","Macho",IF(E3407&gt;=1,"Vaca seca",IF(I3407="Youngstock","Bezerra/recria","Novilha"))))</f>
        <v>Bezerra/recria</v>
      </c>
      <c r="X3407" s="0" t="str">
        <f aca="false">IF(AND(B3407&gt;=1,B3407&lt;=6),"Tanque",IF(B3407=10,"Descarte",""))</f>
        <v/>
      </c>
    </row>
    <row r="3408" customFormat="false" ht="15" hidden="false" customHeight="false" outlineLevel="0" collapsed="false">
      <c r="A3408" s="22" t="n">
        <v>46309</v>
      </c>
      <c r="B3408" s="0" t="n">
        <v>13</v>
      </c>
      <c r="C3408" s="0" t="n">
        <v>7925</v>
      </c>
      <c r="E3408" s="0" t="n">
        <v>0</v>
      </c>
      <c r="F3408" s="23" t="s">
        <v>1524</v>
      </c>
      <c r="I3408" s="23" t="s">
        <v>1249</v>
      </c>
      <c r="U3408" s="0" t="n">
        <v>97</v>
      </c>
      <c r="V3408" s="0" t="n">
        <v>0</v>
      </c>
      <c r="W3408" s="0" t="str">
        <f aca="false">IF(OR(AND(B3408&gt;=1,B3408&lt;=6),B3408=10),"Vaca em lactação",IF(I3408="Male","Macho",IF(E3408&gt;=1,"Vaca seca",IF(I3408="Youngstock","Bezerra/recria","Novilha"))))</f>
        <v>Bezerra/recria</v>
      </c>
      <c r="X3408" s="0" t="str">
        <f aca="false">IF(AND(B3408&gt;=1,B3408&lt;=6),"Tanque",IF(B3408=10,"Descarte",""))</f>
        <v/>
      </c>
    </row>
    <row r="3409" customFormat="false" ht="15" hidden="false" customHeight="false" outlineLevel="0" collapsed="false">
      <c r="A3409" s="22" t="n">
        <v>46309</v>
      </c>
      <c r="B3409" s="0" t="n">
        <v>13</v>
      </c>
      <c r="C3409" s="0" t="n">
        <v>7924</v>
      </c>
      <c r="E3409" s="0" t="n">
        <v>0</v>
      </c>
      <c r="F3409" s="23" t="s">
        <v>1524</v>
      </c>
      <c r="I3409" s="23" t="s">
        <v>1249</v>
      </c>
      <c r="U3409" s="0" t="n">
        <v>97</v>
      </c>
      <c r="V3409" s="0" t="n">
        <v>0</v>
      </c>
      <c r="W3409" s="0" t="str">
        <f aca="false">IF(OR(AND(B3409&gt;=1,B3409&lt;=6),B3409=10),"Vaca em lactação",IF(I3409="Male","Macho",IF(E3409&gt;=1,"Vaca seca",IF(I3409="Youngstock","Bezerra/recria","Novilha"))))</f>
        <v>Bezerra/recria</v>
      </c>
      <c r="X3409" s="0" t="str">
        <f aca="false">IF(AND(B3409&gt;=1,B3409&lt;=6),"Tanque",IF(B3409=10,"Descarte",""))</f>
        <v/>
      </c>
    </row>
    <row r="3410" customFormat="false" ht="15" hidden="false" customHeight="false" outlineLevel="0" collapsed="false">
      <c r="A3410" s="22" t="n">
        <v>46309</v>
      </c>
      <c r="B3410" s="0" t="n">
        <v>13</v>
      </c>
      <c r="C3410" s="0" t="n">
        <v>7922</v>
      </c>
      <c r="E3410" s="0" t="n">
        <v>0</v>
      </c>
      <c r="F3410" s="23" t="s">
        <v>1524</v>
      </c>
      <c r="I3410" s="23" t="s">
        <v>1249</v>
      </c>
      <c r="U3410" s="0" t="n">
        <v>97</v>
      </c>
      <c r="V3410" s="0" t="n">
        <v>0</v>
      </c>
      <c r="W3410" s="0" t="str">
        <f aca="false">IF(OR(AND(B3410&gt;=1,B3410&lt;=6),B3410=10),"Vaca em lactação",IF(I3410="Male","Macho",IF(E3410&gt;=1,"Vaca seca",IF(I3410="Youngstock","Bezerra/recria","Novilha"))))</f>
        <v>Bezerra/recria</v>
      </c>
      <c r="X3410" s="0" t="str">
        <f aca="false">IF(AND(B3410&gt;=1,B3410&lt;=6),"Tanque",IF(B3410=10,"Descarte",""))</f>
        <v/>
      </c>
    </row>
    <row r="3411" customFormat="false" ht="15" hidden="false" customHeight="false" outlineLevel="0" collapsed="false">
      <c r="A3411" s="22" t="n">
        <v>46309</v>
      </c>
      <c r="B3411" s="0" t="n">
        <v>13</v>
      </c>
      <c r="C3411" s="0" t="n">
        <v>7923</v>
      </c>
      <c r="E3411" s="0" t="n">
        <v>0</v>
      </c>
      <c r="F3411" s="23" t="s">
        <v>1524</v>
      </c>
      <c r="I3411" s="23" t="s">
        <v>1249</v>
      </c>
      <c r="U3411" s="0" t="n">
        <v>97</v>
      </c>
      <c r="V3411" s="0" t="n">
        <v>0</v>
      </c>
      <c r="W3411" s="0" t="str">
        <f aca="false">IF(OR(AND(B3411&gt;=1,B3411&lt;=6),B3411=10),"Vaca em lactação",IF(I3411="Male","Macho",IF(E3411&gt;=1,"Vaca seca",IF(I3411="Youngstock","Bezerra/recria","Novilha"))))</f>
        <v>Bezerra/recria</v>
      </c>
      <c r="X3411" s="0" t="str">
        <f aca="false">IF(AND(B3411&gt;=1,B3411&lt;=6),"Tanque",IF(B3411=10,"Descarte",""))</f>
        <v/>
      </c>
    </row>
    <row r="3412" customFormat="false" ht="15" hidden="false" customHeight="false" outlineLevel="0" collapsed="false">
      <c r="A3412" s="22" t="n">
        <v>46309</v>
      </c>
      <c r="B3412" s="0" t="n">
        <v>14</v>
      </c>
      <c r="C3412" s="0" t="n">
        <v>3728</v>
      </c>
      <c r="D3412" s="0" t="n">
        <v>326</v>
      </c>
      <c r="E3412" s="0" t="n">
        <v>3</v>
      </c>
      <c r="F3412" s="23" t="s">
        <v>1525</v>
      </c>
      <c r="I3412" s="23" t="s">
        <v>357</v>
      </c>
      <c r="J3412" s="0" t="n">
        <v>103</v>
      </c>
      <c r="K3412" s="0" t="n">
        <v>69</v>
      </c>
      <c r="L3412" s="0" t="n">
        <v>266</v>
      </c>
      <c r="M3412" s="0" t="n">
        <v>560.54</v>
      </c>
      <c r="N3412" s="0" t="n">
        <v>46.39</v>
      </c>
      <c r="O3412" s="0" t="n">
        <v>31.19</v>
      </c>
      <c r="P3412" s="0" t="n">
        <v>4.34</v>
      </c>
      <c r="Q3412" s="0" t="n">
        <v>3.66</v>
      </c>
      <c r="R3412" s="0" t="n">
        <v>4808</v>
      </c>
      <c r="S3412" s="0" t="n">
        <v>10092</v>
      </c>
      <c r="T3412" s="0" t="n">
        <v>51.85</v>
      </c>
      <c r="U3412" s="0" t="n">
        <v>1794</v>
      </c>
      <c r="V3412" s="0" t="n">
        <v>2</v>
      </c>
      <c r="W3412" s="0" t="str">
        <f aca="false">IF(OR(AND(B3412&gt;=1,B3412&lt;=6),B3412=10),"Vaca em lactação",IF(I3412="Male","Macho",IF(E3412&gt;=1,"Vaca seca",IF(I3412="Youngstock","Bezerra/recria","Novilha"))))</f>
        <v>Vaca seca</v>
      </c>
      <c r="X3412" s="0" t="str">
        <f aca="false">IF(AND(B3412&gt;=1,B3412&lt;=6),"Tanque",IF(B3412=10,"Descarte",""))</f>
        <v/>
      </c>
    </row>
    <row r="3413" customFormat="false" ht="15" hidden="false" customHeight="false" outlineLevel="0" collapsed="false">
      <c r="A3413" s="22" t="n">
        <v>46309</v>
      </c>
      <c r="B3413" s="0" t="n">
        <v>14</v>
      </c>
      <c r="C3413" s="0" t="n">
        <v>4083</v>
      </c>
      <c r="D3413" s="0" t="n">
        <v>387</v>
      </c>
      <c r="E3413" s="0" t="n">
        <v>2</v>
      </c>
      <c r="F3413" s="23" t="s">
        <v>247</v>
      </c>
      <c r="I3413" s="23" t="s">
        <v>357</v>
      </c>
      <c r="J3413" s="0" t="n">
        <v>164</v>
      </c>
      <c r="K3413" s="0" t="n">
        <v>59</v>
      </c>
      <c r="L3413" s="0" t="n">
        <v>259</v>
      </c>
      <c r="M3413" s="0" t="n">
        <v>1046.21</v>
      </c>
      <c r="N3413" s="0" t="n">
        <v>44.08</v>
      </c>
      <c r="O3413" s="0" t="n">
        <v>41.55</v>
      </c>
      <c r="P3413" s="0" t="n">
        <v>3.22</v>
      </c>
      <c r="Q3413" s="0" t="n">
        <v>3.48</v>
      </c>
      <c r="R3413" s="0" t="n">
        <v>6190</v>
      </c>
      <c r="S3413" s="0" t="n">
        <v>12116</v>
      </c>
      <c r="T3413" s="0" t="n">
        <v>68.5</v>
      </c>
      <c r="U3413" s="0" t="n">
        <v>1557</v>
      </c>
      <c r="V3413" s="0" t="n">
        <v>4</v>
      </c>
      <c r="W3413" s="0" t="str">
        <f aca="false">IF(OR(AND(B3413&gt;=1,B3413&lt;=6),B3413=10),"Vaca em lactação",IF(I3413="Male","Macho",IF(E3413&gt;=1,"Vaca seca",IF(I3413="Youngstock","Bezerra/recria","Novilha"))))</f>
        <v>Vaca seca</v>
      </c>
      <c r="X3413" s="0" t="str">
        <f aca="false">IF(AND(B3413&gt;=1,B3413&lt;=6),"Tanque",IF(B3413=10,"Descarte",""))</f>
        <v/>
      </c>
    </row>
    <row r="3414" customFormat="false" ht="15" hidden="false" customHeight="false" outlineLevel="0" collapsed="false">
      <c r="A3414" s="22" t="n">
        <v>46309</v>
      </c>
      <c r="B3414" s="0" t="n">
        <v>14</v>
      </c>
      <c r="C3414" s="0" t="n">
        <v>3860</v>
      </c>
      <c r="D3414" s="0" t="n">
        <v>463</v>
      </c>
      <c r="E3414" s="0" t="n">
        <v>2</v>
      </c>
      <c r="F3414" s="23" t="s">
        <v>1526</v>
      </c>
      <c r="I3414" s="23" t="s">
        <v>357</v>
      </c>
      <c r="J3414" s="0" t="n">
        <v>240</v>
      </c>
      <c r="K3414" s="0" t="n">
        <v>58</v>
      </c>
      <c r="L3414" s="0" t="n">
        <v>259</v>
      </c>
      <c r="M3414" s="0" t="n">
        <v>1274</v>
      </c>
      <c r="N3414" s="0" t="n">
        <v>59.7</v>
      </c>
      <c r="O3414" s="0" t="n">
        <v>45.46</v>
      </c>
      <c r="P3414" s="0" t="n">
        <v>5.9</v>
      </c>
      <c r="Q3414" s="0" t="n">
        <v>4.21</v>
      </c>
      <c r="R3414" s="0" t="n">
        <v>6526</v>
      </c>
      <c r="S3414" s="0" t="n">
        <v>13132</v>
      </c>
      <c r="T3414" s="0" t="n">
        <v>67.65</v>
      </c>
      <c r="U3414" s="0" t="n">
        <v>1688</v>
      </c>
      <c r="V3414" s="0" t="n">
        <v>6</v>
      </c>
      <c r="W3414" s="0" t="str">
        <f aca="false">IF(OR(AND(B3414&gt;=1,B3414&lt;=6),B3414=10),"Vaca em lactação",IF(I3414="Male","Macho",IF(E3414&gt;=1,"Vaca seca",IF(I3414="Youngstock","Bezerra/recria","Novilha"))))</f>
        <v>Vaca seca</v>
      </c>
      <c r="X3414" s="0" t="str">
        <f aca="false">IF(AND(B3414&gt;=1,B3414&lt;=6),"Tanque",IF(B3414=10,"Descarte",""))</f>
        <v/>
      </c>
    </row>
    <row r="3415" customFormat="false" ht="15" hidden="false" customHeight="false" outlineLevel="0" collapsed="false">
      <c r="A3415" s="22" t="n">
        <v>46309</v>
      </c>
      <c r="B3415" s="0" t="n">
        <v>14</v>
      </c>
      <c r="C3415" s="0" t="n">
        <v>2987</v>
      </c>
      <c r="D3415" s="0" t="n">
        <v>497</v>
      </c>
      <c r="E3415" s="0" t="n">
        <v>3</v>
      </c>
      <c r="F3415" s="23" t="s">
        <v>1527</v>
      </c>
      <c r="I3415" s="23" t="s">
        <v>357</v>
      </c>
      <c r="J3415" s="0" t="n">
        <v>274</v>
      </c>
      <c r="K3415" s="0" t="n">
        <v>64</v>
      </c>
      <c r="L3415" s="0" t="n">
        <v>273</v>
      </c>
      <c r="M3415" s="0" t="n">
        <v>915.78</v>
      </c>
      <c r="N3415" s="0" t="n">
        <v>39.09</v>
      </c>
      <c r="O3415" s="0" t="n">
        <v>16.79</v>
      </c>
      <c r="P3415" s="0" t="n">
        <v>4.89</v>
      </c>
      <c r="Q3415" s="0" t="n">
        <v>3.95</v>
      </c>
      <c r="R3415" s="0" t="n">
        <v>5343</v>
      </c>
      <c r="S3415" s="0" t="n">
        <v>10708</v>
      </c>
      <c r="T3415" s="0" t="n">
        <v>63.1</v>
      </c>
      <c r="U3415" s="0" t="n">
        <v>2278</v>
      </c>
      <c r="V3415" s="0" t="n">
        <v>5</v>
      </c>
      <c r="W3415" s="0" t="str">
        <f aca="false">IF(OR(AND(B3415&gt;=1,B3415&lt;=6),B3415=10),"Vaca em lactação",IF(I3415="Male","Macho",IF(E3415&gt;=1,"Vaca seca",IF(I3415="Youngstock","Bezerra/recria","Novilha"))))</f>
        <v>Vaca seca</v>
      </c>
      <c r="X3415" s="0" t="str">
        <f aca="false">IF(AND(B3415&gt;=1,B3415&lt;=6),"Tanque",IF(B3415=10,"Descarte",""))</f>
        <v/>
      </c>
    </row>
    <row r="3416" customFormat="false" ht="15" hidden="false" customHeight="false" outlineLevel="0" collapsed="false">
      <c r="A3416" s="22" t="n">
        <v>46309</v>
      </c>
      <c r="B3416" s="0" t="n">
        <v>14</v>
      </c>
      <c r="C3416" s="0" t="n">
        <v>3009</v>
      </c>
      <c r="D3416" s="0" t="n">
        <v>342</v>
      </c>
      <c r="E3416" s="0" t="n">
        <v>4</v>
      </c>
      <c r="F3416" s="23" t="s">
        <v>1528</v>
      </c>
      <c r="I3416" s="23" t="s">
        <v>357</v>
      </c>
      <c r="J3416" s="0" t="n">
        <v>119</v>
      </c>
      <c r="K3416" s="0" t="n">
        <v>63</v>
      </c>
      <c r="L3416" s="0" t="n">
        <v>266</v>
      </c>
      <c r="M3416" s="0" t="n">
        <v>371.76</v>
      </c>
      <c r="N3416" s="0" t="n">
        <v>11.3</v>
      </c>
      <c r="O3416" s="0" t="n">
        <v>20.13</v>
      </c>
      <c r="P3416" s="0" t="n">
        <v>4.88</v>
      </c>
      <c r="Q3416" s="0" t="n">
        <v>3.89</v>
      </c>
      <c r="R3416" s="0" t="n">
        <v>5552</v>
      </c>
      <c r="S3416" s="0" t="n">
        <v>10622</v>
      </c>
      <c r="T3416" s="0" t="n">
        <v>58.75</v>
      </c>
      <c r="U3416" s="0" t="n">
        <v>2259</v>
      </c>
      <c r="V3416" s="0" t="n">
        <v>3</v>
      </c>
      <c r="W3416" s="0" t="str">
        <f aca="false">IF(OR(AND(B3416&gt;=1,B3416&lt;=6),B3416=10),"Vaca em lactação",IF(I3416="Male","Macho",IF(E3416&gt;=1,"Vaca seca",IF(I3416="Youngstock","Bezerra/recria","Novilha"))))</f>
        <v>Vaca seca</v>
      </c>
      <c r="X3416" s="0" t="str">
        <f aca="false">IF(AND(B3416&gt;=1,B3416&lt;=6),"Tanque",IF(B3416=10,"Descarte",""))</f>
        <v/>
      </c>
    </row>
    <row r="3417" customFormat="false" ht="15" hidden="false" customHeight="false" outlineLevel="0" collapsed="false">
      <c r="A3417" s="22" t="n">
        <v>46309</v>
      </c>
      <c r="B3417" s="0" t="n">
        <v>14</v>
      </c>
      <c r="C3417" s="0" t="n">
        <v>2944</v>
      </c>
      <c r="D3417" s="0" t="n">
        <v>208</v>
      </c>
      <c r="E3417" s="0" t="n">
        <v>4</v>
      </c>
      <c r="F3417" s="23" t="s">
        <v>1529</v>
      </c>
      <c r="I3417" s="23" t="s">
        <v>357</v>
      </c>
      <c r="J3417" s="0" t="n">
        <v>104</v>
      </c>
      <c r="K3417" s="0" t="n">
        <v>70</v>
      </c>
      <c r="L3417" s="0" t="n">
        <v>259</v>
      </c>
      <c r="M3417" s="0" t="n">
        <v>972.29</v>
      </c>
      <c r="N3417" s="0" t="n">
        <v>10.82</v>
      </c>
      <c r="O3417" s="0" t="n">
        <v>13.93</v>
      </c>
      <c r="P3417" s="0" t="n">
        <v>3.8</v>
      </c>
      <c r="Q3417" s="0" t="n">
        <v>3.15</v>
      </c>
      <c r="R3417" s="0" t="n">
        <v>5482</v>
      </c>
      <c r="S3417" s="0" t="n">
        <v>9071</v>
      </c>
      <c r="T3417" s="0" t="n">
        <v>61.3</v>
      </c>
      <c r="U3417" s="0" t="n">
        <v>2324</v>
      </c>
      <c r="V3417" s="0" t="n">
        <v>2</v>
      </c>
      <c r="W3417" s="0" t="str">
        <f aca="false">IF(OR(AND(B3417&gt;=1,B3417&lt;=6),B3417=10),"Vaca em lactação",IF(I3417="Male","Macho",IF(E3417&gt;=1,"Vaca seca",IF(I3417="Youngstock","Bezerra/recria","Novilha"))))</f>
        <v>Vaca seca</v>
      </c>
      <c r="X3417" s="0" t="str">
        <f aca="false">IF(AND(B3417&gt;=1,B3417&lt;=6),"Tanque",IF(B3417=10,"Descarte",""))</f>
        <v/>
      </c>
    </row>
    <row r="3418" customFormat="false" ht="15" hidden="false" customHeight="false" outlineLevel="0" collapsed="false">
      <c r="A3418" s="22" t="n">
        <v>46309</v>
      </c>
      <c r="B3418" s="0" t="n">
        <v>14</v>
      </c>
      <c r="C3418" s="0" t="n">
        <v>2964</v>
      </c>
      <c r="D3418" s="0" t="n">
        <v>282</v>
      </c>
      <c r="E3418" s="0" t="n">
        <v>4</v>
      </c>
      <c r="F3418" s="23" t="s">
        <v>1530</v>
      </c>
      <c r="I3418" s="23" t="s">
        <v>357</v>
      </c>
      <c r="J3418" s="0" t="n">
        <v>66</v>
      </c>
      <c r="K3418" s="0" t="n">
        <v>66</v>
      </c>
      <c r="L3418" s="0" t="n">
        <v>273</v>
      </c>
      <c r="M3418" s="0" t="n">
        <v>403.89</v>
      </c>
      <c r="N3418" s="0" t="n">
        <v>10.03</v>
      </c>
      <c r="O3418" s="0" t="n">
        <v>25.25</v>
      </c>
      <c r="P3418" s="0" t="n">
        <v>4.77</v>
      </c>
      <c r="Q3418" s="0" t="n">
        <v>3.58</v>
      </c>
      <c r="R3418" s="0" t="n">
        <v>5236</v>
      </c>
      <c r="S3418" s="0" t="n">
        <v>8405</v>
      </c>
      <c r="T3418" s="0" t="n">
        <v>54.4</v>
      </c>
      <c r="U3418" s="0" t="n">
        <v>2307</v>
      </c>
      <c r="V3418" s="0" t="n">
        <v>1</v>
      </c>
      <c r="W3418" s="0" t="str">
        <f aca="false">IF(OR(AND(B3418&gt;=1,B3418&lt;=6),B3418=10),"Vaca em lactação",IF(I3418="Male","Macho",IF(E3418&gt;=1,"Vaca seca",IF(I3418="Youngstock","Bezerra/recria","Novilha"))))</f>
        <v>Vaca seca</v>
      </c>
      <c r="X3418" s="0" t="str">
        <f aca="false">IF(AND(B3418&gt;=1,B3418&lt;=6),"Tanque",IF(B3418=10,"Descarte",""))</f>
        <v/>
      </c>
    </row>
    <row r="3419" customFormat="false" ht="15" hidden="false" customHeight="false" outlineLevel="0" collapsed="false">
      <c r="A3419" s="22" t="n">
        <v>46309</v>
      </c>
      <c r="B3419" s="0" t="n">
        <v>14</v>
      </c>
      <c r="C3419" s="0" t="n">
        <v>3376</v>
      </c>
      <c r="D3419" s="0" t="n">
        <v>363</v>
      </c>
      <c r="E3419" s="0" t="n">
        <v>4</v>
      </c>
      <c r="F3419" s="23" t="s">
        <v>1531</v>
      </c>
      <c r="I3419" s="23" t="s">
        <v>357</v>
      </c>
      <c r="J3419" s="0" t="n">
        <v>140</v>
      </c>
      <c r="K3419" s="0" t="n">
        <v>63</v>
      </c>
      <c r="L3419" s="0" t="n">
        <v>259</v>
      </c>
      <c r="M3419" s="0" t="n">
        <v>1158.26</v>
      </c>
      <c r="N3419" s="0" t="n">
        <v>9.2</v>
      </c>
      <c r="O3419" s="0" t="n">
        <v>23.68</v>
      </c>
      <c r="P3419" s="0" t="n">
        <v>3.06</v>
      </c>
      <c r="Q3419" s="0" t="n">
        <v>3.27</v>
      </c>
      <c r="R3419" s="0" t="n">
        <v>6626</v>
      </c>
      <c r="S3419" s="0" t="n">
        <v>13187</v>
      </c>
      <c r="T3419" s="0" t="n">
        <v>71.05</v>
      </c>
      <c r="U3419" s="0" t="n">
        <v>2023</v>
      </c>
      <c r="V3419" s="0" t="n">
        <v>3</v>
      </c>
      <c r="W3419" s="0" t="str">
        <f aca="false">IF(OR(AND(B3419&gt;=1,B3419&lt;=6),B3419=10),"Vaca em lactação",IF(I3419="Male","Macho",IF(E3419&gt;=1,"Vaca seca",IF(I3419="Youngstock","Bezerra/recria","Novilha"))))</f>
        <v>Vaca seca</v>
      </c>
      <c r="X3419" s="0" t="str">
        <f aca="false">IF(AND(B3419&gt;=1,B3419&lt;=6),"Tanque",IF(B3419=10,"Descarte",""))</f>
        <v/>
      </c>
    </row>
    <row r="3420" customFormat="false" ht="15" hidden="false" customHeight="false" outlineLevel="0" collapsed="false">
      <c r="A3420" s="22" t="n">
        <v>46309</v>
      </c>
      <c r="B3420" s="0" t="n">
        <v>14</v>
      </c>
      <c r="C3420" s="0" t="n">
        <v>3386</v>
      </c>
      <c r="D3420" s="0" t="n">
        <v>488</v>
      </c>
      <c r="E3420" s="0" t="n">
        <v>3</v>
      </c>
      <c r="F3420" s="23" t="s">
        <v>1532</v>
      </c>
      <c r="I3420" s="23" t="s">
        <v>357</v>
      </c>
      <c r="J3420" s="0" t="n">
        <v>279</v>
      </c>
      <c r="K3420" s="0" t="n">
        <v>62</v>
      </c>
      <c r="L3420" s="0" t="n">
        <v>259</v>
      </c>
      <c r="M3420" s="0" t="n">
        <v>465.99</v>
      </c>
      <c r="N3420" s="0" t="n">
        <v>25.38</v>
      </c>
      <c r="O3420" s="0" t="n">
        <v>23.23</v>
      </c>
      <c r="P3420" s="0" t="n">
        <v>4.09</v>
      </c>
      <c r="Q3420" s="0" t="n">
        <v>4.05</v>
      </c>
      <c r="R3420" s="0" t="n">
        <v>6074</v>
      </c>
      <c r="S3420" s="0" t="n">
        <v>11143</v>
      </c>
      <c r="T3420" s="0" t="n">
        <v>62.45</v>
      </c>
      <c r="U3420" s="0" t="n">
        <v>2019</v>
      </c>
      <c r="V3420" s="0" t="n">
        <v>8</v>
      </c>
      <c r="W3420" s="0" t="str">
        <f aca="false">IF(OR(AND(B3420&gt;=1,B3420&lt;=6),B3420=10),"Vaca em lactação",IF(I3420="Male","Macho",IF(E3420&gt;=1,"Vaca seca",IF(I3420="Youngstock","Bezerra/recria","Novilha"))))</f>
        <v>Vaca seca</v>
      </c>
      <c r="X3420" s="0" t="str">
        <f aca="false">IF(AND(B3420&gt;=1,B3420&lt;=6),"Tanque",IF(B3420=10,"Descarte",""))</f>
        <v/>
      </c>
    </row>
    <row r="3421" customFormat="false" ht="15" hidden="false" customHeight="false" outlineLevel="0" collapsed="false">
      <c r="A3421" s="22" t="n">
        <v>46309</v>
      </c>
      <c r="B3421" s="0" t="n">
        <v>14</v>
      </c>
      <c r="C3421" s="0" t="n">
        <v>3338</v>
      </c>
      <c r="D3421" s="0" t="n">
        <v>677</v>
      </c>
      <c r="E3421" s="0" t="n">
        <v>3</v>
      </c>
      <c r="F3421" s="23" t="s">
        <v>452</v>
      </c>
      <c r="I3421" s="23" t="s">
        <v>357</v>
      </c>
      <c r="J3421" s="0" t="n">
        <v>573</v>
      </c>
      <c r="K3421" s="0" t="n">
        <v>70</v>
      </c>
      <c r="L3421" s="0" t="n">
        <v>259</v>
      </c>
      <c r="M3421" s="0" t="n">
        <v>798.32</v>
      </c>
      <c r="N3421" s="0" t="n">
        <v>22.03</v>
      </c>
      <c r="O3421" s="0" t="n">
        <v>29.53</v>
      </c>
      <c r="P3421" s="0" t="n">
        <v>4.63</v>
      </c>
      <c r="Q3421" s="0" t="n">
        <v>3.92</v>
      </c>
      <c r="R3421" s="0" t="n">
        <v>5395</v>
      </c>
      <c r="S3421" s="0" t="n">
        <v>12285</v>
      </c>
      <c r="T3421" s="0" t="n">
        <v>37.2</v>
      </c>
      <c r="U3421" s="0" t="n">
        <v>2049</v>
      </c>
      <c r="V3421" s="0" t="n">
        <v>14</v>
      </c>
      <c r="W3421" s="0" t="str">
        <f aca="false">IF(OR(AND(B3421&gt;=1,B3421&lt;=6),B3421=10),"Vaca em lactação",IF(I3421="Male","Macho",IF(E3421&gt;=1,"Vaca seca",IF(I3421="Youngstock","Bezerra/recria","Novilha"))))</f>
        <v>Vaca seca</v>
      </c>
      <c r="X3421" s="0" t="str">
        <f aca="false">IF(AND(B3421&gt;=1,B3421&lt;=6),"Tanque",IF(B3421=10,"Descarte",""))</f>
        <v/>
      </c>
    </row>
    <row r="3422" customFormat="false" ht="15" hidden="false" customHeight="false" outlineLevel="0" collapsed="false">
      <c r="A3422" s="22" t="n">
        <v>46309</v>
      </c>
      <c r="B3422" s="0" t="n">
        <v>14</v>
      </c>
      <c r="C3422" s="0" t="n">
        <v>2548</v>
      </c>
      <c r="D3422" s="0" t="n">
        <v>467</v>
      </c>
      <c r="E3422" s="0" t="n">
        <v>4</v>
      </c>
      <c r="F3422" s="23" t="s">
        <v>1533</v>
      </c>
      <c r="I3422" s="23" t="s">
        <v>357</v>
      </c>
      <c r="J3422" s="0" t="n">
        <v>406</v>
      </c>
      <c r="K3422" s="0" t="n">
        <v>64</v>
      </c>
      <c r="L3422" s="0" t="n">
        <v>266</v>
      </c>
      <c r="M3422" s="0" t="n">
        <v>454.85</v>
      </c>
      <c r="N3422" s="0" t="n">
        <v>8</v>
      </c>
      <c r="O3422" s="0" t="n">
        <v>12.14</v>
      </c>
      <c r="P3422" s="0" t="n">
        <v>5.28</v>
      </c>
      <c r="Q3422" s="0" t="n">
        <v>4.17</v>
      </c>
      <c r="R3422" s="0" t="n">
        <v>6631</v>
      </c>
      <c r="S3422" s="0" t="n">
        <v>12817</v>
      </c>
      <c r="T3422" s="0" t="n">
        <v>72.45</v>
      </c>
      <c r="U3422" s="0" t="n">
        <v>2677</v>
      </c>
      <c r="V3422" s="0" t="n">
        <v>11</v>
      </c>
      <c r="W3422" s="0" t="str">
        <f aca="false">IF(OR(AND(B3422&gt;=1,B3422&lt;=6),B3422=10),"Vaca em lactação",IF(I3422="Male","Macho",IF(E3422&gt;=1,"Vaca seca",IF(I3422="Youngstock","Bezerra/recria","Novilha"))))</f>
        <v>Vaca seca</v>
      </c>
      <c r="X3422" s="0" t="str">
        <f aca="false">IF(AND(B3422&gt;=1,B3422&lt;=6),"Tanque",IF(B3422=10,"Descarte",""))</f>
        <v/>
      </c>
    </row>
    <row r="3423" customFormat="false" ht="15" hidden="false" customHeight="false" outlineLevel="0" collapsed="false">
      <c r="A3423" s="22" t="n">
        <v>46309</v>
      </c>
      <c r="B3423" s="0" t="n">
        <v>14</v>
      </c>
      <c r="C3423" s="0" t="n">
        <v>1075</v>
      </c>
      <c r="D3423" s="0" t="n">
        <v>536</v>
      </c>
      <c r="E3423" s="0" t="n">
        <v>4</v>
      </c>
      <c r="F3423" s="23" t="s">
        <v>1534</v>
      </c>
      <c r="I3423" s="23" t="s">
        <v>357</v>
      </c>
      <c r="J3423" s="0" t="n">
        <v>467</v>
      </c>
      <c r="K3423" s="0" t="n">
        <v>69</v>
      </c>
      <c r="L3423" s="0" t="n">
        <v>266</v>
      </c>
      <c r="P3423" s="0" t="n">
        <v>4.25</v>
      </c>
      <c r="Q3423" s="0" t="n">
        <v>4.7</v>
      </c>
      <c r="R3423" s="0" t="n">
        <v>6082</v>
      </c>
      <c r="S3423" s="0" t="n">
        <v>11102</v>
      </c>
      <c r="T3423" s="0" t="n">
        <v>65</v>
      </c>
      <c r="U3423" s="0" t="n">
        <v>2915</v>
      </c>
      <c r="V3423" s="0" t="n">
        <v>9</v>
      </c>
      <c r="W3423" s="0" t="str">
        <f aca="false">IF(OR(AND(B3423&gt;=1,B3423&lt;=6),B3423=10),"Vaca em lactação",IF(I3423="Male","Macho",IF(E3423&gt;=1,"Vaca seca",IF(I3423="Youngstock","Bezerra/recria","Novilha"))))</f>
        <v>Vaca seca</v>
      </c>
      <c r="X3423" s="0" t="str">
        <f aca="false">IF(AND(B3423&gt;=1,B3423&lt;=6),"Tanque",IF(B3423=10,"Descarte",""))</f>
        <v/>
      </c>
    </row>
    <row r="3424" customFormat="false" ht="15" hidden="false" customHeight="false" outlineLevel="0" collapsed="false">
      <c r="A3424" s="22" t="n">
        <v>46309</v>
      </c>
      <c r="B3424" s="0" t="n">
        <v>14</v>
      </c>
      <c r="C3424" s="0" t="n">
        <v>2233</v>
      </c>
      <c r="D3424" s="0" t="n">
        <v>314</v>
      </c>
      <c r="E3424" s="0" t="n">
        <v>6</v>
      </c>
      <c r="F3424" s="23" t="s">
        <v>1535</v>
      </c>
      <c r="I3424" s="23" t="s">
        <v>357</v>
      </c>
      <c r="J3424" s="0" t="n">
        <v>175</v>
      </c>
      <c r="K3424" s="0" t="n">
        <v>63</v>
      </c>
      <c r="L3424" s="0" t="n">
        <v>273</v>
      </c>
      <c r="M3424" s="0" t="n">
        <v>770.21</v>
      </c>
      <c r="N3424" s="0" t="n">
        <v>6.41</v>
      </c>
      <c r="O3424" s="0" t="n">
        <v>23.92</v>
      </c>
      <c r="P3424" s="0" t="n">
        <v>4.7</v>
      </c>
      <c r="Q3424" s="0" t="n">
        <v>3.5</v>
      </c>
      <c r="R3424" s="0" t="n">
        <v>4939</v>
      </c>
      <c r="S3424" s="0" t="n">
        <v>8605</v>
      </c>
      <c r="T3424" s="0" t="n">
        <v>54.75</v>
      </c>
      <c r="U3424" s="0" t="n">
        <v>2952</v>
      </c>
      <c r="V3424" s="0" t="n">
        <v>2</v>
      </c>
      <c r="W3424" s="0" t="str">
        <f aca="false">IF(OR(AND(B3424&gt;=1,B3424&lt;=6),B3424=10),"Vaca em lactação",IF(I3424="Male","Macho",IF(E3424&gt;=1,"Vaca seca",IF(I3424="Youngstock","Bezerra/recria","Novilha"))))</f>
        <v>Vaca seca</v>
      </c>
      <c r="X3424" s="0" t="str">
        <f aca="false">IF(AND(B3424&gt;=1,B3424&lt;=6),"Tanque",IF(B3424=10,"Descarte",""))</f>
        <v/>
      </c>
    </row>
    <row r="3425" customFormat="false" ht="15" hidden="false" customHeight="false" outlineLevel="0" collapsed="false">
      <c r="A3425" s="22" t="n">
        <v>46309</v>
      </c>
      <c r="B3425" s="0" t="n">
        <v>14</v>
      </c>
      <c r="C3425" s="0" t="n">
        <v>5318</v>
      </c>
      <c r="D3425" s="0" t="n">
        <v>288</v>
      </c>
      <c r="E3425" s="0" t="n">
        <v>1</v>
      </c>
      <c r="F3425" s="23" t="s">
        <v>574</v>
      </c>
      <c r="I3425" s="23" t="s">
        <v>357</v>
      </c>
      <c r="J3425" s="0" t="n">
        <v>65</v>
      </c>
      <c r="K3425" s="0" t="n">
        <v>65</v>
      </c>
      <c r="L3425" s="0" t="n">
        <v>273</v>
      </c>
      <c r="M3425" s="0" t="n">
        <v>772.52</v>
      </c>
      <c r="N3425" s="0" t="n">
        <v>51.03</v>
      </c>
      <c r="O3425" s="0" t="n">
        <v>40.78</v>
      </c>
      <c r="P3425" s="0" t="n">
        <v>5.22</v>
      </c>
      <c r="Q3425" s="0" t="n">
        <v>3.85</v>
      </c>
      <c r="R3425" s="0" t="n">
        <v>3517</v>
      </c>
      <c r="S3425" s="0" t="n">
        <v>7636</v>
      </c>
      <c r="T3425" s="0" t="n">
        <v>35.7</v>
      </c>
      <c r="U3425" s="0" t="n">
        <v>973</v>
      </c>
      <c r="V3425" s="0" t="n">
        <v>1</v>
      </c>
      <c r="W3425" s="0" t="str">
        <f aca="false">IF(OR(AND(B3425&gt;=1,B3425&lt;=6),B3425=10),"Vaca em lactação",IF(I3425="Male","Macho",IF(E3425&gt;=1,"Vaca seca",IF(I3425="Youngstock","Bezerra/recria","Novilha"))))</f>
        <v>Vaca seca</v>
      </c>
      <c r="X3425" s="0" t="str">
        <f aca="false">IF(AND(B3425&gt;=1,B3425&lt;=6),"Tanque",IF(B3425=10,"Descarte",""))</f>
        <v/>
      </c>
    </row>
    <row r="3426" customFormat="false" ht="15" hidden="false" customHeight="false" outlineLevel="0" collapsed="false">
      <c r="A3426" s="22" t="n">
        <v>46309</v>
      </c>
      <c r="B3426" s="0" t="n">
        <v>14</v>
      </c>
      <c r="C3426" s="0" t="n">
        <v>5046</v>
      </c>
      <c r="D3426" s="0" t="n">
        <v>323</v>
      </c>
      <c r="E3426" s="0" t="n">
        <v>1</v>
      </c>
      <c r="F3426" s="23" t="s">
        <v>788</v>
      </c>
      <c r="I3426" s="23" t="s">
        <v>357</v>
      </c>
      <c r="J3426" s="0" t="n">
        <v>100</v>
      </c>
      <c r="K3426" s="0" t="n">
        <v>65</v>
      </c>
      <c r="L3426" s="0" t="n">
        <v>273</v>
      </c>
      <c r="M3426" s="0" t="n">
        <v>514.1</v>
      </c>
      <c r="N3426" s="0" t="n">
        <v>60.05</v>
      </c>
      <c r="O3426" s="0" t="n">
        <v>34.89</v>
      </c>
      <c r="P3426" s="0" t="n">
        <v>4.28</v>
      </c>
      <c r="Q3426" s="0" t="n">
        <v>3.72</v>
      </c>
      <c r="R3426" s="0" t="n">
        <v>4414</v>
      </c>
      <c r="S3426" s="0" t="n">
        <v>9637</v>
      </c>
      <c r="T3426" s="0" t="n">
        <v>43.75</v>
      </c>
      <c r="U3426" s="0" t="n">
        <v>1089</v>
      </c>
      <c r="V3426" s="0" t="n">
        <v>2</v>
      </c>
      <c r="W3426" s="0" t="str">
        <f aca="false">IF(OR(AND(B3426&gt;=1,B3426&lt;=6),B3426=10),"Vaca em lactação",IF(I3426="Male","Macho",IF(E3426&gt;=1,"Vaca seca",IF(I3426="Youngstock","Bezerra/recria","Novilha"))))</f>
        <v>Vaca seca</v>
      </c>
      <c r="X3426" s="0" t="str">
        <f aca="false">IF(AND(B3426&gt;=1,B3426&lt;=6),"Tanque",IF(B3426=10,"Descarte",""))</f>
        <v/>
      </c>
    </row>
    <row r="3427" customFormat="false" ht="15" hidden="false" customHeight="false" outlineLevel="0" collapsed="false">
      <c r="A3427" s="22" t="n">
        <v>46309</v>
      </c>
      <c r="B3427" s="0" t="n">
        <v>14</v>
      </c>
      <c r="C3427" s="0" t="n">
        <v>5055</v>
      </c>
      <c r="D3427" s="0" t="n">
        <v>407</v>
      </c>
      <c r="E3427" s="0" t="n">
        <v>1</v>
      </c>
      <c r="F3427" s="23" t="s">
        <v>790</v>
      </c>
      <c r="I3427" s="23" t="s">
        <v>357</v>
      </c>
      <c r="J3427" s="0" t="n">
        <v>184</v>
      </c>
      <c r="K3427" s="0" t="n">
        <v>58</v>
      </c>
      <c r="L3427" s="0" t="n">
        <v>273</v>
      </c>
      <c r="M3427" s="0" t="n">
        <v>1254.4</v>
      </c>
      <c r="N3427" s="0" t="n">
        <v>30.64</v>
      </c>
      <c r="O3427" s="0" t="n">
        <v>33.7</v>
      </c>
      <c r="P3427" s="0" t="n">
        <v>2.88</v>
      </c>
      <c r="Q3427" s="0" t="n">
        <v>3.61</v>
      </c>
      <c r="R3427" s="0" t="n">
        <v>4835</v>
      </c>
      <c r="S3427" s="0" t="n">
        <v>10410</v>
      </c>
      <c r="T3427" s="0" t="n">
        <v>53.15</v>
      </c>
      <c r="U3427" s="0" t="n">
        <v>1082</v>
      </c>
      <c r="V3427" s="0" t="n">
        <v>5</v>
      </c>
      <c r="W3427" s="0" t="str">
        <f aca="false">IF(OR(AND(B3427&gt;=1,B3427&lt;=6),B3427=10),"Vaca em lactação",IF(I3427="Male","Macho",IF(E3427&gt;=1,"Vaca seca",IF(I3427="Youngstock","Bezerra/recria","Novilha"))))</f>
        <v>Vaca seca</v>
      </c>
      <c r="X3427" s="0" t="str">
        <f aca="false">IF(AND(B3427&gt;=1,B3427&lt;=6),"Tanque",IF(B3427=10,"Descarte",""))</f>
        <v/>
      </c>
    </row>
    <row r="3428" customFormat="false" ht="15" hidden="false" customHeight="false" outlineLevel="0" collapsed="false">
      <c r="A3428" s="22" t="n">
        <v>46309</v>
      </c>
      <c r="B3428" s="0" t="n">
        <v>14</v>
      </c>
      <c r="C3428" s="0" t="n">
        <v>5081</v>
      </c>
      <c r="D3428" s="0" t="n">
        <v>361</v>
      </c>
      <c r="E3428" s="0" t="n">
        <v>1</v>
      </c>
      <c r="F3428" s="23" t="s">
        <v>786</v>
      </c>
      <c r="I3428" s="23" t="s">
        <v>357</v>
      </c>
      <c r="J3428" s="0" t="n">
        <v>138</v>
      </c>
      <c r="K3428" s="0" t="n">
        <v>68</v>
      </c>
      <c r="L3428" s="0" t="n">
        <v>273</v>
      </c>
      <c r="M3428" s="0" t="n">
        <v>2.71</v>
      </c>
      <c r="N3428" s="0" t="n">
        <v>68.72</v>
      </c>
      <c r="O3428" s="0" t="n">
        <v>23.64</v>
      </c>
      <c r="P3428" s="0" t="n">
        <v>6.66</v>
      </c>
      <c r="Q3428" s="0" t="n">
        <v>3.94</v>
      </c>
      <c r="R3428" s="0" t="n">
        <v>3473</v>
      </c>
      <c r="S3428" s="0" t="n">
        <v>7577</v>
      </c>
      <c r="T3428" s="0" t="n">
        <v>35.85</v>
      </c>
      <c r="U3428" s="0" t="n">
        <v>1070</v>
      </c>
      <c r="V3428" s="0" t="n">
        <v>3</v>
      </c>
      <c r="W3428" s="0" t="str">
        <f aca="false">IF(OR(AND(B3428&gt;=1,B3428&lt;=6),B3428=10),"Vaca em lactação",IF(I3428="Male","Macho",IF(E3428&gt;=1,"Vaca seca",IF(I3428="Youngstock","Bezerra/recria","Novilha"))))</f>
        <v>Vaca seca</v>
      </c>
      <c r="X3428" s="0" t="str">
        <f aca="false">IF(AND(B3428&gt;=1,B3428&lt;=6),"Tanque",IF(B3428=10,"Descarte",""))</f>
        <v/>
      </c>
    </row>
    <row r="3429" customFormat="false" ht="15" hidden="false" customHeight="false" outlineLevel="0" collapsed="false">
      <c r="A3429" s="22" t="n">
        <v>46309</v>
      </c>
      <c r="B3429" s="0" t="n">
        <v>14</v>
      </c>
      <c r="C3429" s="0" t="n">
        <v>5095</v>
      </c>
      <c r="D3429" s="0" t="n">
        <v>361</v>
      </c>
      <c r="E3429" s="0" t="n">
        <v>1</v>
      </c>
      <c r="F3429" s="23" t="s">
        <v>282</v>
      </c>
      <c r="I3429" s="23" t="s">
        <v>357</v>
      </c>
      <c r="J3429" s="0" t="n">
        <v>138</v>
      </c>
      <c r="K3429" s="0" t="n">
        <v>68</v>
      </c>
      <c r="L3429" s="0" t="n">
        <v>273</v>
      </c>
      <c r="M3429" s="0" t="n">
        <v>429.8</v>
      </c>
      <c r="N3429" s="0" t="n">
        <v>64.64</v>
      </c>
      <c r="O3429" s="0" t="n">
        <v>20.39</v>
      </c>
      <c r="P3429" s="0" t="n">
        <v>5.12</v>
      </c>
      <c r="Q3429" s="0" t="n">
        <v>3.64</v>
      </c>
      <c r="R3429" s="0" t="n">
        <v>3842</v>
      </c>
      <c r="S3429" s="0" t="n">
        <v>8853</v>
      </c>
      <c r="T3429" s="0" t="n">
        <v>40.7</v>
      </c>
      <c r="U3429" s="0" t="n">
        <v>1067</v>
      </c>
      <c r="V3429" s="0" t="n">
        <v>3</v>
      </c>
      <c r="W3429" s="0" t="str">
        <f aca="false">IF(OR(AND(B3429&gt;=1,B3429&lt;=6),B3429=10),"Vaca em lactação",IF(I3429="Male","Macho",IF(E3429&gt;=1,"Vaca seca",IF(I3429="Youngstock","Bezerra/recria","Novilha"))))</f>
        <v>Vaca seca</v>
      </c>
      <c r="X3429" s="0" t="str">
        <f aca="false">IF(AND(B3429&gt;=1,B3429&lt;=6),"Tanque",IF(B3429=10,"Descarte",""))</f>
        <v/>
      </c>
    </row>
    <row r="3430" customFormat="false" ht="15" hidden="false" customHeight="false" outlineLevel="0" collapsed="false">
      <c r="A3430" s="22" t="n">
        <v>46309</v>
      </c>
      <c r="B3430" s="0" t="n">
        <v>14</v>
      </c>
      <c r="C3430" s="0" t="n">
        <v>5228</v>
      </c>
      <c r="D3430" s="0" t="n">
        <v>287</v>
      </c>
      <c r="E3430" s="0" t="n">
        <v>1</v>
      </c>
      <c r="F3430" s="23" t="s">
        <v>600</v>
      </c>
      <c r="I3430" s="23" t="s">
        <v>357</v>
      </c>
      <c r="J3430" s="0" t="n">
        <v>64</v>
      </c>
      <c r="K3430" s="0" t="n">
        <v>64</v>
      </c>
      <c r="L3430" s="0" t="n">
        <v>238</v>
      </c>
      <c r="M3430" s="0" t="n">
        <v>445.46</v>
      </c>
      <c r="N3430" s="0" t="n">
        <v>72.1</v>
      </c>
      <c r="O3430" s="0" t="n">
        <v>18.49</v>
      </c>
      <c r="P3430" s="0" t="n">
        <v>4.39</v>
      </c>
      <c r="Q3430" s="0" t="n">
        <v>3.4</v>
      </c>
      <c r="R3430" s="0" t="n">
        <v>3658</v>
      </c>
      <c r="S3430" s="0" t="n">
        <v>7961</v>
      </c>
      <c r="T3430" s="0" t="n">
        <v>40.7</v>
      </c>
      <c r="U3430" s="0" t="n">
        <v>1007</v>
      </c>
      <c r="V3430" s="0" t="n">
        <v>1</v>
      </c>
      <c r="W3430" s="0" t="str">
        <f aca="false">IF(OR(AND(B3430&gt;=1,B3430&lt;=6),B3430=10),"Vaca em lactação",IF(I3430="Male","Macho",IF(E3430&gt;=1,"Vaca seca",IF(I3430="Youngstock","Bezerra/recria","Novilha"))))</f>
        <v>Vaca seca</v>
      </c>
      <c r="X3430" s="0" t="str">
        <f aca="false">IF(AND(B3430&gt;=1,B3430&lt;=6),"Tanque",IF(B3430=10,"Descarte",""))</f>
        <v/>
      </c>
    </row>
    <row r="3431" customFormat="false" ht="15" hidden="false" customHeight="false" outlineLevel="0" collapsed="false">
      <c r="A3431" s="22" t="n">
        <v>46309</v>
      </c>
      <c r="B3431" s="0" t="n">
        <v>14</v>
      </c>
      <c r="C3431" s="0" t="n">
        <v>5277</v>
      </c>
      <c r="D3431" s="0" t="n">
        <v>320</v>
      </c>
      <c r="E3431" s="0" t="n">
        <v>1</v>
      </c>
      <c r="F3431" s="23" t="s">
        <v>602</v>
      </c>
      <c r="I3431" s="23" t="s">
        <v>357</v>
      </c>
      <c r="J3431" s="0" t="n">
        <v>92</v>
      </c>
      <c r="K3431" s="0" t="n">
        <v>70</v>
      </c>
      <c r="L3431" s="0" t="n">
        <v>264</v>
      </c>
      <c r="M3431" s="0" t="n">
        <v>736.61</v>
      </c>
      <c r="N3431" s="0" t="n">
        <v>60.9</v>
      </c>
      <c r="O3431" s="0" t="n">
        <v>37.71</v>
      </c>
      <c r="P3431" s="0" t="n">
        <v>5.18</v>
      </c>
      <c r="Q3431" s="0" t="n">
        <v>4.03</v>
      </c>
      <c r="R3431" s="0" t="n">
        <v>3303</v>
      </c>
      <c r="S3431" s="0" t="n">
        <v>7531</v>
      </c>
      <c r="T3431" s="0" t="n">
        <v>36.65</v>
      </c>
      <c r="U3431" s="0" t="n">
        <v>987</v>
      </c>
      <c r="V3431" s="0" t="n">
        <v>2</v>
      </c>
      <c r="W3431" s="0" t="str">
        <f aca="false">IF(OR(AND(B3431&gt;=1,B3431&lt;=6),B3431=10),"Vaca em lactação",IF(I3431="Male","Macho",IF(E3431&gt;=1,"Vaca seca",IF(I3431="Youngstock","Bezerra/recria","Novilha"))))</f>
        <v>Vaca seca</v>
      </c>
      <c r="X3431" s="0" t="str">
        <f aca="false">IF(AND(B3431&gt;=1,B3431&lt;=6),"Tanque",IF(B3431=10,"Descarte",""))</f>
        <v/>
      </c>
    </row>
    <row r="3432" customFormat="false" ht="15" hidden="false" customHeight="false" outlineLevel="0" collapsed="false">
      <c r="A3432" s="22" t="n">
        <v>46309</v>
      </c>
      <c r="B3432" s="0" t="n">
        <v>14</v>
      </c>
      <c r="C3432" s="0" t="n">
        <v>5157</v>
      </c>
      <c r="D3432" s="0" t="n">
        <v>290</v>
      </c>
      <c r="E3432" s="0" t="n">
        <v>1</v>
      </c>
      <c r="F3432" s="23" t="s">
        <v>296</v>
      </c>
      <c r="I3432" s="23" t="s">
        <v>357</v>
      </c>
      <c r="J3432" s="0" t="n">
        <v>67</v>
      </c>
      <c r="K3432" s="0" t="n">
        <v>67</v>
      </c>
      <c r="L3432" s="0" t="n">
        <v>266</v>
      </c>
      <c r="M3432" s="0" t="n">
        <v>728.9</v>
      </c>
      <c r="N3432" s="0" t="n">
        <v>45.67</v>
      </c>
      <c r="O3432" s="0" t="n">
        <v>38.08</v>
      </c>
      <c r="P3432" s="0" t="n">
        <v>3.42</v>
      </c>
      <c r="Q3432" s="0" t="n">
        <v>3.52</v>
      </c>
      <c r="R3432" s="0" t="n">
        <v>3726</v>
      </c>
      <c r="S3432" s="0" t="n">
        <v>8348</v>
      </c>
      <c r="T3432" s="0" t="n">
        <v>39.15</v>
      </c>
      <c r="U3432" s="0" t="n">
        <v>1044</v>
      </c>
      <c r="V3432" s="0" t="n">
        <v>1</v>
      </c>
      <c r="W3432" s="0" t="str">
        <f aca="false">IF(OR(AND(B3432&gt;=1,B3432&lt;=6),B3432=10),"Vaca em lactação",IF(I3432="Male","Macho",IF(E3432&gt;=1,"Vaca seca",IF(I3432="Youngstock","Bezerra/recria","Novilha"))))</f>
        <v>Vaca seca</v>
      </c>
      <c r="X3432" s="0" t="str">
        <f aca="false">IF(AND(B3432&gt;=1,B3432&lt;=6),"Tanque",IF(B3432=10,"Descarte",""))</f>
        <v/>
      </c>
    </row>
    <row r="3433" customFormat="false" ht="15" hidden="false" customHeight="false" outlineLevel="0" collapsed="false">
      <c r="A3433" s="22" t="n">
        <v>46309</v>
      </c>
      <c r="B3433" s="0" t="n">
        <v>14</v>
      </c>
      <c r="C3433" s="0" t="n">
        <v>5132</v>
      </c>
      <c r="D3433" s="0" t="n">
        <v>327</v>
      </c>
      <c r="E3433" s="0" t="n">
        <v>1</v>
      </c>
      <c r="F3433" s="23" t="s">
        <v>807</v>
      </c>
      <c r="I3433" s="23" t="s">
        <v>357</v>
      </c>
      <c r="J3433" s="0" t="n">
        <v>104</v>
      </c>
      <c r="K3433" s="0" t="n">
        <v>70</v>
      </c>
      <c r="L3433" s="0" t="n">
        <v>266</v>
      </c>
      <c r="M3433" s="0" t="n">
        <v>1003.35</v>
      </c>
      <c r="N3433" s="0" t="n">
        <v>41.41</v>
      </c>
      <c r="O3433" s="0" t="n">
        <v>38.68</v>
      </c>
      <c r="P3433" s="0" t="n">
        <v>4.46</v>
      </c>
      <c r="Q3433" s="0" t="n">
        <v>3.53</v>
      </c>
      <c r="R3433" s="0" t="n">
        <v>4472</v>
      </c>
      <c r="S3433" s="0" t="n">
        <v>9092</v>
      </c>
      <c r="T3433" s="0" t="n">
        <v>47.25</v>
      </c>
      <c r="U3433" s="0" t="n">
        <v>1052</v>
      </c>
      <c r="V3433" s="0" t="n">
        <v>2</v>
      </c>
      <c r="W3433" s="0" t="str">
        <f aca="false">IF(OR(AND(B3433&gt;=1,B3433&lt;=6),B3433=10),"Vaca em lactação",IF(I3433="Male","Macho",IF(E3433&gt;=1,"Vaca seca",IF(I3433="Youngstock","Bezerra/recria","Novilha"))))</f>
        <v>Vaca seca</v>
      </c>
      <c r="X3433" s="0" t="str">
        <f aca="false">IF(AND(B3433&gt;=1,B3433&lt;=6),"Tanque",IF(B3433=10,"Descarte",""))</f>
        <v/>
      </c>
    </row>
    <row r="3434" customFormat="false" ht="15" hidden="false" customHeight="false" outlineLevel="0" collapsed="false">
      <c r="A3434" s="22" t="n">
        <v>46309</v>
      </c>
      <c r="B3434" s="0" t="n">
        <v>14</v>
      </c>
      <c r="C3434" s="0" t="n">
        <v>5195</v>
      </c>
      <c r="D3434" s="0" t="n">
        <v>288</v>
      </c>
      <c r="E3434" s="0" t="n">
        <v>1</v>
      </c>
      <c r="F3434" s="23" t="s">
        <v>610</v>
      </c>
      <c r="I3434" s="23" t="s">
        <v>357</v>
      </c>
      <c r="J3434" s="0" t="n">
        <v>65</v>
      </c>
      <c r="K3434" s="0" t="n">
        <v>72</v>
      </c>
      <c r="L3434" s="0" t="n">
        <v>266</v>
      </c>
      <c r="M3434" s="0" t="n">
        <v>-33.96</v>
      </c>
      <c r="N3434" s="0" t="n">
        <v>73.58</v>
      </c>
      <c r="O3434" s="0" t="n">
        <v>24.46</v>
      </c>
      <c r="P3434" s="0" t="n">
        <v>5.37</v>
      </c>
      <c r="Q3434" s="0" t="n">
        <v>3.78</v>
      </c>
      <c r="R3434" s="0" t="n">
        <v>4054</v>
      </c>
      <c r="S3434" s="0" t="n">
        <v>8840</v>
      </c>
      <c r="T3434" s="0" t="n">
        <v>44.65</v>
      </c>
      <c r="U3434" s="0" t="n">
        <v>1028</v>
      </c>
      <c r="V3434" s="0" t="n">
        <v>1</v>
      </c>
      <c r="W3434" s="0" t="str">
        <f aca="false">IF(OR(AND(B3434&gt;=1,B3434&lt;=6),B3434=10),"Vaca em lactação",IF(I3434="Male","Macho",IF(E3434&gt;=1,"Vaca seca",IF(I3434="Youngstock","Bezerra/recria","Novilha"))))</f>
        <v>Vaca seca</v>
      </c>
      <c r="X3434" s="0" t="str">
        <f aca="false">IF(AND(B3434&gt;=1,B3434&lt;=6),"Tanque",IF(B3434=10,"Descarte",""))</f>
        <v/>
      </c>
    </row>
    <row r="3435" customFormat="false" ht="15" hidden="false" customHeight="false" outlineLevel="0" collapsed="false">
      <c r="A3435" s="22" t="n">
        <v>46309</v>
      </c>
      <c r="B3435" s="0" t="n">
        <v>14</v>
      </c>
      <c r="C3435" s="0" t="n">
        <v>5179</v>
      </c>
      <c r="D3435" s="0" t="n">
        <v>330</v>
      </c>
      <c r="E3435" s="0" t="n">
        <v>1</v>
      </c>
      <c r="F3435" s="23" t="s">
        <v>613</v>
      </c>
      <c r="I3435" s="23" t="s">
        <v>357</v>
      </c>
      <c r="J3435" s="0" t="n">
        <v>107</v>
      </c>
      <c r="K3435" s="0" t="n">
        <v>65</v>
      </c>
      <c r="L3435" s="0" t="n">
        <v>266</v>
      </c>
      <c r="M3435" s="0" t="n">
        <v>483.7</v>
      </c>
      <c r="N3435" s="0" t="n">
        <v>33.79</v>
      </c>
      <c r="O3435" s="0" t="n">
        <v>26.84</v>
      </c>
      <c r="P3435" s="0" t="n">
        <v>4.41</v>
      </c>
      <c r="Q3435" s="0" t="n">
        <v>3.79</v>
      </c>
      <c r="R3435" s="0" t="n">
        <v>3132</v>
      </c>
      <c r="S3435" s="0" t="n">
        <v>7367</v>
      </c>
      <c r="T3435" s="0" t="n">
        <v>25.9</v>
      </c>
      <c r="U3435" s="0" t="n">
        <v>1036</v>
      </c>
      <c r="V3435" s="0" t="n">
        <v>2</v>
      </c>
      <c r="W3435" s="0" t="str">
        <f aca="false">IF(OR(AND(B3435&gt;=1,B3435&lt;=6),B3435=10),"Vaca em lactação",IF(I3435="Male","Macho",IF(E3435&gt;=1,"Vaca seca",IF(I3435="Youngstock","Bezerra/recria","Novilha"))))</f>
        <v>Vaca seca</v>
      </c>
      <c r="X3435" s="0" t="str">
        <f aca="false">IF(AND(B3435&gt;=1,B3435&lt;=6),"Tanque",IF(B3435=10,"Descarte",""))</f>
        <v/>
      </c>
    </row>
    <row r="3436" customFormat="false" ht="15" hidden="false" customHeight="false" outlineLevel="0" collapsed="false">
      <c r="A3436" s="22" t="n">
        <v>46309</v>
      </c>
      <c r="B3436" s="0" t="n">
        <v>14</v>
      </c>
      <c r="C3436" s="0" t="n">
        <v>4630</v>
      </c>
      <c r="D3436" s="0" t="n">
        <v>275</v>
      </c>
      <c r="E3436" s="0" t="n">
        <v>2</v>
      </c>
      <c r="F3436" s="23" t="s">
        <v>1536</v>
      </c>
      <c r="I3436" s="23" t="s">
        <v>357</v>
      </c>
      <c r="J3436" s="0" t="n">
        <v>66</v>
      </c>
      <c r="K3436" s="0" t="n">
        <v>73</v>
      </c>
      <c r="L3436" s="0" t="n">
        <v>266</v>
      </c>
      <c r="M3436" s="0" t="n">
        <v>376.51</v>
      </c>
      <c r="N3436" s="0" t="n">
        <v>6.45</v>
      </c>
      <c r="O3436" s="0" t="n">
        <v>10.47</v>
      </c>
      <c r="P3436" s="0" t="n">
        <v>4.46</v>
      </c>
      <c r="Q3436" s="0" t="n">
        <v>3.45</v>
      </c>
      <c r="R3436" s="0" t="n">
        <v>1812</v>
      </c>
      <c r="S3436" s="0" t="n">
        <v>4068</v>
      </c>
      <c r="T3436" s="0" t="n">
        <v>19.5</v>
      </c>
      <c r="U3436" s="0" t="n">
        <v>1295</v>
      </c>
      <c r="V3436" s="0" t="n">
        <v>1</v>
      </c>
      <c r="W3436" s="0" t="str">
        <f aca="false">IF(OR(AND(B3436&gt;=1,B3436&lt;=6),B3436=10),"Vaca em lactação",IF(I3436="Male","Macho",IF(E3436&gt;=1,"Vaca seca",IF(I3436="Youngstock","Bezerra/recria","Novilha"))))</f>
        <v>Vaca seca</v>
      </c>
      <c r="X3436" s="0" t="str">
        <f aca="false">IF(AND(B3436&gt;=1,B3436&lt;=6),"Tanque",IF(B3436=10,"Descarte",""))</f>
        <v/>
      </c>
    </row>
    <row r="3437" customFormat="false" ht="15" hidden="false" customHeight="false" outlineLevel="0" collapsed="false">
      <c r="A3437" s="22" t="n">
        <v>46309</v>
      </c>
      <c r="B3437" s="0" t="n">
        <v>14</v>
      </c>
      <c r="C3437" s="0" t="n">
        <v>4723</v>
      </c>
      <c r="D3437" s="0" t="n">
        <v>533</v>
      </c>
      <c r="E3437" s="0" t="n">
        <v>1</v>
      </c>
      <c r="F3437" s="23" t="s">
        <v>1537</v>
      </c>
      <c r="I3437" s="23" t="s">
        <v>357</v>
      </c>
      <c r="J3437" s="0" t="n">
        <v>310</v>
      </c>
      <c r="K3437" s="0" t="n">
        <v>59</v>
      </c>
      <c r="L3437" s="0" t="n">
        <v>266</v>
      </c>
      <c r="M3437" s="0" t="n">
        <v>704.65</v>
      </c>
      <c r="N3437" s="0" t="n">
        <v>89.9</v>
      </c>
      <c r="O3437" s="0" t="n">
        <v>39.34</v>
      </c>
      <c r="P3437" s="0" t="n">
        <v>6.78</v>
      </c>
      <c r="Q3437" s="0" t="n">
        <v>5</v>
      </c>
      <c r="R3437" s="0" t="n">
        <v>4752</v>
      </c>
      <c r="S3437" s="0" t="n">
        <v>8950</v>
      </c>
      <c r="T3437" s="0" t="n">
        <v>51.15</v>
      </c>
      <c r="U3437" s="0" t="n">
        <v>1241</v>
      </c>
      <c r="V3437" s="0" t="n">
        <v>4</v>
      </c>
      <c r="W3437" s="0" t="str">
        <f aca="false">IF(OR(AND(B3437&gt;=1,B3437&lt;=6),B3437=10),"Vaca em lactação",IF(I3437="Male","Macho",IF(E3437&gt;=1,"Vaca seca",IF(I3437="Youngstock","Bezerra/recria","Novilha"))))</f>
        <v>Vaca seca</v>
      </c>
      <c r="X3437" s="0" t="str">
        <f aca="false">IF(AND(B3437&gt;=1,B3437&lt;=6),"Tanque",IF(B3437=10,"Descarte",""))</f>
        <v/>
      </c>
    </row>
    <row r="3438" customFormat="false" ht="15" hidden="false" customHeight="false" outlineLevel="0" collapsed="false">
      <c r="A3438" s="22" t="n">
        <v>46309</v>
      </c>
      <c r="B3438" s="0" t="n">
        <v>14</v>
      </c>
      <c r="C3438" s="0" t="n">
        <v>4707</v>
      </c>
      <c r="D3438" s="0" t="n">
        <v>546</v>
      </c>
      <c r="E3438" s="0" t="n">
        <v>1</v>
      </c>
      <c r="F3438" s="23" t="s">
        <v>1538</v>
      </c>
      <c r="I3438" s="23" t="s">
        <v>357</v>
      </c>
      <c r="J3438" s="0" t="n">
        <v>330</v>
      </c>
      <c r="K3438" s="0" t="n">
        <v>65</v>
      </c>
      <c r="L3438" s="0" t="n">
        <v>273</v>
      </c>
      <c r="M3438" s="0" t="n">
        <v>585.94</v>
      </c>
      <c r="N3438" s="0" t="n">
        <v>29.51</v>
      </c>
      <c r="O3438" s="0" t="n">
        <v>16.81</v>
      </c>
      <c r="P3438" s="0" t="n">
        <v>5.08</v>
      </c>
      <c r="Q3438" s="0" t="n">
        <v>3.93</v>
      </c>
      <c r="R3438" s="0" t="n">
        <v>3946</v>
      </c>
      <c r="S3438" s="0" t="n">
        <v>9515</v>
      </c>
      <c r="T3438" s="0" t="n">
        <v>44.6</v>
      </c>
      <c r="U3438" s="0" t="n">
        <v>1250</v>
      </c>
      <c r="V3438" s="0" t="n">
        <v>7</v>
      </c>
      <c r="W3438" s="0" t="str">
        <f aca="false">IF(OR(AND(B3438&gt;=1,B3438&lt;=6),B3438=10),"Vaca em lactação",IF(I3438="Male","Macho",IF(E3438&gt;=1,"Vaca seca",IF(I3438="Youngstock","Bezerra/recria","Novilha"))))</f>
        <v>Vaca seca</v>
      </c>
      <c r="X3438" s="0" t="str">
        <f aca="false">IF(AND(B3438&gt;=1,B3438&lt;=6),"Tanque",IF(B3438=10,"Descarte",""))</f>
        <v/>
      </c>
    </row>
    <row r="3439" customFormat="false" ht="15" hidden="false" customHeight="false" outlineLevel="0" collapsed="false">
      <c r="A3439" s="22" t="n">
        <v>46309</v>
      </c>
      <c r="B3439" s="0" t="n">
        <v>14</v>
      </c>
      <c r="C3439" s="0" t="n">
        <v>4933</v>
      </c>
      <c r="D3439" s="0" t="n">
        <v>393</v>
      </c>
      <c r="E3439" s="0" t="n">
        <v>1</v>
      </c>
      <c r="F3439" s="23" t="s">
        <v>830</v>
      </c>
      <c r="I3439" s="23" t="s">
        <v>357</v>
      </c>
      <c r="J3439" s="0" t="n">
        <v>170</v>
      </c>
      <c r="K3439" s="0" t="n">
        <v>65</v>
      </c>
      <c r="L3439" s="0" t="n">
        <v>259</v>
      </c>
      <c r="M3439" s="0" t="n">
        <v>742.65</v>
      </c>
      <c r="N3439" s="0" t="n">
        <v>72.82</v>
      </c>
      <c r="O3439" s="0" t="n">
        <v>38.36</v>
      </c>
      <c r="P3439" s="0" t="n">
        <v>4.84</v>
      </c>
      <c r="Q3439" s="0" t="n">
        <v>3.81</v>
      </c>
      <c r="R3439" s="0" t="n">
        <v>5011</v>
      </c>
      <c r="S3439" s="0" t="n">
        <v>10576</v>
      </c>
      <c r="T3439" s="0" t="n">
        <v>54.75</v>
      </c>
      <c r="U3439" s="0" t="n">
        <v>1153</v>
      </c>
      <c r="V3439" s="0" t="n">
        <v>4</v>
      </c>
      <c r="W3439" s="0" t="str">
        <f aca="false">IF(OR(AND(B3439&gt;=1,B3439&lt;=6),B3439=10),"Vaca em lactação",IF(I3439="Male","Macho",IF(E3439&gt;=1,"Vaca seca",IF(I3439="Youngstock","Bezerra/recria","Novilha"))))</f>
        <v>Vaca seca</v>
      </c>
      <c r="X3439" s="0" t="str">
        <f aca="false">IF(AND(B3439&gt;=1,B3439&lt;=6),"Tanque",IF(B3439=10,"Descarte",""))</f>
        <v/>
      </c>
    </row>
    <row r="3440" customFormat="false" ht="15" hidden="false" customHeight="false" outlineLevel="0" collapsed="false">
      <c r="A3440" s="22" t="n">
        <v>46309</v>
      </c>
      <c r="B3440" s="0" t="n">
        <v>14</v>
      </c>
      <c r="C3440" s="0" t="n">
        <v>4865</v>
      </c>
      <c r="D3440" s="0" t="n">
        <v>509</v>
      </c>
      <c r="E3440" s="0" t="n">
        <v>1</v>
      </c>
      <c r="F3440" s="23" t="s">
        <v>1204</v>
      </c>
      <c r="I3440" s="23" t="s">
        <v>357</v>
      </c>
      <c r="J3440" s="0" t="n">
        <v>286</v>
      </c>
      <c r="K3440" s="0" t="n">
        <v>62</v>
      </c>
      <c r="L3440" s="0" t="n">
        <v>259</v>
      </c>
      <c r="M3440" s="0" t="n">
        <v>1666.12</v>
      </c>
      <c r="N3440" s="0" t="n">
        <v>50.28</v>
      </c>
      <c r="O3440" s="0" t="n">
        <v>49.29</v>
      </c>
      <c r="P3440" s="0" t="n">
        <v>4.46</v>
      </c>
      <c r="Q3440" s="0" t="n">
        <v>3.64</v>
      </c>
      <c r="R3440" s="0" t="n">
        <v>5200</v>
      </c>
      <c r="S3440" s="0" t="n">
        <v>10878</v>
      </c>
      <c r="T3440" s="0" t="n">
        <v>55.95</v>
      </c>
      <c r="U3440" s="0" t="n">
        <v>1185</v>
      </c>
      <c r="V3440" s="0" t="n">
        <v>7</v>
      </c>
      <c r="W3440" s="0" t="str">
        <f aca="false">IF(OR(AND(B3440&gt;=1,B3440&lt;=6),B3440=10),"Vaca em lactação",IF(I3440="Male","Macho",IF(E3440&gt;=1,"Vaca seca",IF(I3440="Youngstock","Bezerra/recria","Novilha"))))</f>
        <v>Vaca seca</v>
      </c>
      <c r="X3440" s="0" t="str">
        <f aca="false">IF(AND(B3440&gt;=1,B3440&lt;=6),"Tanque",IF(B3440=10,"Descarte",""))</f>
        <v/>
      </c>
    </row>
    <row r="3441" customFormat="false" ht="15" hidden="false" customHeight="false" outlineLevel="0" collapsed="false">
      <c r="A3441" s="22" t="n">
        <v>46309</v>
      </c>
      <c r="B3441" s="0" t="n">
        <v>14</v>
      </c>
      <c r="C3441" s="0" t="n">
        <v>4228</v>
      </c>
      <c r="D3441" s="0" t="n">
        <v>289</v>
      </c>
      <c r="E3441" s="0" t="n">
        <v>2</v>
      </c>
      <c r="F3441" s="23" t="s">
        <v>356</v>
      </c>
      <c r="I3441" s="23" t="s">
        <v>357</v>
      </c>
      <c r="J3441" s="0" t="n">
        <v>66</v>
      </c>
      <c r="K3441" s="0" t="n">
        <v>66</v>
      </c>
      <c r="L3441" s="0" t="n">
        <v>259</v>
      </c>
      <c r="M3441" s="0" t="n">
        <v>453.27</v>
      </c>
      <c r="N3441" s="0" t="n">
        <v>48.32</v>
      </c>
      <c r="O3441" s="0" t="n">
        <v>27.3</v>
      </c>
      <c r="P3441" s="0" t="n">
        <v>3.57</v>
      </c>
      <c r="Q3441" s="0" t="n">
        <v>4.02</v>
      </c>
      <c r="R3441" s="0" t="n">
        <v>5718</v>
      </c>
      <c r="S3441" s="0" t="n">
        <v>11459</v>
      </c>
      <c r="T3441" s="0" t="n">
        <v>63.75</v>
      </c>
      <c r="U3441" s="0" t="n">
        <v>1490</v>
      </c>
      <c r="V3441" s="0" t="n">
        <v>1</v>
      </c>
      <c r="W3441" s="0" t="str">
        <f aca="false">IF(OR(AND(B3441&gt;=1,B3441&lt;=6),B3441=10),"Vaca em lactação",IF(I3441="Male","Macho",IF(E3441&gt;=1,"Vaca seca",IF(I3441="Youngstock","Bezerra/recria","Novilha"))))</f>
        <v>Vaca seca</v>
      </c>
      <c r="X3441" s="0" t="str">
        <f aca="false">IF(AND(B3441&gt;=1,B3441&lt;=6),"Tanque",IF(B3441=10,"Descarte",""))</f>
        <v/>
      </c>
    </row>
    <row r="3442" customFormat="false" ht="15" hidden="false" customHeight="false" outlineLevel="0" collapsed="false">
      <c r="A3442" s="22" t="n">
        <v>46309</v>
      </c>
      <c r="B3442" s="0" t="n">
        <v>14</v>
      </c>
      <c r="C3442" s="0" t="n">
        <v>4358</v>
      </c>
      <c r="D3442" s="0" t="n">
        <v>359</v>
      </c>
      <c r="E3442" s="0" t="n">
        <v>2</v>
      </c>
      <c r="F3442" s="23" t="s">
        <v>364</v>
      </c>
      <c r="I3442" s="23" t="s">
        <v>357</v>
      </c>
      <c r="J3442" s="0" t="n">
        <v>136</v>
      </c>
      <c r="K3442" s="0" t="n">
        <v>66</v>
      </c>
      <c r="L3442" s="0" t="n">
        <v>273</v>
      </c>
      <c r="M3442" s="0" t="n">
        <v>949.47</v>
      </c>
      <c r="N3442" s="0" t="n">
        <v>51.34</v>
      </c>
      <c r="O3442" s="0" t="n">
        <v>37.94</v>
      </c>
      <c r="P3442" s="0" t="n">
        <v>3.24</v>
      </c>
      <c r="Q3442" s="0" t="n">
        <v>3.86</v>
      </c>
      <c r="R3442" s="0" t="n">
        <v>6750</v>
      </c>
      <c r="S3442" s="0" t="n">
        <v>12981</v>
      </c>
      <c r="T3442" s="0" t="n">
        <v>76.4</v>
      </c>
      <c r="U3442" s="0" t="n">
        <v>1417</v>
      </c>
      <c r="V3442" s="0" t="n">
        <v>3</v>
      </c>
      <c r="W3442" s="0" t="str">
        <f aca="false">IF(OR(AND(B3442&gt;=1,B3442&lt;=6),B3442=10),"Vaca em lactação",IF(I3442="Male","Macho",IF(E3442&gt;=1,"Vaca seca",IF(I3442="Youngstock","Bezerra/recria","Novilha"))))</f>
        <v>Vaca seca</v>
      </c>
      <c r="X3442" s="0" t="str">
        <f aca="false">IF(AND(B3442&gt;=1,B3442&lt;=6),"Tanque",IF(B3442=10,"Descarte",""))</f>
        <v/>
      </c>
    </row>
    <row r="3443" customFormat="false" ht="15" hidden="false" customHeight="false" outlineLevel="0" collapsed="false">
      <c r="A3443" s="22" t="n">
        <v>46309</v>
      </c>
      <c r="B3443" s="0" t="n">
        <v>14</v>
      </c>
      <c r="C3443" s="0" t="n">
        <v>4324</v>
      </c>
      <c r="D3443" s="0" t="n">
        <v>354</v>
      </c>
      <c r="E3443" s="0" t="n">
        <v>2</v>
      </c>
      <c r="F3443" s="23" t="s">
        <v>371</v>
      </c>
      <c r="I3443" s="23" t="s">
        <v>357</v>
      </c>
      <c r="J3443" s="0" t="n">
        <v>131</v>
      </c>
      <c r="K3443" s="0" t="n">
        <v>82</v>
      </c>
      <c r="L3443" s="0" t="n">
        <v>259</v>
      </c>
      <c r="M3443" s="0" t="n">
        <v>449.08</v>
      </c>
      <c r="N3443" s="0" t="n">
        <v>45.76</v>
      </c>
      <c r="O3443" s="0" t="n">
        <v>16.18</v>
      </c>
      <c r="P3443" s="0" t="n">
        <v>4.12</v>
      </c>
      <c r="Q3443" s="0" t="n">
        <v>3.47</v>
      </c>
      <c r="R3443" s="0" t="n">
        <v>5809</v>
      </c>
      <c r="S3443" s="0" t="n">
        <v>11513</v>
      </c>
      <c r="T3443" s="0" t="n">
        <v>64.5</v>
      </c>
      <c r="U3443" s="0" t="n">
        <v>1434</v>
      </c>
      <c r="V3443" s="0" t="n">
        <v>2</v>
      </c>
      <c r="W3443" s="0" t="str">
        <f aca="false">IF(OR(AND(B3443&gt;=1,B3443&lt;=6),B3443=10),"Vaca em lactação",IF(I3443="Male","Macho",IF(E3443&gt;=1,"Vaca seca",IF(I3443="Youngstock","Bezerra/recria","Novilha"))))</f>
        <v>Vaca seca</v>
      </c>
      <c r="X3443" s="0" t="str">
        <f aca="false">IF(AND(B3443&gt;=1,B3443&lt;=6),"Tanque",IF(B3443=10,"Descarte",""))</f>
        <v/>
      </c>
    </row>
    <row r="3444" customFormat="false" ht="15" hidden="false" customHeight="false" outlineLevel="0" collapsed="false">
      <c r="A3444" s="22" t="n">
        <v>46309</v>
      </c>
      <c r="B3444" s="0" t="n">
        <v>14</v>
      </c>
      <c r="C3444" s="0" t="n">
        <v>4322</v>
      </c>
      <c r="D3444" s="0" t="n">
        <v>410</v>
      </c>
      <c r="E3444" s="0" t="n">
        <v>2</v>
      </c>
      <c r="F3444" s="23" t="s">
        <v>371</v>
      </c>
      <c r="I3444" s="23" t="s">
        <v>357</v>
      </c>
      <c r="J3444" s="0" t="n">
        <v>187</v>
      </c>
      <c r="K3444" s="0" t="n">
        <v>61</v>
      </c>
      <c r="L3444" s="0" t="n">
        <v>259</v>
      </c>
      <c r="M3444" s="0" t="n">
        <v>696.21</v>
      </c>
      <c r="N3444" s="0" t="n">
        <v>38.33</v>
      </c>
      <c r="O3444" s="0" t="n">
        <v>28.48</v>
      </c>
      <c r="P3444" s="0" t="n">
        <v>3.11</v>
      </c>
      <c r="Q3444" s="0" t="n">
        <v>3.46</v>
      </c>
      <c r="R3444" s="0" t="n">
        <v>6332</v>
      </c>
      <c r="S3444" s="0" t="n">
        <v>12747</v>
      </c>
      <c r="T3444" s="0" t="n">
        <v>71.55</v>
      </c>
      <c r="U3444" s="0" t="n">
        <v>1434</v>
      </c>
      <c r="V3444" s="0" t="n">
        <v>5</v>
      </c>
      <c r="W3444" s="0" t="str">
        <f aca="false">IF(OR(AND(B3444&gt;=1,B3444&lt;=6),B3444=10),"Vaca em lactação",IF(I3444="Male","Macho",IF(E3444&gt;=1,"Vaca seca",IF(I3444="Youngstock","Bezerra/recria","Novilha"))))</f>
        <v>Vaca seca</v>
      </c>
      <c r="X3444" s="0" t="str">
        <f aca="false">IF(AND(B3444&gt;=1,B3444&lt;=6),"Tanque",IF(B3444=10,"Descarte",""))</f>
        <v/>
      </c>
    </row>
    <row r="3445" customFormat="false" ht="15" hidden="false" customHeight="false" outlineLevel="0" collapsed="false">
      <c r="A3445" s="22" t="n">
        <v>46309</v>
      </c>
      <c r="B3445" s="0" t="n">
        <v>14</v>
      </c>
      <c r="C3445" s="0" t="n">
        <v>4148</v>
      </c>
      <c r="D3445" s="0" t="n">
        <v>328</v>
      </c>
      <c r="E3445" s="0" t="n">
        <v>2</v>
      </c>
      <c r="F3445" s="23" t="s">
        <v>848</v>
      </c>
      <c r="I3445" s="23" t="s">
        <v>357</v>
      </c>
      <c r="J3445" s="0" t="n">
        <v>224</v>
      </c>
      <c r="K3445" s="0" t="n">
        <v>63</v>
      </c>
      <c r="L3445" s="0" t="n">
        <v>273</v>
      </c>
      <c r="M3445" s="0" t="n">
        <v>736.67</v>
      </c>
      <c r="N3445" s="0" t="n">
        <v>52.58</v>
      </c>
      <c r="O3445" s="0" t="n">
        <v>29.1</v>
      </c>
      <c r="P3445" s="0" t="n">
        <v>4.37</v>
      </c>
      <c r="Q3445" s="0" t="n">
        <v>3.72</v>
      </c>
      <c r="R3445" s="0" t="n">
        <v>5776</v>
      </c>
      <c r="S3445" s="0" t="n">
        <v>10162</v>
      </c>
      <c r="T3445" s="0" t="n">
        <v>53.15</v>
      </c>
      <c r="U3445" s="0" t="n">
        <v>1525</v>
      </c>
      <c r="V3445" s="0" t="n">
        <v>6</v>
      </c>
      <c r="W3445" s="0" t="str">
        <f aca="false">IF(OR(AND(B3445&gt;=1,B3445&lt;=6),B3445=10),"Vaca em lactação",IF(I3445="Male","Macho",IF(E3445&gt;=1,"Vaca seca",IF(I3445="Youngstock","Bezerra/recria","Novilha"))))</f>
        <v>Vaca seca</v>
      </c>
      <c r="X3445" s="0" t="str">
        <f aca="false">IF(AND(B3445&gt;=1,B3445&lt;=6),"Tanque",IF(B3445=10,"Descarte",""))</f>
        <v/>
      </c>
    </row>
    <row r="3446" customFormat="false" ht="15" hidden="false" customHeight="false" outlineLevel="0" collapsed="false">
      <c r="A3446" s="22" t="n">
        <v>46309</v>
      </c>
      <c r="B3446" s="0" t="n">
        <v>14</v>
      </c>
      <c r="C3446" s="0" t="n">
        <v>4214</v>
      </c>
      <c r="D3446" s="0" t="n">
        <v>219</v>
      </c>
      <c r="E3446" s="0" t="n">
        <v>2</v>
      </c>
      <c r="F3446" s="23" t="s">
        <v>517</v>
      </c>
      <c r="I3446" s="23" t="s">
        <v>357</v>
      </c>
      <c r="J3446" s="0" t="n">
        <v>66</v>
      </c>
      <c r="K3446" s="0" t="n">
        <v>66</v>
      </c>
      <c r="L3446" s="0" t="n">
        <v>259</v>
      </c>
      <c r="M3446" s="0" t="n">
        <v>-56.57</v>
      </c>
      <c r="N3446" s="0" t="n">
        <v>39.06</v>
      </c>
      <c r="O3446" s="0" t="n">
        <v>13</v>
      </c>
      <c r="P3446" s="0" t="n">
        <v>5.21</v>
      </c>
      <c r="Q3446" s="0" t="n">
        <v>4.19</v>
      </c>
      <c r="R3446" s="0" t="n">
        <v>3297</v>
      </c>
      <c r="S3446" s="0" t="n">
        <v>6308</v>
      </c>
      <c r="T3446" s="0" t="n">
        <v>36.75</v>
      </c>
      <c r="U3446" s="0" t="n">
        <v>1494</v>
      </c>
      <c r="V3446" s="0" t="n">
        <v>1</v>
      </c>
      <c r="W3446" s="0" t="str">
        <f aca="false">IF(OR(AND(B3446&gt;=1,B3446&lt;=6),B3446=10),"Vaca em lactação",IF(I3446="Male","Macho",IF(E3446&gt;=1,"Vaca seca",IF(I3446="Youngstock","Bezerra/recria","Novilha"))))</f>
        <v>Vaca seca</v>
      </c>
      <c r="X3446" s="0" t="str">
        <f aca="false">IF(AND(B3446&gt;=1,B3446&lt;=6),"Tanque",IF(B3446=10,"Descarte",""))</f>
        <v/>
      </c>
    </row>
    <row r="3447" customFormat="false" ht="15" hidden="false" customHeight="false" outlineLevel="0" collapsed="false">
      <c r="A3447" s="22" t="n">
        <v>46309</v>
      </c>
      <c r="B3447" s="0" t="n">
        <v>14</v>
      </c>
      <c r="C3447" s="0" t="n">
        <v>4533</v>
      </c>
      <c r="D3447" s="0" t="n">
        <v>291</v>
      </c>
      <c r="E3447" s="0" t="n">
        <v>2</v>
      </c>
      <c r="F3447" s="23" t="s">
        <v>863</v>
      </c>
      <c r="I3447" s="23" t="s">
        <v>357</v>
      </c>
      <c r="J3447" s="0" t="n">
        <v>69</v>
      </c>
      <c r="K3447" s="0" t="n">
        <v>69</v>
      </c>
      <c r="L3447" s="0" t="n">
        <v>279</v>
      </c>
      <c r="M3447" s="0" t="n">
        <v>1831.84</v>
      </c>
      <c r="N3447" s="0" t="n">
        <v>19.33</v>
      </c>
      <c r="O3447" s="0" t="n">
        <v>27.87</v>
      </c>
      <c r="P3447" s="0" t="n">
        <v>3.38</v>
      </c>
      <c r="Q3447" s="0" t="n">
        <v>3.05</v>
      </c>
      <c r="R3447" s="0" t="n">
        <v>5771</v>
      </c>
      <c r="S3447" s="0" t="n">
        <v>11990</v>
      </c>
      <c r="T3447" s="0" t="n">
        <v>64.9</v>
      </c>
      <c r="U3447" s="0" t="n">
        <v>1337</v>
      </c>
      <c r="V3447" s="0" t="n">
        <v>1</v>
      </c>
      <c r="W3447" s="0" t="str">
        <f aca="false">IF(OR(AND(B3447&gt;=1,B3447&lt;=6),B3447=10),"Vaca em lactação",IF(I3447="Male","Macho",IF(E3447&gt;=1,"Vaca seca",IF(I3447="Youngstock","Bezerra/recria","Novilha"))))</f>
        <v>Vaca seca</v>
      </c>
      <c r="X3447" s="0" t="str">
        <f aca="false">IF(AND(B3447&gt;=1,B3447&lt;=6),"Tanque",IF(B3447=10,"Descarte",""))</f>
        <v/>
      </c>
    </row>
    <row r="3448" customFormat="false" ht="15" hidden="false" customHeight="false" outlineLevel="0" collapsed="false">
      <c r="A3448" s="22" t="n">
        <v>46309</v>
      </c>
      <c r="B3448" s="0" t="n">
        <v>14</v>
      </c>
      <c r="C3448" s="0" t="n">
        <v>4556</v>
      </c>
      <c r="D3448" s="0" t="n">
        <v>287</v>
      </c>
      <c r="E3448" s="0" t="n">
        <v>2</v>
      </c>
      <c r="F3448" s="23" t="s">
        <v>521</v>
      </c>
      <c r="I3448" s="23" t="s">
        <v>357</v>
      </c>
      <c r="J3448" s="0" t="n">
        <v>64</v>
      </c>
      <c r="K3448" s="0" t="n">
        <v>64</v>
      </c>
      <c r="L3448" s="0" t="n">
        <v>266</v>
      </c>
      <c r="M3448" s="0" t="n">
        <v>1296.89</v>
      </c>
      <c r="N3448" s="0" t="n">
        <v>44.61</v>
      </c>
      <c r="O3448" s="0" t="n">
        <v>35.34</v>
      </c>
      <c r="P3448" s="0" t="n">
        <v>4.45</v>
      </c>
      <c r="Q3448" s="0" t="n">
        <v>3.13</v>
      </c>
      <c r="R3448" s="0" t="n">
        <v>4829</v>
      </c>
      <c r="S3448" s="0" t="n">
        <v>9912</v>
      </c>
      <c r="T3448" s="0" t="n">
        <v>46.05</v>
      </c>
      <c r="U3448" s="0" t="n">
        <v>1329</v>
      </c>
      <c r="V3448" s="0" t="n">
        <v>1</v>
      </c>
      <c r="W3448" s="0" t="str">
        <f aca="false">IF(OR(AND(B3448&gt;=1,B3448&lt;=6),B3448=10),"Vaca em lactação",IF(I3448="Male","Macho",IF(E3448&gt;=1,"Vaca seca",IF(I3448="Youngstock","Bezerra/recria","Novilha"))))</f>
        <v>Vaca seca</v>
      </c>
      <c r="X3448" s="0" t="str">
        <f aca="false">IF(AND(B3448&gt;=1,B3448&lt;=6),"Tanque",IF(B3448=10,"Descarte",""))</f>
        <v/>
      </c>
    </row>
    <row r="3449" customFormat="false" ht="15" hidden="false" customHeight="false" outlineLevel="0" collapsed="false">
      <c r="A3449" s="22" t="n">
        <v>46309</v>
      </c>
      <c r="B3449" s="0" t="n">
        <v>14</v>
      </c>
      <c r="C3449" s="0" t="n">
        <v>4571</v>
      </c>
      <c r="D3449" s="0" t="n">
        <v>290</v>
      </c>
      <c r="E3449" s="0" t="n">
        <v>2</v>
      </c>
      <c r="F3449" s="23" t="s">
        <v>1539</v>
      </c>
      <c r="I3449" s="23" t="s">
        <v>357</v>
      </c>
      <c r="J3449" s="0" t="n">
        <v>67</v>
      </c>
      <c r="K3449" s="0" t="n">
        <v>67</v>
      </c>
      <c r="L3449" s="0" t="n">
        <v>266</v>
      </c>
      <c r="M3449" s="0" t="n">
        <v>1064.66</v>
      </c>
      <c r="N3449" s="0" t="n">
        <v>36.13</v>
      </c>
      <c r="O3449" s="0" t="n">
        <v>41.59</v>
      </c>
      <c r="P3449" s="0" t="n">
        <v>2.81</v>
      </c>
      <c r="Q3449" s="0" t="n">
        <v>4.01</v>
      </c>
      <c r="R3449" s="0" t="n">
        <v>4978</v>
      </c>
      <c r="S3449" s="0" t="n">
        <v>8973</v>
      </c>
      <c r="T3449" s="0" t="n">
        <v>52.95</v>
      </c>
      <c r="U3449" s="0" t="n">
        <v>1322</v>
      </c>
      <c r="V3449" s="0" t="n">
        <v>1</v>
      </c>
      <c r="W3449" s="0" t="str">
        <f aca="false">IF(OR(AND(B3449&gt;=1,B3449&lt;=6),B3449=10),"Vaca em lactação",IF(I3449="Male","Macho",IF(E3449&gt;=1,"Vaca seca",IF(I3449="Youngstock","Bezerra/recria","Novilha"))))</f>
        <v>Vaca seca</v>
      </c>
      <c r="X3449" s="0" t="str">
        <f aca="false">IF(AND(B3449&gt;=1,B3449&lt;=6),"Tanque",IF(B3449=10,"Descarte",""))</f>
        <v/>
      </c>
    </row>
    <row r="3450" customFormat="false" ht="15" hidden="false" customHeight="false" outlineLevel="0" collapsed="false">
      <c r="A3450" s="22" t="n">
        <v>46309</v>
      </c>
      <c r="B3450" s="0" t="n">
        <v>14</v>
      </c>
      <c r="C3450" s="0" t="n">
        <v>4382</v>
      </c>
      <c r="D3450" s="0" t="n">
        <v>637</v>
      </c>
      <c r="E3450" s="0" t="n">
        <v>1</v>
      </c>
      <c r="F3450" s="23" t="s">
        <v>399</v>
      </c>
      <c r="I3450" s="23" t="s">
        <v>357</v>
      </c>
      <c r="J3450" s="0" t="n">
        <v>414</v>
      </c>
      <c r="K3450" s="0" t="n">
        <v>65</v>
      </c>
      <c r="L3450" s="0" t="n">
        <v>266</v>
      </c>
      <c r="M3450" s="0" t="n">
        <v>1074.53</v>
      </c>
      <c r="N3450" s="0" t="n">
        <v>49.36</v>
      </c>
      <c r="O3450" s="0" t="n">
        <v>27.88</v>
      </c>
      <c r="P3450" s="0" t="n">
        <v>3.72</v>
      </c>
      <c r="Q3450" s="0" t="n">
        <v>3.51</v>
      </c>
      <c r="R3450" s="0" t="n">
        <v>4782</v>
      </c>
      <c r="S3450" s="0" t="n">
        <v>10672</v>
      </c>
      <c r="T3450" s="0" t="n">
        <v>39.5</v>
      </c>
      <c r="U3450" s="0" t="n">
        <v>1401</v>
      </c>
      <c r="V3450" s="0" t="n">
        <v>13</v>
      </c>
      <c r="W3450" s="0" t="str">
        <f aca="false">IF(OR(AND(B3450&gt;=1,B3450&lt;=6),B3450=10),"Vaca em lactação",IF(I3450="Male","Macho",IF(E3450&gt;=1,"Vaca seca",IF(I3450="Youngstock","Bezerra/recria","Novilha"))))</f>
        <v>Vaca seca</v>
      </c>
      <c r="X3450" s="0" t="str">
        <f aca="false">IF(AND(B3450&gt;=1,B3450&lt;=6),"Tanque",IF(B3450=10,"Descarte",""))</f>
        <v/>
      </c>
    </row>
    <row r="3451" customFormat="false" ht="15" hidden="false" customHeight="false" outlineLevel="0" collapsed="false">
      <c r="A3451" s="22" t="n">
        <v>46309</v>
      </c>
      <c r="B3451" s="0" t="n">
        <v>14</v>
      </c>
      <c r="C3451" s="0" t="n">
        <v>5808</v>
      </c>
      <c r="E3451" s="0" t="n">
        <v>0</v>
      </c>
      <c r="F3451" s="23" t="s">
        <v>125</v>
      </c>
      <c r="I3451" s="23" t="s">
        <v>92</v>
      </c>
      <c r="L3451" s="0" t="n">
        <v>266</v>
      </c>
      <c r="U3451" s="0" t="n">
        <v>792</v>
      </c>
      <c r="V3451" s="0" t="n">
        <v>4</v>
      </c>
      <c r="W3451" s="0" t="str">
        <f aca="false">IF(OR(AND(B3451&gt;=1,B3451&lt;=6),B3451=10),"Vaca em lactação",IF(I3451="Male","Macho",IF(E3451&gt;=1,"Vaca seca",IF(I3451="Youngstock","Bezerra/recria","Novilha"))))</f>
        <v>Novilha</v>
      </c>
      <c r="X3451" s="0" t="str">
        <f aca="false">IF(AND(B3451&gt;=1,B3451&lt;=6),"Tanque",IF(B3451=10,"Descarte",""))</f>
        <v/>
      </c>
    </row>
    <row r="3452" customFormat="false" ht="15" hidden="false" customHeight="false" outlineLevel="0" collapsed="false">
      <c r="A3452" s="22" t="n">
        <v>46309</v>
      </c>
      <c r="B3452" s="0" t="n">
        <v>14</v>
      </c>
      <c r="C3452" s="0" t="n">
        <v>5828</v>
      </c>
      <c r="E3452" s="0" t="n">
        <v>0</v>
      </c>
      <c r="F3452" s="23" t="s">
        <v>684</v>
      </c>
      <c r="I3452" s="23" t="s">
        <v>92</v>
      </c>
      <c r="L3452" s="0" t="n">
        <v>266</v>
      </c>
      <c r="U3452" s="0" t="n">
        <v>782</v>
      </c>
      <c r="V3452" s="0" t="n">
        <v>3</v>
      </c>
      <c r="W3452" s="0" t="str">
        <f aca="false">IF(OR(AND(B3452&gt;=1,B3452&lt;=6),B3452=10),"Vaca em lactação",IF(I3452="Male","Macho",IF(E3452&gt;=1,"Vaca seca",IF(I3452="Youngstock","Bezerra/recria","Novilha"))))</f>
        <v>Novilha</v>
      </c>
      <c r="X3452" s="0" t="str">
        <f aca="false">IF(AND(B3452&gt;=1,B3452&lt;=6),"Tanque",IF(B3452=10,"Descarte",""))</f>
        <v/>
      </c>
    </row>
    <row r="3453" customFormat="false" ht="15" hidden="false" customHeight="false" outlineLevel="0" collapsed="false">
      <c r="A3453" s="22" t="n">
        <v>46309</v>
      </c>
      <c r="B3453" s="0" t="n">
        <v>14</v>
      </c>
      <c r="C3453" s="0" t="n">
        <v>5987</v>
      </c>
      <c r="E3453" s="0" t="n">
        <v>0</v>
      </c>
      <c r="F3453" s="23" t="s">
        <v>150</v>
      </c>
      <c r="I3453" s="23" t="s">
        <v>92</v>
      </c>
      <c r="L3453" s="0" t="n">
        <v>266</v>
      </c>
      <c r="U3453" s="0" t="n">
        <v>726</v>
      </c>
      <c r="V3453" s="0" t="n">
        <v>3</v>
      </c>
      <c r="W3453" s="0" t="str">
        <f aca="false">IF(OR(AND(B3453&gt;=1,B3453&lt;=6),B3453=10),"Vaca em lactação",IF(I3453="Male","Macho",IF(E3453&gt;=1,"Vaca seca",IF(I3453="Youngstock","Bezerra/recria","Novilha"))))</f>
        <v>Novilha</v>
      </c>
      <c r="X3453" s="0" t="str">
        <f aca="false">IF(AND(B3453&gt;=1,B3453&lt;=6),"Tanque",IF(B3453=10,"Descarte",""))</f>
        <v/>
      </c>
    </row>
    <row r="3454" customFormat="false" ht="15" hidden="false" customHeight="false" outlineLevel="0" collapsed="false">
      <c r="A3454" s="22" t="n">
        <v>46309</v>
      </c>
      <c r="B3454" s="0" t="n">
        <v>14</v>
      </c>
      <c r="C3454" s="0" t="n">
        <v>5962</v>
      </c>
      <c r="E3454" s="0" t="n">
        <v>0</v>
      </c>
      <c r="F3454" s="23" t="s">
        <v>156</v>
      </c>
      <c r="I3454" s="23" t="s">
        <v>92</v>
      </c>
      <c r="L3454" s="0" t="n">
        <v>259</v>
      </c>
      <c r="U3454" s="0" t="n">
        <v>734</v>
      </c>
      <c r="V3454" s="0" t="n">
        <v>4</v>
      </c>
      <c r="W3454" s="0" t="str">
        <f aca="false">IF(OR(AND(B3454&gt;=1,B3454&lt;=6),B3454=10),"Vaca em lactação",IF(I3454="Male","Macho",IF(E3454&gt;=1,"Vaca seca",IF(I3454="Youngstock","Bezerra/recria","Novilha"))))</f>
        <v>Novilha</v>
      </c>
      <c r="X3454" s="0" t="str">
        <f aca="false">IF(AND(B3454&gt;=1,B3454&lt;=6),"Tanque",IF(B3454=10,"Descarte",""))</f>
        <v/>
      </c>
    </row>
    <row r="3455" customFormat="false" ht="15" hidden="false" customHeight="false" outlineLevel="0" collapsed="false">
      <c r="A3455" s="22" t="n">
        <v>46309</v>
      </c>
      <c r="B3455" s="0" t="n">
        <v>14</v>
      </c>
      <c r="C3455" s="0" t="n">
        <v>5974</v>
      </c>
      <c r="E3455" s="0" t="n">
        <v>0</v>
      </c>
      <c r="F3455" s="23" t="s">
        <v>160</v>
      </c>
      <c r="I3455" s="23" t="s">
        <v>92</v>
      </c>
      <c r="L3455" s="0" t="n">
        <v>274</v>
      </c>
      <c r="U3455" s="0" t="n">
        <v>730</v>
      </c>
      <c r="V3455" s="0" t="n">
        <v>4</v>
      </c>
      <c r="W3455" s="0" t="str">
        <f aca="false">IF(OR(AND(B3455&gt;=1,B3455&lt;=6),B3455=10),"Vaca em lactação",IF(I3455="Male","Macho",IF(E3455&gt;=1,"Vaca seca",IF(I3455="Youngstock","Bezerra/recria","Novilha"))))</f>
        <v>Novilha</v>
      </c>
      <c r="X3455" s="0" t="str">
        <f aca="false">IF(AND(B3455&gt;=1,B3455&lt;=6),"Tanque",IF(B3455=10,"Descarte",""))</f>
        <v/>
      </c>
    </row>
    <row r="3456" customFormat="false" ht="15" hidden="false" customHeight="false" outlineLevel="0" collapsed="false">
      <c r="A3456" s="22" t="n">
        <v>46309</v>
      </c>
      <c r="B3456" s="0" t="n">
        <v>14</v>
      </c>
      <c r="C3456" s="0" t="n">
        <v>5928</v>
      </c>
      <c r="E3456" s="0" t="n">
        <v>0</v>
      </c>
      <c r="F3456" s="23" t="s">
        <v>162</v>
      </c>
      <c r="I3456" s="23" t="s">
        <v>92</v>
      </c>
      <c r="L3456" s="0" t="n">
        <v>266</v>
      </c>
      <c r="U3456" s="0" t="n">
        <v>743</v>
      </c>
      <c r="V3456" s="0" t="n">
        <v>4</v>
      </c>
      <c r="W3456" s="0" t="str">
        <f aca="false">IF(OR(AND(B3456&gt;=1,B3456&lt;=6),B3456=10),"Vaca em lactação",IF(I3456="Male","Macho",IF(E3456&gt;=1,"Vaca seca",IF(I3456="Youngstock","Bezerra/recria","Novilha"))))</f>
        <v>Novilha</v>
      </c>
      <c r="X3456" s="0" t="str">
        <f aca="false">IF(AND(B3456&gt;=1,B3456&lt;=6),"Tanque",IF(B3456=10,"Descarte",""))</f>
        <v/>
      </c>
    </row>
    <row r="3457" customFormat="false" ht="15" hidden="false" customHeight="false" outlineLevel="0" collapsed="false">
      <c r="A3457" s="22" t="n">
        <v>46309</v>
      </c>
      <c r="B3457" s="0" t="n">
        <v>14</v>
      </c>
      <c r="C3457" s="0" t="n">
        <v>6021</v>
      </c>
      <c r="E3457" s="0" t="n">
        <v>0</v>
      </c>
      <c r="F3457" s="23" t="s">
        <v>1540</v>
      </c>
      <c r="I3457" s="23" t="s">
        <v>92</v>
      </c>
      <c r="L3457" s="0" t="n">
        <v>260</v>
      </c>
      <c r="U3457" s="0" t="n">
        <v>714</v>
      </c>
      <c r="V3457" s="0" t="n">
        <v>4</v>
      </c>
      <c r="W3457" s="0" t="str">
        <f aca="false">IF(OR(AND(B3457&gt;=1,B3457&lt;=6),B3457=10),"Vaca em lactação",IF(I3457="Male","Macho",IF(E3457&gt;=1,"Vaca seca",IF(I3457="Youngstock","Bezerra/recria","Novilha"))))</f>
        <v>Novilha</v>
      </c>
      <c r="X3457" s="0" t="str">
        <f aca="false">IF(AND(B3457&gt;=1,B3457&lt;=6),"Tanque",IF(B3457=10,"Descarte",""))</f>
        <v/>
      </c>
    </row>
    <row r="3458" customFormat="false" ht="15" hidden="false" customHeight="false" outlineLevel="0" collapsed="false">
      <c r="A3458" s="22" t="n">
        <v>46309</v>
      </c>
      <c r="B3458" s="0" t="n">
        <v>14</v>
      </c>
      <c r="C3458" s="0" t="n">
        <v>6015</v>
      </c>
      <c r="E3458" s="0" t="n">
        <v>0</v>
      </c>
      <c r="F3458" s="23" t="s">
        <v>177</v>
      </c>
      <c r="I3458" s="23" t="s">
        <v>92</v>
      </c>
      <c r="L3458" s="0" t="n">
        <v>255</v>
      </c>
      <c r="U3458" s="0" t="n">
        <v>715</v>
      </c>
      <c r="V3458" s="0" t="n">
        <v>4</v>
      </c>
      <c r="W3458" s="0" t="str">
        <f aca="false">IF(OR(AND(B3458&gt;=1,B3458&lt;=6),B3458=10),"Vaca em lactação",IF(I3458="Male","Macho",IF(E3458&gt;=1,"Vaca seca",IF(I3458="Youngstock","Bezerra/recria","Novilha"))))</f>
        <v>Novilha</v>
      </c>
      <c r="X3458" s="0" t="str">
        <f aca="false">IF(AND(B3458&gt;=1,B3458&lt;=6),"Tanque",IF(B3458=10,"Descarte",""))</f>
        <v/>
      </c>
    </row>
    <row r="3459" customFormat="false" ht="15" hidden="false" customHeight="false" outlineLevel="0" collapsed="false">
      <c r="A3459" s="22" t="n">
        <v>46309</v>
      </c>
      <c r="B3459" s="0" t="n">
        <v>14</v>
      </c>
      <c r="C3459" s="0" t="n">
        <v>6099</v>
      </c>
      <c r="E3459" s="0" t="n">
        <v>0</v>
      </c>
      <c r="F3459" s="23" t="s">
        <v>1541</v>
      </c>
      <c r="I3459" s="23" t="s">
        <v>92</v>
      </c>
      <c r="L3459" s="0" t="n">
        <v>266</v>
      </c>
      <c r="U3459" s="0" t="n">
        <v>682</v>
      </c>
      <c r="V3459" s="0" t="n">
        <v>2</v>
      </c>
      <c r="W3459" s="0" t="str">
        <f aca="false">IF(OR(AND(B3459&gt;=1,B3459&lt;=6),B3459=10),"Vaca em lactação",IF(I3459="Male","Macho",IF(E3459&gt;=1,"Vaca seca",IF(I3459="Youngstock","Bezerra/recria","Novilha"))))</f>
        <v>Novilha</v>
      </c>
      <c r="X3459" s="0" t="str">
        <f aca="false">IF(AND(B3459&gt;=1,B3459&lt;=6),"Tanque",IF(B3459=10,"Descarte",""))</f>
        <v/>
      </c>
    </row>
    <row r="3460" customFormat="false" ht="15" hidden="false" customHeight="false" outlineLevel="0" collapsed="false">
      <c r="A3460" s="22" t="n">
        <v>46309</v>
      </c>
      <c r="B3460" s="0" t="n">
        <v>14</v>
      </c>
      <c r="C3460" s="0" t="n">
        <v>6098</v>
      </c>
      <c r="E3460" s="0" t="n">
        <v>0</v>
      </c>
      <c r="F3460" s="23" t="s">
        <v>1542</v>
      </c>
      <c r="I3460" s="23" t="s">
        <v>92</v>
      </c>
      <c r="L3460" s="0" t="n">
        <v>265</v>
      </c>
      <c r="U3460" s="0" t="n">
        <v>684</v>
      </c>
      <c r="V3460" s="0" t="n">
        <v>3</v>
      </c>
      <c r="W3460" s="0" t="str">
        <f aca="false">IF(OR(AND(B3460&gt;=1,B3460&lt;=6),B3460=10),"Vaca em lactação",IF(I3460="Male","Macho",IF(E3460&gt;=1,"Vaca seca",IF(I3460="Youngstock","Bezerra/recria","Novilha"))))</f>
        <v>Novilha</v>
      </c>
      <c r="X3460" s="0" t="str">
        <f aca="false">IF(AND(B3460&gt;=1,B3460&lt;=6),"Tanque",IF(B3460=10,"Descarte",""))</f>
        <v/>
      </c>
    </row>
    <row r="3461" customFormat="false" ht="15" hidden="false" customHeight="false" outlineLevel="0" collapsed="false">
      <c r="A3461" s="22" t="n">
        <v>46309</v>
      </c>
      <c r="B3461" s="0" t="n">
        <v>14</v>
      </c>
      <c r="C3461" s="0" t="n">
        <v>6096</v>
      </c>
      <c r="E3461" s="0" t="n">
        <v>0</v>
      </c>
      <c r="F3461" s="23" t="s">
        <v>1543</v>
      </c>
      <c r="I3461" s="23" t="s">
        <v>92</v>
      </c>
      <c r="L3461" s="0" t="n">
        <v>259</v>
      </c>
      <c r="U3461" s="0" t="n">
        <v>685</v>
      </c>
      <c r="V3461" s="0" t="n">
        <v>2</v>
      </c>
      <c r="W3461" s="0" t="str">
        <f aca="false">IF(OR(AND(B3461&gt;=1,B3461&lt;=6),B3461=10),"Vaca em lactação",IF(I3461="Male","Macho",IF(E3461&gt;=1,"Vaca seca",IF(I3461="Youngstock","Bezerra/recria","Novilha"))))</f>
        <v>Novilha</v>
      </c>
      <c r="X3461" s="0" t="str">
        <f aca="false">IF(AND(B3461&gt;=1,B3461&lt;=6),"Tanque",IF(B3461=10,"Descarte",""))</f>
        <v/>
      </c>
    </row>
    <row r="3462" customFormat="false" ht="15" hidden="false" customHeight="false" outlineLevel="0" collapsed="false">
      <c r="A3462" s="22" t="n">
        <v>46309</v>
      </c>
      <c r="B3462" s="0" t="n">
        <v>14</v>
      </c>
      <c r="C3462" s="0" t="n">
        <v>6042</v>
      </c>
      <c r="E3462" s="0" t="n">
        <v>0</v>
      </c>
      <c r="F3462" s="23" t="s">
        <v>196</v>
      </c>
      <c r="I3462" s="23" t="s">
        <v>92</v>
      </c>
      <c r="L3462" s="0" t="n">
        <v>256</v>
      </c>
      <c r="U3462" s="0" t="n">
        <v>705</v>
      </c>
      <c r="V3462" s="0" t="n">
        <v>1</v>
      </c>
      <c r="W3462" s="0" t="str">
        <f aca="false">IF(OR(AND(B3462&gt;=1,B3462&lt;=6),B3462=10),"Vaca em lactação",IF(I3462="Male","Macho",IF(E3462&gt;=1,"Vaca seca",IF(I3462="Youngstock","Bezerra/recria","Novilha"))))</f>
        <v>Novilha</v>
      </c>
      <c r="X3462" s="0" t="str">
        <f aca="false">IF(AND(B3462&gt;=1,B3462&lt;=6),"Tanque",IF(B3462=10,"Descarte",""))</f>
        <v/>
      </c>
    </row>
    <row r="3463" customFormat="false" ht="15" hidden="false" customHeight="false" outlineLevel="0" collapsed="false">
      <c r="A3463" s="22" t="n">
        <v>46309</v>
      </c>
      <c r="B3463" s="0" t="n">
        <v>14</v>
      </c>
      <c r="C3463" s="0" t="n">
        <v>6063</v>
      </c>
      <c r="E3463" s="0" t="n">
        <v>0</v>
      </c>
      <c r="F3463" s="23" t="s">
        <v>190</v>
      </c>
      <c r="I3463" s="23" t="s">
        <v>92</v>
      </c>
      <c r="L3463" s="0" t="n">
        <v>259</v>
      </c>
      <c r="U3463" s="0" t="n">
        <v>699</v>
      </c>
      <c r="V3463" s="0" t="n">
        <v>4</v>
      </c>
      <c r="W3463" s="0" t="str">
        <f aca="false">IF(OR(AND(B3463&gt;=1,B3463&lt;=6),B3463=10),"Vaca em lactação",IF(I3463="Male","Macho",IF(E3463&gt;=1,"Vaca seca",IF(I3463="Youngstock","Bezerra/recria","Novilha"))))</f>
        <v>Novilha</v>
      </c>
      <c r="X3463" s="0" t="str">
        <f aca="false">IF(AND(B3463&gt;=1,B3463&lt;=6),"Tanque",IF(B3463=10,"Descarte",""))</f>
        <v/>
      </c>
    </row>
    <row r="3464" customFormat="false" ht="15" hidden="false" customHeight="false" outlineLevel="0" collapsed="false">
      <c r="A3464" s="22" t="n">
        <v>46309</v>
      </c>
      <c r="B3464" s="0" t="n">
        <v>14</v>
      </c>
      <c r="C3464" s="0" t="n">
        <v>6060</v>
      </c>
      <c r="E3464" s="0" t="n">
        <v>0</v>
      </c>
      <c r="F3464" s="23" t="s">
        <v>1544</v>
      </c>
      <c r="I3464" s="23" t="s">
        <v>92</v>
      </c>
      <c r="L3464" s="0" t="n">
        <v>273</v>
      </c>
      <c r="U3464" s="0" t="n">
        <v>700</v>
      </c>
      <c r="V3464" s="0" t="n">
        <v>3</v>
      </c>
      <c r="W3464" s="0" t="str">
        <f aca="false">IF(OR(AND(B3464&gt;=1,B3464&lt;=6),B3464=10),"Vaca em lactação",IF(I3464="Male","Macho",IF(E3464&gt;=1,"Vaca seca",IF(I3464="Youngstock","Bezerra/recria","Novilha"))))</f>
        <v>Novilha</v>
      </c>
      <c r="X3464" s="0" t="str">
        <f aca="false">IF(AND(B3464&gt;=1,B3464&lt;=6),"Tanque",IF(B3464=10,"Descarte",""))</f>
        <v/>
      </c>
    </row>
    <row r="3465" customFormat="false" ht="15" hidden="false" customHeight="false" outlineLevel="0" collapsed="false">
      <c r="A3465" s="22" t="n">
        <v>46309</v>
      </c>
      <c r="B3465" s="0" t="n">
        <v>14</v>
      </c>
      <c r="C3465" s="0" t="n">
        <v>6200</v>
      </c>
      <c r="E3465" s="0" t="n">
        <v>0</v>
      </c>
      <c r="F3465" s="23" t="s">
        <v>201</v>
      </c>
      <c r="I3465" s="23" t="s">
        <v>92</v>
      </c>
      <c r="L3465" s="0" t="n">
        <v>283</v>
      </c>
      <c r="U3465" s="0" t="n">
        <v>647</v>
      </c>
      <c r="V3465" s="0" t="n">
        <v>1</v>
      </c>
      <c r="W3465" s="0" t="str">
        <f aca="false">IF(OR(AND(B3465&gt;=1,B3465&lt;=6),B3465=10),"Vaca em lactação",IF(I3465="Male","Macho",IF(E3465&gt;=1,"Vaca seca",IF(I3465="Youngstock","Bezerra/recria","Novilha"))))</f>
        <v>Novilha</v>
      </c>
      <c r="X3465" s="0" t="str">
        <f aca="false">IF(AND(B3465&gt;=1,B3465&lt;=6),"Tanque",IF(B3465=10,"Descarte",""))</f>
        <v/>
      </c>
    </row>
    <row r="3466" customFormat="false" ht="15" hidden="false" customHeight="false" outlineLevel="0" collapsed="false">
      <c r="A3466" s="22" t="n">
        <v>46309</v>
      </c>
      <c r="B3466" s="0" t="n">
        <v>14</v>
      </c>
      <c r="C3466" s="0" t="n">
        <v>6155</v>
      </c>
      <c r="E3466" s="0" t="n">
        <v>0</v>
      </c>
      <c r="F3466" s="23" t="s">
        <v>204</v>
      </c>
      <c r="G3466" s="0" t="n">
        <v>23.8</v>
      </c>
      <c r="H3466" s="0" t="n">
        <v>28</v>
      </c>
      <c r="I3466" s="23" t="s">
        <v>92</v>
      </c>
      <c r="L3466" s="0" t="n">
        <v>288</v>
      </c>
      <c r="U3466" s="0" t="n">
        <v>662</v>
      </c>
      <c r="V3466" s="0" t="n">
        <v>1</v>
      </c>
      <c r="W3466" s="0" t="str">
        <f aca="false">IF(OR(AND(B3466&gt;=1,B3466&lt;=6),B3466=10),"Vaca em lactação",IF(I3466="Male","Macho",IF(E3466&gt;=1,"Vaca seca",IF(I3466="Youngstock","Bezerra/recria","Novilha"))))</f>
        <v>Novilha</v>
      </c>
      <c r="X3466" s="0" t="str">
        <f aca="false">IF(AND(B3466&gt;=1,B3466&lt;=6),"Tanque",IF(B3466=10,"Descarte",""))</f>
        <v/>
      </c>
    </row>
    <row r="3467" customFormat="false" ht="15" hidden="false" customHeight="false" outlineLevel="0" collapsed="false">
      <c r="A3467" s="22" t="n">
        <v>46309</v>
      </c>
      <c r="B3467" s="0" t="n">
        <v>14</v>
      </c>
      <c r="C3467" s="0" t="n">
        <v>6151</v>
      </c>
      <c r="E3467" s="0" t="n">
        <v>0</v>
      </c>
      <c r="F3467" s="23" t="s">
        <v>206</v>
      </c>
      <c r="I3467" s="23" t="s">
        <v>92</v>
      </c>
      <c r="L3467" s="0" t="n">
        <v>273</v>
      </c>
      <c r="U3467" s="0" t="n">
        <v>664</v>
      </c>
      <c r="V3467" s="0" t="n">
        <v>1</v>
      </c>
      <c r="W3467" s="0" t="str">
        <f aca="false">IF(OR(AND(B3467&gt;=1,B3467&lt;=6),B3467=10),"Vaca em lactação",IF(I3467="Male","Macho",IF(E3467&gt;=1,"Vaca seca",IF(I3467="Youngstock","Bezerra/recria","Novilha"))))</f>
        <v>Novilha</v>
      </c>
      <c r="X3467" s="0" t="str">
        <f aca="false">IF(AND(B3467&gt;=1,B3467&lt;=6),"Tanque",IF(B3467=10,"Descarte",""))</f>
        <v/>
      </c>
    </row>
    <row r="3468" customFormat="false" ht="15" hidden="false" customHeight="false" outlineLevel="0" collapsed="false">
      <c r="A3468" s="22" t="n">
        <v>46309</v>
      </c>
      <c r="B3468" s="0" t="n">
        <v>14</v>
      </c>
      <c r="C3468" s="0" t="n">
        <v>6185</v>
      </c>
      <c r="E3468" s="0" t="n">
        <v>0</v>
      </c>
      <c r="F3468" s="23" t="s">
        <v>1545</v>
      </c>
      <c r="I3468" s="23" t="s">
        <v>92</v>
      </c>
      <c r="L3468" s="0" t="n">
        <v>259</v>
      </c>
      <c r="U3468" s="0" t="n">
        <v>654</v>
      </c>
      <c r="V3468" s="0" t="n">
        <v>2</v>
      </c>
      <c r="W3468" s="0" t="str">
        <f aca="false">IF(OR(AND(B3468&gt;=1,B3468&lt;=6),B3468=10),"Vaca em lactação",IF(I3468="Male","Macho",IF(E3468&gt;=1,"Vaca seca",IF(I3468="Youngstock","Bezerra/recria","Novilha"))))</f>
        <v>Novilha</v>
      </c>
      <c r="X3468" s="0" t="str">
        <f aca="false">IF(AND(B3468&gt;=1,B3468&lt;=6),"Tanque",IF(B3468=10,"Descarte",""))</f>
        <v/>
      </c>
    </row>
    <row r="3469" customFormat="false" ht="15" hidden="false" customHeight="false" outlineLevel="0" collapsed="false">
      <c r="A3469" s="22" t="n">
        <v>46309</v>
      </c>
      <c r="B3469" s="0" t="n">
        <v>14</v>
      </c>
      <c r="C3469" s="0" t="n">
        <v>6120</v>
      </c>
      <c r="E3469" s="0" t="n">
        <v>0</v>
      </c>
      <c r="F3469" s="23" t="s">
        <v>213</v>
      </c>
      <c r="I3469" s="23" t="s">
        <v>92</v>
      </c>
      <c r="L3469" s="0" t="n">
        <v>262</v>
      </c>
      <c r="U3469" s="0" t="n">
        <v>672</v>
      </c>
      <c r="V3469" s="0" t="n">
        <v>3</v>
      </c>
      <c r="W3469" s="0" t="str">
        <f aca="false">IF(OR(AND(B3469&gt;=1,B3469&lt;=6),B3469=10),"Vaca em lactação",IF(I3469="Male","Macho",IF(E3469&gt;=1,"Vaca seca",IF(I3469="Youngstock","Bezerra/recria","Novilha"))))</f>
        <v>Novilha</v>
      </c>
      <c r="X3469" s="0" t="str">
        <f aca="false">IF(AND(B3469&gt;=1,B3469&lt;=6),"Tanque",IF(B3469=10,"Descarte",""))</f>
        <v/>
      </c>
    </row>
    <row r="3470" customFormat="false" ht="15" hidden="false" customHeight="false" outlineLevel="0" collapsed="false">
      <c r="A3470" s="22" t="n">
        <v>46309</v>
      </c>
      <c r="B3470" s="0" t="n">
        <v>14</v>
      </c>
      <c r="C3470" s="0" t="n">
        <v>6135</v>
      </c>
      <c r="E3470" s="0" t="n">
        <v>0</v>
      </c>
      <c r="F3470" s="23" t="s">
        <v>1068</v>
      </c>
      <c r="I3470" s="23" t="s">
        <v>92</v>
      </c>
      <c r="L3470" s="0" t="n">
        <v>280</v>
      </c>
      <c r="U3470" s="0" t="n">
        <v>667</v>
      </c>
      <c r="V3470" s="0" t="n">
        <v>1</v>
      </c>
      <c r="W3470" s="0" t="str">
        <f aca="false">IF(OR(AND(B3470&gt;=1,B3470&lt;=6),B3470=10),"Vaca em lactação",IF(I3470="Male","Macho",IF(E3470&gt;=1,"Vaca seca",IF(I3470="Youngstock","Bezerra/recria","Novilha"))))</f>
        <v>Novilha</v>
      </c>
      <c r="X3470" s="0" t="str">
        <f aca="false">IF(AND(B3470&gt;=1,B3470&lt;=6),"Tanque",IF(B3470=10,"Descarte",""))</f>
        <v/>
      </c>
    </row>
    <row r="3471" customFormat="false" ht="15" hidden="false" customHeight="false" outlineLevel="0" collapsed="false">
      <c r="A3471" s="22" t="n">
        <v>46309</v>
      </c>
      <c r="B3471" s="0" t="n">
        <v>14</v>
      </c>
      <c r="C3471" s="0" t="n">
        <v>6134</v>
      </c>
      <c r="E3471" s="0" t="n">
        <v>0</v>
      </c>
      <c r="F3471" s="23" t="s">
        <v>1068</v>
      </c>
      <c r="I3471" s="23" t="s">
        <v>92</v>
      </c>
      <c r="L3471" s="0" t="n">
        <v>256</v>
      </c>
      <c r="U3471" s="0" t="n">
        <v>667</v>
      </c>
      <c r="V3471" s="0" t="n">
        <v>3</v>
      </c>
      <c r="W3471" s="0" t="str">
        <f aca="false">IF(OR(AND(B3471&gt;=1,B3471&lt;=6),B3471=10),"Vaca em lactação",IF(I3471="Male","Macho",IF(E3471&gt;=1,"Vaca seca",IF(I3471="Youngstock","Bezerra/recria","Novilha"))))</f>
        <v>Novilha</v>
      </c>
      <c r="X3471" s="0" t="str">
        <f aca="false">IF(AND(B3471&gt;=1,B3471&lt;=6),"Tanque",IF(B3471=10,"Descarte",""))</f>
        <v/>
      </c>
    </row>
    <row r="3472" customFormat="false" ht="15" hidden="false" customHeight="false" outlineLevel="0" collapsed="false">
      <c r="A3472" s="22" t="n">
        <v>46309</v>
      </c>
      <c r="B3472" s="0" t="n">
        <v>14</v>
      </c>
      <c r="C3472" s="0" t="n">
        <v>6262</v>
      </c>
      <c r="E3472" s="0" t="n">
        <v>0</v>
      </c>
      <c r="F3472" s="23" t="s">
        <v>1027</v>
      </c>
      <c r="I3472" s="23" t="s">
        <v>92</v>
      </c>
      <c r="L3472" s="0" t="n">
        <v>260</v>
      </c>
      <c r="U3472" s="0" t="n">
        <v>623</v>
      </c>
      <c r="V3472" s="0" t="n">
        <v>1</v>
      </c>
      <c r="W3472" s="0" t="str">
        <f aca="false">IF(OR(AND(B3472&gt;=1,B3472&lt;=6),B3472=10),"Vaca em lactação",IF(I3472="Male","Macho",IF(E3472&gt;=1,"Vaca seca",IF(I3472="Youngstock","Bezerra/recria","Novilha"))))</f>
        <v>Novilha</v>
      </c>
      <c r="X3472" s="0" t="str">
        <f aca="false">IF(AND(B3472&gt;=1,B3472&lt;=6),"Tanque",IF(B3472=10,"Descarte",""))</f>
        <v/>
      </c>
    </row>
    <row r="3473" customFormat="false" ht="15" hidden="false" customHeight="false" outlineLevel="0" collapsed="false">
      <c r="A3473" s="22" t="n">
        <v>46309</v>
      </c>
      <c r="B3473" s="0" t="n">
        <v>14</v>
      </c>
      <c r="C3473" s="0" t="n">
        <v>6264</v>
      </c>
      <c r="E3473" s="0" t="n">
        <v>0</v>
      </c>
      <c r="F3473" s="23" t="s">
        <v>1045</v>
      </c>
      <c r="I3473" s="23" t="s">
        <v>92</v>
      </c>
      <c r="L3473" s="0" t="n">
        <v>255</v>
      </c>
      <c r="U3473" s="0" t="n">
        <v>622</v>
      </c>
      <c r="V3473" s="0" t="n">
        <v>1</v>
      </c>
      <c r="W3473" s="0" t="str">
        <f aca="false">IF(OR(AND(B3473&gt;=1,B3473&lt;=6),B3473=10),"Vaca em lactação",IF(I3473="Male","Macho",IF(E3473&gt;=1,"Vaca seca",IF(I3473="Youngstock","Bezerra/recria","Novilha"))))</f>
        <v>Novilha</v>
      </c>
      <c r="X3473" s="0" t="str">
        <f aca="false">IF(AND(B3473&gt;=1,B3473&lt;=6),"Tanque",IF(B3473=10,"Descarte",""))</f>
        <v/>
      </c>
    </row>
    <row r="3474" customFormat="false" ht="15" hidden="false" customHeight="false" outlineLevel="0" collapsed="false">
      <c r="A3474" s="22" t="n">
        <v>46309</v>
      </c>
      <c r="B3474" s="0" t="n">
        <v>14</v>
      </c>
      <c r="C3474" s="0" t="n">
        <v>6268</v>
      </c>
      <c r="E3474" s="0" t="n">
        <v>0</v>
      </c>
      <c r="F3474" s="23" t="s">
        <v>1046</v>
      </c>
      <c r="I3474" s="23" t="s">
        <v>92</v>
      </c>
      <c r="L3474" s="0" t="n">
        <v>263</v>
      </c>
      <c r="U3474" s="0" t="n">
        <v>621</v>
      </c>
      <c r="V3474" s="0" t="n">
        <v>1</v>
      </c>
      <c r="W3474" s="0" t="str">
        <f aca="false">IF(OR(AND(B3474&gt;=1,B3474&lt;=6),B3474=10),"Vaca em lactação",IF(I3474="Male","Macho",IF(E3474&gt;=1,"Vaca seca",IF(I3474="Youngstock","Bezerra/recria","Novilha"))))</f>
        <v>Novilha</v>
      </c>
      <c r="X3474" s="0" t="str">
        <f aca="false">IF(AND(B3474&gt;=1,B3474&lt;=6),"Tanque",IF(B3474=10,"Descarte",""))</f>
        <v/>
      </c>
    </row>
    <row r="3475" customFormat="false" ht="15" hidden="false" customHeight="false" outlineLevel="0" collapsed="false">
      <c r="A3475" s="22" t="n">
        <v>46309</v>
      </c>
      <c r="B3475" s="0" t="n">
        <v>14</v>
      </c>
      <c r="C3475" s="0" t="n">
        <v>6232</v>
      </c>
      <c r="E3475" s="0" t="n">
        <v>0</v>
      </c>
      <c r="F3475" s="23" t="s">
        <v>1029</v>
      </c>
      <c r="I3475" s="23" t="s">
        <v>92</v>
      </c>
      <c r="L3475" s="0" t="n">
        <v>265</v>
      </c>
      <c r="U3475" s="0" t="n">
        <v>635</v>
      </c>
      <c r="V3475" s="0" t="n">
        <v>1</v>
      </c>
      <c r="W3475" s="0" t="str">
        <f aca="false">IF(OR(AND(B3475&gt;=1,B3475&lt;=6),B3475=10),"Vaca em lactação",IF(I3475="Male","Macho",IF(E3475&gt;=1,"Vaca seca",IF(I3475="Youngstock","Bezerra/recria","Novilha"))))</f>
        <v>Novilha</v>
      </c>
      <c r="X3475" s="0" t="str">
        <f aca="false">IF(AND(B3475&gt;=1,B3475&lt;=6),"Tanque",IF(B3475=10,"Descarte",""))</f>
        <v/>
      </c>
    </row>
    <row r="3476" customFormat="false" ht="15" hidden="false" customHeight="false" outlineLevel="0" collapsed="false">
      <c r="A3476" s="22" t="n">
        <v>46309</v>
      </c>
      <c r="B3476" s="0" t="n">
        <v>14</v>
      </c>
      <c r="C3476" s="0" t="n">
        <v>6233</v>
      </c>
      <c r="E3476" s="0" t="n">
        <v>0</v>
      </c>
      <c r="F3476" s="23" t="s">
        <v>1546</v>
      </c>
      <c r="I3476" s="23" t="s">
        <v>92</v>
      </c>
      <c r="L3476" s="0" t="n">
        <v>269</v>
      </c>
      <c r="U3476" s="0" t="n">
        <v>633</v>
      </c>
      <c r="V3476" s="0" t="n">
        <v>1</v>
      </c>
      <c r="W3476" s="0" t="str">
        <f aca="false">IF(OR(AND(B3476&gt;=1,B3476&lt;=6),B3476=10),"Vaca em lactação",IF(I3476="Male","Macho",IF(E3476&gt;=1,"Vaca seca",IF(I3476="Youngstock","Bezerra/recria","Novilha"))))</f>
        <v>Novilha</v>
      </c>
      <c r="X3476" s="0" t="str">
        <f aca="false">IF(AND(B3476&gt;=1,B3476&lt;=6),"Tanque",IF(B3476=10,"Descarte",""))</f>
        <v/>
      </c>
    </row>
    <row r="3477" customFormat="false" ht="15" hidden="false" customHeight="false" outlineLevel="0" collapsed="false">
      <c r="A3477" s="22" t="n">
        <v>46309</v>
      </c>
      <c r="B3477" s="0" t="n">
        <v>14</v>
      </c>
      <c r="C3477" s="0" t="n">
        <v>6239</v>
      </c>
      <c r="E3477" s="0" t="n">
        <v>0</v>
      </c>
      <c r="F3477" s="23" t="s">
        <v>1051</v>
      </c>
      <c r="I3477" s="23" t="s">
        <v>92</v>
      </c>
      <c r="L3477" s="0" t="n">
        <v>271</v>
      </c>
      <c r="U3477" s="0" t="n">
        <v>630</v>
      </c>
      <c r="V3477" s="0" t="n">
        <v>1</v>
      </c>
      <c r="W3477" s="0" t="str">
        <f aca="false">IF(OR(AND(B3477&gt;=1,B3477&lt;=6),B3477=10),"Vaca em lactação",IF(I3477="Male","Macho",IF(E3477&gt;=1,"Vaca seca",IF(I3477="Youngstock","Bezerra/recria","Novilha"))))</f>
        <v>Novilha</v>
      </c>
      <c r="X3477" s="0" t="str">
        <f aca="false">IF(AND(B3477&gt;=1,B3477&lt;=6),"Tanque",IF(B3477=10,"Descarte",""))</f>
        <v/>
      </c>
    </row>
    <row r="3478" customFormat="false" ht="15" hidden="false" customHeight="false" outlineLevel="0" collapsed="false">
      <c r="A3478" s="22" t="n">
        <v>46309</v>
      </c>
      <c r="B3478" s="0" t="n">
        <v>14</v>
      </c>
      <c r="C3478" s="0" t="n">
        <v>6243</v>
      </c>
      <c r="E3478" s="0" t="n">
        <v>0</v>
      </c>
      <c r="F3478" s="23" t="s">
        <v>1030</v>
      </c>
      <c r="I3478" s="23" t="s">
        <v>92</v>
      </c>
      <c r="L3478" s="0" t="n">
        <v>255</v>
      </c>
      <c r="U3478" s="0" t="n">
        <v>629</v>
      </c>
      <c r="V3478" s="0" t="n">
        <v>1</v>
      </c>
      <c r="W3478" s="0" t="str">
        <f aca="false">IF(OR(AND(B3478&gt;=1,B3478&lt;=6),B3478=10),"Vaca em lactação",IF(I3478="Male","Macho",IF(E3478&gt;=1,"Vaca seca",IF(I3478="Youngstock","Bezerra/recria","Novilha"))))</f>
        <v>Novilha</v>
      </c>
      <c r="X3478" s="0" t="str">
        <f aca="false">IF(AND(B3478&gt;=1,B3478&lt;=6),"Tanque",IF(B3478=10,"Descarte",""))</f>
        <v/>
      </c>
    </row>
    <row r="3479" customFormat="false" ht="15" hidden="false" customHeight="false" outlineLevel="0" collapsed="false">
      <c r="A3479" s="22" t="n">
        <v>46309</v>
      </c>
      <c r="B3479" s="0" t="n">
        <v>14</v>
      </c>
      <c r="C3479" s="0" t="n">
        <v>6249</v>
      </c>
      <c r="E3479" s="0" t="n">
        <v>0</v>
      </c>
      <c r="F3479" s="23" t="s">
        <v>1547</v>
      </c>
      <c r="I3479" s="23" t="s">
        <v>92</v>
      </c>
      <c r="L3479" s="0" t="n">
        <v>260</v>
      </c>
      <c r="U3479" s="0" t="n">
        <v>628</v>
      </c>
      <c r="V3479" s="0" t="n">
        <v>1</v>
      </c>
      <c r="W3479" s="0" t="str">
        <f aca="false">IF(OR(AND(B3479&gt;=1,B3479&lt;=6),B3479=10),"Vaca em lactação",IF(I3479="Male","Macho",IF(E3479&gt;=1,"Vaca seca",IF(I3479="Youngstock","Bezerra/recria","Novilha"))))</f>
        <v>Novilha</v>
      </c>
      <c r="X3479" s="0" t="str">
        <f aca="false">IF(AND(B3479&gt;=1,B3479&lt;=6),"Tanque",IF(B3479=10,"Descarte",""))</f>
        <v/>
      </c>
    </row>
    <row r="3480" customFormat="false" ht="15" hidden="false" customHeight="false" outlineLevel="0" collapsed="false">
      <c r="A3480" s="22" t="n">
        <v>46309</v>
      </c>
      <c r="B3480" s="0" t="n">
        <v>14</v>
      </c>
      <c r="C3480" s="0" t="n">
        <v>6257</v>
      </c>
      <c r="E3480" s="0" t="n">
        <v>0</v>
      </c>
      <c r="F3480" s="23" t="s">
        <v>1548</v>
      </c>
      <c r="I3480" s="23" t="s">
        <v>92</v>
      </c>
      <c r="L3480" s="0" t="n">
        <v>263</v>
      </c>
      <c r="U3480" s="0" t="n">
        <v>625</v>
      </c>
      <c r="V3480" s="0" t="n">
        <v>1</v>
      </c>
      <c r="W3480" s="0" t="str">
        <f aca="false">IF(OR(AND(B3480&gt;=1,B3480&lt;=6),B3480=10),"Vaca em lactação",IF(I3480="Male","Macho",IF(E3480&gt;=1,"Vaca seca",IF(I3480="Youngstock","Bezerra/recria","Novilha"))))</f>
        <v>Novilha</v>
      </c>
      <c r="X3480" s="0" t="str">
        <f aca="false">IF(AND(B3480&gt;=1,B3480&lt;=6),"Tanque",IF(B3480=10,"Descarte",""))</f>
        <v/>
      </c>
    </row>
    <row r="3481" customFormat="false" ht="15" hidden="false" customHeight="false" outlineLevel="0" collapsed="false">
      <c r="A3481" s="22" t="n">
        <v>46309</v>
      </c>
      <c r="B3481" s="0" t="n">
        <v>14</v>
      </c>
      <c r="C3481" s="0" t="n">
        <v>6223</v>
      </c>
      <c r="E3481" s="0" t="n">
        <v>0</v>
      </c>
      <c r="F3481" s="23" t="s">
        <v>1055</v>
      </c>
      <c r="I3481" s="23" t="s">
        <v>92</v>
      </c>
      <c r="L3481" s="0" t="n">
        <v>262</v>
      </c>
      <c r="U3481" s="0" t="n">
        <v>638</v>
      </c>
      <c r="V3481" s="0" t="n">
        <v>1</v>
      </c>
      <c r="W3481" s="0" t="str">
        <f aca="false">IF(OR(AND(B3481&gt;=1,B3481&lt;=6),B3481=10),"Vaca em lactação",IF(I3481="Male","Macho",IF(E3481&gt;=1,"Vaca seca",IF(I3481="Youngstock","Bezerra/recria","Novilha"))))</f>
        <v>Novilha</v>
      </c>
      <c r="X3481" s="0" t="str">
        <f aca="false">IF(AND(B3481&gt;=1,B3481&lt;=6),"Tanque",IF(B3481=10,"Descarte",""))</f>
        <v/>
      </c>
    </row>
    <row r="3482" customFormat="false" ht="15" hidden="false" customHeight="false" outlineLevel="0" collapsed="false">
      <c r="A3482" s="22" t="n">
        <v>46309</v>
      </c>
      <c r="B3482" s="0" t="n">
        <v>14</v>
      </c>
      <c r="C3482" s="0" t="n">
        <v>6211</v>
      </c>
      <c r="E3482" s="0" t="n">
        <v>0</v>
      </c>
      <c r="F3482" s="23" t="s">
        <v>1056</v>
      </c>
      <c r="I3482" s="23" t="s">
        <v>92</v>
      </c>
      <c r="L3482" s="0" t="n">
        <v>265</v>
      </c>
      <c r="U3482" s="0" t="n">
        <v>643</v>
      </c>
      <c r="V3482" s="0" t="n">
        <v>1</v>
      </c>
      <c r="W3482" s="0" t="str">
        <f aca="false">IF(OR(AND(B3482&gt;=1,B3482&lt;=6),B3482=10),"Vaca em lactação",IF(I3482="Male","Macho",IF(E3482&gt;=1,"Vaca seca",IF(I3482="Youngstock","Bezerra/recria","Novilha"))))</f>
        <v>Novilha</v>
      </c>
      <c r="X3482" s="0" t="str">
        <f aca="false">IF(AND(B3482&gt;=1,B3482&lt;=6),"Tanque",IF(B3482=10,"Descarte",""))</f>
        <v/>
      </c>
    </row>
    <row r="3483" customFormat="false" ht="15" hidden="false" customHeight="false" outlineLevel="0" collapsed="false">
      <c r="A3483" s="22" t="n">
        <v>46309</v>
      </c>
      <c r="B3483" s="0" t="n">
        <v>14</v>
      </c>
      <c r="C3483" s="0" t="n">
        <v>6209</v>
      </c>
      <c r="E3483" s="0" t="n">
        <v>0</v>
      </c>
      <c r="F3483" s="23" t="s">
        <v>1549</v>
      </c>
      <c r="I3483" s="23" t="s">
        <v>92</v>
      </c>
      <c r="L3483" s="0" t="n">
        <v>261</v>
      </c>
      <c r="U3483" s="0" t="n">
        <v>644</v>
      </c>
      <c r="V3483" s="0" t="n">
        <v>1</v>
      </c>
      <c r="W3483" s="0" t="str">
        <f aca="false">IF(OR(AND(B3483&gt;=1,B3483&lt;=6),B3483=10),"Vaca em lactação",IF(I3483="Male","Macho",IF(E3483&gt;=1,"Vaca seca",IF(I3483="Youngstock","Bezerra/recria","Novilha"))))</f>
        <v>Novilha</v>
      </c>
      <c r="X3483" s="0" t="str">
        <f aca="false">IF(AND(B3483&gt;=1,B3483&lt;=6),"Tanque",IF(B3483=10,"Descarte",""))</f>
        <v/>
      </c>
    </row>
    <row r="3484" customFormat="false" ht="15" hidden="false" customHeight="false" outlineLevel="0" collapsed="false">
      <c r="A3484" s="22" t="n">
        <v>46309</v>
      </c>
      <c r="B3484" s="0" t="n">
        <v>14</v>
      </c>
      <c r="C3484" s="0" t="n">
        <v>6220</v>
      </c>
      <c r="E3484" s="0" t="n">
        <v>0</v>
      </c>
      <c r="F3484" s="23" t="s">
        <v>1058</v>
      </c>
      <c r="I3484" s="23" t="s">
        <v>92</v>
      </c>
      <c r="L3484" s="0" t="n">
        <v>267</v>
      </c>
      <c r="U3484" s="0" t="n">
        <v>639</v>
      </c>
      <c r="V3484" s="0" t="n">
        <v>1</v>
      </c>
      <c r="W3484" s="0" t="str">
        <f aca="false">IF(OR(AND(B3484&gt;=1,B3484&lt;=6),B3484=10),"Vaca em lactação",IF(I3484="Male","Macho",IF(E3484&gt;=1,"Vaca seca",IF(I3484="Youngstock","Bezerra/recria","Novilha"))))</f>
        <v>Novilha</v>
      </c>
      <c r="X3484" s="0" t="str">
        <f aca="false">IF(AND(B3484&gt;=1,B3484&lt;=6),"Tanque",IF(B3484=10,"Descarte",""))</f>
        <v/>
      </c>
    </row>
    <row r="3485" customFormat="false" ht="15" hidden="false" customHeight="false" outlineLevel="0" collapsed="false">
      <c r="A3485" s="22" t="n">
        <v>46309</v>
      </c>
      <c r="B3485" s="0" t="n">
        <v>15</v>
      </c>
      <c r="C3485" s="0" t="n">
        <v>20632</v>
      </c>
      <c r="E3485" s="0" t="n">
        <v>0</v>
      </c>
      <c r="F3485" s="23" t="s">
        <v>655</v>
      </c>
      <c r="I3485" s="23" t="s">
        <v>1209</v>
      </c>
      <c r="U3485" s="0" t="n">
        <v>870</v>
      </c>
      <c r="V3485" s="0" t="n">
        <v>0</v>
      </c>
      <c r="W3485" s="0" t="str">
        <f aca="false">IF(OR(AND(B3485&gt;=1,B3485&lt;=6),B3485=10),"Vaca em lactação",IF(I3485="Male","Macho",IF(E3485&gt;=1,"Vaca seca",IF(I3485="Youngstock","Bezerra/recria","Novilha"))))</f>
        <v>Macho</v>
      </c>
      <c r="X3485" s="0" t="str">
        <f aca="false">IF(AND(B3485&gt;=1,B3485&lt;=6),"Tanque",IF(B3485=10,"Descarte",""))</f>
        <v/>
      </c>
    </row>
    <row r="3486" customFormat="false" ht="15" hidden="false" customHeight="false" outlineLevel="0" collapsed="false">
      <c r="A3486" s="22" t="n">
        <v>46309</v>
      </c>
      <c r="B3486" s="0" t="n">
        <v>15</v>
      </c>
      <c r="C3486" s="0" t="n">
        <v>20708</v>
      </c>
      <c r="E3486" s="0" t="n">
        <v>0</v>
      </c>
      <c r="F3486" s="23" t="s">
        <v>128</v>
      </c>
      <c r="I3486" s="23" t="s">
        <v>1209</v>
      </c>
      <c r="U3486" s="0" t="n">
        <v>798</v>
      </c>
      <c r="V3486" s="0" t="n">
        <v>0</v>
      </c>
      <c r="W3486" s="0" t="str">
        <f aca="false">IF(OR(AND(B3486&gt;=1,B3486&lt;=6),B3486=10),"Vaca em lactação",IF(I3486="Male","Macho",IF(E3486&gt;=1,"Vaca seca",IF(I3486="Youngstock","Bezerra/recria","Novilha"))))</f>
        <v>Macho</v>
      </c>
      <c r="X3486" s="0" t="str">
        <f aca="false">IF(AND(B3486&gt;=1,B3486&lt;=6),"Tanque",IF(B3486=10,"Descarte",""))</f>
        <v/>
      </c>
    </row>
    <row r="3487" customFormat="false" ht="15" hidden="false" customHeight="false" outlineLevel="0" collapsed="false">
      <c r="A3487" s="22" t="n">
        <v>46309</v>
      </c>
      <c r="B3487" s="0" t="n">
        <v>15</v>
      </c>
      <c r="C3487" s="0" t="n">
        <v>20910</v>
      </c>
      <c r="E3487" s="0" t="n">
        <v>0</v>
      </c>
      <c r="F3487" s="23" t="s">
        <v>203</v>
      </c>
      <c r="I3487" s="23" t="s">
        <v>1209</v>
      </c>
      <c r="U3487" s="0" t="n">
        <v>663</v>
      </c>
      <c r="V3487" s="0" t="n">
        <v>0</v>
      </c>
      <c r="W3487" s="0" t="str">
        <f aca="false">IF(OR(AND(B3487&gt;=1,B3487&lt;=6),B3487=10),"Vaca em lactação",IF(I3487="Male","Macho",IF(E3487&gt;=1,"Vaca seca",IF(I3487="Youngstock","Bezerra/recria","Novilha"))))</f>
        <v>Macho</v>
      </c>
      <c r="X3487" s="0" t="str">
        <f aca="false">IF(AND(B3487&gt;=1,B3487&lt;=6),"Tanque",IF(B3487=10,"Descarte",""))</f>
        <v/>
      </c>
    </row>
    <row r="3488" customFormat="false" ht="15" hidden="false" customHeight="false" outlineLevel="0" collapsed="false">
      <c r="A3488" s="22" t="n">
        <v>46309</v>
      </c>
      <c r="B3488" s="0" t="n">
        <v>15</v>
      </c>
      <c r="C3488" s="0" t="n">
        <v>30014</v>
      </c>
      <c r="E3488" s="0" t="n">
        <v>0</v>
      </c>
      <c r="F3488" s="23" t="s">
        <v>1066</v>
      </c>
      <c r="I3488" s="23" t="s">
        <v>1209</v>
      </c>
      <c r="U3488" s="0" t="n">
        <v>600</v>
      </c>
      <c r="V3488" s="0" t="n">
        <v>0</v>
      </c>
      <c r="W3488" s="0" t="str">
        <f aca="false">IF(OR(AND(B3488&gt;=1,B3488&lt;=6),B3488=10),"Vaca em lactação",IF(I3488="Male","Macho",IF(E3488&gt;=1,"Vaca seca",IF(I3488="Youngstock","Bezerra/recria","Novilha"))))</f>
        <v>Macho</v>
      </c>
      <c r="X3488" s="0" t="str">
        <f aca="false">IF(AND(B3488&gt;=1,B3488&lt;=6),"Tanque",IF(B3488=10,"Descarte",""))</f>
        <v/>
      </c>
    </row>
    <row r="3489" customFormat="false" ht="15" hidden="false" customHeight="false" outlineLevel="0" collapsed="false">
      <c r="A3489" s="22" t="n">
        <v>46309</v>
      </c>
      <c r="B3489" s="0" t="n">
        <v>15</v>
      </c>
      <c r="C3489" s="0" t="n">
        <v>31057</v>
      </c>
      <c r="E3489" s="0" t="n">
        <v>0</v>
      </c>
      <c r="F3489" s="23" t="s">
        <v>1115</v>
      </c>
      <c r="I3489" s="23" t="s">
        <v>1209</v>
      </c>
      <c r="U3489" s="0" t="n">
        <v>517</v>
      </c>
      <c r="V3489" s="0" t="n">
        <v>0</v>
      </c>
      <c r="W3489" s="0" t="str">
        <f aca="false">IF(OR(AND(B3489&gt;=1,B3489&lt;=6),B3489=10),"Vaca em lactação",IF(I3489="Male","Macho",IF(E3489&gt;=1,"Vaca seca",IF(I3489="Youngstock","Bezerra/recria","Novilha"))))</f>
        <v>Macho</v>
      </c>
      <c r="X3489" s="0" t="str">
        <f aca="false">IF(AND(B3489&gt;=1,B3489&lt;=6),"Tanque",IF(B3489=10,"Descarte",""))</f>
        <v/>
      </c>
    </row>
    <row r="3490" customFormat="false" ht="15" hidden="false" customHeight="false" outlineLevel="0" collapsed="false">
      <c r="A3490" s="22" t="n">
        <v>46309</v>
      </c>
      <c r="B3490" s="0" t="n">
        <v>15</v>
      </c>
      <c r="C3490" s="0" t="n">
        <v>30220</v>
      </c>
      <c r="E3490" s="0" t="n">
        <v>0</v>
      </c>
      <c r="F3490" s="23" t="s">
        <v>1156</v>
      </c>
      <c r="I3490" s="23" t="s">
        <v>1209</v>
      </c>
      <c r="U3490" s="0" t="n">
        <v>467</v>
      </c>
      <c r="V3490" s="0" t="n">
        <v>0</v>
      </c>
      <c r="W3490" s="0" t="str">
        <f aca="false">IF(OR(AND(B3490&gt;=1,B3490&lt;=6),B3490=10),"Vaca em lactação",IF(I3490="Male","Macho",IF(E3490&gt;=1,"Vaca seca",IF(I3490="Youngstock","Bezerra/recria","Novilha"))))</f>
        <v>Macho</v>
      </c>
      <c r="X3490" s="0" t="str">
        <f aca="false">IF(AND(B3490&gt;=1,B3490&lt;=6),"Tanque",IF(B3490=10,"Descarte",""))</f>
        <v/>
      </c>
    </row>
    <row r="3491" customFormat="false" ht="15" hidden="false" customHeight="false" outlineLevel="0" collapsed="false">
      <c r="A3491" s="22" t="n">
        <v>46309</v>
      </c>
      <c r="B3491" s="0" t="n">
        <v>15</v>
      </c>
      <c r="C3491" s="0" t="n">
        <v>30300</v>
      </c>
      <c r="E3491" s="0" t="n">
        <v>0</v>
      </c>
      <c r="F3491" s="23" t="s">
        <v>1550</v>
      </c>
      <c r="I3491" s="23" t="s">
        <v>1551</v>
      </c>
      <c r="U3491" s="0" t="n">
        <v>407</v>
      </c>
      <c r="V3491" s="0" t="n">
        <v>0</v>
      </c>
      <c r="W3491" s="0" t="str">
        <f aca="false">IF(OR(AND(B3491&gt;=1,B3491&lt;=6),B3491=10),"Vaca em lactação",IF(I3491="Male","Macho",IF(E3491&gt;=1,"Vaca seca",IF(I3491="Youngstock","Bezerra/recria","Novilha"))))</f>
        <v>Novilha</v>
      </c>
      <c r="X3491" s="0" t="str">
        <f aca="false">IF(AND(B3491&gt;=1,B3491&lt;=6),"Tanque",IF(B3491=10,"Descarte",""))</f>
        <v/>
      </c>
    </row>
    <row r="3492" customFormat="false" ht="15" hidden="false" customHeight="false" outlineLevel="0" collapsed="false">
      <c r="A3492" s="22" t="n">
        <v>46309</v>
      </c>
      <c r="B3492" s="0" t="n">
        <v>15</v>
      </c>
      <c r="C3492" s="0" t="n">
        <v>20971</v>
      </c>
      <c r="E3492" s="0" t="n">
        <v>0</v>
      </c>
      <c r="F3492" s="23" t="s">
        <v>1045</v>
      </c>
      <c r="I3492" s="23" t="s">
        <v>1209</v>
      </c>
      <c r="U3492" s="0" t="n">
        <v>622</v>
      </c>
      <c r="V3492" s="0" t="n">
        <v>0</v>
      </c>
      <c r="W3492" s="0" t="str">
        <f aca="false">IF(OR(AND(B3492&gt;=1,B3492&lt;=6),B3492=10),"Vaca em lactação",IF(I3492="Male","Macho",IF(E3492&gt;=1,"Vaca seca",IF(I3492="Youngstock","Bezerra/recria","Novilha"))))</f>
        <v>Macho</v>
      </c>
      <c r="X3492" s="0" t="str">
        <f aca="false">IF(AND(B3492&gt;=1,B3492&lt;=6),"Tanque",IF(B3492=10,"Descarte",""))</f>
        <v/>
      </c>
    </row>
    <row r="3493" customFormat="false" ht="15" hidden="false" customHeight="false" outlineLevel="0" collapsed="false">
      <c r="A3493" s="22" t="n">
        <v>46309</v>
      </c>
      <c r="B3493" s="0" t="n">
        <v>15</v>
      </c>
      <c r="C3493" s="0" t="n">
        <v>30391</v>
      </c>
      <c r="E3493" s="0" t="n">
        <v>0</v>
      </c>
      <c r="F3493" s="23" t="s">
        <v>1302</v>
      </c>
      <c r="I3493" s="23" t="s">
        <v>1209</v>
      </c>
      <c r="U3493" s="0" t="n">
        <v>320</v>
      </c>
      <c r="V3493" s="0" t="n">
        <v>0</v>
      </c>
      <c r="W3493" s="0" t="str">
        <f aca="false">IF(OR(AND(B3493&gt;=1,B3493&lt;=6),B3493=10),"Vaca em lactação",IF(I3493="Male","Macho",IF(E3493&gt;=1,"Vaca seca",IF(I3493="Youngstock","Bezerra/recria","Novilha"))))</f>
        <v>Macho</v>
      </c>
      <c r="X3493" s="0" t="str">
        <f aca="false">IF(AND(B3493&gt;=1,B3493&lt;=6),"Tanque",IF(B3493=10,"Descarte",""))</f>
        <v/>
      </c>
    </row>
    <row r="3494" customFormat="false" ht="15" hidden="false" customHeight="false" outlineLevel="0" collapsed="false">
      <c r="A3494" s="22" t="n">
        <v>46309</v>
      </c>
      <c r="B3494" s="0" t="n">
        <v>15</v>
      </c>
      <c r="C3494" s="0" t="n">
        <v>30390</v>
      </c>
      <c r="E3494" s="0" t="n">
        <v>0</v>
      </c>
      <c r="F3494" s="23" t="s">
        <v>1302</v>
      </c>
      <c r="I3494" s="23" t="s">
        <v>1209</v>
      </c>
      <c r="U3494" s="0" t="n">
        <v>320</v>
      </c>
      <c r="V3494" s="0" t="n">
        <v>0</v>
      </c>
      <c r="W3494" s="0" t="str">
        <f aca="false">IF(OR(AND(B3494&gt;=1,B3494&lt;=6),B3494=10),"Vaca em lactação",IF(I3494="Male","Macho",IF(E3494&gt;=1,"Vaca seca",IF(I3494="Youngstock","Bezerra/recria","Novilha"))))</f>
        <v>Macho</v>
      </c>
      <c r="X3494" s="0" t="str">
        <f aca="false">IF(AND(B3494&gt;=1,B3494&lt;=6),"Tanque",IF(B3494=10,"Descarte",""))</f>
        <v/>
      </c>
    </row>
    <row r="3495" customFormat="false" ht="15" hidden="false" customHeight="false" outlineLevel="0" collapsed="false">
      <c r="A3495" s="22" t="n">
        <v>46309</v>
      </c>
      <c r="B3495" s="0" t="n">
        <v>15</v>
      </c>
      <c r="C3495" s="0" t="n">
        <v>30394</v>
      </c>
      <c r="E3495" s="0" t="n">
        <v>0</v>
      </c>
      <c r="F3495" s="23" t="s">
        <v>1304</v>
      </c>
      <c r="I3495" s="23" t="s">
        <v>1209</v>
      </c>
      <c r="U3495" s="0" t="n">
        <v>319</v>
      </c>
      <c r="V3495" s="0" t="n">
        <v>0</v>
      </c>
      <c r="W3495" s="0" t="str">
        <f aca="false">IF(OR(AND(B3495&gt;=1,B3495&lt;=6),B3495=10),"Vaca em lactação",IF(I3495="Male","Macho",IF(E3495&gt;=1,"Vaca seca",IF(I3495="Youngstock","Bezerra/recria","Novilha"))))</f>
        <v>Macho</v>
      </c>
      <c r="X3495" s="0" t="str">
        <f aca="false">IF(AND(B3495&gt;=1,B3495&lt;=6),"Tanque",IF(B3495=10,"Descarte",""))</f>
        <v/>
      </c>
    </row>
    <row r="3496" customFormat="false" ht="15" hidden="false" customHeight="false" outlineLevel="0" collapsed="false">
      <c r="A3496" s="22" t="n">
        <v>46309</v>
      </c>
      <c r="B3496" s="0" t="n">
        <v>15</v>
      </c>
      <c r="C3496" s="0" t="n">
        <v>30371</v>
      </c>
      <c r="E3496" s="0" t="n">
        <v>0</v>
      </c>
      <c r="F3496" s="23" t="s">
        <v>1320</v>
      </c>
      <c r="I3496" s="23" t="s">
        <v>1209</v>
      </c>
      <c r="U3496" s="0" t="n">
        <v>338</v>
      </c>
      <c r="V3496" s="0" t="n">
        <v>0</v>
      </c>
      <c r="W3496" s="0" t="str">
        <f aca="false">IF(OR(AND(B3496&gt;=1,B3496&lt;=6),B3496=10),"Vaca em lactação",IF(I3496="Male","Macho",IF(E3496&gt;=1,"Vaca seca",IF(I3496="Youngstock","Bezerra/recria","Novilha"))))</f>
        <v>Macho</v>
      </c>
      <c r="X3496" s="0" t="str">
        <f aca="false">IF(AND(B3496&gt;=1,B3496&lt;=6),"Tanque",IF(B3496=10,"Descarte",""))</f>
        <v/>
      </c>
    </row>
    <row r="3497" customFormat="false" ht="15" hidden="false" customHeight="false" outlineLevel="0" collapsed="false">
      <c r="A3497" s="22" t="n">
        <v>46309</v>
      </c>
      <c r="B3497" s="0" t="n">
        <v>15</v>
      </c>
      <c r="C3497" s="0" t="n">
        <v>30422</v>
      </c>
      <c r="E3497" s="0" t="n">
        <v>0</v>
      </c>
      <c r="F3497" s="23" t="s">
        <v>1323</v>
      </c>
      <c r="I3497" s="23" t="s">
        <v>1209</v>
      </c>
      <c r="U3497" s="0" t="n">
        <v>302</v>
      </c>
      <c r="V3497" s="0" t="n">
        <v>0</v>
      </c>
      <c r="W3497" s="0" t="str">
        <f aca="false">IF(OR(AND(B3497&gt;=1,B3497&lt;=6),B3497=10),"Vaca em lactação",IF(I3497="Male","Macho",IF(E3497&gt;=1,"Vaca seca",IF(I3497="Youngstock","Bezerra/recria","Novilha"))))</f>
        <v>Macho</v>
      </c>
      <c r="X3497" s="0" t="str">
        <f aca="false">IF(AND(B3497&gt;=1,B3497&lt;=6),"Tanque",IF(B3497=10,"Descarte",""))</f>
        <v/>
      </c>
    </row>
    <row r="3498" customFormat="false" ht="15" hidden="false" customHeight="false" outlineLevel="0" collapsed="false">
      <c r="A3498" s="22" t="n">
        <v>46309</v>
      </c>
      <c r="B3498" s="0" t="n">
        <v>15</v>
      </c>
      <c r="C3498" s="0" t="n">
        <v>30420</v>
      </c>
      <c r="E3498" s="0" t="n">
        <v>0</v>
      </c>
      <c r="F3498" s="23" t="s">
        <v>1321</v>
      </c>
      <c r="I3498" s="23" t="s">
        <v>1209</v>
      </c>
      <c r="U3498" s="0" t="n">
        <v>303</v>
      </c>
      <c r="V3498" s="0" t="n">
        <v>0</v>
      </c>
      <c r="W3498" s="0" t="str">
        <f aca="false">IF(OR(AND(B3498&gt;=1,B3498&lt;=6),B3498=10),"Vaca em lactação",IF(I3498="Male","Macho",IF(E3498&gt;=1,"Vaca seca",IF(I3498="Youngstock","Bezerra/recria","Novilha"))))</f>
        <v>Macho</v>
      </c>
      <c r="X3498" s="0" t="str">
        <f aca="false">IF(AND(B3498&gt;=1,B3498&lt;=6),"Tanque",IF(B3498=10,"Descarte",""))</f>
        <v/>
      </c>
    </row>
    <row r="3499" customFormat="false" ht="15" hidden="false" customHeight="false" outlineLevel="0" collapsed="false">
      <c r="A3499" s="22" t="n">
        <v>46309</v>
      </c>
      <c r="B3499" s="0" t="n">
        <v>15</v>
      </c>
      <c r="C3499" s="0" t="n">
        <v>30419</v>
      </c>
      <c r="E3499" s="0" t="n">
        <v>0</v>
      </c>
      <c r="F3499" s="23" t="s">
        <v>1321</v>
      </c>
      <c r="I3499" s="23" t="s">
        <v>1209</v>
      </c>
      <c r="U3499" s="0" t="n">
        <v>303</v>
      </c>
      <c r="V3499" s="0" t="n">
        <v>0</v>
      </c>
      <c r="W3499" s="0" t="str">
        <f aca="false">IF(OR(AND(B3499&gt;=1,B3499&lt;=6),B3499=10),"Vaca em lactação",IF(I3499="Male","Macho",IF(E3499&gt;=1,"Vaca seca",IF(I3499="Youngstock","Bezerra/recria","Novilha"))))</f>
        <v>Macho</v>
      </c>
      <c r="X3499" s="0" t="str">
        <f aca="false">IF(AND(B3499&gt;=1,B3499&lt;=6),"Tanque",IF(B3499=10,"Descarte",""))</f>
        <v/>
      </c>
    </row>
    <row r="3500" customFormat="false" ht="15" hidden="false" customHeight="false" outlineLevel="0" collapsed="false">
      <c r="A3500" s="22" t="n">
        <v>46309</v>
      </c>
      <c r="B3500" s="0" t="n">
        <v>15</v>
      </c>
      <c r="C3500" s="0" t="n">
        <v>30425</v>
      </c>
      <c r="E3500" s="0" t="n">
        <v>0</v>
      </c>
      <c r="F3500" s="23" t="s">
        <v>1326</v>
      </c>
      <c r="I3500" s="23" t="s">
        <v>1209</v>
      </c>
      <c r="U3500" s="0" t="n">
        <v>297</v>
      </c>
      <c r="V3500" s="0" t="n">
        <v>0</v>
      </c>
      <c r="W3500" s="0" t="str">
        <f aca="false">IF(OR(AND(B3500&gt;=1,B3500&lt;=6),B3500=10),"Vaca em lactação",IF(I3500="Male","Macho",IF(E3500&gt;=1,"Vaca seca",IF(I3500="Youngstock","Bezerra/recria","Novilha"))))</f>
        <v>Macho</v>
      </c>
      <c r="X3500" s="0" t="str">
        <f aca="false">IF(AND(B3500&gt;=1,B3500&lt;=6),"Tanque",IF(B3500=10,"Descarte",""))</f>
        <v/>
      </c>
    </row>
    <row r="3501" customFormat="false" ht="15" hidden="false" customHeight="false" outlineLevel="0" collapsed="false">
      <c r="A3501" s="22" t="n">
        <v>46309</v>
      </c>
      <c r="B3501" s="0" t="n">
        <v>15</v>
      </c>
      <c r="C3501" s="0" t="n">
        <v>30432</v>
      </c>
      <c r="E3501" s="0" t="n">
        <v>0</v>
      </c>
      <c r="F3501" s="23" t="s">
        <v>1327</v>
      </c>
      <c r="I3501" s="23" t="s">
        <v>1209</v>
      </c>
      <c r="U3501" s="0" t="n">
        <v>296</v>
      </c>
      <c r="V3501" s="0" t="n">
        <v>0</v>
      </c>
      <c r="W3501" s="0" t="str">
        <f aca="false">IF(OR(AND(B3501&gt;=1,B3501&lt;=6),B3501=10),"Vaca em lactação",IF(I3501="Male","Macho",IF(E3501&gt;=1,"Vaca seca",IF(I3501="Youngstock","Bezerra/recria","Novilha"))))</f>
        <v>Macho</v>
      </c>
      <c r="X3501" s="0" t="str">
        <f aca="false">IF(AND(B3501&gt;=1,B3501&lt;=6),"Tanque",IF(B3501=10,"Descarte",""))</f>
        <v/>
      </c>
    </row>
    <row r="3502" customFormat="false" ht="15" hidden="false" customHeight="false" outlineLevel="0" collapsed="false">
      <c r="A3502" s="22" t="n">
        <v>46309</v>
      </c>
      <c r="B3502" s="0" t="n">
        <v>15</v>
      </c>
      <c r="C3502" s="0" t="n">
        <v>30430</v>
      </c>
      <c r="E3502" s="0" t="n">
        <v>0</v>
      </c>
      <c r="F3502" s="23" t="s">
        <v>1327</v>
      </c>
      <c r="I3502" s="23" t="s">
        <v>1551</v>
      </c>
      <c r="U3502" s="0" t="n">
        <v>296</v>
      </c>
      <c r="V3502" s="0" t="n">
        <v>0</v>
      </c>
      <c r="W3502" s="0" t="str">
        <f aca="false">IF(OR(AND(B3502&gt;=1,B3502&lt;=6),B3502=10),"Vaca em lactação",IF(I3502="Male","Macho",IF(E3502&gt;=1,"Vaca seca",IF(I3502="Youngstock","Bezerra/recria","Novilha"))))</f>
        <v>Novilha</v>
      </c>
      <c r="X3502" s="0" t="str">
        <f aca="false">IF(AND(B3502&gt;=1,B3502&lt;=6),"Tanque",IF(B3502=10,"Descarte",""))</f>
        <v/>
      </c>
    </row>
    <row r="3503" customFormat="false" ht="15" hidden="false" customHeight="false" outlineLevel="0" collapsed="false">
      <c r="A3503" s="22" t="n">
        <v>46309</v>
      </c>
      <c r="B3503" s="0" t="n">
        <v>15</v>
      </c>
      <c r="C3503" s="0" t="n">
        <v>30415</v>
      </c>
      <c r="E3503" s="0" t="n">
        <v>0</v>
      </c>
      <c r="F3503" s="23" t="s">
        <v>1332</v>
      </c>
      <c r="I3503" s="23" t="s">
        <v>1209</v>
      </c>
      <c r="U3503" s="0" t="n">
        <v>307</v>
      </c>
      <c r="V3503" s="0" t="n">
        <v>0</v>
      </c>
      <c r="W3503" s="0" t="str">
        <f aca="false">IF(OR(AND(B3503&gt;=1,B3503&lt;=6),B3503=10),"Vaca em lactação",IF(I3503="Male","Macho",IF(E3503&gt;=1,"Vaca seca",IF(I3503="Youngstock","Bezerra/recria","Novilha"))))</f>
        <v>Macho</v>
      </c>
      <c r="X3503" s="0" t="str">
        <f aca="false">IF(AND(B3503&gt;=1,B3503&lt;=6),"Tanque",IF(B3503=10,"Descarte",""))</f>
        <v/>
      </c>
    </row>
    <row r="3504" customFormat="false" ht="15" hidden="false" customHeight="false" outlineLevel="0" collapsed="false">
      <c r="A3504" s="22" t="n">
        <v>46309</v>
      </c>
      <c r="B3504" s="0" t="n">
        <v>15</v>
      </c>
      <c r="C3504" s="0" t="n">
        <v>30416</v>
      </c>
      <c r="E3504" s="0" t="n">
        <v>0</v>
      </c>
      <c r="F3504" s="23" t="s">
        <v>1334</v>
      </c>
      <c r="I3504" s="23" t="s">
        <v>1209</v>
      </c>
      <c r="U3504" s="0" t="n">
        <v>305</v>
      </c>
      <c r="V3504" s="0" t="n">
        <v>0</v>
      </c>
      <c r="W3504" s="0" t="str">
        <f aca="false">IF(OR(AND(B3504&gt;=1,B3504&lt;=6),B3504=10),"Vaca em lactação",IF(I3504="Male","Macho",IF(E3504&gt;=1,"Vaca seca",IF(I3504="Youngstock","Bezerra/recria","Novilha"))))</f>
        <v>Macho</v>
      </c>
      <c r="X3504" s="0" t="str">
        <f aca="false">IF(AND(B3504&gt;=1,B3504&lt;=6),"Tanque",IF(B3504=10,"Descarte",""))</f>
        <v/>
      </c>
    </row>
    <row r="3505" customFormat="false" ht="15" hidden="false" customHeight="false" outlineLevel="0" collapsed="false">
      <c r="A3505" s="22" t="n">
        <v>46309</v>
      </c>
      <c r="B3505" s="0" t="n">
        <v>15</v>
      </c>
      <c r="C3505" s="0" t="n">
        <v>30402</v>
      </c>
      <c r="E3505" s="0" t="n">
        <v>0</v>
      </c>
      <c r="F3505" s="23" t="s">
        <v>1340</v>
      </c>
      <c r="I3505" s="23" t="s">
        <v>1209</v>
      </c>
      <c r="U3505" s="0" t="n">
        <v>314</v>
      </c>
      <c r="V3505" s="0" t="n">
        <v>0</v>
      </c>
      <c r="W3505" s="0" t="str">
        <f aca="false">IF(OR(AND(B3505&gt;=1,B3505&lt;=6),B3505=10),"Vaca em lactação",IF(I3505="Male","Macho",IF(E3505&gt;=1,"Vaca seca",IF(I3505="Youngstock","Bezerra/recria","Novilha"))))</f>
        <v>Macho</v>
      </c>
      <c r="X3505" s="0" t="str">
        <f aca="false">IF(AND(B3505&gt;=1,B3505&lt;=6),"Tanque",IF(B3505=10,"Descarte",""))</f>
        <v/>
      </c>
    </row>
    <row r="3506" customFormat="false" ht="15" hidden="false" customHeight="false" outlineLevel="0" collapsed="false">
      <c r="A3506" s="22" t="n">
        <v>46309</v>
      </c>
      <c r="B3506" s="0" t="n">
        <v>15</v>
      </c>
      <c r="C3506" s="0" t="n">
        <v>30404</v>
      </c>
      <c r="E3506" s="0" t="n">
        <v>0</v>
      </c>
      <c r="F3506" s="23" t="s">
        <v>1336</v>
      </c>
      <c r="I3506" s="23" t="s">
        <v>1209</v>
      </c>
      <c r="U3506" s="0" t="n">
        <v>313</v>
      </c>
      <c r="V3506" s="0" t="n">
        <v>0</v>
      </c>
      <c r="W3506" s="0" t="str">
        <f aca="false">IF(OR(AND(B3506&gt;=1,B3506&lt;=6),B3506=10),"Vaca em lactação",IF(I3506="Male","Macho",IF(E3506&gt;=1,"Vaca seca",IF(I3506="Youngstock","Bezerra/recria","Novilha"))))</f>
        <v>Macho</v>
      </c>
      <c r="X3506" s="0" t="str">
        <f aca="false">IF(AND(B3506&gt;=1,B3506&lt;=6),"Tanque",IF(B3506=10,"Descarte",""))</f>
        <v/>
      </c>
    </row>
    <row r="3507" customFormat="false" ht="15" hidden="false" customHeight="false" outlineLevel="0" collapsed="false">
      <c r="A3507" s="22" t="n">
        <v>46309</v>
      </c>
      <c r="B3507" s="0" t="n">
        <v>15</v>
      </c>
      <c r="C3507" s="0" t="n">
        <v>30405</v>
      </c>
      <c r="E3507" s="0" t="n">
        <v>0</v>
      </c>
      <c r="F3507" s="23" t="s">
        <v>1336</v>
      </c>
      <c r="I3507" s="23" t="s">
        <v>1209</v>
      </c>
      <c r="U3507" s="0" t="n">
        <v>313</v>
      </c>
      <c r="V3507" s="0" t="n">
        <v>0</v>
      </c>
      <c r="W3507" s="0" t="str">
        <f aca="false">IF(OR(AND(B3507&gt;=1,B3507&lt;=6),B3507=10),"Vaca em lactação",IF(I3507="Male","Macho",IF(E3507&gt;=1,"Vaca seca",IF(I3507="Youngstock","Bezerra/recria","Novilha"))))</f>
        <v>Macho</v>
      </c>
      <c r="X3507" s="0" t="str">
        <f aca="false">IF(AND(B3507&gt;=1,B3507&lt;=6),"Tanque",IF(B3507=10,"Descarte",""))</f>
        <v/>
      </c>
    </row>
    <row r="3508" customFormat="false" ht="15" hidden="false" customHeight="false" outlineLevel="0" collapsed="false">
      <c r="A3508" s="22" t="n">
        <v>46309</v>
      </c>
      <c r="B3508" s="0" t="n">
        <v>15</v>
      </c>
      <c r="C3508" s="0" t="n">
        <v>30397</v>
      </c>
      <c r="E3508" s="0" t="n">
        <v>0</v>
      </c>
      <c r="F3508" s="23" t="s">
        <v>1303</v>
      </c>
      <c r="I3508" s="23" t="s">
        <v>1209</v>
      </c>
      <c r="U3508" s="0" t="n">
        <v>318</v>
      </c>
      <c r="V3508" s="0" t="n">
        <v>0</v>
      </c>
      <c r="W3508" s="0" t="str">
        <f aca="false">IF(OR(AND(B3508&gt;=1,B3508&lt;=6),B3508=10),"Vaca em lactação",IF(I3508="Male","Macho",IF(E3508&gt;=1,"Vaca seca",IF(I3508="Youngstock","Bezerra/recria","Novilha"))))</f>
        <v>Macho</v>
      </c>
      <c r="X3508" s="0" t="str">
        <f aca="false">IF(AND(B3508&gt;=1,B3508&lt;=6),"Tanque",IF(B3508=10,"Descarte",""))</f>
        <v/>
      </c>
    </row>
    <row r="3509" customFormat="false" ht="15" hidden="false" customHeight="false" outlineLevel="0" collapsed="false">
      <c r="A3509" s="22" t="n">
        <v>46309</v>
      </c>
      <c r="B3509" s="0" t="n">
        <v>15</v>
      </c>
      <c r="C3509" s="0" t="n">
        <v>30399</v>
      </c>
      <c r="E3509" s="0" t="n">
        <v>0</v>
      </c>
      <c r="F3509" s="23" t="s">
        <v>1339</v>
      </c>
      <c r="I3509" s="23" t="s">
        <v>1209</v>
      </c>
      <c r="U3509" s="0" t="n">
        <v>316</v>
      </c>
      <c r="V3509" s="0" t="n">
        <v>0</v>
      </c>
      <c r="W3509" s="0" t="str">
        <f aca="false">IF(OR(AND(B3509&gt;=1,B3509&lt;=6),B3509=10),"Vaca em lactação",IF(I3509="Male","Macho",IF(E3509&gt;=1,"Vaca seca",IF(I3509="Youngstock","Bezerra/recria","Novilha"))))</f>
        <v>Macho</v>
      </c>
      <c r="X3509" s="0" t="str">
        <f aca="false">IF(AND(B3509&gt;=1,B3509&lt;=6),"Tanque",IF(B3509=10,"Descarte",""))</f>
        <v/>
      </c>
    </row>
    <row r="3510" customFormat="false" ht="15" hidden="false" customHeight="false" outlineLevel="0" collapsed="false">
      <c r="A3510" s="22" t="n">
        <v>46309</v>
      </c>
      <c r="B3510" s="0" t="n">
        <v>15</v>
      </c>
      <c r="C3510" s="0" t="n">
        <v>30468</v>
      </c>
      <c r="E3510" s="0" t="n">
        <v>0</v>
      </c>
      <c r="F3510" s="23" t="s">
        <v>1342</v>
      </c>
      <c r="I3510" s="23" t="s">
        <v>1209</v>
      </c>
      <c r="U3510" s="0" t="n">
        <v>273</v>
      </c>
      <c r="V3510" s="0" t="n">
        <v>0</v>
      </c>
      <c r="W3510" s="0" t="str">
        <f aca="false">IF(OR(AND(B3510&gt;=1,B3510&lt;=6),B3510=10),"Vaca em lactação",IF(I3510="Male","Macho",IF(E3510&gt;=1,"Vaca seca",IF(I3510="Youngstock","Bezerra/recria","Novilha"))))</f>
        <v>Macho</v>
      </c>
      <c r="X3510" s="0" t="str">
        <f aca="false">IF(AND(B3510&gt;=1,B3510&lt;=6),"Tanque",IF(B3510=10,"Descarte",""))</f>
        <v/>
      </c>
    </row>
    <row r="3511" customFormat="false" ht="15" hidden="false" customHeight="false" outlineLevel="0" collapsed="false">
      <c r="A3511" s="22" t="n">
        <v>46309</v>
      </c>
      <c r="B3511" s="0" t="n">
        <v>15</v>
      </c>
      <c r="C3511" s="0" t="n">
        <v>30467</v>
      </c>
      <c r="E3511" s="0" t="n">
        <v>0</v>
      </c>
      <c r="F3511" s="23" t="s">
        <v>1352</v>
      </c>
      <c r="I3511" s="23" t="s">
        <v>1209</v>
      </c>
      <c r="U3511" s="0" t="n">
        <v>274</v>
      </c>
      <c r="V3511" s="0" t="n">
        <v>0</v>
      </c>
      <c r="W3511" s="0" t="str">
        <f aca="false">IF(OR(AND(B3511&gt;=1,B3511&lt;=6),B3511=10),"Vaca em lactação",IF(I3511="Male","Macho",IF(E3511&gt;=1,"Vaca seca",IF(I3511="Youngstock","Bezerra/recria","Novilha"))))</f>
        <v>Macho</v>
      </c>
      <c r="X3511" s="0" t="str">
        <f aca="false">IF(AND(B3511&gt;=1,B3511&lt;=6),"Tanque",IF(B3511=10,"Descarte",""))</f>
        <v/>
      </c>
    </row>
    <row r="3512" customFormat="false" ht="15" hidden="false" customHeight="false" outlineLevel="0" collapsed="false">
      <c r="A3512" s="22" t="n">
        <v>46309</v>
      </c>
      <c r="B3512" s="0" t="n">
        <v>15</v>
      </c>
      <c r="C3512" s="0" t="n">
        <v>30466</v>
      </c>
      <c r="E3512" s="0" t="n">
        <v>0</v>
      </c>
      <c r="F3512" s="23" t="s">
        <v>1352</v>
      </c>
      <c r="I3512" s="23" t="s">
        <v>1209</v>
      </c>
      <c r="U3512" s="0" t="n">
        <v>274</v>
      </c>
      <c r="V3512" s="0" t="n">
        <v>0</v>
      </c>
      <c r="W3512" s="0" t="str">
        <f aca="false">IF(OR(AND(B3512&gt;=1,B3512&lt;=6),B3512=10),"Vaca em lactação",IF(I3512="Male","Macho",IF(E3512&gt;=1,"Vaca seca",IF(I3512="Youngstock","Bezerra/recria","Novilha"))))</f>
        <v>Macho</v>
      </c>
      <c r="X3512" s="0" t="str">
        <f aca="false">IF(AND(B3512&gt;=1,B3512&lt;=6),"Tanque",IF(B3512=10,"Descarte",""))</f>
        <v/>
      </c>
    </row>
    <row r="3513" customFormat="false" ht="15" hidden="false" customHeight="false" outlineLevel="0" collapsed="false">
      <c r="A3513" s="22" t="n">
        <v>46309</v>
      </c>
      <c r="B3513" s="0" t="n">
        <v>15</v>
      </c>
      <c r="C3513" s="0" t="n">
        <v>30469</v>
      </c>
      <c r="E3513" s="0" t="n">
        <v>0</v>
      </c>
      <c r="F3513" s="23" t="s">
        <v>1344</v>
      </c>
      <c r="I3513" s="23" t="s">
        <v>1209</v>
      </c>
      <c r="U3513" s="0" t="n">
        <v>271</v>
      </c>
      <c r="V3513" s="0" t="n">
        <v>0</v>
      </c>
      <c r="W3513" s="0" t="str">
        <f aca="false">IF(OR(AND(B3513&gt;=1,B3513&lt;=6),B3513=10),"Vaca em lactação",IF(I3513="Male","Macho",IF(E3513&gt;=1,"Vaca seca",IF(I3513="Youngstock","Bezerra/recria","Novilha"))))</f>
        <v>Macho</v>
      </c>
      <c r="X3513" s="0" t="str">
        <f aca="false">IF(AND(B3513&gt;=1,B3513&lt;=6),"Tanque",IF(B3513=10,"Descarte",""))</f>
        <v/>
      </c>
    </row>
    <row r="3514" customFormat="false" ht="15" hidden="false" customHeight="false" outlineLevel="0" collapsed="false">
      <c r="A3514" s="22" t="n">
        <v>46309</v>
      </c>
      <c r="B3514" s="0" t="n">
        <v>15</v>
      </c>
      <c r="C3514" s="0" t="n">
        <v>30474</v>
      </c>
      <c r="E3514" s="0" t="n">
        <v>0</v>
      </c>
      <c r="F3514" s="23" t="s">
        <v>1343</v>
      </c>
      <c r="I3514" s="23" t="s">
        <v>1209</v>
      </c>
      <c r="U3514" s="0" t="n">
        <v>270</v>
      </c>
      <c r="V3514" s="0" t="n">
        <v>0</v>
      </c>
      <c r="W3514" s="0" t="str">
        <f aca="false">IF(OR(AND(B3514&gt;=1,B3514&lt;=6),B3514=10),"Vaca em lactação",IF(I3514="Male","Macho",IF(E3514&gt;=1,"Vaca seca",IF(I3514="Youngstock","Bezerra/recria","Novilha"))))</f>
        <v>Macho</v>
      </c>
      <c r="X3514" s="0" t="str">
        <f aca="false">IF(AND(B3514&gt;=1,B3514&lt;=6),"Tanque",IF(B3514=10,"Descarte",""))</f>
        <v/>
      </c>
    </row>
    <row r="3515" customFormat="false" ht="15" hidden="false" customHeight="false" outlineLevel="0" collapsed="false">
      <c r="A3515" s="22" t="n">
        <v>46309</v>
      </c>
      <c r="B3515" s="0" t="n">
        <v>15</v>
      </c>
      <c r="C3515" s="0" t="n">
        <v>30472</v>
      </c>
      <c r="E3515" s="0" t="n">
        <v>0</v>
      </c>
      <c r="F3515" s="23" t="s">
        <v>1343</v>
      </c>
      <c r="I3515" s="23" t="s">
        <v>1209</v>
      </c>
      <c r="U3515" s="0" t="n">
        <v>270</v>
      </c>
      <c r="V3515" s="0" t="n">
        <v>0</v>
      </c>
      <c r="W3515" s="0" t="str">
        <f aca="false">IF(OR(AND(B3515&gt;=1,B3515&lt;=6),B3515=10),"Vaca em lactação",IF(I3515="Male","Macho",IF(E3515&gt;=1,"Vaca seca",IF(I3515="Youngstock","Bezerra/recria","Novilha"))))</f>
        <v>Macho</v>
      </c>
      <c r="X3515" s="0" t="str">
        <f aca="false">IF(AND(B3515&gt;=1,B3515&lt;=6),"Tanque",IF(B3515=10,"Descarte",""))</f>
        <v/>
      </c>
    </row>
    <row r="3516" customFormat="false" ht="15" hidden="false" customHeight="false" outlineLevel="0" collapsed="false">
      <c r="A3516" s="22" t="n">
        <v>46309</v>
      </c>
      <c r="B3516" s="0" t="n">
        <v>15</v>
      </c>
      <c r="C3516" s="0" t="n">
        <v>30471</v>
      </c>
      <c r="E3516" s="0" t="n">
        <v>0</v>
      </c>
      <c r="F3516" s="23" t="s">
        <v>1344</v>
      </c>
      <c r="I3516" s="23" t="s">
        <v>1209</v>
      </c>
      <c r="U3516" s="0" t="n">
        <v>271</v>
      </c>
      <c r="V3516" s="0" t="n">
        <v>0</v>
      </c>
      <c r="W3516" s="0" t="str">
        <f aca="false">IF(OR(AND(B3516&gt;=1,B3516&lt;=6),B3516=10),"Vaca em lactação",IF(I3516="Male","Macho",IF(E3516&gt;=1,"Vaca seca",IF(I3516="Youngstock","Bezerra/recria","Novilha"))))</f>
        <v>Macho</v>
      </c>
      <c r="X3516" s="0" t="str">
        <f aca="false">IF(AND(B3516&gt;=1,B3516&lt;=6),"Tanque",IF(B3516=10,"Descarte",""))</f>
        <v/>
      </c>
    </row>
    <row r="3517" customFormat="false" ht="15" hidden="false" customHeight="false" outlineLevel="0" collapsed="false">
      <c r="A3517" s="22" t="n">
        <v>46309</v>
      </c>
      <c r="B3517" s="0" t="n">
        <v>15</v>
      </c>
      <c r="C3517" s="0" t="n">
        <v>30477</v>
      </c>
      <c r="E3517" s="0" t="n">
        <v>0</v>
      </c>
      <c r="F3517" s="23" t="s">
        <v>1345</v>
      </c>
      <c r="I3517" s="23" t="s">
        <v>1209</v>
      </c>
      <c r="U3517" s="0" t="n">
        <v>268</v>
      </c>
      <c r="V3517" s="0" t="n">
        <v>0</v>
      </c>
      <c r="W3517" s="0" t="str">
        <f aca="false">IF(OR(AND(B3517&gt;=1,B3517&lt;=6),B3517=10),"Vaca em lactação",IF(I3517="Male","Macho",IF(E3517&gt;=1,"Vaca seca",IF(I3517="Youngstock","Bezerra/recria","Novilha"))))</f>
        <v>Macho</v>
      </c>
      <c r="X3517" s="0" t="str">
        <f aca="false">IF(AND(B3517&gt;=1,B3517&lt;=6),"Tanque",IF(B3517=10,"Descarte",""))</f>
        <v/>
      </c>
    </row>
    <row r="3518" customFormat="false" ht="15" hidden="false" customHeight="false" outlineLevel="0" collapsed="false">
      <c r="A3518" s="22" t="n">
        <v>46309</v>
      </c>
      <c r="B3518" s="0" t="n">
        <v>15</v>
      </c>
      <c r="C3518" s="0" t="n">
        <v>30457</v>
      </c>
      <c r="E3518" s="0" t="n">
        <v>0</v>
      </c>
      <c r="F3518" s="23" t="s">
        <v>1349</v>
      </c>
      <c r="I3518" s="23" t="s">
        <v>1209</v>
      </c>
      <c r="U3518" s="0" t="n">
        <v>278</v>
      </c>
      <c r="V3518" s="0" t="n">
        <v>0</v>
      </c>
      <c r="W3518" s="0" t="str">
        <f aca="false">IF(OR(AND(B3518&gt;=1,B3518&lt;=6),B3518=10),"Vaca em lactação",IF(I3518="Male","Macho",IF(E3518&gt;=1,"Vaca seca",IF(I3518="Youngstock","Bezerra/recria","Novilha"))))</f>
        <v>Macho</v>
      </c>
      <c r="X3518" s="0" t="str">
        <f aca="false">IF(AND(B3518&gt;=1,B3518&lt;=6),"Tanque",IF(B3518=10,"Descarte",""))</f>
        <v/>
      </c>
    </row>
    <row r="3519" customFormat="false" ht="15" hidden="false" customHeight="false" outlineLevel="0" collapsed="false">
      <c r="A3519" s="22" t="n">
        <v>46309</v>
      </c>
      <c r="B3519" s="0" t="n">
        <v>15</v>
      </c>
      <c r="C3519" s="0" t="n">
        <v>30456</v>
      </c>
      <c r="E3519" s="0" t="n">
        <v>0</v>
      </c>
      <c r="F3519" s="23" t="s">
        <v>1350</v>
      </c>
      <c r="I3519" s="23" t="s">
        <v>1551</v>
      </c>
      <c r="U3519" s="0" t="n">
        <v>280</v>
      </c>
      <c r="V3519" s="0" t="n">
        <v>0</v>
      </c>
      <c r="W3519" s="0" t="str">
        <f aca="false">IF(OR(AND(B3519&gt;=1,B3519&lt;=6),B3519=10),"Vaca em lactação",IF(I3519="Male","Macho",IF(E3519&gt;=1,"Vaca seca",IF(I3519="Youngstock","Bezerra/recria","Novilha"))))</f>
        <v>Novilha</v>
      </c>
      <c r="X3519" s="0" t="str">
        <f aca="false">IF(AND(B3519&gt;=1,B3519&lt;=6),"Tanque",IF(B3519=10,"Descarte",""))</f>
        <v/>
      </c>
    </row>
    <row r="3520" customFormat="false" ht="15" hidden="false" customHeight="false" outlineLevel="0" collapsed="false">
      <c r="A3520" s="22" t="n">
        <v>46309</v>
      </c>
      <c r="B3520" s="0" t="n">
        <v>15</v>
      </c>
      <c r="C3520" s="0" t="n">
        <v>30465</v>
      </c>
      <c r="E3520" s="0" t="n">
        <v>0</v>
      </c>
      <c r="F3520" s="23" t="s">
        <v>1352</v>
      </c>
      <c r="I3520" s="23" t="s">
        <v>1551</v>
      </c>
      <c r="U3520" s="0" t="n">
        <v>274</v>
      </c>
      <c r="V3520" s="0" t="n">
        <v>0</v>
      </c>
      <c r="W3520" s="0" t="str">
        <f aca="false">IF(OR(AND(B3520&gt;=1,B3520&lt;=6),B3520=10),"Vaca em lactação",IF(I3520="Male","Macho",IF(E3520&gt;=1,"Vaca seca",IF(I3520="Youngstock","Bezerra/recria","Novilha"))))</f>
        <v>Novilha</v>
      </c>
      <c r="X3520" s="0" t="str">
        <f aca="false">IF(AND(B3520&gt;=1,B3520&lt;=6),"Tanque",IF(B3520=10,"Descarte",""))</f>
        <v/>
      </c>
    </row>
    <row r="3521" customFormat="false" ht="15" hidden="false" customHeight="false" outlineLevel="0" collapsed="false">
      <c r="A3521" s="22" t="n">
        <v>46309</v>
      </c>
      <c r="B3521" s="0" t="n">
        <v>15</v>
      </c>
      <c r="C3521" s="0" t="n">
        <v>30463</v>
      </c>
      <c r="E3521" s="0" t="n">
        <v>0</v>
      </c>
      <c r="F3521" s="23" t="s">
        <v>1353</v>
      </c>
      <c r="I3521" s="23" t="s">
        <v>1551</v>
      </c>
      <c r="U3521" s="0" t="n">
        <v>275</v>
      </c>
      <c r="V3521" s="0" t="n">
        <v>0</v>
      </c>
      <c r="W3521" s="0" t="str">
        <f aca="false">IF(OR(AND(B3521&gt;=1,B3521&lt;=6),B3521=10),"Vaca em lactação",IF(I3521="Male","Macho",IF(E3521&gt;=1,"Vaca seca",IF(I3521="Youngstock","Bezerra/recria","Novilha"))))</f>
        <v>Novilha</v>
      </c>
      <c r="X3521" s="0" t="str">
        <f aca="false">IF(AND(B3521&gt;=1,B3521&lt;=6),"Tanque",IF(B3521=10,"Descarte",""))</f>
        <v/>
      </c>
    </row>
    <row r="3522" customFormat="false" ht="15" hidden="false" customHeight="false" outlineLevel="0" collapsed="false">
      <c r="A3522" s="22" t="n">
        <v>46309</v>
      </c>
      <c r="B3522" s="0" t="n">
        <v>15</v>
      </c>
      <c r="C3522" s="0" t="n">
        <v>30462</v>
      </c>
      <c r="E3522" s="0" t="n">
        <v>0</v>
      </c>
      <c r="F3522" s="23" t="s">
        <v>1353</v>
      </c>
      <c r="I3522" s="23" t="s">
        <v>1209</v>
      </c>
      <c r="U3522" s="0" t="n">
        <v>275</v>
      </c>
      <c r="V3522" s="0" t="n">
        <v>0</v>
      </c>
      <c r="W3522" s="0" t="str">
        <f aca="false">IF(OR(AND(B3522&gt;=1,B3522&lt;=6),B3522=10),"Vaca em lactação",IF(I3522="Male","Macho",IF(E3522&gt;=1,"Vaca seca",IF(I3522="Youngstock","Bezerra/recria","Novilha"))))</f>
        <v>Macho</v>
      </c>
      <c r="X3522" s="0" t="str">
        <f aca="false">IF(AND(B3522&gt;=1,B3522&lt;=6),"Tanque",IF(B3522=10,"Descarte",""))</f>
        <v/>
      </c>
    </row>
    <row r="3523" customFormat="false" ht="15" hidden="false" customHeight="false" outlineLevel="0" collapsed="false">
      <c r="A3523" s="22" t="n">
        <v>46309</v>
      </c>
      <c r="B3523" s="0" t="n">
        <v>15</v>
      </c>
      <c r="C3523" s="0" t="n">
        <v>30461</v>
      </c>
      <c r="E3523" s="0" t="n">
        <v>0</v>
      </c>
      <c r="F3523" s="23" t="s">
        <v>1351</v>
      </c>
      <c r="I3523" s="23" t="s">
        <v>1209</v>
      </c>
      <c r="U3523" s="0" t="n">
        <v>276</v>
      </c>
      <c r="V3523" s="0" t="n">
        <v>0</v>
      </c>
      <c r="W3523" s="0" t="str">
        <f aca="false">IF(OR(AND(B3523&gt;=1,B3523&lt;=6),B3523=10),"Vaca em lactação",IF(I3523="Male","Macho",IF(E3523&gt;=1,"Vaca seca",IF(I3523="Youngstock","Bezerra/recria","Novilha"))))</f>
        <v>Macho</v>
      </c>
      <c r="X3523" s="0" t="str">
        <f aca="false">IF(AND(B3523&gt;=1,B3523&lt;=6),"Tanque",IF(B3523=10,"Descarte",""))</f>
        <v/>
      </c>
    </row>
    <row r="3524" customFormat="false" ht="15" hidden="false" customHeight="false" outlineLevel="0" collapsed="false">
      <c r="A3524" s="22" t="n">
        <v>46309</v>
      </c>
      <c r="B3524" s="0" t="n">
        <v>15</v>
      </c>
      <c r="C3524" s="0" t="n">
        <v>30447</v>
      </c>
      <c r="E3524" s="0" t="n">
        <v>0</v>
      </c>
      <c r="F3524" s="23" t="s">
        <v>1358</v>
      </c>
      <c r="I3524" s="23" t="s">
        <v>1209</v>
      </c>
      <c r="U3524" s="0" t="n">
        <v>285</v>
      </c>
      <c r="V3524" s="0" t="n">
        <v>0</v>
      </c>
      <c r="W3524" s="0" t="str">
        <f aca="false">IF(OR(AND(B3524&gt;=1,B3524&lt;=6),B3524=10),"Vaca em lactação",IF(I3524="Male","Macho",IF(E3524&gt;=1,"Vaca seca",IF(I3524="Youngstock","Bezerra/recria","Novilha"))))</f>
        <v>Macho</v>
      </c>
      <c r="X3524" s="0" t="str">
        <f aca="false">IF(AND(B3524&gt;=1,B3524&lt;=6),"Tanque",IF(B3524=10,"Descarte",""))</f>
        <v/>
      </c>
    </row>
    <row r="3525" customFormat="false" ht="15" hidden="false" customHeight="false" outlineLevel="0" collapsed="false">
      <c r="A3525" s="22" t="n">
        <v>46309</v>
      </c>
      <c r="B3525" s="0" t="n">
        <v>15</v>
      </c>
      <c r="C3525" s="0" t="n">
        <v>30446</v>
      </c>
      <c r="E3525" s="0" t="n">
        <v>0</v>
      </c>
      <c r="F3525" s="23" t="s">
        <v>1355</v>
      </c>
      <c r="I3525" s="23" t="s">
        <v>1209</v>
      </c>
      <c r="U3525" s="0" t="n">
        <v>287</v>
      </c>
      <c r="V3525" s="0" t="n">
        <v>0</v>
      </c>
      <c r="W3525" s="0" t="str">
        <f aca="false">IF(OR(AND(B3525&gt;=1,B3525&lt;=6),B3525=10),"Vaca em lactação",IF(I3525="Male","Macho",IF(E3525&gt;=1,"Vaca seca",IF(I3525="Youngstock","Bezerra/recria","Novilha"))))</f>
        <v>Macho</v>
      </c>
      <c r="X3525" s="0" t="str">
        <f aca="false">IF(AND(B3525&gt;=1,B3525&lt;=6),"Tanque",IF(B3525=10,"Descarte",""))</f>
        <v/>
      </c>
    </row>
    <row r="3526" customFormat="false" ht="15" hidden="false" customHeight="false" outlineLevel="0" collapsed="false">
      <c r="A3526" s="22" t="n">
        <v>46309</v>
      </c>
      <c r="B3526" s="0" t="n">
        <v>15</v>
      </c>
      <c r="C3526" s="0" t="n">
        <v>30445</v>
      </c>
      <c r="E3526" s="0" t="n">
        <v>0</v>
      </c>
      <c r="F3526" s="23" t="s">
        <v>1355</v>
      </c>
      <c r="I3526" s="23" t="s">
        <v>1209</v>
      </c>
      <c r="U3526" s="0" t="n">
        <v>287</v>
      </c>
      <c r="V3526" s="0" t="n">
        <v>0</v>
      </c>
      <c r="W3526" s="0" t="str">
        <f aca="false">IF(OR(AND(B3526&gt;=1,B3526&lt;=6),B3526=10),"Vaca em lactação",IF(I3526="Male","Macho",IF(E3526&gt;=1,"Vaca seca",IF(I3526="Youngstock","Bezerra/recria","Novilha"))))</f>
        <v>Macho</v>
      </c>
      <c r="X3526" s="0" t="str">
        <f aca="false">IF(AND(B3526&gt;=1,B3526&lt;=6),"Tanque",IF(B3526=10,"Descarte",""))</f>
        <v/>
      </c>
    </row>
    <row r="3527" customFormat="false" ht="15" hidden="false" customHeight="false" outlineLevel="0" collapsed="false">
      <c r="A3527" s="22" t="n">
        <v>46309</v>
      </c>
      <c r="B3527" s="0" t="n">
        <v>15</v>
      </c>
      <c r="C3527" s="0" t="n">
        <v>30448</v>
      </c>
      <c r="E3527" s="0" t="n">
        <v>0</v>
      </c>
      <c r="F3527" s="23" t="s">
        <v>1357</v>
      </c>
      <c r="I3527" s="23" t="s">
        <v>1209</v>
      </c>
      <c r="U3527" s="0" t="n">
        <v>284</v>
      </c>
      <c r="V3527" s="0" t="n">
        <v>0</v>
      </c>
      <c r="W3527" s="0" t="str">
        <f aca="false">IF(OR(AND(B3527&gt;=1,B3527&lt;=6),B3527=10),"Vaca em lactação",IF(I3527="Male","Macho",IF(E3527&gt;=1,"Vaca seca",IF(I3527="Youngstock","Bezerra/recria","Novilha"))))</f>
        <v>Macho</v>
      </c>
      <c r="X3527" s="0" t="str">
        <f aca="false">IF(AND(B3527&gt;=1,B3527&lt;=6),"Tanque",IF(B3527=10,"Descarte",""))</f>
        <v/>
      </c>
    </row>
    <row r="3528" customFormat="false" ht="15" hidden="false" customHeight="false" outlineLevel="0" collapsed="false">
      <c r="A3528" s="22" t="n">
        <v>46309</v>
      </c>
      <c r="B3528" s="0" t="n">
        <v>15</v>
      </c>
      <c r="C3528" s="0" t="n">
        <v>30452</v>
      </c>
      <c r="E3528" s="0" t="n">
        <v>0</v>
      </c>
      <c r="F3528" s="23" t="s">
        <v>1360</v>
      </c>
      <c r="I3528" s="23" t="s">
        <v>1209</v>
      </c>
      <c r="U3528" s="0" t="n">
        <v>281</v>
      </c>
      <c r="V3528" s="0" t="n">
        <v>0</v>
      </c>
      <c r="W3528" s="0" t="str">
        <f aca="false">IF(OR(AND(B3528&gt;=1,B3528&lt;=6),B3528=10),"Vaca em lactação",IF(I3528="Male","Macho",IF(E3528&gt;=1,"Vaca seca",IF(I3528="Youngstock","Bezerra/recria","Novilha"))))</f>
        <v>Macho</v>
      </c>
      <c r="X3528" s="0" t="str">
        <f aca="false">IF(AND(B3528&gt;=1,B3528&lt;=6),"Tanque",IF(B3528=10,"Descarte",""))</f>
        <v/>
      </c>
    </row>
    <row r="3529" customFormat="false" ht="15" hidden="false" customHeight="false" outlineLevel="0" collapsed="false">
      <c r="A3529" s="22" t="n">
        <v>46309</v>
      </c>
      <c r="B3529" s="0" t="n">
        <v>15</v>
      </c>
      <c r="C3529" s="0" t="n">
        <v>30450</v>
      </c>
      <c r="E3529" s="0" t="n">
        <v>0</v>
      </c>
      <c r="F3529" s="23" t="s">
        <v>1361</v>
      </c>
      <c r="I3529" s="23" t="s">
        <v>1209</v>
      </c>
      <c r="U3529" s="0" t="n">
        <v>282</v>
      </c>
      <c r="V3529" s="0" t="n">
        <v>0</v>
      </c>
      <c r="W3529" s="0" t="str">
        <f aca="false">IF(OR(AND(B3529&gt;=1,B3529&lt;=6),B3529=10),"Vaca em lactação",IF(I3529="Male","Macho",IF(E3529&gt;=1,"Vaca seca",IF(I3529="Youngstock","Bezerra/recria","Novilha"))))</f>
        <v>Macho</v>
      </c>
      <c r="X3529" s="0" t="str">
        <f aca="false">IF(AND(B3529&gt;=1,B3529&lt;=6),"Tanque",IF(B3529=10,"Descarte",""))</f>
        <v/>
      </c>
    </row>
    <row r="3530" customFormat="false" ht="15" hidden="false" customHeight="false" outlineLevel="0" collapsed="false">
      <c r="A3530" s="22" t="n">
        <v>46309</v>
      </c>
      <c r="B3530" s="0" t="n">
        <v>15</v>
      </c>
      <c r="C3530" s="0" t="n">
        <v>30453</v>
      </c>
      <c r="E3530" s="0" t="n">
        <v>0</v>
      </c>
      <c r="F3530" s="23" t="s">
        <v>1350</v>
      </c>
      <c r="I3530" s="23" t="s">
        <v>1209</v>
      </c>
      <c r="U3530" s="0" t="n">
        <v>280</v>
      </c>
      <c r="V3530" s="0" t="n">
        <v>0</v>
      </c>
      <c r="W3530" s="0" t="str">
        <f aca="false">IF(OR(AND(B3530&gt;=1,B3530&lt;=6),B3530=10),"Vaca em lactação",IF(I3530="Male","Macho",IF(E3530&gt;=1,"Vaca seca",IF(I3530="Youngstock","Bezerra/recria","Novilha"))))</f>
        <v>Macho</v>
      </c>
      <c r="X3530" s="0" t="str">
        <f aca="false">IF(AND(B3530&gt;=1,B3530&lt;=6),"Tanque",IF(B3530=10,"Descarte",""))</f>
        <v/>
      </c>
    </row>
    <row r="3531" customFormat="false" ht="15" hidden="false" customHeight="false" outlineLevel="0" collapsed="false">
      <c r="A3531" s="22" t="n">
        <v>46309</v>
      </c>
      <c r="B3531" s="0" t="n">
        <v>15</v>
      </c>
      <c r="C3531" s="0" t="n">
        <v>30434</v>
      </c>
      <c r="E3531" s="0" t="n">
        <v>0</v>
      </c>
      <c r="F3531" s="23" t="s">
        <v>1362</v>
      </c>
      <c r="I3531" s="23" t="s">
        <v>1551</v>
      </c>
      <c r="U3531" s="0" t="n">
        <v>294</v>
      </c>
      <c r="V3531" s="0" t="n">
        <v>0</v>
      </c>
      <c r="W3531" s="0" t="str">
        <f aca="false">IF(OR(AND(B3531&gt;=1,B3531&lt;=6),B3531=10),"Vaca em lactação",IF(I3531="Male","Macho",IF(E3531&gt;=1,"Vaca seca",IF(I3531="Youngstock","Bezerra/recria","Novilha"))))</f>
        <v>Novilha</v>
      </c>
      <c r="X3531" s="0" t="str">
        <f aca="false">IF(AND(B3531&gt;=1,B3531&lt;=6),"Tanque",IF(B3531=10,"Descarte",""))</f>
        <v/>
      </c>
    </row>
    <row r="3532" customFormat="false" ht="15" hidden="false" customHeight="false" outlineLevel="0" collapsed="false">
      <c r="A3532" s="22" t="n">
        <v>46309</v>
      </c>
      <c r="B3532" s="0" t="n">
        <v>15</v>
      </c>
      <c r="C3532" s="0" t="n">
        <v>30437</v>
      </c>
      <c r="E3532" s="0" t="n">
        <v>0</v>
      </c>
      <c r="F3532" s="23" t="s">
        <v>1552</v>
      </c>
      <c r="I3532" s="23" t="s">
        <v>1209</v>
      </c>
      <c r="U3532" s="0" t="n">
        <v>293</v>
      </c>
      <c r="V3532" s="0" t="n">
        <v>0</v>
      </c>
      <c r="W3532" s="0" t="str">
        <f aca="false">IF(OR(AND(B3532&gt;=1,B3532&lt;=6),B3532=10),"Vaca em lactação",IF(I3532="Male","Macho",IF(E3532&gt;=1,"Vaca seca",IF(I3532="Youngstock","Bezerra/recria","Novilha"))))</f>
        <v>Macho</v>
      </c>
      <c r="X3532" s="0" t="str">
        <f aca="false">IF(AND(B3532&gt;=1,B3532&lt;=6),"Tanque",IF(B3532=10,"Descarte",""))</f>
        <v/>
      </c>
    </row>
    <row r="3533" customFormat="false" ht="15" hidden="false" customHeight="false" outlineLevel="0" collapsed="false">
      <c r="A3533" s="22" t="n">
        <v>46309</v>
      </c>
      <c r="B3533" s="0" t="n">
        <v>15</v>
      </c>
      <c r="C3533" s="0" t="n">
        <v>30441</v>
      </c>
      <c r="E3533" s="0" t="n">
        <v>0</v>
      </c>
      <c r="F3533" s="23" t="s">
        <v>1553</v>
      </c>
      <c r="I3533" s="23" t="s">
        <v>1209</v>
      </c>
      <c r="U3533" s="0" t="n">
        <v>290</v>
      </c>
      <c r="V3533" s="0" t="n">
        <v>0</v>
      </c>
      <c r="W3533" s="0" t="str">
        <f aca="false">IF(OR(AND(B3533&gt;=1,B3533&lt;=6),B3533=10),"Vaca em lactação",IF(I3533="Male","Macho",IF(E3533&gt;=1,"Vaca seca",IF(I3533="Youngstock","Bezerra/recria","Novilha"))))</f>
        <v>Macho</v>
      </c>
      <c r="X3533" s="0" t="str">
        <f aca="false">IF(AND(B3533&gt;=1,B3533&lt;=6),"Tanque",IF(B3533=10,"Descarte",""))</f>
        <v/>
      </c>
    </row>
    <row r="3534" customFormat="false" ht="15" hidden="false" customHeight="false" outlineLevel="0" collapsed="false">
      <c r="A3534" s="22" t="n">
        <v>46309</v>
      </c>
      <c r="B3534" s="0" t="n">
        <v>15</v>
      </c>
      <c r="C3534" s="0" t="n">
        <v>30443</v>
      </c>
      <c r="E3534" s="0" t="n">
        <v>0</v>
      </c>
      <c r="F3534" s="23" t="s">
        <v>1365</v>
      </c>
      <c r="I3534" s="23" t="s">
        <v>1209</v>
      </c>
      <c r="U3534" s="0" t="n">
        <v>289</v>
      </c>
      <c r="V3534" s="0" t="n">
        <v>0</v>
      </c>
      <c r="W3534" s="0" t="str">
        <f aca="false">IF(OR(AND(B3534&gt;=1,B3534&lt;=6),B3534=10),"Vaca em lactação",IF(I3534="Male","Macho",IF(E3534&gt;=1,"Vaca seca",IF(I3534="Youngstock","Bezerra/recria","Novilha"))))</f>
        <v>Macho</v>
      </c>
      <c r="X3534" s="0" t="str">
        <f aca="false">IF(AND(B3534&gt;=1,B3534&lt;=6),"Tanque",IF(B3534=10,"Descarte",""))</f>
        <v/>
      </c>
    </row>
    <row r="3535" customFormat="false" ht="15" hidden="false" customHeight="false" outlineLevel="0" collapsed="false">
      <c r="A3535" s="22" t="n">
        <v>46309</v>
      </c>
      <c r="B3535" s="0" t="n">
        <v>15</v>
      </c>
      <c r="C3535" s="0" t="n">
        <v>30507</v>
      </c>
      <c r="E3535" s="0" t="n">
        <v>0</v>
      </c>
      <c r="F3535" s="23" t="s">
        <v>1366</v>
      </c>
      <c r="I3535" s="23" t="s">
        <v>1209</v>
      </c>
      <c r="U3535" s="0" t="n">
        <v>248</v>
      </c>
      <c r="V3535" s="0" t="n">
        <v>0</v>
      </c>
      <c r="W3535" s="0" t="str">
        <f aca="false">IF(OR(AND(B3535&gt;=1,B3535&lt;=6),B3535=10),"Vaca em lactação",IF(I3535="Male","Macho",IF(E3535&gt;=1,"Vaca seca",IF(I3535="Youngstock","Bezerra/recria","Novilha"))))</f>
        <v>Macho</v>
      </c>
      <c r="X3535" s="0" t="str">
        <f aca="false">IF(AND(B3535&gt;=1,B3535&lt;=6),"Tanque",IF(B3535=10,"Descarte",""))</f>
        <v/>
      </c>
    </row>
    <row r="3536" customFormat="false" ht="15" hidden="false" customHeight="false" outlineLevel="0" collapsed="false">
      <c r="A3536" s="22" t="n">
        <v>46309</v>
      </c>
      <c r="B3536" s="0" t="n">
        <v>15</v>
      </c>
      <c r="C3536" s="0" t="n">
        <v>30504</v>
      </c>
      <c r="E3536" s="0" t="n">
        <v>0</v>
      </c>
      <c r="F3536" s="23" t="s">
        <v>1366</v>
      </c>
      <c r="I3536" s="23" t="s">
        <v>1209</v>
      </c>
      <c r="U3536" s="0" t="n">
        <v>248</v>
      </c>
      <c r="V3536" s="0" t="n">
        <v>0</v>
      </c>
      <c r="W3536" s="0" t="str">
        <f aca="false">IF(OR(AND(B3536&gt;=1,B3536&lt;=6),B3536=10),"Vaca em lactação",IF(I3536="Male","Macho",IF(E3536&gt;=1,"Vaca seca",IF(I3536="Youngstock","Bezerra/recria","Novilha"))))</f>
        <v>Macho</v>
      </c>
      <c r="X3536" s="0" t="str">
        <f aca="false">IF(AND(B3536&gt;=1,B3536&lt;=6),"Tanque",IF(B3536=10,"Descarte",""))</f>
        <v/>
      </c>
    </row>
    <row r="3537" customFormat="false" ht="15" hidden="false" customHeight="false" outlineLevel="0" collapsed="false">
      <c r="A3537" s="22" t="n">
        <v>46309</v>
      </c>
      <c r="B3537" s="0" t="n">
        <v>15</v>
      </c>
      <c r="C3537" s="0" t="n">
        <v>30503</v>
      </c>
      <c r="E3537" s="0" t="n">
        <v>0</v>
      </c>
      <c r="F3537" s="23" t="s">
        <v>1374</v>
      </c>
      <c r="I3537" s="23" t="s">
        <v>1209</v>
      </c>
      <c r="U3537" s="0" t="n">
        <v>250</v>
      </c>
      <c r="V3537" s="0" t="n">
        <v>0</v>
      </c>
      <c r="W3537" s="0" t="str">
        <f aca="false">IF(OR(AND(B3537&gt;=1,B3537&lt;=6),B3537=10),"Vaca em lactação",IF(I3537="Male","Macho",IF(E3537&gt;=1,"Vaca seca",IF(I3537="Youngstock","Bezerra/recria","Novilha"))))</f>
        <v>Macho</v>
      </c>
      <c r="X3537" s="0" t="str">
        <f aca="false">IF(AND(B3537&gt;=1,B3537&lt;=6),"Tanque",IF(B3537=10,"Descarte",""))</f>
        <v/>
      </c>
    </row>
    <row r="3538" customFormat="false" ht="15" hidden="false" customHeight="false" outlineLevel="0" collapsed="false">
      <c r="A3538" s="22" t="n">
        <v>46309</v>
      </c>
      <c r="B3538" s="0" t="n">
        <v>15</v>
      </c>
      <c r="C3538" s="0" t="n">
        <v>30514</v>
      </c>
      <c r="E3538" s="0" t="n">
        <v>0</v>
      </c>
      <c r="F3538" s="23" t="s">
        <v>1368</v>
      </c>
      <c r="I3538" s="23" t="s">
        <v>1209</v>
      </c>
      <c r="U3538" s="0" t="n">
        <v>246</v>
      </c>
      <c r="V3538" s="0" t="n">
        <v>0</v>
      </c>
      <c r="W3538" s="0" t="str">
        <f aca="false">IF(OR(AND(B3538&gt;=1,B3538&lt;=6),B3538=10),"Vaca em lactação",IF(I3538="Male","Macho",IF(E3538&gt;=1,"Vaca seca",IF(I3538="Youngstock","Bezerra/recria","Novilha"))))</f>
        <v>Macho</v>
      </c>
      <c r="X3538" s="0" t="str">
        <f aca="false">IF(AND(B3538&gt;=1,B3538&lt;=6),"Tanque",IF(B3538=10,"Descarte",""))</f>
        <v/>
      </c>
    </row>
    <row r="3539" customFormat="false" ht="15" hidden="false" customHeight="false" outlineLevel="0" collapsed="false">
      <c r="A3539" s="22" t="n">
        <v>46309</v>
      </c>
      <c r="B3539" s="0" t="n">
        <v>15</v>
      </c>
      <c r="C3539" s="0" t="n">
        <v>30501</v>
      </c>
      <c r="E3539" s="0" t="n">
        <v>0</v>
      </c>
      <c r="F3539" s="23" t="s">
        <v>1372</v>
      </c>
      <c r="I3539" s="23" t="s">
        <v>1209</v>
      </c>
      <c r="U3539" s="0" t="n">
        <v>252</v>
      </c>
      <c r="V3539" s="0" t="n">
        <v>0</v>
      </c>
      <c r="W3539" s="0" t="str">
        <f aca="false">IF(OR(AND(B3539&gt;=1,B3539&lt;=6),B3539=10),"Vaca em lactação",IF(I3539="Male","Macho",IF(E3539&gt;=1,"Vaca seca",IF(I3539="Youngstock","Bezerra/recria","Novilha"))))</f>
        <v>Macho</v>
      </c>
      <c r="X3539" s="0" t="str">
        <f aca="false">IF(AND(B3539&gt;=1,B3539&lt;=6),"Tanque",IF(B3539=10,"Descarte",""))</f>
        <v/>
      </c>
    </row>
    <row r="3540" customFormat="false" ht="15" hidden="false" customHeight="false" outlineLevel="0" collapsed="false">
      <c r="A3540" s="22" t="n">
        <v>46309</v>
      </c>
      <c r="B3540" s="0" t="n">
        <v>15</v>
      </c>
      <c r="C3540" s="0" t="n">
        <v>30499</v>
      </c>
      <c r="E3540" s="0" t="n">
        <v>0</v>
      </c>
      <c r="F3540" s="23" t="s">
        <v>1372</v>
      </c>
      <c r="I3540" s="23" t="s">
        <v>1551</v>
      </c>
      <c r="U3540" s="0" t="n">
        <v>252</v>
      </c>
      <c r="V3540" s="0" t="n">
        <v>0</v>
      </c>
      <c r="W3540" s="0" t="str">
        <f aca="false">IF(OR(AND(B3540&gt;=1,B3540&lt;=6),B3540=10),"Vaca em lactação",IF(I3540="Male","Macho",IF(E3540&gt;=1,"Vaca seca",IF(I3540="Youngstock","Bezerra/recria","Novilha"))))</f>
        <v>Novilha</v>
      </c>
      <c r="X3540" s="0" t="str">
        <f aca="false">IF(AND(B3540&gt;=1,B3540&lt;=6),"Tanque",IF(B3540=10,"Descarte",""))</f>
        <v/>
      </c>
    </row>
    <row r="3541" customFormat="false" ht="15" hidden="false" customHeight="false" outlineLevel="0" collapsed="false">
      <c r="A3541" s="22" t="n">
        <v>46309</v>
      </c>
      <c r="B3541" s="0" t="n">
        <v>15</v>
      </c>
      <c r="C3541" s="0" t="n">
        <v>30498</v>
      </c>
      <c r="E3541" s="0" t="n">
        <v>0</v>
      </c>
      <c r="F3541" s="23" t="s">
        <v>1371</v>
      </c>
      <c r="I3541" s="23" t="s">
        <v>1209</v>
      </c>
      <c r="U3541" s="0" t="n">
        <v>253</v>
      </c>
      <c r="V3541" s="0" t="n">
        <v>0</v>
      </c>
      <c r="W3541" s="0" t="str">
        <f aca="false">IF(OR(AND(B3541&gt;=1,B3541&lt;=6),B3541=10),"Vaca em lactação",IF(I3541="Male","Macho",IF(E3541&gt;=1,"Vaca seca",IF(I3541="Youngstock","Bezerra/recria","Novilha"))))</f>
        <v>Macho</v>
      </c>
      <c r="X3541" s="0" t="str">
        <f aca="false">IF(AND(B3541&gt;=1,B3541&lt;=6),"Tanque",IF(B3541=10,"Descarte",""))</f>
        <v/>
      </c>
    </row>
    <row r="3542" customFormat="false" ht="15" hidden="false" customHeight="false" outlineLevel="0" collapsed="false">
      <c r="A3542" s="22" t="n">
        <v>46309</v>
      </c>
      <c r="B3542" s="0" t="n">
        <v>15</v>
      </c>
      <c r="C3542" s="0" t="n">
        <v>30502</v>
      </c>
      <c r="E3542" s="0" t="n">
        <v>0</v>
      </c>
      <c r="F3542" s="23" t="s">
        <v>1372</v>
      </c>
      <c r="I3542" s="23" t="s">
        <v>1209</v>
      </c>
      <c r="U3542" s="0" t="n">
        <v>252</v>
      </c>
      <c r="V3542" s="0" t="n">
        <v>0</v>
      </c>
      <c r="W3542" s="0" t="str">
        <f aca="false">IF(OR(AND(B3542&gt;=1,B3542&lt;=6),B3542=10),"Vaca em lactação",IF(I3542="Male","Macho",IF(E3542&gt;=1,"Vaca seca",IF(I3542="Youngstock","Bezerra/recria","Novilha"))))</f>
        <v>Macho</v>
      </c>
      <c r="X3542" s="0" t="str">
        <f aca="false">IF(AND(B3542&gt;=1,B3542&lt;=6),"Tanque",IF(B3542=10,"Descarte",""))</f>
        <v/>
      </c>
    </row>
    <row r="3543" customFormat="false" ht="15" hidden="false" customHeight="false" outlineLevel="0" collapsed="false">
      <c r="A3543" s="22" t="n">
        <v>46309</v>
      </c>
      <c r="B3543" s="0" t="n">
        <v>15</v>
      </c>
      <c r="C3543" s="0" t="n">
        <v>30488</v>
      </c>
      <c r="E3543" s="0" t="n">
        <v>0</v>
      </c>
      <c r="F3543" s="23" t="s">
        <v>1376</v>
      </c>
      <c r="I3543" s="23" t="s">
        <v>1209</v>
      </c>
      <c r="U3543" s="0" t="n">
        <v>260</v>
      </c>
      <c r="V3543" s="0" t="n">
        <v>0</v>
      </c>
      <c r="W3543" s="0" t="str">
        <f aca="false">IF(OR(AND(B3543&gt;=1,B3543&lt;=6),B3543=10),"Vaca em lactação",IF(I3543="Male","Macho",IF(E3543&gt;=1,"Vaca seca",IF(I3543="Youngstock","Bezerra/recria","Novilha"))))</f>
        <v>Macho</v>
      </c>
      <c r="X3543" s="0" t="str">
        <f aca="false">IF(AND(B3543&gt;=1,B3543&lt;=6),"Tanque",IF(B3543=10,"Descarte",""))</f>
        <v/>
      </c>
    </row>
    <row r="3544" customFormat="false" ht="15" hidden="false" customHeight="false" outlineLevel="0" collapsed="false">
      <c r="A3544" s="22" t="n">
        <v>46309</v>
      </c>
      <c r="B3544" s="0" t="n">
        <v>15</v>
      </c>
      <c r="C3544" s="0" t="n">
        <v>30496</v>
      </c>
      <c r="E3544" s="0" t="n">
        <v>0</v>
      </c>
      <c r="F3544" s="23" t="s">
        <v>1379</v>
      </c>
      <c r="I3544" s="23" t="s">
        <v>1209</v>
      </c>
      <c r="U3544" s="0" t="n">
        <v>256</v>
      </c>
      <c r="V3544" s="0" t="n">
        <v>0</v>
      </c>
      <c r="W3544" s="0" t="str">
        <f aca="false">IF(OR(AND(B3544&gt;=1,B3544&lt;=6),B3544=10),"Vaca em lactação",IF(I3544="Male","Macho",IF(E3544&gt;=1,"Vaca seca",IF(I3544="Youngstock","Bezerra/recria","Novilha"))))</f>
        <v>Macho</v>
      </c>
      <c r="X3544" s="0" t="str">
        <f aca="false">IF(AND(B3544&gt;=1,B3544&lt;=6),"Tanque",IF(B3544=10,"Descarte",""))</f>
        <v/>
      </c>
    </row>
    <row r="3545" customFormat="false" ht="15" hidden="false" customHeight="false" outlineLevel="0" collapsed="false">
      <c r="A3545" s="22" t="n">
        <v>46309</v>
      </c>
      <c r="B3545" s="0" t="n">
        <v>15</v>
      </c>
      <c r="C3545" s="0" t="n">
        <v>30479</v>
      </c>
      <c r="E3545" s="0" t="n">
        <v>0</v>
      </c>
      <c r="F3545" s="23" t="s">
        <v>1385</v>
      </c>
      <c r="I3545" s="23" t="s">
        <v>1209</v>
      </c>
      <c r="U3545" s="0" t="n">
        <v>266</v>
      </c>
      <c r="V3545" s="0" t="n">
        <v>0</v>
      </c>
      <c r="W3545" s="0" t="str">
        <f aca="false">IF(OR(AND(B3545&gt;=1,B3545&lt;=6),B3545=10),"Vaca em lactação",IF(I3545="Male","Macho",IF(E3545&gt;=1,"Vaca seca",IF(I3545="Youngstock","Bezerra/recria","Novilha"))))</f>
        <v>Macho</v>
      </c>
      <c r="X3545" s="0" t="str">
        <f aca="false">IF(AND(B3545&gt;=1,B3545&lt;=6),"Tanque",IF(B3545=10,"Descarte",""))</f>
        <v/>
      </c>
    </row>
    <row r="3546" customFormat="false" ht="15" hidden="false" customHeight="false" outlineLevel="0" collapsed="false">
      <c r="A3546" s="22" t="n">
        <v>46309</v>
      </c>
      <c r="B3546" s="0" t="n">
        <v>15</v>
      </c>
      <c r="C3546" s="0" t="n">
        <v>30481</v>
      </c>
      <c r="E3546" s="0" t="n">
        <v>0</v>
      </c>
      <c r="F3546" s="23" t="s">
        <v>1554</v>
      </c>
      <c r="I3546" s="23" t="s">
        <v>1209</v>
      </c>
      <c r="U3546" s="0" t="n">
        <v>265</v>
      </c>
      <c r="V3546" s="0" t="n">
        <v>0</v>
      </c>
      <c r="W3546" s="0" t="str">
        <f aca="false">IF(OR(AND(B3546&gt;=1,B3546&lt;=6),B3546=10),"Vaca em lactação",IF(I3546="Male","Macho",IF(E3546&gt;=1,"Vaca seca",IF(I3546="Youngstock","Bezerra/recria","Novilha"))))</f>
        <v>Macho</v>
      </c>
      <c r="X3546" s="0" t="str">
        <f aca="false">IF(AND(B3546&gt;=1,B3546&lt;=6),"Tanque",IF(B3546=10,"Descarte",""))</f>
        <v/>
      </c>
    </row>
    <row r="3547" customFormat="false" ht="15" hidden="false" customHeight="false" outlineLevel="0" collapsed="false">
      <c r="A3547" s="22" t="n">
        <v>46309</v>
      </c>
      <c r="B3547" s="0" t="n">
        <v>15</v>
      </c>
      <c r="C3547" s="0" t="n">
        <v>30485</v>
      </c>
      <c r="E3547" s="0" t="n">
        <v>0</v>
      </c>
      <c r="F3547" s="23" t="s">
        <v>1383</v>
      </c>
      <c r="I3547" s="23" t="s">
        <v>1209</v>
      </c>
      <c r="U3547" s="0" t="n">
        <v>262</v>
      </c>
      <c r="V3547" s="0" t="n">
        <v>0</v>
      </c>
      <c r="W3547" s="0" t="str">
        <f aca="false">IF(OR(AND(B3547&gt;=1,B3547&lt;=6),B3547=10),"Vaca em lactação",IF(I3547="Male","Macho",IF(E3547&gt;=1,"Vaca seca",IF(I3547="Youngstock","Bezerra/recria","Novilha"))))</f>
        <v>Macho</v>
      </c>
      <c r="X3547" s="0" t="str">
        <f aca="false">IF(AND(B3547&gt;=1,B3547&lt;=6),"Tanque",IF(B3547=10,"Descarte",""))</f>
        <v/>
      </c>
    </row>
    <row r="3548" customFormat="false" ht="15" hidden="false" customHeight="false" outlineLevel="0" collapsed="false">
      <c r="A3548" s="22" t="n">
        <v>46309</v>
      </c>
      <c r="B3548" s="0" t="n">
        <v>15</v>
      </c>
      <c r="C3548" s="0" t="n">
        <v>30484</v>
      </c>
      <c r="E3548" s="0" t="n">
        <v>0</v>
      </c>
      <c r="F3548" s="23" t="s">
        <v>1382</v>
      </c>
      <c r="I3548" s="23" t="s">
        <v>1209</v>
      </c>
      <c r="U3548" s="0" t="n">
        <v>264</v>
      </c>
      <c r="V3548" s="0" t="n">
        <v>0</v>
      </c>
      <c r="W3548" s="0" t="str">
        <f aca="false">IF(OR(AND(B3548&gt;=1,B3548&lt;=6),B3548=10),"Vaca em lactação",IF(I3548="Male","Macho",IF(E3548&gt;=1,"Vaca seca",IF(I3548="Youngstock","Bezerra/recria","Novilha"))))</f>
        <v>Macho</v>
      </c>
      <c r="X3548" s="0" t="str">
        <f aca="false">IF(AND(B3548&gt;=1,B3548&lt;=6),"Tanque",IF(B3548=10,"Descarte",""))</f>
        <v/>
      </c>
    </row>
    <row r="3549" customFormat="false" ht="15" hidden="false" customHeight="false" outlineLevel="0" collapsed="false">
      <c r="A3549" s="22" t="n">
        <v>46309</v>
      </c>
      <c r="B3549" s="0" t="n">
        <v>15</v>
      </c>
      <c r="C3549" s="0" t="n">
        <v>30553</v>
      </c>
      <c r="E3549" s="0" t="n">
        <v>0</v>
      </c>
      <c r="F3549" s="23" t="s">
        <v>1400</v>
      </c>
      <c r="I3549" s="23" t="s">
        <v>1209</v>
      </c>
      <c r="U3549" s="0" t="n">
        <v>232</v>
      </c>
      <c r="V3549" s="0" t="n">
        <v>0</v>
      </c>
      <c r="W3549" s="0" t="str">
        <f aca="false">IF(OR(AND(B3549&gt;=1,B3549&lt;=6),B3549=10),"Vaca em lactação",IF(I3549="Male","Macho",IF(E3549&gt;=1,"Vaca seca",IF(I3549="Youngstock","Bezerra/recria","Novilha"))))</f>
        <v>Macho</v>
      </c>
      <c r="X3549" s="0" t="str">
        <f aca="false">IF(AND(B3549&gt;=1,B3549&lt;=6),"Tanque",IF(B3549=10,"Descarte",""))</f>
        <v/>
      </c>
    </row>
    <row r="3550" customFormat="false" ht="15" hidden="false" customHeight="false" outlineLevel="0" collapsed="false">
      <c r="A3550" s="22" t="n">
        <v>46309</v>
      </c>
      <c r="B3550" s="0" t="n">
        <v>15</v>
      </c>
      <c r="C3550" s="0" t="n">
        <v>30552</v>
      </c>
      <c r="E3550" s="0" t="n">
        <v>0</v>
      </c>
      <c r="F3550" s="23" t="s">
        <v>1400</v>
      </c>
      <c r="I3550" s="23" t="s">
        <v>1209</v>
      </c>
      <c r="U3550" s="0" t="n">
        <v>232</v>
      </c>
      <c r="V3550" s="0" t="n">
        <v>0</v>
      </c>
      <c r="W3550" s="0" t="str">
        <f aca="false">IF(OR(AND(B3550&gt;=1,B3550&lt;=6),B3550=10),"Vaca em lactação",IF(I3550="Male","Macho",IF(E3550&gt;=1,"Vaca seca",IF(I3550="Youngstock","Bezerra/recria","Novilha"))))</f>
        <v>Macho</v>
      </c>
      <c r="X3550" s="0" t="str">
        <f aca="false">IF(AND(B3550&gt;=1,B3550&lt;=6),"Tanque",IF(B3550=10,"Descarte",""))</f>
        <v/>
      </c>
    </row>
    <row r="3551" customFormat="false" ht="15" hidden="false" customHeight="false" outlineLevel="0" collapsed="false">
      <c r="A3551" s="22" t="n">
        <v>46309</v>
      </c>
      <c r="B3551" s="0" t="n">
        <v>15</v>
      </c>
      <c r="C3551" s="0" t="n">
        <v>30559</v>
      </c>
      <c r="E3551" s="0" t="n">
        <v>0</v>
      </c>
      <c r="F3551" s="23" t="s">
        <v>1390</v>
      </c>
      <c r="I3551" s="23" t="s">
        <v>1209</v>
      </c>
      <c r="U3551" s="0" t="n">
        <v>230</v>
      </c>
      <c r="V3551" s="0" t="n">
        <v>0</v>
      </c>
      <c r="W3551" s="0" t="str">
        <f aca="false">IF(OR(AND(B3551&gt;=1,B3551&lt;=6),B3551=10),"Vaca em lactação",IF(I3551="Male","Macho",IF(E3551&gt;=1,"Vaca seca",IF(I3551="Youngstock","Bezerra/recria","Novilha"))))</f>
        <v>Macho</v>
      </c>
      <c r="X3551" s="0" t="str">
        <f aca="false">IF(AND(B3551&gt;=1,B3551&lt;=6),"Tanque",IF(B3551=10,"Descarte",""))</f>
        <v/>
      </c>
    </row>
    <row r="3552" customFormat="false" ht="15" hidden="false" customHeight="false" outlineLevel="0" collapsed="false">
      <c r="A3552" s="22" t="n">
        <v>46309</v>
      </c>
      <c r="B3552" s="0" t="n">
        <v>15</v>
      </c>
      <c r="C3552" s="0" t="n">
        <v>30564</v>
      </c>
      <c r="E3552" s="0" t="n">
        <v>0</v>
      </c>
      <c r="F3552" s="23" t="s">
        <v>1393</v>
      </c>
      <c r="I3552" s="23" t="s">
        <v>1209</v>
      </c>
      <c r="U3552" s="0" t="n">
        <v>228</v>
      </c>
      <c r="V3552" s="0" t="n">
        <v>0</v>
      </c>
      <c r="W3552" s="0" t="str">
        <f aca="false">IF(OR(AND(B3552&gt;=1,B3552&lt;=6),B3552=10),"Vaca em lactação",IF(I3552="Male","Macho",IF(E3552&gt;=1,"Vaca seca",IF(I3552="Youngstock","Bezerra/recria","Novilha"))))</f>
        <v>Macho</v>
      </c>
      <c r="X3552" s="0" t="str">
        <f aca="false">IF(AND(B3552&gt;=1,B3552&lt;=6),"Tanque",IF(B3552=10,"Descarte",""))</f>
        <v/>
      </c>
    </row>
    <row r="3553" customFormat="false" ht="15" hidden="false" customHeight="false" outlineLevel="0" collapsed="false">
      <c r="A3553" s="22" t="n">
        <v>46309</v>
      </c>
      <c r="B3553" s="0" t="n">
        <v>15</v>
      </c>
      <c r="C3553" s="0" t="n">
        <v>30565</v>
      </c>
      <c r="E3553" s="0" t="n">
        <v>0</v>
      </c>
      <c r="F3553" s="23" t="s">
        <v>1398</v>
      </c>
      <c r="I3553" s="23" t="s">
        <v>1209</v>
      </c>
      <c r="U3553" s="0" t="n">
        <v>226</v>
      </c>
      <c r="V3553" s="0" t="n">
        <v>0</v>
      </c>
      <c r="W3553" s="0" t="str">
        <f aca="false">IF(OR(AND(B3553&gt;=1,B3553&lt;=6),B3553=10),"Vaca em lactação",IF(I3553="Male","Macho",IF(E3553&gt;=1,"Vaca seca",IF(I3553="Youngstock","Bezerra/recria","Novilha"))))</f>
        <v>Macho</v>
      </c>
      <c r="X3553" s="0" t="str">
        <f aca="false">IF(AND(B3553&gt;=1,B3553&lt;=6),"Tanque",IF(B3553=10,"Descarte",""))</f>
        <v/>
      </c>
    </row>
    <row r="3554" customFormat="false" ht="15" hidden="false" customHeight="false" outlineLevel="0" collapsed="false">
      <c r="A3554" s="22" t="n">
        <v>46309</v>
      </c>
      <c r="B3554" s="0" t="n">
        <v>15</v>
      </c>
      <c r="C3554" s="0" t="n">
        <v>30573</v>
      </c>
      <c r="E3554" s="0" t="n">
        <v>0</v>
      </c>
      <c r="F3554" s="23" t="s">
        <v>1399</v>
      </c>
      <c r="I3554" s="23" t="s">
        <v>1551</v>
      </c>
      <c r="U3554" s="0" t="n">
        <v>223</v>
      </c>
      <c r="V3554" s="0" t="n">
        <v>0</v>
      </c>
      <c r="W3554" s="0" t="str">
        <f aca="false">IF(OR(AND(B3554&gt;=1,B3554&lt;=6),B3554=10),"Vaca em lactação",IF(I3554="Male","Macho",IF(E3554&gt;=1,"Vaca seca",IF(I3554="Youngstock","Bezerra/recria","Novilha"))))</f>
        <v>Novilha</v>
      </c>
      <c r="X3554" s="0" t="str">
        <f aca="false">IF(AND(B3554&gt;=1,B3554&lt;=6),"Tanque",IF(B3554=10,"Descarte",""))</f>
        <v/>
      </c>
    </row>
    <row r="3555" customFormat="false" ht="15" hidden="false" customHeight="false" outlineLevel="0" collapsed="false">
      <c r="A3555" s="22" t="n">
        <v>46309</v>
      </c>
      <c r="B3555" s="0" t="n">
        <v>15</v>
      </c>
      <c r="C3555" s="0" t="n">
        <v>30572</v>
      </c>
      <c r="E3555" s="0" t="n">
        <v>0</v>
      </c>
      <c r="F3555" s="23" t="s">
        <v>1399</v>
      </c>
      <c r="I3555" s="23" t="s">
        <v>1209</v>
      </c>
      <c r="U3555" s="0" t="n">
        <v>223</v>
      </c>
      <c r="V3555" s="0" t="n">
        <v>0</v>
      </c>
      <c r="W3555" s="0" t="str">
        <f aca="false">IF(OR(AND(B3555&gt;=1,B3555&lt;=6),B3555=10),"Vaca em lactação",IF(I3555="Male","Macho",IF(E3555&gt;=1,"Vaca seca",IF(I3555="Youngstock","Bezerra/recria","Novilha"))))</f>
        <v>Macho</v>
      </c>
      <c r="X3555" s="0" t="str">
        <f aca="false">IF(AND(B3555&gt;=1,B3555&lt;=6),"Tanque",IF(B3555=10,"Descarte",""))</f>
        <v/>
      </c>
    </row>
    <row r="3556" customFormat="false" ht="15" hidden="false" customHeight="false" outlineLevel="0" collapsed="false">
      <c r="A3556" s="22" t="n">
        <v>46309</v>
      </c>
      <c r="B3556" s="0" t="n">
        <v>15</v>
      </c>
      <c r="C3556" s="0" t="n">
        <v>30523</v>
      </c>
      <c r="E3556" s="0" t="n">
        <v>0</v>
      </c>
      <c r="F3556" s="23" t="s">
        <v>1555</v>
      </c>
      <c r="I3556" s="23" t="s">
        <v>1209</v>
      </c>
      <c r="U3556" s="0" t="n">
        <v>243</v>
      </c>
      <c r="V3556" s="0" t="n">
        <v>0</v>
      </c>
      <c r="W3556" s="0" t="str">
        <f aca="false">IF(OR(AND(B3556&gt;=1,B3556&lt;=6),B3556=10),"Vaca em lactação",IF(I3556="Male","Macho",IF(E3556&gt;=1,"Vaca seca",IF(I3556="Youngstock","Bezerra/recria","Novilha"))))</f>
        <v>Macho</v>
      </c>
      <c r="X3556" s="0" t="str">
        <f aca="false">IF(AND(B3556&gt;=1,B3556&lt;=6),"Tanque",IF(B3556=10,"Descarte",""))</f>
        <v/>
      </c>
    </row>
    <row r="3557" customFormat="false" ht="15" hidden="false" customHeight="false" outlineLevel="0" collapsed="false">
      <c r="A3557" s="22" t="n">
        <v>46309</v>
      </c>
      <c r="B3557" s="0" t="n">
        <v>15</v>
      </c>
      <c r="C3557" s="0" t="n">
        <v>30529</v>
      </c>
      <c r="E3557" s="0" t="n">
        <v>0</v>
      </c>
      <c r="F3557" s="23" t="s">
        <v>1402</v>
      </c>
      <c r="I3557" s="23" t="s">
        <v>1209</v>
      </c>
      <c r="U3557" s="0" t="n">
        <v>242</v>
      </c>
      <c r="V3557" s="0" t="n">
        <v>0</v>
      </c>
      <c r="W3557" s="0" t="str">
        <f aca="false">IF(OR(AND(B3557&gt;=1,B3557&lt;=6),B3557=10),"Vaca em lactação",IF(I3557="Male","Macho",IF(E3557&gt;=1,"Vaca seca",IF(I3557="Youngstock","Bezerra/recria","Novilha"))))</f>
        <v>Macho</v>
      </c>
      <c r="X3557" s="0" t="str">
        <f aca="false">IF(AND(B3557&gt;=1,B3557&lt;=6),"Tanque",IF(B3557=10,"Descarte",""))</f>
        <v/>
      </c>
    </row>
    <row r="3558" customFormat="false" ht="15" hidden="false" customHeight="false" outlineLevel="0" collapsed="false">
      <c r="A3558" s="22" t="n">
        <v>46309</v>
      </c>
      <c r="B3558" s="0" t="n">
        <v>15</v>
      </c>
      <c r="C3558" s="0" t="n">
        <v>30531</v>
      </c>
      <c r="E3558" s="0" t="n">
        <v>0</v>
      </c>
      <c r="F3558" s="23" t="s">
        <v>1401</v>
      </c>
      <c r="I3558" s="23" t="s">
        <v>1209</v>
      </c>
      <c r="U3558" s="0" t="n">
        <v>241</v>
      </c>
      <c r="V3558" s="0" t="n">
        <v>0</v>
      </c>
      <c r="W3558" s="0" t="str">
        <f aca="false">IF(OR(AND(B3558&gt;=1,B3558&lt;=6),B3558=10),"Vaca em lactação",IF(I3558="Male","Macho",IF(E3558&gt;=1,"Vaca seca",IF(I3558="Youngstock","Bezerra/recria","Novilha"))))</f>
        <v>Macho</v>
      </c>
      <c r="X3558" s="0" t="str">
        <f aca="false">IF(AND(B3558&gt;=1,B3558&lt;=6),"Tanque",IF(B3558=10,"Descarte",""))</f>
        <v/>
      </c>
    </row>
    <row r="3559" customFormat="false" ht="15" hidden="false" customHeight="false" outlineLevel="0" collapsed="false">
      <c r="A3559" s="22" t="n">
        <v>46309</v>
      </c>
      <c r="B3559" s="0" t="n">
        <v>15</v>
      </c>
      <c r="C3559" s="0" t="n">
        <v>30532</v>
      </c>
      <c r="E3559" s="0" t="n">
        <v>0</v>
      </c>
      <c r="F3559" s="23" t="s">
        <v>1401</v>
      </c>
      <c r="I3559" s="23" t="s">
        <v>1209</v>
      </c>
      <c r="U3559" s="0" t="n">
        <v>241</v>
      </c>
      <c r="V3559" s="0" t="n">
        <v>0</v>
      </c>
      <c r="W3559" s="0" t="str">
        <f aca="false">IF(OR(AND(B3559&gt;=1,B3559&lt;=6),B3559=10),"Vaca em lactação",IF(I3559="Male","Macho",IF(E3559&gt;=1,"Vaca seca",IF(I3559="Youngstock","Bezerra/recria","Novilha"))))</f>
        <v>Macho</v>
      </c>
      <c r="X3559" s="0" t="str">
        <f aca="false">IF(AND(B3559&gt;=1,B3559&lt;=6),"Tanque",IF(B3559=10,"Descarte",""))</f>
        <v/>
      </c>
    </row>
    <row r="3560" customFormat="false" ht="15" hidden="false" customHeight="false" outlineLevel="0" collapsed="false">
      <c r="A3560" s="22" t="n">
        <v>46309</v>
      </c>
      <c r="B3560" s="0" t="n">
        <v>15</v>
      </c>
      <c r="C3560" s="0" t="n">
        <v>30536</v>
      </c>
      <c r="E3560" s="0" t="n">
        <v>0</v>
      </c>
      <c r="F3560" s="23" t="s">
        <v>1404</v>
      </c>
      <c r="I3560" s="23" t="s">
        <v>1209</v>
      </c>
      <c r="U3560" s="0" t="n">
        <v>239</v>
      </c>
      <c r="V3560" s="0" t="n">
        <v>0</v>
      </c>
      <c r="W3560" s="0" t="str">
        <f aca="false">IF(OR(AND(B3560&gt;=1,B3560&lt;=6),B3560=10),"Vaca em lactação",IF(I3560="Male","Macho",IF(E3560&gt;=1,"Vaca seca",IF(I3560="Youngstock","Bezerra/recria","Novilha"))))</f>
        <v>Macho</v>
      </c>
      <c r="X3560" s="0" t="str">
        <f aca="false">IF(AND(B3560&gt;=1,B3560&lt;=6),"Tanque",IF(B3560=10,"Descarte",""))</f>
        <v/>
      </c>
    </row>
    <row r="3561" customFormat="false" ht="15" hidden="false" customHeight="false" outlineLevel="0" collapsed="false">
      <c r="A3561" s="22" t="n">
        <v>46309</v>
      </c>
      <c r="B3561" s="0" t="n">
        <v>15</v>
      </c>
      <c r="C3561" s="0" t="n">
        <v>30539</v>
      </c>
      <c r="E3561" s="0" t="n">
        <v>0</v>
      </c>
      <c r="F3561" s="23" t="s">
        <v>1406</v>
      </c>
      <c r="I3561" s="23" t="s">
        <v>1209</v>
      </c>
      <c r="U3561" s="0" t="n">
        <v>238</v>
      </c>
      <c r="V3561" s="0" t="n">
        <v>0</v>
      </c>
      <c r="W3561" s="0" t="str">
        <f aca="false">IF(OR(AND(B3561&gt;=1,B3561&lt;=6),B3561=10),"Vaca em lactação",IF(I3561="Male","Macho",IF(E3561&gt;=1,"Vaca seca",IF(I3561="Youngstock","Bezerra/recria","Novilha"))))</f>
        <v>Macho</v>
      </c>
      <c r="X3561" s="0" t="str">
        <f aca="false">IF(AND(B3561&gt;=1,B3561&lt;=6),"Tanque",IF(B3561=10,"Descarte",""))</f>
        <v/>
      </c>
    </row>
    <row r="3562" customFormat="false" ht="15" hidden="false" customHeight="false" outlineLevel="0" collapsed="false">
      <c r="A3562" s="22" t="n">
        <v>46309</v>
      </c>
      <c r="B3562" s="0" t="n">
        <v>15</v>
      </c>
      <c r="C3562" s="0" t="n">
        <v>30626</v>
      </c>
      <c r="E3562" s="0" t="n">
        <v>0</v>
      </c>
      <c r="F3562" s="23" t="s">
        <v>1410</v>
      </c>
      <c r="I3562" s="23" t="s">
        <v>1209</v>
      </c>
      <c r="U3562" s="0" t="n">
        <v>196</v>
      </c>
      <c r="V3562" s="0" t="n">
        <v>0</v>
      </c>
      <c r="W3562" s="0" t="str">
        <f aca="false">IF(OR(AND(B3562&gt;=1,B3562&lt;=6),B3562=10),"Vaca em lactação",IF(I3562="Male","Macho",IF(E3562&gt;=1,"Vaca seca",IF(I3562="Youngstock","Bezerra/recria","Novilha"))))</f>
        <v>Macho</v>
      </c>
      <c r="X3562" s="0" t="str">
        <f aca="false">IF(AND(B3562&gt;=1,B3562&lt;=6),"Tanque",IF(B3562=10,"Descarte",""))</f>
        <v/>
      </c>
    </row>
    <row r="3563" customFormat="false" ht="15" hidden="false" customHeight="false" outlineLevel="0" collapsed="false">
      <c r="A3563" s="22" t="n">
        <v>46309</v>
      </c>
      <c r="B3563" s="0" t="n">
        <v>15</v>
      </c>
      <c r="C3563" s="0" t="n">
        <v>30643</v>
      </c>
      <c r="E3563" s="0" t="n">
        <v>0</v>
      </c>
      <c r="F3563" s="23" t="s">
        <v>1415</v>
      </c>
      <c r="I3563" s="23" t="s">
        <v>1209</v>
      </c>
      <c r="U3563" s="0" t="n">
        <v>191</v>
      </c>
      <c r="V3563" s="0" t="n">
        <v>0</v>
      </c>
      <c r="W3563" s="0" t="str">
        <f aca="false">IF(OR(AND(B3563&gt;=1,B3563&lt;=6),B3563=10),"Vaca em lactação",IF(I3563="Male","Macho",IF(E3563&gt;=1,"Vaca seca",IF(I3563="Youngstock","Bezerra/recria","Novilha"))))</f>
        <v>Macho</v>
      </c>
      <c r="X3563" s="0" t="str">
        <f aca="false">IF(AND(B3563&gt;=1,B3563&lt;=6),"Tanque",IF(B3563=10,"Descarte",""))</f>
        <v/>
      </c>
    </row>
    <row r="3564" customFormat="false" ht="15" hidden="false" customHeight="false" outlineLevel="0" collapsed="false">
      <c r="A3564" s="22" t="n">
        <v>46309</v>
      </c>
      <c r="B3564" s="0" t="n">
        <v>15</v>
      </c>
      <c r="C3564" s="0" t="n">
        <v>30645</v>
      </c>
      <c r="E3564" s="0" t="n">
        <v>0</v>
      </c>
      <c r="F3564" s="23" t="s">
        <v>1416</v>
      </c>
      <c r="I3564" s="23" t="s">
        <v>1209</v>
      </c>
      <c r="U3564" s="0" t="n">
        <v>190</v>
      </c>
      <c r="V3564" s="0" t="n">
        <v>0</v>
      </c>
      <c r="W3564" s="0" t="str">
        <f aca="false">IF(OR(AND(B3564&gt;=1,B3564&lt;=6),B3564=10),"Vaca em lactação",IF(I3564="Male","Macho",IF(E3564&gt;=1,"Vaca seca",IF(I3564="Youngstock","Bezerra/recria","Novilha"))))</f>
        <v>Macho</v>
      </c>
      <c r="X3564" s="0" t="str">
        <f aca="false">IF(AND(B3564&gt;=1,B3564&lt;=6),"Tanque",IF(B3564=10,"Descarte",""))</f>
        <v/>
      </c>
    </row>
    <row r="3565" customFormat="false" ht="15" hidden="false" customHeight="false" outlineLevel="0" collapsed="false">
      <c r="A3565" s="22" t="n">
        <v>46309</v>
      </c>
      <c r="B3565" s="0" t="n">
        <v>15</v>
      </c>
      <c r="C3565" s="0" t="n">
        <v>30644</v>
      </c>
      <c r="E3565" s="0" t="n">
        <v>0</v>
      </c>
      <c r="F3565" s="23" t="s">
        <v>1416</v>
      </c>
      <c r="I3565" s="23" t="s">
        <v>1209</v>
      </c>
      <c r="U3565" s="0" t="n">
        <v>190</v>
      </c>
      <c r="V3565" s="0" t="n">
        <v>0</v>
      </c>
      <c r="W3565" s="0" t="str">
        <f aca="false">IF(OR(AND(B3565&gt;=1,B3565&lt;=6),B3565=10),"Vaca em lactação",IF(I3565="Male","Macho",IF(E3565&gt;=1,"Vaca seca",IF(I3565="Youngstock","Bezerra/recria","Novilha"))))</f>
        <v>Macho</v>
      </c>
      <c r="X3565" s="0" t="str">
        <f aca="false">IF(AND(B3565&gt;=1,B3565&lt;=6),"Tanque",IF(B3565=10,"Descarte",""))</f>
        <v/>
      </c>
    </row>
    <row r="3566" customFormat="false" ht="15" hidden="false" customHeight="false" outlineLevel="0" collapsed="false">
      <c r="A3566" s="22" t="n">
        <v>46309</v>
      </c>
      <c r="B3566" s="0" t="n">
        <v>15</v>
      </c>
      <c r="C3566" s="0" t="n">
        <v>30647</v>
      </c>
      <c r="E3566" s="0" t="n">
        <v>0</v>
      </c>
      <c r="F3566" s="23" t="s">
        <v>1418</v>
      </c>
      <c r="I3566" s="23" t="s">
        <v>1209</v>
      </c>
      <c r="U3566" s="0" t="n">
        <v>188</v>
      </c>
      <c r="V3566" s="0" t="n">
        <v>0</v>
      </c>
      <c r="W3566" s="0" t="str">
        <f aca="false">IF(OR(AND(B3566&gt;=1,B3566&lt;=6),B3566=10),"Vaca em lactação",IF(I3566="Male","Macho",IF(E3566&gt;=1,"Vaca seca",IF(I3566="Youngstock","Bezerra/recria","Novilha"))))</f>
        <v>Macho</v>
      </c>
      <c r="X3566" s="0" t="str">
        <f aca="false">IF(AND(B3566&gt;=1,B3566&lt;=6),"Tanque",IF(B3566=10,"Descarte",""))</f>
        <v/>
      </c>
    </row>
    <row r="3567" customFormat="false" ht="15" hidden="false" customHeight="false" outlineLevel="0" collapsed="false">
      <c r="A3567" s="22" t="n">
        <v>46309</v>
      </c>
      <c r="B3567" s="0" t="n">
        <v>15</v>
      </c>
      <c r="C3567" s="0" t="n">
        <v>30653</v>
      </c>
      <c r="E3567" s="0" t="n">
        <v>0</v>
      </c>
      <c r="F3567" s="23" t="s">
        <v>1421</v>
      </c>
      <c r="I3567" s="23" t="s">
        <v>1209</v>
      </c>
      <c r="U3567" s="0" t="n">
        <v>185</v>
      </c>
      <c r="V3567" s="0" t="n">
        <v>0</v>
      </c>
      <c r="W3567" s="0" t="str">
        <f aca="false">IF(OR(AND(B3567&gt;=1,B3567&lt;=6),B3567=10),"Vaca em lactação",IF(I3567="Male","Macho",IF(E3567&gt;=1,"Vaca seca",IF(I3567="Youngstock","Bezerra/recria","Novilha"))))</f>
        <v>Macho</v>
      </c>
      <c r="X3567" s="0" t="str">
        <f aca="false">IF(AND(B3567&gt;=1,B3567&lt;=6),"Tanque",IF(B3567=10,"Descarte",""))</f>
        <v/>
      </c>
    </row>
    <row r="3568" customFormat="false" ht="15" hidden="false" customHeight="false" outlineLevel="0" collapsed="false">
      <c r="A3568" s="22" t="n">
        <v>46309</v>
      </c>
      <c r="B3568" s="0" t="n">
        <v>15</v>
      </c>
      <c r="C3568" s="0" t="n">
        <v>30610</v>
      </c>
      <c r="E3568" s="0" t="n">
        <v>0</v>
      </c>
      <c r="F3568" s="23" t="s">
        <v>1423</v>
      </c>
      <c r="I3568" s="23" t="s">
        <v>1209</v>
      </c>
      <c r="U3568" s="0" t="n">
        <v>204</v>
      </c>
      <c r="V3568" s="0" t="n">
        <v>0</v>
      </c>
      <c r="W3568" s="0" t="str">
        <f aca="false">IF(OR(AND(B3568&gt;=1,B3568&lt;=6),B3568=10),"Vaca em lactação",IF(I3568="Male","Macho",IF(E3568&gt;=1,"Vaca seca",IF(I3568="Youngstock","Bezerra/recria","Novilha"))))</f>
        <v>Macho</v>
      </c>
      <c r="X3568" s="0" t="str">
        <f aca="false">IF(AND(B3568&gt;=1,B3568&lt;=6),"Tanque",IF(B3568=10,"Descarte",""))</f>
        <v/>
      </c>
    </row>
    <row r="3569" customFormat="false" ht="15" hidden="false" customHeight="false" outlineLevel="0" collapsed="false">
      <c r="A3569" s="22" t="n">
        <v>46309</v>
      </c>
      <c r="B3569" s="0" t="n">
        <v>15</v>
      </c>
      <c r="C3569" s="0" t="n">
        <v>30611</v>
      </c>
      <c r="E3569" s="0" t="n">
        <v>0</v>
      </c>
      <c r="F3569" s="23" t="s">
        <v>1423</v>
      </c>
      <c r="I3569" s="23" t="s">
        <v>1209</v>
      </c>
      <c r="U3569" s="0" t="n">
        <v>204</v>
      </c>
      <c r="V3569" s="0" t="n">
        <v>0</v>
      </c>
      <c r="W3569" s="0" t="str">
        <f aca="false">IF(OR(AND(B3569&gt;=1,B3569&lt;=6),B3569=10),"Vaca em lactação",IF(I3569="Male","Macho",IF(E3569&gt;=1,"Vaca seca",IF(I3569="Youngstock","Bezerra/recria","Novilha"))))</f>
        <v>Macho</v>
      </c>
      <c r="X3569" s="0" t="str">
        <f aca="false">IF(AND(B3569&gt;=1,B3569&lt;=6),"Tanque",IF(B3569=10,"Descarte",""))</f>
        <v/>
      </c>
    </row>
    <row r="3570" customFormat="false" ht="15" hidden="false" customHeight="false" outlineLevel="0" collapsed="false">
      <c r="A3570" s="22" t="n">
        <v>46309</v>
      </c>
      <c r="B3570" s="0" t="n">
        <v>15</v>
      </c>
      <c r="C3570" s="0" t="n">
        <v>30614</v>
      </c>
      <c r="E3570" s="0" t="n">
        <v>0</v>
      </c>
      <c r="F3570" s="23" t="s">
        <v>1422</v>
      </c>
      <c r="I3570" s="23" t="s">
        <v>1209</v>
      </c>
      <c r="U3570" s="0" t="n">
        <v>203</v>
      </c>
      <c r="V3570" s="0" t="n">
        <v>0</v>
      </c>
      <c r="W3570" s="0" t="str">
        <f aca="false">IF(OR(AND(B3570&gt;=1,B3570&lt;=6),B3570=10),"Vaca em lactação",IF(I3570="Male","Macho",IF(E3570&gt;=1,"Vaca seca",IF(I3570="Youngstock","Bezerra/recria","Novilha"))))</f>
        <v>Macho</v>
      </c>
      <c r="X3570" s="0" t="str">
        <f aca="false">IF(AND(B3570&gt;=1,B3570&lt;=6),"Tanque",IF(B3570=10,"Descarte",""))</f>
        <v/>
      </c>
    </row>
    <row r="3571" customFormat="false" ht="15" hidden="false" customHeight="false" outlineLevel="0" collapsed="false">
      <c r="A3571" s="22" t="n">
        <v>46309</v>
      </c>
      <c r="B3571" s="0" t="n">
        <v>15</v>
      </c>
      <c r="C3571" s="0" t="n">
        <v>30621</v>
      </c>
      <c r="E3571" s="0" t="n">
        <v>0</v>
      </c>
      <c r="F3571" s="23" t="s">
        <v>1427</v>
      </c>
      <c r="I3571" s="23" t="s">
        <v>1209</v>
      </c>
      <c r="U3571" s="0" t="n">
        <v>200</v>
      </c>
      <c r="V3571" s="0" t="n">
        <v>0</v>
      </c>
      <c r="W3571" s="0" t="str">
        <f aca="false">IF(OR(AND(B3571&gt;=1,B3571&lt;=6),B3571=10),"Vaca em lactação",IF(I3571="Male","Macho",IF(E3571&gt;=1,"Vaca seca",IF(I3571="Youngstock","Bezerra/recria","Novilha"))))</f>
        <v>Macho</v>
      </c>
      <c r="X3571" s="0" t="str">
        <f aca="false">IF(AND(B3571&gt;=1,B3571&lt;=6),"Tanque",IF(B3571=10,"Descarte",""))</f>
        <v/>
      </c>
    </row>
    <row r="3572" customFormat="false" ht="15" hidden="false" customHeight="false" outlineLevel="0" collapsed="false">
      <c r="A3572" s="22" t="n">
        <v>46309</v>
      </c>
      <c r="B3572" s="0" t="n">
        <v>15</v>
      </c>
      <c r="C3572" s="0" t="n">
        <v>30620</v>
      </c>
      <c r="E3572" s="0" t="n">
        <v>0</v>
      </c>
      <c r="F3572" s="23" t="s">
        <v>1426</v>
      </c>
      <c r="I3572" s="23" t="s">
        <v>1209</v>
      </c>
      <c r="U3572" s="0" t="n">
        <v>201</v>
      </c>
      <c r="V3572" s="0" t="n">
        <v>0</v>
      </c>
      <c r="W3572" s="0" t="str">
        <f aca="false">IF(OR(AND(B3572&gt;=1,B3572&lt;=6),B3572=10),"Vaca em lactação",IF(I3572="Male","Macho",IF(E3572&gt;=1,"Vaca seca",IF(I3572="Youngstock","Bezerra/recria","Novilha"))))</f>
        <v>Macho</v>
      </c>
      <c r="X3572" s="0" t="str">
        <f aca="false">IF(AND(B3572&gt;=1,B3572&lt;=6),"Tanque",IF(B3572=10,"Descarte",""))</f>
        <v/>
      </c>
    </row>
    <row r="3573" customFormat="false" ht="15" hidden="false" customHeight="false" outlineLevel="0" collapsed="false">
      <c r="A3573" s="22" t="n">
        <v>46309</v>
      </c>
      <c r="B3573" s="0" t="n">
        <v>15</v>
      </c>
      <c r="C3573" s="0" t="n">
        <v>30607</v>
      </c>
      <c r="E3573" s="0" t="n">
        <v>0</v>
      </c>
      <c r="F3573" s="23" t="s">
        <v>1434</v>
      </c>
      <c r="I3573" s="23" t="s">
        <v>1551</v>
      </c>
      <c r="U3573" s="0" t="n">
        <v>207</v>
      </c>
      <c r="V3573" s="0" t="n">
        <v>0</v>
      </c>
      <c r="W3573" s="0" t="str">
        <f aca="false">IF(OR(AND(B3573&gt;=1,B3573&lt;=6),B3573=10),"Vaca em lactação",IF(I3573="Male","Macho",IF(E3573&gt;=1,"Vaca seca",IF(I3573="Youngstock","Bezerra/recria","Novilha"))))</f>
        <v>Novilha</v>
      </c>
      <c r="X3573" s="0" t="str">
        <f aca="false">IF(AND(B3573&gt;=1,B3573&lt;=6),"Tanque",IF(B3573=10,"Descarte",""))</f>
        <v/>
      </c>
    </row>
    <row r="3574" customFormat="false" ht="15" hidden="false" customHeight="false" outlineLevel="0" collapsed="false">
      <c r="A3574" s="22" t="n">
        <v>46309</v>
      </c>
      <c r="B3574" s="0" t="n">
        <v>15</v>
      </c>
      <c r="C3574" s="0" t="n">
        <v>30605</v>
      </c>
      <c r="E3574" s="0" t="n">
        <v>0</v>
      </c>
      <c r="F3574" s="23" t="s">
        <v>1433</v>
      </c>
      <c r="I3574" s="23" t="s">
        <v>1209</v>
      </c>
      <c r="U3574" s="0" t="n">
        <v>208</v>
      </c>
      <c r="V3574" s="0" t="n">
        <v>0</v>
      </c>
      <c r="W3574" s="0" t="str">
        <f aca="false">IF(OR(AND(B3574&gt;=1,B3574&lt;=6),B3574=10),"Vaca em lactação",IF(I3574="Male","Macho",IF(E3574&gt;=1,"Vaca seca",IF(I3574="Youngstock","Bezerra/recria","Novilha"))))</f>
        <v>Macho</v>
      </c>
      <c r="X3574" s="0" t="str">
        <f aca="false">IF(AND(B3574&gt;=1,B3574&lt;=6),"Tanque",IF(B3574=10,"Descarte",""))</f>
        <v/>
      </c>
    </row>
    <row r="3575" customFormat="false" ht="15" hidden="false" customHeight="false" outlineLevel="0" collapsed="false">
      <c r="A3575" s="22" t="n">
        <v>46309</v>
      </c>
      <c r="B3575" s="0" t="n">
        <v>15</v>
      </c>
      <c r="C3575" s="0" t="n">
        <v>30604</v>
      </c>
      <c r="E3575" s="0" t="n">
        <v>0</v>
      </c>
      <c r="F3575" s="23" t="s">
        <v>1432</v>
      </c>
      <c r="I3575" s="23" t="s">
        <v>1551</v>
      </c>
      <c r="U3575" s="0" t="n">
        <v>209</v>
      </c>
      <c r="V3575" s="0" t="n">
        <v>0</v>
      </c>
      <c r="W3575" s="0" t="str">
        <f aca="false">IF(OR(AND(B3575&gt;=1,B3575&lt;=6),B3575=10),"Vaca em lactação",IF(I3575="Male","Macho",IF(E3575&gt;=1,"Vaca seca",IF(I3575="Youngstock","Bezerra/recria","Novilha"))))</f>
        <v>Novilha</v>
      </c>
      <c r="X3575" s="0" t="str">
        <f aca="false">IF(AND(B3575&gt;=1,B3575&lt;=6),"Tanque",IF(B3575=10,"Descarte",""))</f>
        <v/>
      </c>
    </row>
    <row r="3576" customFormat="false" ht="15" hidden="false" customHeight="false" outlineLevel="0" collapsed="false">
      <c r="A3576" s="22" t="n">
        <v>46309</v>
      </c>
      <c r="B3576" s="0" t="n">
        <v>15</v>
      </c>
      <c r="C3576" s="0" t="n">
        <v>30609</v>
      </c>
      <c r="E3576" s="0" t="n">
        <v>0</v>
      </c>
      <c r="F3576" s="23" t="s">
        <v>1424</v>
      </c>
      <c r="I3576" s="23" t="s">
        <v>1551</v>
      </c>
      <c r="U3576" s="0" t="n">
        <v>205</v>
      </c>
      <c r="V3576" s="0" t="n">
        <v>0</v>
      </c>
      <c r="W3576" s="0" t="str">
        <f aca="false">IF(OR(AND(B3576&gt;=1,B3576&lt;=6),B3576=10),"Vaca em lactação",IF(I3576="Male","Macho",IF(E3576&gt;=1,"Vaca seca",IF(I3576="Youngstock","Bezerra/recria","Novilha"))))</f>
        <v>Novilha</v>
      </c>
      <c r="X3576" s="0" t="str">
        <f aca="false">IF(AND(B3576&gt;=1,B3576&lt;=6),"Tanque",IF(B3576=10,"Descarte",""))</f>
        <v/>
      </c>
    </row>
    <row r="3577" customFormat="false" ht="15" hidden="false" customHeight="false" outlineLevel="0" collapsed="false">
      <c r="A3577" s="22" t="n">
        <v>46309</v>
      </c>
      <c r="B3577" s="0" t="n">
        <v>15</v>
      </c>
      <c r="C3577" s="0" t="n">
        <v>30585</v>
      </c>
      <c r="E3577" s="0" t="n">
        <v>0</v>
      </c>
      <c r="F3577" s="23" t="s">
        <v>1439</v>
      </c>
      <c r="I3577" s="23" t="s">
        <v>1209</v>
      </c>
      <c r="U3577" s="0" t="n">
        <v>215</v>
      </c>
      <c r="V3577" s="0" t="n">
        <v>0</v>
      </c>
      <c r="W3577" s="0" t="str">
        <f aca="false">IF(OR(AND(B3577&gt;=1,B3577&lt;=6),B3577=10),"Vaca em lactação",IF(I3577="Male","Macho",IF(E3577&gt;=1,"Vaca seca",IF(I3577="Youngstock","Bezerra/recria","Novilha"))))</f>
        <v>Macho</v>
      </c>
      <c r="X3577" s="0" t="str">
        <f aca="false">IF(AND(B3577&gt;=1,B3577&lt;=6),"Tanque",IF(B3577=10,"Descarte",""))</f>
        <v/>
      </c>
    </row>
    <row r="3578" customFormat="false" ht="15" hidden="false" customHeight="false" outlineLevel="0" collapsed="false">
      <c r="A3578" s="22" t="n">
        <v>46309</v>
      </c>
      <c r="B3578" s="0" t="n">
        <v>15</v>
      </c>
      <c r="C3578" s="0" t="n">
        <v>30587</v>
      </c>
      <c r="E3578" s="0" t="n">
        <v>0</v>
      </c>
      <c r="F3578" s="23" t="s">
        <v>1440</v>
      </c>
      <c r="I3578" s="23" t="s">
        <v>1551</v>
      </c>
      <c r="U3578" s="0" t="n">
        <v>213</v>
      </c>
      <c r="V3578" s="0" t="n">
        <v>0</v>
      </c>
      <c r="W3578" s="0" t="str">
        <f aca="false">IF(OR(AND(B3578&gt;=1,B3578&lt;=6),B3578=10),"Vaca em lactação",IF(I3578="Male","Macho",IF(E3578&gt;=1,"Vaca seca",IF(I3578="Youngstock","Bezerra/recria","Novilha"))))</f>
        <v>Novilha</v>
      </c>
      <c r="X3578" s="0" t="str">
        <f aca="false">IF(AND(B3578&gt;=1,B3578&lt;=6),"Tanque",IF(B3578=10,"Descarte",""))</f>
        <v/>
      </c>
    </row>
    <row r="3579" customFormat="false" ht="15" hidden="false" customHeight="false" outlineLevel="0" collapsed="false">
      <c r="A3579" s="22" t="n">
        <v>46309</v>
      </c>
      <c r="B3579" s="0" t="n">
        <v>15</v>
      </c>
      <c r="C3579" s="0" t="n">
        <v>30586</v>
      </c>
      <c r="E3579" s="0" t="n">
        <v>0</v>
      </c>
      <c r="F3579" s="23" t="s">
        <v>1556</v>
      </c>
      <c r="I3579" s="23" t="s">
        <v>1551</v>
      </c>
      <c r="U3579" s="0" t="n">
        <v>214</v>
      </c>
      <c r="V3579" s="0" t="n">
        <v>0</v>
      </c>
      <c r="W3579" s="0" t="str">
        <f aca="false">IF(OR(AND(B3579&gt;=1,B3579&lt;=6),B3579=10),"Vaca em lactação",IF(I3579="Male","Macho",IF(E3579&gt;=1,"Vaca seca",IF(I3579="Youngstock","Bezerra/recria","Novilha"))))</f>
        <v>Novilha</v>
      </c>
      <c r="X3579" s="0" t="str">
        <f aca="false">IF(AND(B3579&gt;=1,B3579&lt;=6),"Tanque",IF(B3579=10,"Descarte",""))</f>
        <v/>
      </c>
    </row>
    <row r="3580" customFormat="false" ht="15" hidden="false" customHeight="false" outlineLevel="0" collapsed="false">
      <c r="A3580" s="22" t="n">
        <v>46309</v>
      </c>
      <c r="B3580" s="0" t="n">
        <v>15</v>
      </c>
      <c r="C3580" s="0" t="n">
        <v>30594</v>
      </c>
      <c r="E3580" s="0" t="n">
        <v>0</v>
      </c>
      <c r="F3580" s="23" t="s">
        <v>1441</v>
      </c>
      <c r="I3580" s="23" t="s">
        <v>1209</v>
      </c>
      <c r="U3580" s="0" t="n">
        <v>212</v>
      </c>
      <c r="V3580" s="0" t="n">
        <v>0</v>
      </c>
      <c r="W3580" s="0" t="str">
        <f aca="false">IF(OR(AND(B3580&gt;=1,B3580&lt;=6),B3580=10),"Vaca em lactação",IF(I3580="Male","Macho",IF(E3580&gt;=1,"Vaca seca",IF(I3580="Youngstock","Bezerra/recria","Novilha"))))</f>
        <v>Macho</v>
      </c>
      <c r="X3580" s="0" t="str">
        <f aca="false">IF(AND(B3580&gt;=1,B3580&lt;=6),"Tanque",IF(B3580=10,"Descarte",""))</f>
        <v/>
      </c>
    </row>
    <row r="3581" customFormat="false" ht="15" hidden="false" customHeight="false" outlineLevel="0" collapsed="false">
      <c r="A3581" s="22" t="n">
        <v>46309</v>
      </c>
      <c r="B3581" s="0" t="n">
        <v>15</v>
      </c>
      <c r="C3581" s="0" t="n">
        <v>30597</v>
      </c>
      <c r="E3581" s="0" t="n">
        <v>0</v>
      </c>
      <c r="F3581" s="23" t="s">
        <v>1442</v>
      </c>
      <c r="I3581" s="23" t="s">
        <v>1209</v>
      </c>
      <c r="U3581" s="0" t="n">
        <v>211</v>
      </c>
      <c r="V3581" s="0" t="n">
        <v>0</v>
      </c>
      <c r="W3581" s="0" t="str">
        <f aca="false">IF(OR(AND(B3581&gt;=1,B3581&lt;=6),B3581=10),"Vaca em lactação",IF(I3581="Male","Macho",IF(E3581&gt;=1,"Vaca seca",IF(I3581="Youngstock","Bezerra/recria","Novilha"))))</f>
        <v>Macho</v>
      </c>
      <c r="X3581" s="0" t="str">
        <f aca="false">IF(AND(B3581&gt;=1,B3581&lt;=6),"Tanque",IF(B3581=10,"Descarte",""))</f>
        <v/>
      </c>
    </row>
    <row r="3582" customFormat="false" ht="15" hidden="false" customHeight="false" outlineLevel="0" collapsed="false">
      <c r="A3582" s="22" t="n">
        <v>46309</v>
      </c>
      <c r="B3582" s="0" t="n">
        <v>15</v>
      </c>
      <c r="C3582" s="0" t="n">
        <v>30595</v>
      </c>
      <c r="E3582" s="0" t="n">
        <v>0</v>
      </c>
      <c r="F3582" s="23" t="s">
        <v>1442</v>
      </c>
      <c r="I3582" s="23" t="s">
        <v>1209</v>
      </c>
      <c r="U3582" s="0" t="n">
        <v>211</v>
      </c>
      <c r="V3582" s="0" t="n">
        <v>0</v>
      </c>
      <c r="W3582" s="0" t="str">
        <f aca="false">IF(OR(AND(B3582&gt;=1,B3582&lt;=6),B3582=10),"Vaca em lactação",IF(I3582="Male","Macho",IF(E3582&gt;=1,"Vaca seca",IF(I3582="Youngstock","Bezerra/recria","Novilha"))))</f>
        <v>Macho</v>
      </c>
      <c r="X3582" s="0" t="str">
        <f aca="false">IF(AND(B3582&gt;=1,B3582&lt;=6),"Tanque",IF(B3582=10,"Descarte",""))</f>
        <v/>
      </c>
    </row>
    <row r="3583" customFormat="false" ht="15" hidden="false" customHeight="false" outlineLevel="0" collapsed="false">
      <c r="A3583" s="22" t="n">
        <v>46309</v>
      </c>
      <c r="B3583" s="0" t="n">
        <v>15</v>
      </c>
      <c r="C3583" s="0" t="n">
        <v>30590</v>
      </c>
      <c r="E3583" s="0" t="n">
        <v>0</v>
      </c>
      <c r="F3583" s="23" t="s">
        <v>1440</v>
      </c>
      <c r="I3583" s="23" t="s">
        <v>1209</v>
      </c>
      <c r="U3583" s="0" t="n">
        <v>213</v>
      </c>
      <c r="V3583" s="0" t="n">
        <v>0</v>
      </c>
      <c r="W3583" s="0" t="str">
        <f aca="false">IF(OR(AND(B3583&gt;=1,B3583&lt;=6),B3583=10),"Vaca em lactação",IF(I3583="Male","Macho",IF(E3583&gt;=1,"Vaca seca",IF(I3583="Youngstock","Bezerra/recria","Novilha"))))</f>
        <v>Macho</v>
      </c>
      <c r="X3583" s="0" t="str">
        <f aca="false">IF(AND(B3583&gt;=1,B3583&lt;=6),"Tanque",IF(B3583=10,"Descarte",""))</f>
        <v/>
      </c>
    </row>
    <row r="3584" customFormat="false" ht="15" hidden="false" customHeight="false" outlineLevel="0" collapsed="false">
      <c r="A3584" s="22" t="n">
        <v>46309</v>
      </c>
      <c r="B3584" s="0" t="n">
        <v>15</v>
      </c>
      <c r="C3584" s="0" t="n">
        <v>30589</v>
      </c>
      <c r="E3584" s="0" t="n">
        <v>0</v>
      </c>
      <c r="F3584" s="23" t="s">
        <v>1440</v>
      </c>
      <c r="I3584" s="23" t="s">
        <v>1209</v>
      </c>
      <c r="U3584" s="0" t="n">
        <v>213</v>
      </c>
      <c r="V3584" s="0" t="n">
        <v>0</v>
      </c>
      <c r="W3584" s="0" t="str">
        <f aca="false">IF(OR(AND(B3584&gt;=1,B3584&lt;=6),B3584=10),"Vaca em lactação",IF(I3584="Male","Macho",IF(E3584&gt;=1,"Vaca seca",IF(I3584="Youngstock","Bezerra/recria","Novilha"))))</f>
        <v>Macho</v>
      </c>
      <c r="X3584" s="0" t="str">
        <f aca="false">IF(AND(B3584&gt;=1,B3584&lt;=6),"Tanque",IF(B3584=10,"Descarte",""))</f>
        <v/>
      </c>
    </row>
    <row r="3585" customFormat="false" ht="15" hidden="false" customHeight="false" outlineLevel="0" collapsed="false">
      <c r="A3585" s="22" t="n">
        <v>46309</v>
      </c>
      <c r="B3585" s="0" t="n">
        <v>15</v>
      </c>
      <c r="C3585" s="0" t="n">
        <v>30688</v>
      </c>
      <c r="E3585" s="0" t="n">
        <v>0</v>
      </c>
      <c r="F3585" s="23" t="s">
        <v>1443</v>
      </c>
      <c r="I3585" s="23" t="s">
        <v>1209</v>
      </c>
      <c r="U3585" s="0" t="n">
        <v>174</v>
      </c>
      <c r="V3585" s="0" t="n">
        <v>0</v>
      </c>
      <c r="W3585" s="0" t="str">
        <f aca="false">IF(OR(AND(B3585&gt;=1,B3585&lt;=6),B3585=10),"Vaca em lactação",IF(I3585="Male","Macho",IF(E3585&gt;=1,"Vaca seca",IF(I3585="Youngstock","Bezerra/recria","Novilha"))))</f>
        <v>Macho</v>
      </c>
      <c r="X3585" s="0" t="str">
        <f aca="false">IF(AND(B3585&gt;=1,B3585&lt;=6),"Tanque",IF(B3585=10,"Descarte",""))</f>
        <v/>
      </c>
    </row>
    <row r="3586" customFormat="false" ht="15" hidden="false" customHeight="false" outlineLevel="0" collapsed="false">
      <c r="A3586" s="22" t="n">
        <v>46309</v>
      </c>
      <c r="B3586" s="0" t="n">
        <v>15</v>
      </c>
      <c r="C3586" s="0" t="n">
        <v>30699</v>
      </c>
      <c r="E3586" s="0" t="n">
        <v>0</v>
      </c>
      <c r="F3586" s="23" t="s">
        <v>1444</v>
      </c>
      <c r="I3586" s="23" t="s">
        <v>1209</v>
      </c>
      <c r="U3586" s="0" t="n">
        <v>171</v>
      </c>
      <c r="V3586" s="0" t="n">
        <v>0</v>
      </c>
      <c r="W3586" s="0" t="str">
        <f aca="false">IF(OR(AND(B3586&gt;=1,B3586&lt;=6),B3586=10),"Vaca em lactação",IF(I3586="Male","Macho",IF(E3586&gt;=1,"Vaca seca",IF(I3586="Youngstock","Bezerra/recria","Novilha"))))</f>
        <v>Macho</v>
      </c>
      <c r="X3586" s="0" t="str">
        <f aca="false">IF(AND(B3586&gt;=1,B3586&lt;=6),"Tanque",IF(B3586=10,"Descarte",""))</f>
        <v/>
      </c>
    </row>
    <row r="3587" customFormat="false" ht="15" hidden="false" customHeight="false" outlineLevel="0" collapsed="false">
      <c r="A3587" s="22" t="n">
        <v>46309</v>
      </c>
      <c r="B3587" s="0" t="n">
        <v>15</v>
      </c>
      <c r="C3587" s="0" t="n">
        <v>30682</v>
      </c>
      <c r="E3587" s="0" t="n">
        <v>0</v>
      </c>
      <c r="F3587" s="23" t="s">
        <v>1454</v>
      </c>
      <c r="I3587" s="23" t="s">
        <v>1209</v>
      </c>
      <c r="U3587" s="0" t="n">
        <v>178</v>
      </c>
      <c r="V3587" s="0" t="n">
        <v>0</v>
      </c>
      <c r="W3587" s="0" t="str">
        <f aca="false">IF(OR(AND(B3587&gt;=1,B3587&lt;=6),B3587=10),"Vaca em lactação",IF(I3587="Male","Macho",IF(E3587&gt;=1,"Vaca seca",IF(I3587="Youngstock","Bezerra/recria","Novilha"))))</f>
        <v>Macho</v>
      </c>
      <c r="X3587" s="0" t="str">
        <f aca="false">IF(AND(B3587&gt;=1,B3587&lt;=6),"Tanque",IF(B3587=10,"Descarte",""))</f>
        <v/>
      </c>
    </row>
    <row r="3588" customFormat="false" ht="15" hidden="false" customHeight="false" outlineLevel="0" collapsed="false">
      <c r="A3588" s="22" t="n">
        <v>46309</v>
      </c>
      <c r="B3588" s="0" t="n">
        <v>15</v>
      </c>
      <c r="C3588" s="0" t="n">
        <v>30684</v>
      </c>
      <c r="E3588" s="0" t="n">
        <v>0</v>
      </c>
      <c r="F3588" s="23" t="s">
        <v>1449</v>
      </c>
      <c r="I3588" s="23" t="s">
        <v>1209</v>
      </c>
      <c r="U3588" s="0" t="n">
        <v>177</v>
      </c>
      <c r="V3588" s="0" t="n">
        <v>0</v>
      </c>
      <c r="W3588" s="0" t="str">
        <f aca="false">IF(OR(AND(B3588&gt;=1,B3588&lt;=6),B3588=10),"Vaca em lactação",IF(I3588="Male","Macho",IF(E3588&gt;=1,"Vaca seca",IF(I3588="Youngstock","Bezerra/recria","Novilha"))))</f>
        <v>Macho</v>
      </c>
      <c r="X3588" s="0" t="str">
        <f aca="false">IF(AND(B3588&gt;=1,B3588&lt;=6),"Tanque",IF(B3588=10,"Descarte",""))</f>
        <v/>
      </c>
    </row>
    <row r="3589" customFormat="false" ht="15" hidden="false" customHeight="false" outlineLevel="0" collapsed="false">
      <c r="A3589" s="22" t="n">
        <v>46309</v>
      </c>
      <c r="B3589" s="0" t="n">
        <v>15</v>
      </c>
      <c r="C3589" s="0" t="n">
        <v>30630</v>
      </c>
      <c r="E3589" s="0" t="n">
        <v>0</v>
      </c>
      <c r="F3589" s="23" t="s">
        <v>1412</v>
      </c>
      <c r="I3589" s="23" t="s">
        <v>1209</v>
      </c>
      <c r="U3589" s="0" t="n">
        <v>195</v>
      </c>
      <c r="V3589" s="0" t="n">
        <v>0</v>
      </c>
      <c r="W3589" s="0" t="str">
        <f aca="false">IF(OR(AND(B3589&gt;=1,B3589&lt;=6),B3589=10),"Vaca em lactação",IF(I3589="Male","Macho",IF(E3589&gt;=1,"Vaca seca",IF(I3589="Youngstock","Bezerra/recria","Novilha"))))</f>
        <v>Macho</v>
      </c>
      <c r="X3589" s="0" t="str">
        <f aca="false">IF(AND(B3589&gt;=1,B3589&lt;=6),"Tanque",IF(B3589=10,"Descarte",""))</f>
        <v/>
      </c>
    </row>
    <row r="3590" customFormat="false" ht="15" hidden="false" customHeight="false" outlineLevel="0" collapsed="false">
      <c r="A3590" s="22" t="n">
        <v>46309</v>
      </c>
      <c r="B3590" s="0" t="n">
        <v>15</v>
      </c>
      <c r="C3590" s="0" t="n">
        <v>30669</v>
      </c>
      <c r="E3590" s="0" t="n">
        <v>0</v>
      </c>
      <c r="F3590" s="23" t="s">
        <v>1452</v>
      </c>
      <c r="I3590" s="23" t="s">
        <v>1209</v>
      </c>
      <c r="U3590" s="0" t="n">
        <v>182</v>
      </c>
      <c r="V3590" s="0" t="n">
        <v>0</v>
      </c>
      <c r="W3590" s="0" t="str">
        <f aca="false">IF(OR(AND(B3590&gt;=1,B3590&lt;=6),B3590=10),"Vaca em lactação",IF(I3590="Male","Macho",IF(E3590&gt;=1,"Vaca seca",IF(I3590="Youngstock","Bezerra/recria","Novilha"))))</f>
        <v>Macho</v>
      </c>
      <c r="X3590" s="0" t="str">
        <f aca="false">IF(AND(B3590&gt;=1,B3590&lt;=6),"Tanque",IF(B3590=10,"Descarte",""))</f>
        <v/>
      </c>
    </row>
    <row r="3591" customFormat="false" ht="15" hidden="false" customHeight="false" outlineLevel="0" collapsed="false">
      <c r="A3591" s="22" t="n">
        <v>46309</v>
      </c>
      <c r="B3591" s="0" t="n">
        <v>15</v>
      </c>
      <c r="C3591" s="0" t="n">
        <v>30672</v>
      </c>
      <c r="E3591" s="0" t="n">
        <v>0</v>
      </c>
      <c r="F3591" s="23" t="s">
        <v>1454</v>
      </c>
      <c r="I3591" s="23" t="s">
        <v>1209</v>
      </c>
      <c r="U3591" s="0" t="n">
        <v>178</v>
      </c>
      <c r="V3591" s="0" t="n">
        <v>0</v>
      </c>
      <c r="W3591" s="0" t="str">
        <f aca="false">IF(OR(AND(B3591&gt;=1,B3591&lt;=6),B3591=10),"Vaca em lactação",IF(I3591="Male","Macho",IF(E3591&gt;=1,"Vaca seca",IF(I3591="Youngstock","Bezerra/recria","Novilha"))))</f>
        <v>Macho</v>
      </c>
      <c r="X3591" s="0" t="str">
        <f aca="false">IF(AND(B3591&gt;=1,B3591&lt;=6),"Tanque",IF(B3591=10,"Descarte",""))</f>
        <v/>
      </c>
    </row>
    <row r="3592" customFormat="false" ht="15" hidden="false" customHeight="false" outlineLevel="0" collapsed="false">
      <c r="A3592" s="22" t="n">
        <v>46309</v>
      </c>
      <c r="B3592" s="0" t="n">
        <v>15</v>
      </c>
      <c r="C3592" s="0" t="n">
        <v>30267</v>
      </c>
      <c r="E3592" s="0" t="n">
        <v>0</v>
      </c>
      <c r="F3592" s="23" t="s">
        <v>1186</v>
      </c>
      <c r="I3592" s="23" t="s">
        <v>1209</v>
      </c>
      <c r="U3592" s="0" t="n">
        <v>430</v>
      </c>
      <c r="V3592" s="0" t="n">
        <v>0</v>
      </c>
      <c r="W3592" s="0" t="str">
        <f aca="false">IF(OR(AND(B3592&gt;=1,B3592&lt;=6),B3592=10),"Vaca em lactação",IF(I3592="Male","Macho",IF(E3592&gt;=1,"Vaca seca",IF(I3592="Youngstock","Bezerra/recria","Novilha"))))</f>
        <v>Macho</v>
      </c>
      <c r="X3592" s="0" t="str">
        <f aca="false">IF(AND(B3592&gt;=1,B3592&lt;=6),"Tanque",IF(B3592=10,"Descarte",""))</f>
        <v/>
      </c>
    </row>
    <row r="3593" customFormat="false" ht="15" hidden="false" customHeight="false" outlineLevel="0" collapsed="false">
      <c r="A3593" s="22" t="n">
        <v>46309</v>
      </c>
      <c r="B3593" s="0" t="n">
        <v>15</v>
      </c>
      <c r="C3593" s="0" t="n">
        <v>30351</v>
      </c>
      <c r="E3593" s="0" t="n">
        <v>0</v>
      </c>
      <c r="F3593" s="23" t="s">
        <v>1283</v>
      </c>
      <c r="I3593" s="23" t="s">
        <v>1209</v>
      </c>
      <c r="U3593" s="0" t="n">
        <v>356</v>
      </c>
      <c r="V3593" s="0" t="n">
        <v>0</v>
      </c>
      <c r="W3593" s="0" t="str">
        <f aca="false">IF(OR(AND(B3593&gt;=1,B3593&lt;=6),B3593=10),"Vaca em lactação",IF(I3593="Male","Macho",IF(E3593&gt;=1,"Vaca seca",IF(I3593="Youngstock","Bezerra/recria","Novilha"))))</f>
        <v>Macho</v>
      </c>
      <c r="X3593" s="0" t="str">
        <f aca="false">IF(AND(B3593&gt;=1,B3593&lt;=6),"Tanque",IF(B3593=10,"Descarte",""))</f>
        <v/>
      </c>
    </row>
    <row r="3594" customFormat="false" ht="15" hidden="false" customHeight="false" outlineLevel="0" collapsed="false">
      <c r="A3594" s="22" t="n">
        <v>46309</v>
      </c>
      <c r="B3594" s="0" t="n">
        <v>15</v>
      </c>
      <c r="C3594" s="0" t="n">
        <v>30655</v>
      </c>
      <c r="E3594" s="0" t="n">
        <v>0</v>
      </c>
      <c r="F3594" s="23" t="s">
        <v>1421</v>
      </c>
      <c r="I3594" s="23" t="s">
        <v>1209</v>
      </c>
      <c r="U3594" s="0" t="n">
        <v>185</v>
      </c>
      <c r="V3594" s="0" t="n">
        <v>0</v>
      </c>
      <c r="W3594" s="0" t="str">
        <f aca="false">IF(OR(AND(B3594&gt;=1,B3594&lt;=6),B3594=10),"Vaca em lactação",IF(I3594="Male","Macho",IF(E3594&gt;=1,"Vaca seca",IF(I3594="Youngstock","Bezerra/recria","Novilha"))))</f>
        <v>Macho</v>
      </c>
      <c r="X3594" s="0" t="str">
        <f aca="false">IF(AND(B3594&gt;=1,B3594&lt;=6),"Tanque",IF(B3594=10,"Descarte",""))</f>
        <v/>
      </c>
    </row>
    <row r="3595" customFormat="false" ht="15" hidden="false" customHeight="false" outlineLevel="0" collapsed="false">
      <c r="A3595" s="22" t="n">
        <v>46309</v>
      </c>
      <c r="B3595" s="0" t="n">
        <v>15</v>
      </c>
      <c r="C3595" s="0" t="n">
        <v>30659</v>
      </c>
      <c r="E3595" s="0" t="n">
        <v>0</v>
      </c>
      <c r="F3595" s="23" t="s">
        <v>1457</v>
      </c>
      <c r="I3595" s="23" t="s">
        <v>1209</v>
      </c>
      <c r="U3595" s="0" t="n">
        <v>184</v>
      </c>
      <c r="V3595" s="0" t="n">
        <v>0</v>
      </c>
      <c r="W3595" s="0" t="str">
        <f aca="false">IF(OR(AND(B3595&gt;=1,B3595&lt;=6),B3595=10),"Vaca em lactação",IF(I3595="Male","Macho",IF(E3595&gt;=1,"Vaca seca",IF(I3595="Youngstock","Bezerra/recria","Novilha"))))</f>
        <v>Macho</v>
      </c>
      <c r="X3595" s="0" t="str">
        <f aca="false">IF(AND(B3595&gt;=1,B3595&lt;=6),"Tanque",IF(B3595=10,"Descarte",""))</f>
        <v/>
      </c>
    </row>
    <row r="3596" customFormat="false" ht="15" hidden="false" customHeight="false" outlineLevel="0" collapsed="false">
      <c r="A3596" s="22" t="n">
        <v>46309</v>
      </c>
      <c r="B3596" s="0" t="n">
        <v>15</v>
      </c>
      <c r="C3596" s="0" t="n">
        <v>30752</v>
      </c>
      <c r="E3596" s="0" t="n">
        <v>0</v>
      </c>
      <c r="F3596" s="23" t="s">
        <v>1461</v>
      </c>
      <c r="I3596" s="23" t="s">
        <v>1209</v>
      </c>
      <c r="U3596" s="0" t="n">
        <v>146</v>
      </c>
      <c r="V3596" s="0" t="n">
        <v>0</v>
      </c>
      <c r="W3596" s="0" t="str">
        <f aca="false">IF(OR(AND(B3596&gt;=1,B3596&lt;=6),B3596=10),"Vaca em lactação",IF(I3596="Male","Macho",IF(E3596&gt;=1,"Vaca seca",IF(I3596="Youngstock","Bezerra/recria","Novilha"))))</f>
        <v>Macho</v>
      </c>
      <c r="X3596" s="0" t="str">
        <f aca="false">IF(AND(B3596&gt;=1,B3596&lt;=6),"Tanque",IF(B3596=10,"Descarte",""))</f>
        <v/>
      </c>
    </row>
    <row r="3597" customFormat="false" ht="15" hidden="false" customHeight="false" outlineLevel="0" collapsed="false">
      <c r="A3597" s="22" t="n">
        <v>46309</v>
      </c>
      <c r="B3597" s="0" t="n">
        <v>15</v>
      </c>
      <c r="C3597" s="0" t="n">
        <v>30733</v>
      </c>
      <c r="E3597" s="0" t="n">
        <v>0</v>
      </c>
      <c r="F3597" s="23" t="s">
        <v>1465</v>
      </c>
      <c r="I3597" s="23" t="s">
        <v>1209</v>
      </c>
      <c r="U3597" s="0" t="n">
        <v>156</v>
      </c>
      <c r="V3597" s="0" t="n">
        <v>0</v>
      </c>
      <c r="W3597" s="0" t="str">
        <f aca="false">IF(OR(AND(B3597&gt;=1,B3597&lt;=6),B3597=10),"Vaca em lactação",IF(I3597="Male","Macho",IF(E3597&gt;=1,"Vaca seca",IF(I3597="Youngstock","Bezerra/recria","Novilha"))))</f>
        <v>Macho</v>
      </c>
      <c r="X3597" s="0" t="str">
        <f aca="false">IF(AND(B3597&gt;=1,B3597&lt;=6),"Tanque",IF(B3597=10,"Descarte",""))</f>
        <v/>
      </c>
    </row>
    <row r="3598" customFormat="false" ht="15" hidden="false" customHeight="false" outlineLevel="0" collapsed="false">
      <c r="A3598" s="22" t="n">
        <v>46309</v>
      </c>
      <c r="B3598" s="0" t="n">
        <v>15</v>
      </c>
      <c r="C3598" s="0" t="n">
        <v>30734</v>
      </c>
      <c r="E3598" s="0" t="n">
        <v>0</v>
      </c>
      <c r="F3598" s="23" t="s">
        <v>1466</v>
      </c>
      <c r="I3598" s="23" t="s">
        <v>1209</v>
      </c>
      <c r="U3598" s="0" t="n">
        <v>155</v>
      </c>
      <c r="V3598" s="0" t="n">
        <v>0</v>
      </c>
      <c r="W3598" s="0" t="str">
        <f aca="false">IF(OR(AND(B3598&gt;=1,B3598&lt;=6),B3598=10),"Vaca em lactação",IF(I3598="Male","Macho",IF(E3598&gt;=1,"Vaca seca",IF(I3598="Youngstock","Bezerra/recria","Novilha"))))</f>
        <v>Macho</v>
      </c>
      <c r="X3598" s="0" t="str">
        <f aca="false">IF(AND(B3598&gt;=1,B3598&lt;=6),"Tanque",IF(B3598=10,"Descarte",""))</f>
        <v/>
      </c>
    </row>
    <row r="3599" customFormat="false" ht="15" hidden="false" customHeight="false" outlineLevel="0" collapsed="false">
      <c r="A3599" s="22" t="n">
        <v>46309</v>
      </c>
      <c r="B3599" s="0" t="n">
        <v>15</v>
      </c>
      <c r="C3599" s="0" t="n">
        <v>30739</v>
      </c>
      <c r="E3599" s="0" t="n">
        <v>0</v>
      </c>
      <c r="F3599" s="23" t="s">
        <v>1468</v>
      </c>
      <c r="I3599" s="23" t="s">
        <v>1209</v>
      </c>
      <c r="U3599" s="0" t="n">
        <v>153</v>
      </c>
      <c r="V3599" s="0" t="n">
        <v>0</v>
      </c>
      <c r="W3599" s="0" t="str">
        <f aca="false">IF(OR(AND(B3599&gt;=1,B3599&lt;=6),B3599=10),"Vaca em lactação",IF(I3599="Male","Macho",IF(E3599&gt;=1,"Vaca seca",IF(I3599="Youngstock","Bezerra/recria","Novilha"))))</f>
        <v>Macho</v>
      </c>
      <c r="X3599" s="0" t="str">
        <f aca="false">IF(AND(B3599&gt;=1,B3599&lt;=6),"Tanque",IF(B3599=10,"Descarte",""))</f>
        <v/>
      </c>
    </row>
    <row r="3600" customFormat="false" ht="15" hidden="false" customHeight="false" outlineLevel="0" collapsed="false">
      <c r="A3600" s="22" t="n">
        <v>46309</v>
      </c>
      <c r="B3600" s="0" t="n">
        <v>15</v>
      </c>
      <c r="C3600" s="0" t="n">
        <v>30743</v>
      </c>
      <c r="E3600" s="0" t="n">
        <v>0</v>
      </c>
      <c r="F3600" s="23" t="s">
        <v>1469</v>
      </c>
      <c r="I3600" s="23" t="s">
        <v>1209</v>
      </c>
      <c r="U3600" s="0" t="n">
        <v>151</v>
      </c>
      <c r="V3600" s="0" t="n">
        <v>0</v>
      </c>
      <c r="W3600" s="0" t="str">
        <f aca="false">IF(OR(AND(B3600&gt;=1,B3600&lt;=6),B3600=10),"Vaca em lactação",IF(I3600="Male","Macho",IF(E3600&gt;=1,"Vaca seca",IF(I3600="Youngstock","Bezerra/recria","Novilha"))))</f>
        <v>Macho</v>
      </c>
      <c r="X3600" s="0" t="str">
        <f aca="false">IF(AND(B3600&gt;=1,B3600&lt;=6),"Tanque",IF(B3600=10,"Descarte",""))</f>
        <v/>
      </c>
    </row>
    <row r="3601" customFormat="false" ht="15" hidden="false" customHeight="false" outlineLevel="0" collapsed="false">
      <c r="A3601" s="22" t="n">
        <v>46309</v>
      </c>
      <c r="B3601" s="0" t="n">
        <v>15</v>
      </c>
      <c r="C3601" s="0" t="n">
        <v>30741</v>
      </c>
      <c r="E3601" s="0" t="n">
        <v>0</v>
      </c>
      <c r="F3601" s="23" t="s">
        <v>1470</v>
      </c>
      <c r="I3601" s="23" t="s">
        <v>1209</v>
      </c>
      <c r="U3601" s="0" t="n">
        <v>152</v>
      </c>
      <c r="V3601" s="0" t="n">
        <v>0</v>
      </c>
      <c r="W3601" s="0" t="str">
        <f aca="false">IF(OR(AND(B3601&gt;=1,B3601&lt;=6),B3601=10),"Vaca em lactação",IF(I3601="Male","Macho",IF(E3601&gt;=1,"Vaca seca",IF(I3601="Youngstock","Bezerra/recria","Novilha"))))</f>
        <v>Macho</v>
      </c>
      <c r="X3601" s="0" t="str">
        <f aca="false">IF(AND(B3601&gt;=1,B3601&lt;=6),"Tanque",IF(B3601=10,"Descarte",""))</f>
        <v/>
      </c>
    </row>
    <row r="3602" customFormat="false" ht="15" hidden="false" customHeight="false" outlineLevel="0" collapsed="false">
      <c r="A3602" s="22" t="n">
        <v>46309</v>
      </c>
      <c r="B3602" s="0" t="n">
        <v>15</v>
      </c>
      <c r="C3602" s="0" t="n">
        <v>30744</v>
      </c>
      <c r="E3602" s="0" t="n">
        <v>0</v>
      </c>
      <c r="F3602" s="23" t="s">
        <v>1471</v>
      </c>
      <c r="I3602" s="23" t="s">
        <v>1209</v>
      </c>
      <c r="U3602" s="0" t="n">
        <v>149</v>
      </c>
      <c r="V3602" s="0" t="n">
        <v>0</v>
      </c>
      <c r="W3602" s="0" t="str">
        <f aca="false">IF(OR(AND(B3602&gt;=1,B3602&lt;=6),B3602=10),"Vaca em lactação",IF(I3602="Male","Macho",IF(E3602&gt;=1,"Vaca seca",IF(I3602="Youngstock","Bezerra/recria","Novilha"))))</f>
        <v>Macho</v>
      </c>
      <c r="X3602" s="0" t="str">
        <f aca="false">IF(AND(B3602&gt;=1,B3602&lt;=6),"Tanque",IF(B3602=10,"Descarte",""))</f>
        <v/>
      </c>
    </row>
    <row r="3603" customFormat="false" ht="15" hidden="false" customHeight="false" outlineLevel="0" collapsed="false">
      <c r="A3603" s="22" t="n">
        <v>46309</v>
      </c>
      <c r="B3603" s="0" t="n">
        <v>15</v>
      </c>
      <c r="C3603" s="0" t="n">
        <v>30728</v>
      </c>
      <c r="E3603" s="0" t="n">
        <v>0</v>
      </c>
      <c r="F3603" s="23" t="s">
        <v>1476</v>
      </c>
      <c r="I3603" s="23" t="s">
        <v>1209</v>
      </c>
      <c r="U3603" s="0" t="n">
        <v>158</v>
      </c>
      <c r="V3603" s="0" t="n">
        <v>0</v>
      </c>
      <c r="W3603" s="0" t="str">
        <f aca="false">IF(OR(AND(B3603&gt;=1,B3603&lt;=6),B3603=10),"Vaca em lactação",IF(I3603="Male","Macho",IF(E3603&gt;=1,"Vaca seca",IF(I3603="Youngstock","Bezerra/recria","Novilha"))))</f>
        <v>Macho</v>
      </c>
      <c r="X3603" s="0" t="str">
        <f aca="false">IF(AND(B3603&gt;=1,B3603&lt;=6),"Tanque",IF(B3603=10,"Descarte",""))</f>
        <v/>
      </c>
    </row>
    <row r="3604" customFormat="false" ht="15" hidden="false" customHeight="false" outlineLevel="0" collapsed="false">
      <c r="A3604" s="22" t="n">
        <v>46309</v>
      </c>
      <c r="B3604" s="0" t="n">
        <v>15</v>
      </c>
      <c r="C3604" s="0" t="n">
        <v>30726</v>
      </c>
      <c r="E3604" s="0" t="n">
        <v>0</v>
      </c>
      <c r="F3604" s="23" t="s">
        <v>1477</v>
      </c>
      <c r="I3604" s="23" t="s">
        <v>1209</v>
      </c>
      <c r="U3604" s="0" t="n">
        <v>159</v>
      </c>
      <c r="V3604" s="0" t="n">
        <v>0</v>
      </c>
      <c r="W3604" s="0" t="str">
        <f aca="false">IF(OR(AND(B3604&gt;=1,B3604&lt;=6),B3604=10),"Vaca em lactação",IF(I3604="Male","Macho",IF(E3604&gt;=1,"Vaca seca",IF(I3604="Youngstock","Bezerra/recria","Novilha"))))</f>
        <v>Macho</v>
      </c>
      <c r="X3604" s="0" t="str">
        <f aca="false">IF(AND(B3604&gt;=1,B3604&lt;=6),"Tanque",IF(B3604=10,"Descarte",""))</f>
        <v/>
      </c>
    </row>
    <row r="3605" customFormat="false" ht="15" hidden="false" customHeight="false" outlineLevel="0" collapsed="false">
      <c r="A3605" s="22" t="n">
        <v>46309</v>
      </c>
      <c r="B3605" s="0" t="n">
        <v>15</v>
      </c>
      <c r="C3605" s="0" t="n">
        <v>30729</v>
      </c>
      <c r="E3605" s="0" t="n">
        <v>0</v>
      </c>
      <c r="F3605" s="23" t="s">
        <v>1475</v>
      </c>
      <c r="I3605" s="23" t="s">
        <v>1209</v>
      </c>
      <c r="U3605" s="0" t="n">
        <v>157</v>
      </c>
      <c r="V3605" s="0" t="n">
        <v>0</v>
      </c>
      <c r="W3605" s="0" t="str">
        <f aca="false">IF(OR(AND(B3605&gt;=1,B3605&lt;=6),B3605=10),"Vaca em lactação",IF(I3605="Male","Macho",IF(E3605&gt;=1,"Vaca seca",IF(I3605="Youngstock","Bezerra/recria","Novilha"))))</f>
        <v>Macho</v>
      </c>
      <c r="X3605" s="0" t="str">
        <f aca="false">IF(AND(B3605&gt;=1,B3605&lt;=6),"Tanque",IF(B3605=10,"Descarte",""))</f>
        <v/>
      </c>
    </row>
    <row r="3606" customFormat="false" ht="15" hidden="false" customHeight="false" outlineLevel="0" collapsed="false">
      <c r="A3606" s="22" t="n">
        <v>46309</v>
      </c>
      <c r="B3606" s="0" t="n">
        <v>15</v>
      </c>
      <c r="C3606" s="0" t="n">
        <v>30732</v>
      </c>
      <c r="E3606" s="0" t="n">
        <v>0</v>
      </c>
      <c r="F3606" s="23" t="s">
        <v>1465</v>
      </c>
      <c r="I3606" s="23" t="s">
        <v>1209</v>
      </c>
      <c r="U3606" s="0" t="n">
        <v>156</v>
      </c>
      <c r="V3606" s="0" t="n">
        <v>0</v>
      </c>
      <c r="W3606" s="0" t="str">
        <f aca="false">IF(OR(AND(B3606&gt;=1,B3606&lt;=6),B3606=10),"Vaca em lactação",IF(I3606="Male","Macho",IF(E3606&gt;=1,"Vaca seca",IF(I3606="Youngstock","Bezerra/recria","Novilha"))))</f>
        <v>Macho</v>
      </c>
      <c r="X3606" s="0" t="str">
        <f aca="false">IF(AND(B3606&gt;=1,B3606&lt;=6),"Tanque",IF(B3606=10,"Descarte",""))</f>
        <v/>
      </c>
    </row>
    <row r="3607" customFormat="false" ht="15" hidden="false" customHeight="false" outlineLevel="0" collapsed="false">
      <c r="A3607" s="22" t="n">
        <v>46309</v>
      </c>
      <c r="B3607" s="0" t="n">
        <v>15</v>
      </c>
      <c r="C3607" s="0" t="n">
        <v>30706</v>
      </c>
      <c r="E3607" s="0" t="n">
        <v>0</v>
      </c>
      <c r="F3607" s="23" t="s">
        <v>1478</v>
      </c>
      <c r="I3607" s="23" t="s">
        <v>1209</v>
      </c>
      <c r="U3607" s="0" t="n">
        <v>167</v>
      </c>
      <c r="V3607" s="0" t="n">
        <v>0</v>
      </c>
      <c r="W3607" s="0" t="str">
        <f aca="false">IF(OR(AND(B3607&gt;=1,B3607&lt;=6),B3607=10),"Vaca em lactação",IF(I3607="Male","Macho",IF(E3607&gt;=1,"Vaca seca",IF(I3607="Youngstock","Bezerra/recria","Novilha"))))</f>
        <v>Macho</v>
      </c>
      <c r="X3607" s="0" t="str">
        <f aca="false">IF(AND(B3607&gt;=1,B3607&lt;=6),"Tanque",IF(B3607=10,"Descarte",""))</f>
        <v/>
      </c>
    </row>
    <row r="3608" customFormat="false" ht="15" hidden="false" customHeight="false" outlineLevel="0" collapsed="false">
      <c r="A3608" s="22" t="n">
        <v>46309</v>
      </c>
      <c r="B3608" s="0" t="n">
        <v>15</v>
      </c>
      <c r="C3608" s="0" t="n">
        <v>30709</v>
      </c>
      <c r="E3608" s="0" t="n">
        <v>0</v>
      </c>
      <c r="F3608" s="23" t="s">
        <v>1480</v>
      </c>
      <c r="I3608" s="23" t="s">
        <v>1209</v>
      </c>
      <c r="U3608" s="0" t="n">
        <v>165</v>
      </c>
      <c r="V3608" s="0" t="n">
        <v>0</v>
      </c>
      <c r="W3608" s="0" t="str">
        <f aca="false">IF(OR(AND(B3608&gt;=1,B3608&lt;=6),B3608=10),"Vaca em lactação",IF(I3608="Male","Macho",IF(E3608&gt;=1,"Vaca seca",IF(I3608="Youngstock","Bezerra/recria","Novilha"))))</f>
        <v>Macho</v>
      </c>
      <c r="X3608" s="0" t="str">
        <f aca="false">IF(AND(B3608&gt;=1,B3608&lt;=6),"Tanque",IF(B3608=10,"Descarte",""))</f>
        <v/>
      </c>
    </row>
    <row r="3609" customFormat="false" ht="15" hidden="false" customHeight="false" outlineLevel="0" collapsed="false">
      <c r="A3609" s="22" t="n">
        <v>46309</v>
      </c>
      <c r="B3609" s="0" t="n">
        <v>15</v>
      </c>
      <c r="C3609" s="0" t="n">
        <v>30711</v>
      </c>
      <c r="E3609" s="0" t="n">
        <v>0</v>
      </c>
      <c r="F3609" s="23" t="s">
        <v>1482</v>
      </c>
      <c r="I3609" s="23" t="s">
        <v>1209</v>
      </c>
      <c r="U3609" s="0" t="n">
        <v>164</v>
      </c>
      <c r="V3609" s="0" t="n">
        <v>0</v>
      </c>
      <c r="W3609" s="0" t="str">
        <f aca="false">IF(OR(AND(B3609&gt;=1,B3609&lt;=6),B3609=10),"Vaca em lactação",IF(I3609="Male","Macho",IF(E3609&gt;=1,"Vaca seca",IF(I3609="Youngstock","Bezerra/recria","Novilha"))))</f>
        <v>Macho</v>
      </c>
      <c r="X3609" s="0" t="str">
        <f aca="false">IF(AND(B3609&gt;=1,B3609&lt;=6),"Tanque",IF(B3609=10,"Descarte",""))</f>
        <v/>
      </c>
    </row>
    <row r="3610" customFormat="false" ht="15" hidden="false" customHeight="false" outlineLevel="0" collapsed="false">
      <c r="A3610" s="22" t="n">
        <v>46309</v>
      </c>
      <c r="B3610" s="0" t="n">
        <v>15</v>
      </c>
      <c r="C3610" s="0" t="n">
        <v>30716</v>
      </c>
      <c r="E3610" s="0" t="n">
        <v>0</v>
      </c>
      <c r="F3610" s="23" t="s">
        <v>1481</v>
      </c>
      <c r="I3610" s="23" t="s">
        <v>1209</v>
      </c>
      <c r="U3610" s="0" t="n">
        <v>163</v>
      </c>
      <c r="V3610" s="0" t="n">
        <v>0</v>
      </c>
      <c r="W3610" s="0" t="str">
        <f aca="false">IF(OR(AND(B3610&gt;=1,B3610&lt;=6),B3610=10),"Vaca em lactação",IF(I3610="Male","Macho",IF(E3610&gt;=1,"Vaca seca",IF(I3610="Youngstock","Bezerra/recria","Novilha"))))</f>
        <v>Macho</v>
      </c>
      <c r="X3610" s="0" t="str">
        <f aca="false">IF(AND(B3610&gt;=1,B3610&lt;=6),"Tanque",IF(B3610=10,"Descarte",""))</f>
        <v/>
      </c>
    </row>
    <row r="3611" customFormat="false" ht="15" hidden="false" customHeight="false" outlineLevel="0" collapsed="false">
      <c r="A3611" s="22" t="n">
        <v>46309</v>
      </c>
      <c r="B3611" s="0" t="n">
        <v>15</v>
      </c>
      <c r="C3611" s="0" t="n">
        <v>30718</v>
      </c>
      <c r="E3611" s="0" t="n">
        <v>0</v>
      </c>
      <c r="F3611" s="23" t="s">
        <v>1481</v>
      </c>
      <c r="I3611" s="23" t="s">
        <v>1209</v>
      </c>
      <c r="U3611" s="0" t="n">
        <v>163</v>
      </c>
      <c r="V3611" s="0" t="n">
        <v>0</v>
      </c>
      <c r="W3611" s="0" t="str">
        <f aca="false">IF(OR(AND(B3611&gt;=1,B3611&lt;=6),B3611=10),"Vaca em lactação",IF(I3611="Male","Macho",IF(E3611&gt;=1,"Vaca seca",IF(I3611="Youngstock","Bezerra/recria","Novilha"))))</f>
        <v>Macho</v>
      </c>
      <c r="X3611" s="0" t="str">
        <f aca="false">IF(AND(B3611&gt;=1,B3611&lt;=6),"Tanque",IF(B3611=10,"Descarte",""))</f>
        <v/>
      </c>
    </row>
    <row r="3612" customFormat="false" ht="15" hidden="false" customHeight="false" outlineLevel="0" collapsed="false">
      <c r="A3612" s="22" t="n">
        <v>46309</v>
      </c>
      <c r="B3612" s="0" t="n">
        <v>15</v>
      </c>
      <c r="C3612" s="0" t="n">
        <v>30791</v>
      </c>
      <c r="E3612" s="0" t="n">
        <v>0</v>
      </c>
      <c r="F3612" s="23" t="s">
        <v>1557</v>
      </c>
      <c r="I3612" s="23" t="s">
        <v>1209</v>
      </c>
      <c r="U3612" s="0" t="n">
        <v>124</v>
      </c>
      <c r="V3612" s="0" t="n">
        <v>0</v>
      </c>
      <c r="W3612" s="0" t="str">
        <f aca="false">IF(OR(AND(B3612&gt;=1,B3612&lt;=6),B3612=10),"Vaca em lactação",IF(I3612="Male","Macho",IF(E3612&gt;=1,"Vaca seca",IF(I3612="Youngstock","Bezerra/recria","Novilha"))))</f>
        <v>Macho</v>
      </c>
      <c r="X3612" s="0" t="str">
        <f aca="false">IF(AND(B3612&gt;=1,B3612&lt;=6),"Tanque",IF(B3612=10,"Descarte",""))</f>
        <v/>
      </c>
    </row>
    <row r="3613" customFormat="false" ht="15" hidden="false" customHeight="false" outlineLevel="0" collapsed="false">
      <c r="A3613" s="22" t="n">
        <v>46309</v>
      </c>
      <c r="B3613" s="0" t="n">
        <v>15</v>
      </c>
      <c r="C3613" s="0" t="n">
        <v>30790</v>
      </c>
      <c r="E3613" s="0" t="n">
        <v>0</v>
      </c>
      <c r="F3613" s="23" t="s">
        <v>1557</v>
      </c>
      <c r="I3613" s="23" t="s">
        <v>1209</v>
      </c>
      <c r="U3613" s="0" t="n">
        <v>124</v>
      </c>
      <c r="V3613" s="0" t="n">
        <v>0</v>
      </c>
      <c r="W3613" s="0" t="str">
        <f aca="false">IF(OR(AND(B3613&gt;=1,B3613&lt;=6),B3613=10),"Vaca em lactação",IF(I3613="Male","Macho",IF(E3613&gt;=1,"Vaca seca",IF(I3613="Youngstock","Bezerra/recria","Novilha"))))</f>
        <v>Macho</v>
      </c>
      <c r="X3613" s="0" t="str">
        <f aca="false">IF(AND(B3613&gt;=1,B3613&lt;=6),"Tanque",IF(B3613=10,"Descarte",""))</f>
        <v/>
      </c>
    </row>
    <row r="3614" customFormat="false" ht="15" hidden="false" customHeight="false" outlineLevel="0" collapsed="false">
      <c r="A3614" s="22" t="n">
        <v>46309</v>
      </c>
      <c r="B3614" s="0" t="n">
        <v>15</v>
      </c>
      <c r="C3614" s="0" t="n">
        <v>30783</v>
      </c>
      <c r="E3614" s="0" t="n">
        <v>0</v>
      </c>
      <c r="F3614" s="23" t="s">
        <v>1490</v>
      </c>
      <c r="I3614" s="23" t="s">
        <v>1209</v>
      </c>
      <c r="U3614" s="0" t="n">
        <v>127</v>
      </c>
      <c r="V3614" s="0" t="n">
        <v>0</v>
      </c>
      <c r="W3614" s="0" t="str">
        <f aca="false">IF(OR(AND(B3614&gt;=1,B3614&lt;=6),B3614=10),"Vaca em lactação",IF(I3614="Male","Macho",IF(E3614&gt;=1,"Vaca seca",IF(I3614="Youngstock","Bezerra/recria","Novilha"))))</f>
        <v>Macho</v>
      </c>
      <c r="X3614" s="0" t="str">
        <f aca="false">IF(AND(B3614&gt;=1,B3614&lt;=6),"Tanque",IF(B3614=10,"Descarte",""))</f>
        <v/>
      </c>
    </row>
    <row r="3615" customFormat="false" ht="15" hidden="false" customHeight="false" outlineLevel="0" collapsed="false">
      <c r="A3615" s="22" t="n">
        <v>46309</v>
      </c>
      <c r="B3615" s="0" t="n">
        <v>15</v>
      </c>
      <c r="C3615" s="0" t="n">
        <v>30785</v>
      </c>
      <c r="E3615" s="0" t="n">
        <v>0</v>
      </c>
      <c r="F3615" s="23" t="s">
        <v>1490</v>
      </c>
      <c r="I3615" s="23" t="s">
        <v>1209</v>
      </c>
      <c r="U3615" s="0" t="n">
        <v>127</v>
      </c>
      <c r="V3615" s="0" t="n">
        <v>0</v>
      </c>
      <c r="W3615" s="0" t="str">
        <f aca="false">IF(OR(AND(B3615&gt;=1,B3615&lt;=6),B3615=10),"Vaca em lactação",IF(I3615="Male","Macho",IF(E3615&gt;=1,"Vaca seca",IF(I3615="Youngstock","Bezerra/recria","Novilha"))))</f>
        <v>Macho</v>
      </c>
      <c r="X3615" s="0" t="str">
        <f aca="false">IF(AND(B3615&gt;=1,B3615&lt;=6),"Tanque",IF(B3615=10,"Descarte",""))</f>
        <v/>
      </c>
    </row>
    <row r="3616" customFormat="false" ht="15" hidden="false" customHeight="false" outlineLevel="0" collapsed="false">
      <c r="A3616" s="22" t="n">
        <v>46309</v>
      </c>
      <c r="B3616" s="0" t="n">
        <v>15</v>
      </c>
      <c r="C3616" s="0" t="n">
        <v>30784</v>
      </c>
      <c r="E3616" s="0" t="n">
        <v>0</v>
      </c>
      <c r="F3616" s="23" t="s">
        <v>1490</v>
      </c>
      <c r="I3616" s="23" t="s">
        <v>1209</v>
      </c>
      <c r="U3616" s="0" t="n">
        <v>127</v>
      </c>
      <c r="V3616" s="0" t="n">
        <v>0</v>
      </c>
      <c r="W3616" s="0" t="str">
        <f aca="false">IF(OR(AND(B3616&gt;=1,B3616&lt;=6),B3616=10),"Vaca em lactação",IF(I3616="Male","Macho",IF(E3616&gt;=1,"Vaca seca",IF(I3616="Youngstock","Bezerra/recria","Novilha"))))</f>
        <v>Macho</v>
      </c>
      <c r="X3616" s="0" t="str">
        <f aca="false">IF(AND(B3616&gt;=1,B3616&lt;=6),"Tanque",IF(B3616=10,"Descarte",""))</f>
        <v/>
      </c>
    </row>
    <row r="3617" customFormat="false" ht="15" hidden="false" customHeight="false" outlineLevel="0" collapsed="false">
      <c r="A3617" s="22" t="n">
        <v>46309</v>
      </c>
      <c r="B3617" s="0" t="n">
        <v>15</v>
      </c>
      <c r="C3617" s="0" t="n">
        <v>30787</v>
      </c>
      <c r="E3617" s="0" t="n">
        <v>0</v>
      </c>
      <c r="F3617" s="23" t="s">
        <v>1485</v>
      </c>
      <c r="I3617" s="23" t="s">
        <v>1209</v>
      </c>
      <c r="U3617" s="0" t="n">
        <v>125</v>
      </c>
      <c r="V3617" s="0" t="n">
        <v>0</v>
      </c>
      <c r="W3617" s="0" t="str">
        <f aca="false">IF(OR(AND(B3617&gt;=1,B3617&lt;=6),B3617=10),"Vaca em lactação",IF(I3617="Male","Macho",IF(E3617&gt;=1,"Vaca seca",IF(I3617="Youngstock","Bezerra/recria","Novilha"))))</f>
        <v>Macho</v>
      </c>
      <c r="X3617" s="0" t="str">
        <f aca="false">IF(AND(B3617&gt;=1,B3617&lt;=6),"Tanque",IF(B3617=10,"Descarte",""))</f>
        <v/>
      </c>
    </row>
    <row r="3618" customFormat="false" ht="15" hidden="false" customHeight="false" outlineLevel="0" collapsed="false">
      <c r="A3618" s="22" t="n">
        <v>46309</v>
      </c>
      <c r="B3618" s="0" t="n">
        <v>15</v>
      </c>
      <c r="C3618" s="0" t="n">
        <v>30768</v>
      </c>
      <c r="E3618" s="0" t="n">
        <v>0</v>
      </c>
      <c r="F3618" s="23" t="s">
        <v>1493</v>
      </c>
      <c r="I3618" s="23" t="s">
        <v>1209</v>
      </c>
      <c r="U3618" s="0" t="n">
        <v>136</v>
      </c>
      <c r="V3618" s="0" t="n">
        <v>0</v>
      </c>
      <c r="W3618" s="0" t="str">
        <f aca="false">IF(OR(AND(B3618&gt;=1,B3618&lt;=6),B3618=10),"Vaca em lactação",IF(I3618="Male","Macho",IF(E3618&gt;=1,"Vaca seca",IF(I3618="Youngstock","Bezerra/recria","Novilha"))))</f>
        <v>Macho</v>
      </c>
      <c r="X3618" s="0" t="str">
        <f aca="false">IF(AND(B3618&gt;=1,B3618&lt;=6),"Tanque",IF(B3618=10,"Descarte",""))</f>
        <v/>
      </c>
    </row>
    <row r="3619" customFormat="false" ht="15" hidden="false" customHeight="false" outlineLevel="0" collapsed="false">
      <c r="A3619" s="22" t="n">
        <v>46309</v>
      </c>
      <c r="B3619" s="0" t="n">
        <v>15</v>
      </c>
      <c r="C3619" s="0" t="n">
        <v>7778</v>
      </c>
      <c r="E3619" s="0" t="n">
        <v>0</v>
      </c>
      <c r="F3619" s="23" t="s">
        <v>1493</v>
      </c>
      <c r="I3619" s="23" t="s">
        <v>1209</v>
      </c>
      <c r="U3619" s="0" t="n">
        <v>136</v>
      </c>
      <c r="V3619" s="0" t="n">
        <v>0</v>
      </c>
      <c r="W3619" s="0" t="str">
        <f aca="false">IF(OR(AND(B3619&gt;=1,B3619&lt;=6),B3619=10),"Vaca em lactação",IF(I3619="Male","Macho",IF(E3619&gt;=1,"Vaca seca",IF(I3619="Youngstock","Bezerra/recria","Novilha"))))</f>
        <v>Macho</v>
      </c>
      <c r="X3619" s="0" t="str">
        <f aca="false">IF(AND(B3619&gt;=1,B3619&lt;=6),"Tanque",IF(B3619=10,"Descarte",""))</f>
        <v/>
      </c>
    </row>
    <row r="3620" customFormat="false" ht="15" hidden="false" customHeight="false" outlineLevel="0" collapsed="false">
      <c r="A3620" s="22" t="n">
        <v>46309</v>
      </c>
      <c r="B3620" s="0" t="n">
        <v>15</v>
      </c>
      <c r="C3620" s="0" t="n">
        <v>30775</v>
      </c>
      <c r="E3620" s="0" t="n">
        <v>0</v>
      </c>
      <c r="F3620" s="23" t="s">
        <v>1494</v>
      </c>
      <c r="I3620" s="23" t="s">
        <v>1209</v>
      </c>
      <c r="U3620" s="0" t="n">
        <v>132</v>
      </c>
      <c r="V3620" s="0" t="n">
        <v>0</v>
      </c>
      <c r="W3620" s="0" t="str">
        <f aca="false">IF(OR(AND(B3620&gt;=1,B3620&lt;=6),B3620=10),"Vaca em lactação",IF(I3620="Male","Macho",IF(E3620&gt;=1,"Vaca seca",IF(I3620="Youngstock","Bezerra/recria","Novilha"))))</f>
        <v>Macho</v>
      </c>
      <c r="X3620" s="0" t="str">
        <f aca="false">IF(AND(B3620&gt;=1,B3620&lt;=6),"Tanque",IF(B3620=10,"Descarte",""))</f>
        <v/>
      </c>
    </row>
    <row r="3621" customFormat="false" ht="15" hidden="false" customHeight="false" outlineLevel="0" collapsed="false">
      <c r="A3621" s="22" t="n">
        <v>46309</v>
      </c>
      <c r="B3621" s="0" t="n">
        <v>15</v>
      </c>
      <c r="C3621" s="0" t="n">
        <v>30773</v>
      </c>
      <c r="E3621" s="0" t="n">
        <v>0</v>
      </c>
      <c r="F3621" s="23" t="s">
        <v>1495</v>
      </c>
      <c r="I3621" s="23" t="s">
        <v>1209</v>
      </c>
      <c r="U3621" s="0" t="n">
        <v>133</v>
      </c>
      <c r="V3621" s="0" t="n">
        <v>0</v>
      </c>
      <c r="W3621" s="0" t="str">
        <f aca="false">IF(OR(AND(B3621&gt;=1,B3621&lt;=6),B3621=10),"Vaca em lactação",IF(I3621="Male","Macho",IF(E3621&gt;=1,"Vaca seca",IF(I3621="Youngstock","Bezerra/recria","Novilha"))))</f>
        <v>Macho</v>
      </c>
      <c r="X3621" s="0" t="str">
        <f aca="false">IF(AND(B3621&gt;=1,B3621&lt;=6),"Tanque",IF(B3621=10,"Descarte",""))</f>
        <v/>
      </c>
    </row>
    <row r="3622" customFormat="false" ht="15" hidden="false" customHeight="false" outlineLevel="0" collapsed="false">
      <c r="A3622" s="22" t="n">
        <v>46309</v>
      </c>
      <c r="B3622" s="0" t="n">
        <v>15</v>
      </c>
      <c r="C3622" s="0" t="n">
        <v>30777</v>
      </c>
      <c r="E3622" s="0" t="n">
        <v>0</v>
      </c>
      <c r="F3622" s="23" t="s">
        <v>1494</v>
      </c>
      <c r="I3622" s="23" t="s">
        <v>1209</v>
      </c>
      <c r="U3622" s="0" t="n">
        <v>132</v>
      </c>
      <c r="V3622" s="0" t="n">
        <v>0</v>
      </c>
      <c r="W3622" s="0" t="str">
        <f aca="false">IF(OR(AND(B3622&gt;=1,B3622&lt;=6),B3622=10),"Vaca em lactação",IF(I3622="Male","Macho",IF(E3622&gt;=1,"Vaca seca",IF(I3622="Youngstock","Bezerra/recria","Novilha"))))</f>
        <v>Macho</v>
      </c>
      <c r="X3622" s="0" t="str">
        <f aca="false">IF(AND(B3622&gt;=1,B3622&lt;=6),"Tanque",IF(B3622=10,"Descarte",""))</f>
        <v/>
      </c>
    </row>
    <row r="3623" customFormat="false" ht="15" hidden="false" customHeight="false" outlineLevel="0" collapsed="false">
      <c r="A3623" s="22" t="n">
        <v>46309</v>
      </c>
      <c r="B3623" s="0" t="n">
        <v>15</v>
      </c>
      <c r="C3623" s="0" t="n">
        <v>30757</v>
      </c>
      <c r="E3623" s="0" t="n">
        <v>0</v>
      </c>
      <c r="F3623" s="23" t="s">
        <v>1464</v>
      </c>
      <c r="I3623" s="23" t="s">
        <v>1209</v>
      </c>
      <c r="U3623" s="0" t="n">
        <v>143</v>
      </c>
      <c r="V3623" s="0" t="n">
        <v>0</v>
      </c>
      <c r="W3623" s="0" t="str">
        <f aca="false">IF(OR(AND(B3623&gt;=1,B3623&lt;=6),B3623=10),"Vaca em lactação",IF(I3623="Male","Macho",IF(E3623&gt;=1,"Vaca seca",IF(I3623="Youngstock","Bezerra/recria","Novilha"))))</f>
        <v>Macho</v>
      </c>
      <c r="X3623" s="0" t="str">
        <f aca="false">IF(AND(B3623&gt;=1,B3623&lt;=6),"Tanque",IF(B3623=10,"Descarte",""))</f>
        <v/>
      </c>
    </row>
    <row r="3624" customFormat="false" ht="15" hidden="false" customHeight="false" outlineLevel="0" collapsed="false">
      <c r="A3624" s="22" t="n">
        <v>46309</v>
      </c>
      <c r="B3624" s="0" t="n">
        <v>15</v>
      </c>
      <c r="C3624" s="0" t="n">
        <v>30762</v>
      </c>
      <c r="E3624" s="0" t="n">
        <v>0</v>
      </c>
      <c r="F3624" s="23" t="s">
        <v>1558</v>
      </c>
      <c r="I3624" s="23" t="s">
        <v>1209</v>
      </c>
      <c r="U3624" s="0" t="n">
        <v>139</v>
      </c>
      <c r="V3624" s="0" t="n">
        <v>0</v>
      </c>
      <c r="W3624" s="0" t="str">
        <f aca="false">IF(OR(AND(B3624&gt;=1,B3624&lt;=6),B3624=10),"Vaca em lactação",IF(I3624="Male","Macho",IF(E3624&gt;=1,"Vaca seca",IF(I3624="Youngstock","Bezerra/recria","Novilha"))))</f>
        <v>Macho</v>
      </c>
      <c r="X3624" s="0" t="str">
        <f aca="false">IF(AND(B3624&gt;=1,B3624&lt;=6),"Tanque",IF(B3624=10,"Descarte",""))</f>
        <v/>
      </c>
    </row>
    <row r="3625" customFormat="false" ht="15" hidden="false" customHeight="false" outlineLevel="0" collapsed="false">
      <c r="A3625" s="22" t="n">
        <v>46309</v>
      </c>
      <c r="B3625" s="0" t="n">
        <v>15</v>
      </c>
      <c r="C3625" s="0" t="n">
        <v>30765</v>
      </c>
      <c r="E3625" s="0" t="n">
        <v>0</v>
      </c>
      <c r="F3625" s="23" t="s">
        <v>1502</v>
      </c>
      <c r="I3625" s="23" t="s">
        <v>1209</v>
      </c>
      <c r="U3625" s="0" t="n">
        <v>138</v>
      </c>
      <c r="V3625" s="0" t="n">
        <v>0</v>
      </c>
      <c r="W3625" s="0" t="str">
        <f aca="false">IF(OR(AND(B3625&gt;=1,B3625&lt;=6),B3625=10),"Vaca em lactação",IF(I3625="Male","Macho",IF(E3625&gt;=1,"Vaca seca",IF(I3625="Youngstock","Bezerra/recria","Novilha"))))</f>
        <v>Macho</v>
      </c>
      <c r="X3625" s="0" t="str">
        <f aca="false">IF(AND(B3625&gt;=1,B3625&lt;=6),"Tanque",IF(B3625=10,"Descarte",""))</f>
        <v/>
      </c>
    </row>
    <row r="3626" customFormat="false" ht="15" hidden="false" customHeight="false" outlineLevel="0" collapsed="false">
      <c r="A3626" s="22" t="n">
        <v>46309</v>
      </c>
      <c r="B3626" s="0" t="n">
        <v>15</v>
      </c>
      <c r="C3626" s="0" t="n">
        <v>30827</v>
      </c>
      <c r="E3626" s="0" t="n">
        <v>0</v>
      </c>
      <c r="F3626" s="23" t="s">
        <v>1559</v>
      </c>
      <c r="I3626" s="23" t="s">
        <v>1209</v>
      </c>
      <c r="U3626" s="0" t="n">
        <v>105</v>
      </c>
      <c r="V3626" s="0" t="n">
        <v>0</v>
      </c>
      <c r="W3626" s="0" t="str">
        <f aca="false">IF(OR(AND(B3626&gt;=1,B3626&lt;=6),B3626=10),"Vaca em lactação",IF(I3626="Male","Macho",IF(E3626&gt;=1,"Vaca seca",IF(I3626="Youngstock","Bezerra/recria","Novilha"))))</f>
        <v>Macho</v>
      </c>
      <c r="X3626" s="0" t="str">
        <f aca="false">IF(AND(B3626&gt;=1,B3626&lt;=6),"Tanque",IF(B3626=10,"Descarte",""))</f>
        <v/>
      </c>
    </row>
    <row r="3627" customFormat="false" ht="15" hidden="false" customHeight="false" outlineLevel="0" collapsed="false">
      <c r="A3627" s="22" t="n">
        <v>46309</v>
      </c>
      <c r="B3627" s="0" t="n">
        <v>15</v>
      </c>
      <c r="C3627" s="0" t="n">
        <v>30830</v>
      </c>
      <c r="E3627" s="0" t="n">
        <v>0</v>
      </c>
      <c r="F3627" s="23" t="s">
        <v>1503</v>
      </c>
      <c r="I3627" s="23" t="s">
        <v>1209</v>
      </c>
      <c r="U3627" s="0" t="n">
        <v>104</v>
      </c>
      <c r="V3627" s="0" t="n">
        <v>0</v>
      </c>
      <c r="W3627" s="0" t="str">
        <f aca="false">IF(OR(AND(B3627&gt;=1,B3627&lt;=6),B3627=10),"Vaca em lactação",IF(I3627="Male","Macho",IF(E3627&gt;=1,"Vaca seca",IF(I3627="Youngstock","Bezerra/recria","Novilha"))))</f>
        <v>Macho</v>
      </c>
      <c r="X3627" s="0" t="str">
        <f aca="false">IF(AND(B3627&gt;=1,B3627&lt;=6),"Tanque",IF(B3627=10,"Descarte",""))</f>
        <v/>
      </c>
    </row>
    <row r="3628" customFormat="false" ht="15" hidden="false" customHeight="false" outlineLevel="0" collapsed="false">
      <c r="A3628" s="22" t="n">
        <v>46309</v>
      </c>
      <c r="B3628" s="0" t="n">
        <v>15</v>
      </c>
      <c r="C3628" s="0" t="n">
        <v>30831</v>
      </c>
      <c r="E3628" s="0" t="n">
        <v>0</v>
      </c>
      <c r="F3628" s="23" t="s">
        <v>1503</v>
      </c>
      <c r="I3628" s="23" t="s">
        <v>1209</v>
      </c>
      <c r="U3628" s="0" t="n">
        <v>104</v>
      </c>
      <c r="V3628" s="0" t="n">
        <v>0</v>
      </c>
      <c r="W3628" s="0" t="str">
        <f aca="false">IF(OR(AND(B3628&gt;=1,B3628&lt;=6),B3628=10),"Vaca em lactação",IF(I3628="Male","Macho",IF(E3628&gt;=1,"Vaca seca",IF(I3628="Youngstock","Bezerra/recria","Novilha"))))</f>
        <v>Macho</v>
      </c>
      <c r="X3628" s="0" t="str">
        <f aca="false">IF(AND(B3628&gt;=1,B3628&lt;=6),"Tanque",IF(B3628=10,"Descarte",""))</f>
        <v/>
      </c>
    </row>
    <row r="3629" customFormat="false" ht="15" hidden="false" customHeight="false" outlineLevel="0" collapsed="false">
      <c r="A3629" s="22" t="n">
        <v>46309</v>
      </c>
      <c r="B3629" s="0" t="n">
        <v>15</v>
      </c>
      <c r="C3629" s="0" t="n">
        <v>30818</v>
      </c>
      <c r="E3629" s="0" t="n">
        <v>0</v>
      </c>
      <c r="F3629" s="23" t="s">
        <v>1514</v>
      </c>
      <c r="I3629" s="23" t="s">
        <v>1209</v>
      </c>
      <c r="U3629" s="0" t="n">
        <v>109</v>
      </c>
      <c r="V3629" s="0" t="n">
        <v>0</v>
      </c>
      <c r="W3629" s="0" t="str">
        <f aca="false">IF(OR(AND(B3629&gt;=1,B3629&lt;=6),B3629=10),"Vaca em lactação",IF(I3629="Male","Macho",IF(E3629&gt;=1,"Vaca seca",IF(I3629="Youngstock","Bezerra/recria","Novilha"))))</f>
        <v>Macho</v>
      </c>
      <c r="X3629" s="0" t="str">
        <f aca="false">IF(AND(B3629&gt;=1,B3629&lt;=6),"Tanque",IF(B3629=10,"Descarte",""))</f>
        <v/>
      </c>
    </row>
    <row r="3630" customFormat="false" ht="15" hidden="false" customHeight="false" outlineLevel="0" collapsed="false">
      <c r="A3630" s="22" t="n">
        <v>46309</v>
      </c>
      <c r="B3630" s="0" t="n">
        <v>15</v>
      </c>
      <c r="C3630" s="0" t="n">
        <v>30815</v>
      </c>
      <c r="E3630" s="0" t="n">
        <v>0</v>
      </c>
      <c r="F3630" s="23" t="s">
        <v>1508</v>
      </c>
      <c r="I3630" s="23" t="s">
        <v>1209</v>
      </c>
      <c r="U3630" s="0" t="n">
        <v>111</v>
      </c>
      <c r="V3630" s="0" t="n">
        <v>0</v>
      </c>
      <c r="W3630" s="0" t="str">
        <f aca="false">IF(OR(AND(B3630&gt;=1,B3630&lt;=6),B3630=10),"Vaca em lactação",IF(I3630="Male","Macho",IF(E3630&gt;=1,"Vaca seca",IF(I3630="Youngstock","Bezerra/recria","Novilha"))))</f>
        <v>Macho</v>
      </c>
      <c r="X3630" s="0" t="str">
        <f aca="false">IF(AND(B3630&gt;=1,B3630&lt;=6),"Tanque",IF(B3630=10,"Descarte",""))</f>
        <v/>
      </c>
    </row>
    <row r="3631" customFormat="false" ht="15" hidden="false" customHeight="false" outlineLevel="0" collapsed="false">
      <c r="A3631" s="22" t="n">
        <v>46309</v>
      </c>
      <c r="B3631" s="0" t="n">
        <v>15</v>
      </c>
      <c r="C3631" s="0" t="n">
        <v>30820</v>
      </c>
      <c r="E3631" s="0" t="n">
        <v>0</v>
      </c>
      <c r="F3631" s="23" t="s">
        <v>1514</v>
      </c>
      <c r="I3631" s="23" t="s">
        <v>1209</v>
      </c>
      <c r="U3631" s="0" t="n">
        <v>109</v>
      </c>
      <c r="V3631" s="0" t="n">
        <v>0</v>
      </c>
      <c r="W3631" s="0" t="str">
        <f aca="false">IF(OR(AND(B3631&gt;=1,B3631&lt;=6),B3631=10),"Vaca em lactação",IF(I3631="Male","Macho",IF(E3631&gt;=1,"Vaca seca",IF(I3631="Youngstock","Bezerra/recria","Novilha"))))</f>
        <v>Macho</v>
      </c>
      <c r="X3631" s="0" t="str">
        <f aca="false">IF(AND(B3631&gt;=1,B3631&lt;=6),"Tanque",IF(B3631=10,"Descarte",""))</f>
        <v/>
      </c>
    </row>
    <row r="3632" customFormat="false" ht="15" hidden="false" customHeight="false" outlineLevel="0" collapsed="false">
      <c r="A3632" s="22" t="n">
        <v>46309</v>
      </c>
      <c r="B3632" s="0" t="n">
        <v>15</v>
      </c>
      <c r="C3632" s="0" t="n">
        <v>30819</v>
      </c>
      <c r="E3632" s="0" t="n">
        <v>0</v>
      </c>
      <c r="F3632" s="23" t="s">
        <v>1514</v>
      </c>
      <c r="I3632" s="23" t="s">
        <v>1209</v>
      </c>
      <c r="U3632" s="0" t="n">
        <v>109</v>
      </c>
      <c r="V3632" s="0" t="n">
        <v>0</v>
      </c>
      <c r="W3632" s="0" t="str">
        <f aca="false">IF(OR(AND(B3632&gt;=1,B3632&lt;=6),B3632=10),"Vaca em lactação",IF(I3632="Male","Macho",IF(E3632&gt;=1,"Vaca seca",IF(I3632="Youngstock","Bezerra/recria","Novilha"))))</f>
        <v>Macho</v>
      </c>
      <c r="X3632" s="0" t="str">
        <f aca="false">IF(AND(B3632&gt;=1,B3632&lt;=6),"Tanque",IF(B3632=10,"Descarte",""))</f>
        <v/>
      </c>
    </row>
    <row r="3633" customFormat="false" ht="15" hidden="false" customHeight="false" outlineLevel="0" collapsed="false">
      <c r="A3633" s="22" t="n">
        <v>46309</v>
      </c>
      <c r="B3633" s="0" t="n">
        <v>15</v>
      </c>
      <c r="C3633" s="0" t="n">
        <v>30821</v>
      </c>
      <c r="E3633" s="0" t="n">
        <v>0</v>
      </c>
      <c r="F3633" s="23" t="s">
        <v>1504</v>
      </c>
      <c r="I3633" s="23" t="s">
        <v>1209</v>
      </c>
      <c r="U3633" s="0" t="n">
        <v>106</v>
      </c>
      <c r="V3633" s="0" t="n">
        <v>0</v>
      </c>
      <c r="W3633" s="0" t="str">
        <f aca="false">IF(OR(AND(B3633&gt;=1,B3633&lt;=6),B3633=10),"Vaca em lactação",IF(I3633="Male","Macho",IF(E3633&gt;=1,"Vaca seca",IF(I3633="Youngstock","Bezerra/recria","Novilha"))))</f>
        <v>Macho</v>
      </c>
      <c r="X3633" s="0" t="str">
        <f aca="false">IF(AND(B3633&gt;=1,B3633&lt;=6),"Tanque",IF(B3633=10,"Descarte",""))</f>
        <v/>
      </c>
    </row>
    <row r="3634" customFormat="false" ht="15" hidden="false" customHeight="false" outlineLevel="0" collapsed="false">
      <c r="A3634" s="22" t="n">
        <v>46309</v>
      </c>
      <c r="B3634" s="0" t="n">
        <v>15</v>
      </c>
      <c r="C3634" s="0" t="n">
        <v>30823</v>
      </c>
      <c r="E3634" s="0" t="n">
        <v>0</v>
      </c>
      <c r="F3634" s="23" t="s">
        <v>1504</v>
      </c>
      <c r="I3634" s="23" t="s">
        <v>1209</v>
      </c>
      <c r="U3634" s="0" t="n">
        <v>106</v>
      </c>
      <c r="V3634" s="0" t="n">
        <v>0</v>
      </c>
      <c r="W3634" s="0" t="str">
        <f aca="false">IF(OR(AND(B3634&gt;=1,B3634&lt;=6),B3634=10),"Vaca em lactação",IF(I3634="Male","Macho",IF(E3634&gt;=1,"Vaca seca",IF(I3634="Youngstock","Bezerra/recria","Novilha"))))</f>
        <v>Macho</v>
      </c>
      <c r="X3634" s="0" t="str">
        <f aca="false">IF(AND(B3634&gt;=1,B3634&lt;=6),"Tanque",IF(B3634=10,"Descarte",""))</f>
        <v/>
      </c>
    </row>
    <row r="3635" customFormat="false" ht="15" hidden="false" customHeight="false" outlineLevel="0" collapsed="false">
      <c r="A3635" s="22" t="n">
        <v>46309</v>
      </c>
      <c r="B3635" s="0" t="n">
        <v>15</v>
      </c>
      <c r="C3635" s="0" t="n">
        <v>30822</v>
      </c>
      <c r="E3635" s="0" t="n">
        <v>0</v>
      </c>
      <c r="F3635" s="23" t="s">
        <v>1504</v>
      </c>
      <c r="I3635" s="23" t="s">
        <v>1209</v>
      </c>
      <c r="U3635" s="0" t="n">
        <v>106</v>
      </c>
      <c r="V3635" s="0" t="n">
        <v>0</v>
      </c>
      <c r="W3635" s="0" t="str">
        <f aca="false">IF(OR(AND(B3635&gt;=1,B3635&lt;=6),B3635=10),"Vaca em lactação",IF(I3635="Male","Macho",IF(E3635&gt;=1,"Vaca seca",IF(I3635="Youngstock","Bezerra/recria","Novilha"))))</f>
        <v>Macho</v>
      </c>
      <c r="X3635" s="0" t="str">
        <f aca="false">IF(AND(B3635&gt;=1,B3635&lt;=6),"Tanque",IF(B3635=10,"Descarte",""))</f>
        <v/>
      </c>
    </row>
    <row r="3636" customFormat="false" ht="15" hidden="false" customHeight="false" outlineLevel="0" collapsed="false">
      <c r="A3636" s="22" t="n">
        <v>46309</v>
      </c>
      <c r="B3636" s="0" t="n">
        <v>15</v>
      </c>
      <c r="C3636" s="0" t="n">
        <v>30798</v>
      </c>
      <c r="E3636" s="0" t="n">
        <v>0</v>
      </c>
      <c r="F3636" s="23" t="s">
        <v>1515</v>
      </c>
      <c r="I3636" s="23" t="s">
        <v>1209</v>
      </c>
      <c r="U3636" s="0" t="n">
        <v>121</v>
      </c>
      <c r="V3636" s="0" t="n">
        <v>0</v>
      </c>
      <c r="W3636" s="0" t="str">
        <f aca="false">IF(OR(AND(B3636&gt;=1,B3636&lt;=6),B3636=10),"Vaca em lactação",IF(I3636="Male","Macho",IF(E3636&gt;=1,"Vaca seca",IF(I3636="Youngstock","Bezerra/recria","Novilha"))))</f>
        <v>Macho</v>
      </c>
      <c r="X3636" s="0" t="str">
        <f aca="false">IF(AND(B3636&gt;=1,B3636&lt;=6),"Tanque",IF(B3636=10,"Descarte",""))</f>
        <v/>
      </c>
    </row>
    <row r="3637" customFormat="false" ht="15" hidden="false" customHeight="false" outlineLevel="0" collapsed="false">
      <c r="A3637" s="22" t="n">
        <v>46309</v>
      </c>
      <c r="B3637" s="0" t="n">
        <v>15</v>
      </c>
      <c r="C3637" s="0" t="n">
        <v>30797</v>
      </c>
      <c r="E3637" s="0" t="n">
        <v>0</v>
      </c>
      <c r="F3637" s="23" t="s">
        <v>1515</v>
      </c>
      <c r="I3637" s="23" t="s">
        <v>1209</v>
      </c>
      <c r="U3637" s="0" t="n">
        <v>121</v>
      </c>
      <c r="V3637" s="0" t="n">
        <v>0</v>
      </c>
      <c r="W3637" s="0" t="str">
        <f aca="false">IF(OR(AND(B3637&gt;=1,B3637&lt;=6),B3637=10),"Vaca em lactação",IF(I3637="Male","Macho",IF(E3637&gt;=1,"Vaca seca",IF(I3637="Youngstock","Bezerra/recria","Novilha"))))</f>
        <v>Macho</v>
      </c>
      <c r="X3637" s="0" t="str">
        <f aca="false">IF(AND(B3637&gt;=1,B3637&lt;=6),"Tanque",IF(B3637=10,"Descarte",""))</f>
        <v/>
      </c>
    </row>
    <row r="3638" customFormat="false" ht="15" hidden="false" customHeight="false" outlineLevel="0" collapsed="false">
      <c r="A3638" s="22" t="n">
        <v>46309</v>
      </c>
      <c r="B3638" s="0" t="n">
        <v>15</v>
      </c>
      <c r="C3638" s="0" t="n">
        <v>30801</v>
      </c>
      <c r="E3638" s="0" t="n">
        <v>0</v>
      </c>
      <c r="F3638" s="23" t="s">
        <v>1517</v>
      </c>
      <c r="I3638" s="23" t="s">
        <v>1209</v>
      </c>
      <c r="U3638" s="0" t="n">
        <v>119</v>
      </c>
      <c r="V3638" s="0" t="n">
        <v>0</v>
      </c>
      <c r="W3638" s="0" t="str">
        <f aca="false">IF(OR(AND(B3638&gt;=1,B3638&lt;=6),B3638=10),"Vaca em lactação",IF(I3638="Male","Macho",IF(E3638&gt;=1,"Vaca seca",IF(I3638="Youngstock","Bezerra/recria","Novilha"))))</f>
        <v>Macho</v>
      </c>
      <c r="X3638" s="0" t="str">
        <f aca="false">IF(AND(B3638&gt;=1,B3638&lt;=6),"Tanque",IF(B3638=10,"Descarte",""))</f>
        <v/>
      </c>
    </row>
    <row r="3639" customFormat="false" ht="15" hidden="false" customHeight="false" outlineLevel="0" collapsed="false">
      <c r="A3639" s="22" t="n">
        <v>46309</v>
      </c>
      <c r="B3639" s="0" t="n">
        <v>15</v>
      </c>
      <c r="C3639" s="0" t="n">
        <v>30803</v>
      </c>
      <c r="E3639" s="0" t="n">
        <v>0</v>
      </c>
      <c r="F3639" s="23" t="s">
        <v>1519</v>
      </c>
      <c r="I3639" s="23" t="s">
        <v>1209</v>
      </c>
      <c r="U3639" s="0" t="n">
        <v>117</v>
      </c>
      <c r="V3639" s="0" t="n">
        <v>0</v>
      </c>
      <c r="W3639" s="0" t="str">
        <f aca="false">IF(OR(AND(B3639&gt;=1,B3639&lt;=6),B3639=10),"Vaca em lactação",IF(I3639="Male","Macho",IF(E3639&gt;=1,"Vaca seca",IF(I3639="Youngstock","Bezerra/recria","Novilha"))))</f>
        <v>Macho</v>
      </c>
      <c r="X3639" s="0" t="str">
        <f aca="false">IF(AND(B3639&gt;=1,B3639&lt;=6),"Tanque",IF(B3639=10,"Descarte",""))</f>
        <v/>
      </c>
    </row>
    <row r="3640" customFormat="false" ht="15" hidden="false" customHeight="false" outlineLevel="0" collapsed="false">
      <c r="A3640" s="22" t="n">
        <v>46309</v>
      </c>
      <c r="B3640" s="0" t="n">
        <v>15</v>
      </c>
      <c r="C3640" s="0" t="n">
        <v>30805</v>
      </c>
      <c r="E3640" s="0" t="n">
        <v>0</v>
      </c>
      <c r="F3640" s="23" t="s">
        <v>1520</v>
      </c>
      <c r="I3640" s="23" t="s">
        <v>1209</v>
      </c>
      <c r="U3640" s="0" t="n">
        <v>116</v>
      </c>
      <c r="V3640" s="0" t="n">
        <v>0</v>
      </c>
      <c r="W3640" s="0" t="str">
        <f aca="false">IF(OR(AND(B3640&gt;=1,B3640&lt;=6),B3640=10),"Vaca em lactação",IF(I3640="Male","Macho",IF(E3640&gt;=1,"Vaca seca",IF(I3640="Youngstock","Bezerra/recria","Novilha"))))</f>
        <v>Macho</v>
      </c>
      <c r="X3640" s="0" t="str">
        <f aca="false">IF(AND(B3640&gt;=1,B3640&lt;=6),"Tanque",IF(B3640=10,"Descarte",""))</f>
        <v/>
      </c>
    </row>
    <row r="3641" customFormat="false" ht="15" hidden="false" customHeight="false" outlineLevel="0" collapsed="false">
      <c r="A3641" s="22" t="n">
        <v>46309</v>
      </c>
      <c r="B3641" s="0" t="n">
        <v>15</v>
      </c>
      <c r="C3641" s="0" t="n">
        <v>30810</v>
      </c>
      <c r="E3641" s="0" t="n">
        <v>0</v>
      </c>
      <c r="F3641" s="23" t="s">
        <v>1511</v>
      </c>
      <c r="I3641" s="23" t="s">
        <v>1209</v>
      </c>
      <c r="U3641" s="0" t="n">
        <v>113</v>
      </c>
      <c r="V3641" s="0" t="n">
        <v>0</v>
      </c>
      <c r="W3641" s="0" t="str">
        <f aca="false">IF(OR(AND(B3641&gt;=1,B3641&lt;=6),B3641=10),"Vaca em lactação",IF(I3641="Male","Macho",IF(E3641&gt;=1,"Vaca seca",IF(I3641="Youngstock","Bezerra/recria","Novilha"))))</f>
        <v>Macho</v>
      </c>
      <c r="X3641" s="0" t="str">
        <f aca="false">IF(AND(B3641&gt;=1,B3641&lt;=6),"Tanque",IF(B3641=10,"Descarte",""))</f>
        <v/>
      </c>
    </row>
    <row r="3642" customFormat="false" ht="15" hidden="false" customHeight="false" outlineLevel="0" collapsed="false">
      <c r="A3642" s="22" t="n">
        <v>46309</v>
      </c>
      <c r="B3642" s="0" t="n">
        <v>15</v>
      </c>
      <c r="C3642" s="0" t="n">
        <v>30809</v>
      </c>
      <c r="E3642" s="0" t="n">
        <v>0</v>
      </c>
      <c r="F3642" s="23" t="s">
        <v>1560</v>
      </c>
      <c r="I3642" s="23" t="s">
        <v>1209</v>
      </c>
      <c r="U3642" s="0" t="n">
        <v>115</v>
      </c>
      <c r="V3642" s="0" t="n">
        <v>0</v>
      </c>
      <c r="W3642" s="0" t="str">
        <f aca="false">IF(OR(AND(B3642&gt;=1,B3642&lt;=6),B3642=10),"Vaca em lactação",IF(I3642="Male","Macho",IF(E3642&gt;=1,"Vaca seca",IF(I3642="Youngstock","Bezerra/recria","Novilha"))))</f>
        <v>Macho</v>
      </c>
      <c r="X3642" s="0" t="str">
        <f aca="false">IF(AND(B3642&gt;=1,B3642&lt;=6),"Tanque",IF(B3642=10,"Descarte",""))</f>
        <v/>
      </c>
    </row>
    <row r="3643" customFormat="false" ht="15" hidden="false" customHeight="false" outlineLevel="0" collapsed="false">
      <c r="A3643" s="22" t="n">
        <v>46309</v>
      </c>
      <c r="B3643" s="0" t="n">
        <v>15</v>
      </c>
      <c r="C3643" s="0" t="n">
        <v>30872</v>
      </c>
      <c r="E3643" s="0" t="n">
        <v>0</v>
      </c>
      <c r="F3643" s="23" t="s">
        <v>1561</v>
      </c>
      <c r="I3643" s="23" t="s">
        <v>1209</v>
      </c>
      <c r="U3643" s="0" t="n">
        <v>79</v>
      </c>
      <c r="V3643" s="0" t="n">
        <v>0</v>
      </c>
      <c r="W3643" s="0" t="str">
        <f aca="false">IF(OR(AND(B3643&gt;=1,B3643&lt;=6),B3643=10),"Vaca em lactação",IF(I3643="Male","Macho",IF(E3643&gt;=1,"Vaca seca",IF(I3643="Youngstock","Bezerra/recria","Novilha"))))</f>
        <v>Macho</v>
      </c>
      <c r="X3643" s="0" t="str">
        <f aca="false">IF(AND(B3643&gt;=1,B3643&lt;=6),"Tanque",IF(B3643=10,"Descarte",""))</f>
        <v/>
      </c>
    </row>
    <row r="3644" customFormat="false" ht="15" hidden="false" customHeight="false" outlineLevel="0" collapsed="false">
      <c r="A3644" s="22" t="n">
        <v>46309</v>
      </c>
      <c r="B3644" s="0" t="n">
        <v>15</v>
      </c>
      <c r="C3644" s="0" t="n">
        <v>30866</v>
      </c>
      <c r="E3644" s="0" t="n">
        <v>0</v>
      </c>
      <c r="F3644" s="23" t="s">
        <v>1562</v>
      </c>
      <c r="I3644" s="23" t="s">
        <v>1209</v>
      </c>
      <c r="U3644" s="0" t="n">
        <v>83</v>
      </c>
      <c r="V3644" s="0" t="n">
        <v>0</v>
      </c>
      <c r="W3644" s="0" t="str">
        <f aca="false">IF(OR(AND(B3644&gt;=1,B3644&lt;=6),B3644=10),"Vaca em lactação",IF(I3644="Male","Macho",IF(E3644&gt;=1,"Vaca seca",IF(I3644="Youngstock","Bezerra/recria","Novilha"))))</f>
        <v>Macho</v>
      </c>
      <c r="X3644" s="0" t="str">
        <f aca="false">IF(AND(B3644&gt;=1,B3644&lt;=6),"Tanque",IF(B3644=10,"Descarte",""))</f>
        <v/>
      </c>
    </row>
    <row r="3645" customFormat="false" ht="15" hidden="false" customHeight="false" outlineLevel="0" collapsed="false">
      <c r="A3645" s="22" t="n">
        <v>46309</v>
      </c>
      <c r="B3645" s="0" t="n">
        <v>15</v>
      </c>
      <c r="C3645" s="0" t="n">
        <v>30865</v>
      </c>
      <c r="E3645" s="0" t="n">
        <v>0</v>
      </c>
      <c r="F3645" s="23" t="s">
        <v>1562</v>
      </c>
      <c r="I3645" s="23" t="s">
        <v>1209</v>
      </c>
      <c r="U3645" s="0" t="n">
        <v>83</v>
      </c>
      <c r="V3645" s="0" t="n">
        <v>0</v>
      </c>
      <c r="W3645" s="0" t="str">
        <f aca="false">IF(OR(AND(B3645&gt;=1,B3645&lt;=6),B3645=10),"Vaca em lactação",IF(I3645="Male","Macho",IF(E3645&gt;=1,"Vaca seca",IF(I3645="Youngstock","Bezerra/recria","Novilha"))))</f>
        <v>Macho</v>
      </c>
      <c r="X3645" s="0" t="str">
        <f aca="false">IF(AND(B3645&gt;=1,B3645&lt;=6),"Tanque",IF(B3645=10,"Descarte",""))</f>
        <v/>
      </c>
    </row>
    <row r="3646" customFormat="false" ht="15" hidden="false" customHeight="false" outlineLevel="0" collapsed="false">
      <c r="A3646" s="22" t="n">
        <v>46309</v>
      </c>
      <c r="B3646" s="0" t="n">
        <v>15</v>
      </c>
      <c r="C3646" s="0" t="n">
        <v>30864</v>
      </c>
      <c r="E3646" s="0" t="n">
        <v>0</v>
      </c>
      <c r="F3646" s="23" t="s">
        <v>1563</v>
      </c>
      <c r="I3646" s="23" t="s">
        <v>1209</v>
      </c>
      <c r="U3646" s="0" t="n">
        <v>84</v>
      </c>
      <c r="V3646" s="0" t="n">
        <v>0</v>
      </c>
      <c r="W3646" s="0" t="str">
        <f aca="false">IF(OR(AND(B3646&gt;=1,B3646&lt;=6),B3646=10),"Vaca em lactação",IF(I3646="Male","Macho",IF(E3646&gt;=1,"Vaca seca",IF(I3646="Youngstock","Bezerra/recria","Novilha"))))</f>
        <v>Macho</v>
      </c>
      <c r="X3646" s="0" t="str">
        <f aca="false">IF(AND(B3646&gt;=1,B3646&lt;=6),"Tanque",IF(B3646=10,"Descarte",""))</f>
        <v/>
      </c>
    </row>
    <row r="3647" customFormat="false" ht="15" hidden="false" customHeight="false" outlineLevel="0" collapsed="false">
      <c r="A3647" s="22" t="n">
        <v>46309</v>
      </c>
      <c r="B3647" s="0" t="n">
        <v>15</v>
      </c>
      <c r="C3647" s="0" t="n">
        <v>30868</v>
      </c>
      <c r="E3647" s="0" t="n">
        <v>0</v>
      </c>
      <c r="F3647" s="23" t="s">
        <v>1564</v>
      </c>
      <c r="I3647" s="23" t="s">
        <v>1209</v>
      </c>
      <c r="U3647" s="0" t="n">
        <v>82</v>
      </c>
      <c r="V3647" s="0" t="n">
        <v>0</v>
      </c>
      <c r="W3647" s="0" t="str">
        <f aca="false">IF(OR(AND(B3647&gt;=1,B3647&lt;=6),B3647=10),"Vaca em lactação",IF(I3647="Male","Macho",IF(E3647&gt;=1,"Vaca seca",IF(I3647="Youngstock","Bezerra/recria","Novilha"))))</f>
        <v>Macho</v>
      </c>
      <c r="X3647" s="0" t="str">
        <f aca="false">IF(AND(B3647&gt;=1,B3647&lt;=6),"Tanque",IF(B3647=10,"Descarte",""))</f>
        <v/>
      </c>
    </row>
    <row r="3648" customFormat="false" ht="15" hidden="false" customHeight="false" outlineLevel="0" collapsed="false">
      <c r="A3648" s="22" t="n">
        <v>46309</v>
      </c>
      <c r="B3648" s="0" t="n">
        <v>15</v>
      </c>
      <c r="C3648" s="0" t="n">
        <v>30867</v>
      </c>
      <c r="E3648" s="0" t="n">
        <v>0</v>
      </c>
      <c r="F3648" s="23" t="s">
        <v>1564</v>
      </c>
      <c r="I3648" s="23" t="s">
        <v>1209</v>
      </c>
      <c r="U3648" s="0" t="n">
        <v>82</v>
      </c>
      <c r="V3648" s="0" t="n">
        <v>0</v>
      </c>
      <c r="W3648" s="0" t="str">
        <f aca="false">IF(OR(AND(B3648&gt;=1,B3648&lt;=6),B3648=10),"Vaca em lactação",IF(I3648="Male","Macho",IF(E3648&gt;=1,"Vaca seca",IF(I3648="Youngstock","Bezerra/recria","Novilha"))))</f>
        <v>Macho</v>
      </c>
      <c r="X3648" s="0" t="str">
        <f aca="false">IF(AND(B3648&gt;=1,B3648&lt;=6),"Tanque",IF(B3648=10,"Descarte",""))</f>
        <v/>
      </c>
    </row>
    <row r="3649" customFormat="false" ht="15" hidden="false" customHeight="false" outlineLevel="0" collapsed="false">
      <c r="A3649" s="22" t="n">
        <v>46309</v>
      </c>
      <c r="B3649" s="0" t="n">
        <v>15</v>
      </c>
      <c r="C3649" s="0" t="n">
        <v>30851</v>
      </c>
      <c r="E3649" s="0" t="n">
        <v>0</v>
      </c>
      <c r="F3649" s="23" t="s">
        <v>1565</v>
      </c>
      <c r="I3649" s="23" t="s">
        <v>1209</v>
      </c>
      <c r="U3649" s="0" t="n">
        <v>92</v>
      </c>
      <c r="V3649" s="0" t="n">
        <v>0</v>
      </c>
      <c r="W3649" s="0" t="str">
        <f aca="false">IF(OR(AND(B3649&gt;=1,B3649&lt;=6),B3649=10),"Vaca em lactação",IF(I3649="Male","Macho",IF(E3649&gt;=1,"Vaca seca",IF(I3649="Youngstock","Bezerra/recria","Novilha"))))</f>
        <v>Macho</v>
      </c>
      <c r="X3649" s="0" t="str">
        <f aca="false">IF(AND(B3649&gt;=1,B3649&lt;=6),"Tanque",IF(B3649=10,"Descarte",""))</f>
        <v/>
      </c>
    </row>
    <row r="3650" customFormat="false" ht="15" hidden="false" customHeight="false" outlineLevel="0" collapsed="false">
      <c r="A3650" s="22" t="n">
        <v>46309</v>
      </c>
      <c r="B3650" s="0" t="n">
        <v>15</v>
      </c>
      <c r="C3650" s="0" t="n">
        <v>30850</v>
      </c>
      <c r="E3650" s="0" t="n">
        <v>0</v>
      </c>
      <c r="F3650" s="23" t="s">
        <v>1565</v>
      </c>
      <c r="I3650" s="23" t="s">
        <v>1209</v>
      </c>
      <c r="U3650" s="0" t="n">
        <v>92</v>
      </c>
      <c r="V3650" s="0" t="n">
        <v>0</v>
      </c>
      <c r="W3650" s="0" t="str">
        <f aca="false">IF(OR(AND(B3650&gt;=1,B3650&lt;=6),B3650=10),"Vaca em lactação",IF(I3650="Male","Macho",IF(E3650&gt;=1,"Vaca seca",IF(I3650="Youngstock","Bezerra/recria","Novilha"))))</f>
        <v>Macho</v>
      </c>
      <c r="X3650" s="0" t="str">
        <f aca="false">IF(AND(B3650&gt;=1,B3650&lt;=6),"Tanque",IF(B3650=10,"Descarte",""))</f>
        <v/>
      </c>
    </row>
    <row r="3651" customFormat="false" ht="15" hidden="false" customHeight="false" outlineLevel="0" collapsed="false">
      <c r="A3651" s="22" t="n">
        <v>46309</v>
      </c>
      <c r="B3651" s="0" t="n">
        <v>15</v>
      </c>
      <c r="C3651" s="0" t="n">
        <v>30855</v>
      </c>
      <c r="E3651" s="0" t="n">
        <v>0</v>
      </c>
      <c r="F3651" s="23" t="s">
        <v>1566</v>
      </c>
      <c r="I3651" s="23" t="s">
        <v>1209</v>
      </c>
      <c r="U3651" s="0" t="n">
        <v>91</v>
      </c>
      <c r="V3651" s="0" t="n">
        <v>0</v>
      </c>
      <c r="W3651" s="0" t="str">
        <f aca="false">IF(OR(AND(B3651&gt;=1,B3651&lt;=6),B3651=10),"Vaca em lactação",IF(I3651="Male","Macho",IF(E3651&gt;=1,"Vaca seca",IF(I3651="Youngstock","Bezerra/recria","Novilha"))))</f>
        <v>Macho</v>
      </c>
      <c r="X3651" s="0" t="str">
        <f aca="false">IF(AND(B3651&gt;=1,B3651&lt;=6),"Tanque",IF(B3651=10,"Descarte",""))</f>
        <v/>
      </c>
    </row>
    <row r="3652" customFormat="false" ht="15" hidden="false" customHeight="false" outlineLevel="0" collapsed="false">
      <c r="A3652" s="22" t="n">
        <v>46309</v>
      </c>
      <c r="B3652" s="0" t="n">
        <v>15</v>
      </c>
      <c r="C3652" s="0" t="n">
        <v>30860</v>
      </c>
      <c r="E3652" s="0" t="n">
        <v>0</v>
      </c>
      <c r="F3652" s="23" t="s">
        <v>1567</v>
      </c>
      <c r="I3652" s="23" t="s">
        <v>1209</v>
      </c>
      <c r="U3652" s="0" t="n">
        <v>86</v>
      </c>
      <c r="V3652" s="0" t="n">
        <v>0</v>
      </c>
      <c r="W3652" s="0" t="str">
        <f aca="false">IF(OR(AND(B3652&gt;=1,B3652&lt;=6),B3652=10),"Vaca em lactação",IF(I3652="Male","Macho",IF(E3652&gt;=1,"Vaca seca",IF(I3652="Youngstock","Bezerra/recria","Novilha"))))</f>
        <v>Macho</v>
      </c>
      <c r="X3652" s="0" t="str">
        <f aca="false">IF(AND(B3652&gt;=1,B3652&lt;=6),"Tanque",IF(B3652=10,"Descarte",""))</f>
        <v/>
      </c>
    </row>
    <row r="3653" customFormat="false" ht="15" hidden="false" customHeight="false" outlineLevel="0" collapsed="false">
      <c r="A3653" s="22" t="n">
        <v>46309</v>
      </c>
      <c r="B3653" s="0" t="n">
        <v>15</v>
      </c>
      <c r="C3653" s="0" t="n">
        <v>30859</v>
      </c>
      <c r="E3653" s="0" t="n">
        <v>0</v>
      </c>
      <c r="F3653" s="23" t="s">
        <v>1567</v>
      </c>
      <c r="I3653" s="23" t="s">
        <v>1209</v>
      </c>
      <c r="U3653" s="0" t="n">
        <v>86</v>
      </c>
      <c r="V3653" s="0" t="n">
        <v>0</v>
      </c>
      <c r="W3653" s="0" t="str">
        <f aca="false">IF(OR(AND(B3653&gt;=1,B3653&lt;=6),B3653=10),"Vaca em lactação",IF(I3653="Male","Macho",IF(E3653&gt;=1,"Vaca seca",IF(I3653="Youngstock","Bezerra/recria","Novilha"))))</f>
        <v>Macho</v>
      </c>
      <c r="X3653" s="0" t="str">
        <f aca="false">IF(AND(B3653&gt;=1,B3653&lt;=6),"Tanque",IF(B3653=10,"Descarte",""))</f>
        <v/>
      </c>
    </row>
    <row r="3654" customFormat="false" ht="15" hidden="false" customHeight="false" outlineLevel="0" collapsed="false">
      <c r="A3654" s="22" t="n">
        <v>46309</v>
      </c>
      <c r="B3654" s="0" t="n">
        <v>15</v>
      </c>
      <c r="C3654" s="0" t="n">
        <v>30861</v>
      </c>
      <c r="E3654" s="0" t="n">
        <v>0</v>
      </c>
      <c r="F3654" s="23" t="s">
        <v>1568</v>
      </c>
      <c r="I3654" s="23" t="s">
        <v>1209</v>
      </c>
      <c r="U3654" s="0" t="n">
        <v>85</v>
      </c>
      <c r="V3654" s="0" t="n">
        <v>0</v>
      </c>
      <c r="W3654" s="0" t="str">
        <f aca="false">IF(OR(AND(B3654&gt;=1,B3654&lt;=6),B3654=10),"Vaca em lactação",IF(I3654="Male","Macho",IF(E3654&gt;=1,"Vaca seca",IF(I3654="Youngstock","Bezerra/recria","Novilha"))))</f>
        <v>Macho</v>
      </c>
      <c r="X3654" s="0" t="str">
        <f aca="false">IF(AND(B3654&gt;=1,B3654&lt;=6),"Tanque",IF(B3654=10,"Descarte",""))</f>
        <v/>
      </c>
    </row>
    <row r="3655" customFormat="false" ht="15" hidden="false" customHeight="false" outlineLevel="0" collapsed="false">
      <c r="A3655" s="22" t="n">
        <v>46309</v>
      </c>
      <c r="B3655" s="0" t="n">
        <v>15</v>
      </c>
      <c r="C3655" s="0" t="n">
        <v>30838</v>
      </c>
      <c r="E3655" s="0" t="n">
        <v>0</v>
      </c>
      <c r="F3655" s="23" t="s">
        <v>1521</v>
      </c>
      <c r="I3655" s="23" t="s">
        <v>1209</v>
      </c>
      <c r="U3655" s="0" t="n">
        <v>100</v>
      </c>
      <c r="V3655" s="0" t="n">
        <v>0</v>
      </c>
      <c r="W3655" s="0" t="str">
        <f aca="false">IF(OR(AND(B3655&gt;=1,B3655&lt;=6),B3655=10),"Vaca em lactação",IF(I3655="Male","Macho",IF(E3655&gt;=1,"Vaca seca",IF(I3655="Youngstock","Bezerra/recria","Novilha"))))</f>
        <v>Macho</v>
      </c>
      <c r="X3655" s="0" t="str">
        <f aca="false">IF(AND(B3655&gt;=1,B3655&lt;=6),"Tanque",IF(B3655=10,"Descarte",""))</f>
        <v/>
      </c>
    </row>
    <row r="3656" customFormat="false" ht="15" hidden="false" customHeight="false" outlineLevel="0" collapsed="false">
      <c r="A3656" s="22" t="n">
        <v>46309</v>
      </c>
      <c r="B3656" s="0" t="n">
        <v>15</v>
      </c>
      <c r="C3656" s="0" t="n">
        <v>30837</v>
      </c>
      <c r="E3656" s="0" t="n">
        <v>0</v>
      </c>
      <c r="F3656" s="23" t="s">
        <v>1521</v>
      </c>
      <c r="I3656" s="23" t="s">
        <v>1209</v>
      </c>
      <c r="U3656" s="0" t="n">
        <v>100</v>
      </c>
      <c r="V3656" s="0" t="n">
        <v>0</v>
      </c>
      <c r="W3656" s="0" t="str">
        <f aca="false">IF(OR(AND(B3656&gt;=1,B3656&lt;=6),B3656=10),"Vaca em lactação",IF(I3656="Male","Macho",IF(E3656&gt;=1,"Vaca seca",IF(I3656="Youngstock","Bezerra/recria","Novilha"))))</f>
        <v>Macho</v>
      </c>
      <c r="X3656" s="0" t="str">
        <f aca="false">IF(AND(B3656&gt;=1,B3656&lt;=6),"Tanque",IF(B3656=10,"Descarte",""))</f>
        <v/>
      </c>
    </row>
    <row r="3657" customFormat="false" ht="15" hidden="false" customHeight="false" outlineLevel="0" collapsed="false">
      <c r="A3657" s="22" t="n">
        <v>46309</v>
      </c>
      <c r="B3657" s="0" t="n">
        <v>15</v>
      </c>
      <c r="C3657" s="0" t="n">
        <v>30841</v>
      </c>
      <c r="E3657" s="0" t="n">
        <v>0</v>
      </c>
      <c r="F3657" s="23" t="s">
        <v>1569</v>
      </c>
      <c r="I3657" s="23" t="s">
        <v>1209</v>
      </c>
      <c r="U3657" s="0" t="n">
        <v>69</v>
      </c>
      <c r="V3657" s="0" t="n">
        <v>0</v>
      </c>
      <c r="W3657" s="0" t="str">
        <f aca="false">IF(OR(AND(B3657&gt;=1,B3657&lt;=6),B3657=10),"Vaca em lactação",IF(I3657="Male","Macho",IF(E3657&gt;=1,"Vaca seca",IF(I3657="Youngstock","Bezerra/recria","Novilha"))))</f>
        <v>Macho</v>
      </c>
      <c r="X3657" s="0" t="str">
        <f aca="false">IF(AND(B3657&gt;=1,B3657&lt;=6),"Tanque",IF(B3657=10,"Descarte",""))</f>
        <v/>
      </c>
    </row>
    <row r="3658" customFormat="false" ht="15" hidden="false" customHeight="false" outlineLevel="0" collapsed="false">
      <c r="A3658" s="22" t="n">
        <v>46309</v>
      </c>
      <c r="B3658" s="0" t="n">
        <v>15</v>
      </c>
      <c r="C3658" s="0" t="n">
        <v>30842</v>
      </c>
      <c r="E3658" s="0" t="n">
        <v>0</v>
      </c>
      <c r="F3658" s="23" t="s">
        <v>1523</v>
      </c>
      <c r="I3658" s="23" t="s">
        <v>1209</v>
      </c>
      <c r="U3658" s="0" t="n">
        <v>98</v>
      </c>
      <c r="V3658" s="0" t="n">
        <v>0</v>
      </c>
      <c r="W3658" s="0" t="str">
        <f aca="false">IF(OR(AND(B3658&gt;=1,B3658&lt;=6),B3658=10),"Vaca em lactação",IF(I3658="Male","Macho",IF(E3658&gt;=1,"Vaca seca",IF(I3658="Youngstock","Bezerra/recria","Novilha"))))</f>
        <v>Macho</v>
      </c>
      <c r="X3658" s="0" t="str">
        <f aca="false">IF(AND(B3658&gt;=1,B3658&lt;=6),"Tanque",IF(B3658=10,"Descarte",""))</f>
        <v/>
      </c>
    </row>
    <row r="3659" customFormat="false" ht="15" hidden="false" customHeight="false" outlineLevel="0" collapsed="false">
      <c r="A3659" s="22" t="n">
        <v>46309</v>
      </c>
      <c r="B3659" s="0" t="n">
        <v>15</v>
      </c>
      <c r="C3659" s="0" t="n">
        <v>30845</v>
      </c>
      <c r="E3659" s="0" t="n">
        <v>0</v>
      </c>
      <c r="F3659" s="23" t="s">
        <v>1570</v>
      </c>
      <c r="I3659" s="23" t="s">
        <v>1209</v>
      </c>
      <c r="U3659" s="0" t="n">
        <v>96</v>
      </c>
      <c r="V3659" s="0" t="n">
        <v>0</v>
      </c>
      <c r="W3659" s="0" t="str">
        <f aca="false">IF(OR(AND(B3659&gt;=1,B3659&lt;=6),B3659=10),"Vaca em lactação",IF(I3659="Male","Macho",IF(E3659&gt;=1,"Vaca seca",IF(I3659="Youngstock","Bezerra/recria","Novilha"))))</f>
        <v>Macho</v>
      </c>
      <c r="X3659" s="0" t="str">
        <f aca="false">IF(AND(B3659&gt;=1,B3659&lt;=6),"Tanque",IF(B3659=10,"Descarte",""))</f>
        <v/>
      </c>
    </row>
    <row r="3660" customFormat="false" ht="15" hidden="false" customHeight="false" outlineLevel="0" collapsed="false">
      <c r="A3660" s="22" t="n">
        <v>46309</v>
      </c>
      <c r="B3660" s="0" t="n">
        <v>15</v>
      </c>
      <c r="C3660" s="0" t="n">
        <v>30847</v>
      </c>
      <c r="E3660" s="0" t="n">
        <v>0</v>
      </c>
      <c r="F3660" s="23" t="s">
        <v>1570</v>
      </c>
      <c r="I3660" s="23" t="s">
        <v>1209</v>
      </c>
      <c r="U3660" s="0" t="n">
        <v>96</v>
      </c>
      <c r="V3660" s="0" t="n">
        <v>0</v>
      </c>
      <c r="W3660" s="0" t="str">
        <f aca="false">IF(OR(AND(B3660&gt;=1,B3660&lt;=6),B3660=10),"Vaca em lactação",IF(I3660="Male","Macho",IF(E3660&gt;=1,"Vaca seca",IF(I3660="Youngstock","Bezerra/recria","Novilha"))))</f>
        <v>Macho</v>
      </c>
      <c r="X3660" s="0" t="str">
        <f aca="false">IF(AND(B3660&gt;=1,B3660&lt;=6),"Tanque",IF(B3660=10,"Descarte",""))</f>
        <v/>
      </c>
    </row>
    <row r="3661" customFormat="false" ht="15" hidden="false" customHeight="false" outlineLevel="0" collapsed="false">
      <c r="A3661" s="22" t="n">
        <v>46309</v>
      </c>
      <c r="B3661" s="0" t="n">
        <v>15</v>
      </c>
      <c r="C3661" s="0" t="n">
        <v>30848</v>
      </c>
      <c r="E3661" s="0" t="n">
        <v>0</v>
      </c>
      <c r="F3661" s="23" t="s">
        <v>1571</v>
      </c>
      <c r="I3661" s="23" t="s">
        <v>1209</v>
      </c>
      <c r="U3661" s="0" t="n">
        <v>95</v>
      </c>
      <c r="V3661" s="0" t="n">
        <v>0</v>
      </c>
      <c r="W3661" s="0" t="str">
        <f aca="false">IF(OR(AND(B3661&gt;=1,B3661&lt;=6),B3661=10),"Vaca em lactação",IF(I3661="Male","Macho",IF(E3661&gt;=1,"Vaca seca",IF(I3661="Youngstock","Bezerra/recria","Novilha"))))</f>
        <v>Macho</v>
      </c>
      <c r="X3661" s="0" t="str">
        <f aca="false">IF(AND(B3661&gt;=1,B3661&lt;=6),"Tanque",IF(B3661=10,"Descarte",""))</f>
        <v/>
      </c>
    </row>
    <row r="3662" customFormat="false" ht="15" hidden="false" customHeight="false" outlineLevel="0" collapsed="false">
      <c r="A3662" s="22" t="n">
        <v>46309</v>
      </c>
      <c r="B3662" s="0" t="n">
        <v>15</v>
      </c>
      <c r="C3662" s="0" t="n">
        <v>30895</v>
      </c>
      <c r="E3662" s="0" t="n">
        <v>0</v>
      </c>
      <c r="F3662" s="23" t="s">
        <v>1572</v>
      </c>
      <c r="I3662" s="23" t="s">
        <v>1209</v>
      </c>
      <c r="U3662" s="0" t="n">
        <v>55</v>
      </c>
      <c r="V3662" s="0" t="n">
        <v>0</v>
      </c>
      <c r="W3662" s="0" t="str">
        <f aca="false">IF(OR(AND(B3662&gt;=1,B3662&lt;=6),B3662=10),"Vaca em lactação",IF(I3662="Male","Macho",IF(E3662&gt;=1,"Vaca seca",IF(I3662="Youngstock","Bezerra/recria","Novilha"))))</f>
        <v>Macho</v>
      </c>
      <c r="X3662" s="0" t="str">
        <f aca="false">IF(AND(B3662&gt;=1,B3662&lt;=6),"Tanque",IF(B3662=10,"Descarte",""))</f>
        <v/>
      </c>
    </row>
    <row r="3663" customFormat="false" ht="15" hidden="false" customHeight="false" outlineLevel="0" collapsed="false">
      <c r="A3663" s="22" t="n">
        <v>46309</v>
      </c>
      <c r="B3663" s="0" t="n">
        <v>15</v>
      </c>
      <c r="C3663" s="0" t="n">
        <v>30894</v>
      </c>
      <c r="E3663" s="0" t="n">
        <v>0</v>
      </c>
      <c r="F3663" s="23" t="s">
        <v>1573</v>
      </c>
      <c r="I3663" s="23" t="s">
        <v>1209</v>
      </c>
      <c r="U3663" s="0" t="n">
        <v>57</v>
      </c>
      <c r="V3663" s="0" t="n">
        <v>0</v>
      </c>
      <c r="W3663" s="0" t="str">
        <f aca="false">IF(OR(AND(B3663&gt;=1,B3663&lt;=6),B3663=10),"Vaca em lactação",IF(I3663="Male","Macho",IF(E3663&gt;=1,"Vaca seca",IF(I3663="Youngstock","Bezerra/recria","Novilha"))))</f>
        <v>Macho</v>
      </c>
      <c r="X3663" s="0" t="str">
        <f aca="false">IF(AND(B3663&gt;=1,B3663&lt;=6),"Tanque",IF(B3663=10,"Descarte",""))</f>
        <v/>
      </c>
    </row>
    <row r="3664" customFormat="false" ht="15" hidden="false" customHeight="false" outlineLevel="0" collapsed="false">
      <c r="A3664" s="22" t="n">
        <v>46309</v>
      </c>
      <c r="B3664" s="0" t="n">
        <v>15</v>
      </c>
      <c r="C3664" s="0" t="n">
        <v>30896</v>
      </c>
      <c r="E3664" s="0" t="n">
        <v>0</v>
      </c>
      <c r="F3664" s="23" t="s">
        <v>1572</v>
      </c>
      <c r="I3664" s="23" t="s">
        <v>1209</v>
      </c>
      <c r="U3664" s="0" t="n">
        <v>55</v>
      </c>
      <c r="V3664" s="0" t="n">
        <v>0</v>
      </c>
      <c r="W3664" s="0" t="str">
        <f aca="false">IF(OR(AND(B3664&gt;=1,B3664&lt;=6),B3664=10),"Vaca em lactação",IF(I3664="Male","Macho",IF(E3664&gt;=1,"Vaca seca",IF(I3664="Youngstock","Bezerra/recria","Novilha"))))</f>
        <v>Macho</v>
      </c>
      <c r="X3664" s="0" t="str">
        <f aca="false">IF(AND(B3664&gt;=1,B3664&lt;=6),"Tanque",IF(B3664=10,"Descarte",""))</f>
        <v/>
      </c>
    </row>
    <row r="3665" customFormat="false" ht="15" hidden="false" customHeight="false" outlineLevel="0" collapsed="false">
      <c r="A3665" s="22" t="n">
        <v>46309</v>
      </c>
      <c r="B3665" s="0" t="n">
        <v>15</v>
      </c>
      <c r="C3665" s="0" t="n">
        <v>30897</v>
      </c>
      <c r="E3665" s="0" t="n">
        <v>0</v>
      </c>
      <c r="F3665" s="23" t="s">
        <v>1574</v>
      </c>
      <c r="I3665" s="23" t="s">
        <v>1209</v>
      </c>
      <c r="U3665" s="0" t="n">
        <v>54</v>
      </c>
      <c r="V3665" s="0" t="n">
        <v>0</v>
      </c>
      <c r="W3665" s="0" t="str">
        <f aca="false">IF(OR(AND(B3665&gt;=1,B3665&lt;=6),B3665=10),"Vaca em lactação",IF(I3665="Male","Macho",IF(E3665&gt;=1,"Vaca seca",IF(I3665="Youngstock","Bezerra/recria","Novilha"))))</f>
        <v>Macho</v>
      </c>
      <c r="X3665" s="0" t="str">
        <f aca="false">IF(AND(B3665&gt;=1,B3665&lt;=6),"Tanque",IF(B3665=10,"Descarte",""))</f>
        <v/>
      </c>
    </row>
    <row r="3666" customFormat="false" ht="15" hidden="false" customHeight="false" outlineLevel="0" collapsed="false">
      <c r="A3666" s="22" t="n">
        <v>46309</v>
      </c>
      <c r="B3666" s="0" t="n">
        <v>15</v>
      </c>
      <c r="C3666" s="0" t="n">
        <v>30883</v>
      </c>
      <c r="E3666" s="0" t="n">
        <v>0</v>
      </c>
      <c r="F3666" s="23" t="s">
        <v>1575</v>
      </c>
      <c r="I3666" s="23" t="s">
        <v>1209</v>
      </c>
      <c r="U3666" s="0" t="n">
        <v>66</v>
      </c>
      <c r="V3666" s="0" t="n">
        <v>0</v>
      </c>
      <c r="W3666" s="0" t="str">
        <f aca="false">IF(OR(AND(B3666&gt;=1,B3666&lt;=6),B3666=10),"Vaca em lactação",IF(I3666="Male","Macho",IF(E3666&gt;=1,"Vaca seca",IF(I3666="Youngstock","Bezerra/recria","Novilha"))))</f>
        <v>Macho</v>
      </c>
      <c r="X3666" s="0" t="str">
        <f aca="false">IF(AND(B3666&gt;=1,B3666&lt;=6),"Tanque",IF(B3666=10,"Descarte",""))</f>
        <v/>
      </c>
    </row>
    <row r="3667" customFormat="false" ht="15" hidden="false" customHeight="false" outlineLevel="0" collapsed="false">
      <c r="A3667" s="22" t="n">
        <v>46309</v>
      </c>
      <c r="B3667" s="0" t="n">
        <v>15</v>
      </c>
      <c r="C3667" s="0" t="n">
        <v>30881</v>
      </c>
      <c r="E3667" s="0" t="n">
        <v>0</v>
      </c>
      <c r="F3667" s="23" t="s">
        <v>1575</v>
      </c>
      <c r="I3667" s="23" t="s">
        <v>1209</v>
      </c>
      <c r="U3667" s="0" t="n">
        <v>66</v>
      </c>
      <c r="V3667" s="0" t="n">
        <v>0</v>
      </c>
      <c r="W3667" s="0" t="str">
        <f aca="false">IF(OR(AND(B3667&gt;=1,B3667&lt;=6),B3667=10),"Vaca em lactação",IF(I3667="Male","Macho",IF(E3667&gt;=1,"Vaca seca",IF(I3667="Youngstock","Bezerra/recria","Novilha"))))</f>
        <v>Macho</v>
      </c>
      <c r="X3667" s="0" t="str">
        <f aca="false">IF(AND(B3667&gt;=1,B3667&lt;=6),"Tanque",IF(B3667=10,"Descarte",""))</f>
        <v/>
      </c>
    </row>
    <row r="3668" customFormat="false" ht="15" hidden="false" customHeight="false" outlineLevel="0" collapsed="false">
      <c r="A3668" s="22" t="n">
        <v>46309</v>
      </c>
      <c r="B3668" s="0" t="n">
        <v>15</v>
      </c>
      <c r="C3668" s="0" t="n">
        <v>30885</v>
      </c>
      <c r="E3668" s="0" t="n">
        <v>0</v>
      </c>
      <c r="F3668" s="23" t="s">
        <v>1576</v>
      </c>
      <c r="I3668" s="23" t="s">
        <v>1209</v>
      </c>
      <c r="U3668" s="0" t="n">
        <v>65</v>
      </c>
      <c r="V3668" s="0" t="n">
        <v>0</v>
      </c>
      <c r="W3668" s="0" t="str">
        <f aca="false">IF(OR(AND(B3668&gt;=1,B3668&lt;=6),B3668=10),"Vaca em lactação",IF(I3668="Male","Macho",IF(E3668&gt;=1,"Vaca seca",IF(I3668="Youngstock","Bezerra/recria","Novilha"))))</f>
        <v>Macho</v>
      </c>
      <c r="X3668" s="0" t="str">
        <f aca="false">IF(AND(B3668&gt;=1,B3668&lt;=6),"Tanque",IF(B3668=10,"Descarte",""))</f>
        <v/>
      </c>
    </row>
    <row r="3669" customFormat="false" ht="15" hidden="false" customHeight="false" outlineLevel="0" collapsed="false">
      <c r="A3669" s="22" t="n">
        <v>46309</v>
      </c>
      <c r="B3669" s="0" t="n">
        <v>15</v>
      </c>
      <c r="C3669" s="0" t="n">
        <v>30884</v>
      </c>
      <c r="E3669" s="0" t="n">
        <v>0</v>
      </c>
      <c r="F3669" s="23" t="s">
        <v>1575</v>
      </c>
      <c r="I3669" s="23" t="s">
        <v>1209</v>
      </c>
      <c r="U3669" s="0" t="n">
        <v>66</v>
      </c>
      <c r="V3669" s="0" t="n">
        <v>0</v>
      </c>
      <c r="W3669" s="0" t="str">
        <f aca="false">IF(OR(AND(B3669&gt;=1,B3669&lt;=6),B3669=10),"Vaca em lactação",IF(I3669="Male","Macho",IF(E3669&gt;=1,"Vaca seca",IF(I3669="Youngstock","Bezerra/recria","Novilha"))))</f>
        <v>Macho</v>
      </c>
      <c r="X3669" s="0" t="str">
        <f aca="false">IF(AND(B3669&gt;=1,B3669&lt;=6),"Tanque",IF(B3669=10,"Descarte",""))</f>
        <v/>
      </c>
    </row>
    <row r="3670" customFormat="false" ht="15" hidden="false" customHeight="false" outlineLevel="0" collapsed="false">
      <c r="A3670" s="22" t="n">
        <v>46309</v>
      </c>
      <c r="B3670" s="0" t="n">
        <v>15</v>
      </c>
      <c r="C3670" s="0" t="n">
        <v>30889</v>
      </c>
      <c r="E3670" s="0" t="n">
        <v>0</v>
      </c>
      <c r="F3670" s="23" t="s">
        <v>1577</v>
      </c>
      <c r="I3670" s="23" t="s">
        <v>1209</v>
      </c>
      <c r="U3670" s="0" t="n">
        <v>63</v>
      </c>
      <c r="V3670" s="0" t="n">
        <v>0</v>
      </c>
      <c r="W3670" s="0" t="str">
        <f aca="false">IF(OR(AND(B3670&gt;=1,B3670&lt;=6),B3670=10),"Vaca em lactação",IF(I3670="Male","Macho",IF(E3670&gt;=1,"Vaca seca",IF(I3670="Youngstock","Bezerra/recria","Novilha"))))</f>
        <v>Macho</v>
      </c>
      <c r="X3670" s="0" t="str">
        <f aca="false">IF(AND(B3670&gt;=1,B3670&lt;=6),"Tanque",IF(B3670=10,"Descarte",""))</f>
        <v/>
      </c>
    </row>
    <row r="3671" customFormat="false" ht="15" hidden="false" customHeight="false" outlineLevel="0" collapsed="false">
      <c r="A3671" s="22" t="n">
        <v>46309</v>
      </c>
      <c r="B3671" s="0" t="n">
        <v>15</v>
      </c>
      <c r="C3671" s="0" t="n">
        <v>30888</v>
      </c>
      <c r="E3671" s="0" t="n">
        <v>0</v>
      </c>
      <c r="F3671" s="23" t="s">
        <v>1577</v>
      </c>
      <c r="I3671" s="23" t="s">
        <v>1209</v>
      </c>
      <c r="U3671" s="0" t="n">
        <v>63</v>
      </c>
      <c r="V3671" s="0" t="n">
        <v>0</v>
      </c>
      <c r="W3671" s="0" t="str">
        <f aca="false">IF(OR(AND(B3671&gt;=1,B3671&lt;=6),B3671=10),"Vaca em lactação",IF(I3671="Male","Macho",IF(E3671&gt;=1,"Vaca seca",IF(I3671="Youngstock","Bezerra/recria","Novilha"))))</f>
        <v>Macho</v>
      </c>
      <c r="X3671" s="0" t="str">
        <f aca="false">IF(AND(B3671&gt;=1,B3671&lt;=6),"Tanque",IF(B3671=10,"Descarte",""))</f>
        <v/>
      </c>
    </row>
    <row r="3672" customFormat="false" ht="15" hidden="false" customHeight="false" outlineLevel="0" collapsed="false">
      <c r="A3672" s="22" t="n">
        <v>46309</v>
      </c>
      <c r="B3672" s="0" t="n">
        <v>15</v>
      </c>
      <c r="C3672" s="0" t="n">
        <v>30891</v>
      </c>
      <c r="E3672" s="0" t="n">
        <v>0</v>
      </c>
      <c r="F3672" s="23" t="s">
        <v>1578</v>
      </c>
      <c r="I3672" s="23" t="s">
        <v>1209</v>
      </c>
      <c r="U3672" s="0" t="n">
        <v>62</v>
      </c>
      <c r="V3672" s="0" t="n">
        <v>0</v>
      </c>
      <c r="W3672" s="0" t="str">
        <f aca="false">IF(OR(AND(B3672&gt;=1,B3672&lt;=6),B3672=10),"Vaca em lactação",IF(I3672="Male","Macho",IF(E3672&gt;=1,"Vaca seca",IF(I3672="Youngstock","Bezerra/recria","Novilha"))))</f>
        <v>Macho</v>
      </c>
      <c r="X3672" s="0" t="str">
        <f aca="false">IF(AND(B3672&gt;=1,B3672&lt;=6),"Tanque",IF(B3672=10,"Descarte",""))</f>
        <v/>
      </c>
    </row>
    <row r="3673" customFormat="false" ht="15" hidden="false" customHeight="false" outlineLevel="0" collapsed="false">
      <c r="A3673" s="22" t="n">
        <v>46309</v>
      </c>
      <c r="B3673" s="0" t="n">
        <v>15</v>
      </c>
      <c r="C3673" s="0" t="n">
        <v>30890</v>
      </c>
      <c r="E3673" s="0" t="n">
        <v>0</v>
      </c>
      <c r="F3673" s="23" t="s">
        <v>1578</v>
      </c>
      <c r="I3673" s="23" t="s">
        <v>1209</v>
      </c>
      <c r="U3673" s="0" t="n">
        <v>62</v>
      </c>
      <c r="V3673" s="0" t="n">
        <v>0</v>
      </c>
      <c r="W3673" s="0" t="str">
        <f aca="false">IF(OR(AND(B3673&gt;=1,B3673&lt;=6),B3673=10),"Vaca em lactação",IF(I3673="Male","Macho",IF(E3673&gt;=1,"Vaca seca",IF(I3673="Youngstock","Bezerra/recria","Novilha"))))</f>
        <v>Macho</v>
      </c>
      <c r="X3673" s="0" t="str">
        <f aca="false">IF(AND(B3673&gt;=1,B3673&lt;=6),"Tanque",IF(B3673=10,"Descarte",""))</f>
        <v/>
      </c>
    </row>
    <row r="3674" customFormat="false" ht="15" hidden="false" customHeight="false" outlineLevel="0" collapsed="false">
      <c r="A3674" s="22" t="n">
        <v>46309</v>
      </c>
      <c r="B3674" s="0" t="n">
        <v>15</v>
      </c>
      <c r="C3674" s="0" t="n">
        <v>30875</v>
      </c>
      <c r="E3674" s="0" t="n">
        <v>0</v>
      </c>
      <c r="F3674" s="23" t="s">
        <v>1579</v>
      </c>
      <c r="I3674" s="23" t="s">
        <v>1209</v>
      </c>
      <c r="U3674" s="0" t="n">
        <v>75</v>
      </c>
      <c r="V3674" s="0" t="n">
        <v>0</v>
      </c>
      <c r="W3674" s="0" t="str">
        <f aca="false">IF(OR(AND(B3674&gt;=1,B3674&lt;=6),B3674=10),"Vaca em lactação",IF(I3674="Male","Macho",IF(E3674&gt;=1,"Vaca seca",IF(I3674="Youngstock","Bezerra/recria","Novilha"))))</f>
        <v>Macho</v>
      </c>
      <c r="X3674" s="0" t="str">
        <f aca="false">IF(AND(B3674&gt;=1,B3674&lt;=6),"Tanque",IF(B3674=10,"Descarte",""))</f>
        <v/>
      </c>
    </row>
    <row r="3675" customFormat="false" ht="15" hidden="false" customHeight="false" outlineLevel="0" collapsed="false">
      <c r="A3675" s="22" t="n">
        <v>46309</v>
      </c>
      <c r="B3675" s="0" t="n">
        <v>15</v>
      </c>
      <c r="C3675" s="0" t="n">
        <v>30874</v>
      </c>
      <c r="E3675" s="0" t="n">
        <v>0</v>
      </c>
      <c r="F3675" s="23" t="s">
        <v>1579</v>
      </c>
      <c r="I3675" s="23" t="s">
        <v>1209</v>
      </c>
      <c r="U3675" s="0" t="n">
        <v>75</v>
      </c>
      <c r="V3675" s="0" t="n">
        <v>0</v>
      </c>
      <c r="W3675" s="0" t="str">
        <f aca="false">IF(OR(AND(B3675&gt;=1,B3675&lt;=6),B3675=10),"Vaca em lactação",IF(I3675="Male","Macho",IF(E3675&gt;=1,"Vaca seca",IF(I3675="Youngstock","Bezerra/recria","Novilha"))))</f>
        <v>Macho</v>
      </c>
      <c r="X3675" s="0" t="str">
        <f aca="false">IF(AND(B3675&gt;=1,B3675&lt;=6),"Tanque",IF(B3675=10,"Descarte",""))</f>
        <v/>
      </c>
    </row>
    <row r="3676" customFormat="false" ht="15" hidden="false" customHeight="false" outlineLevel="0" collapsed="false">
      <c r="A3676" s="22" t="n">
        <v>46309</v>
      </c>
      <c r="B3676" s="0" t="n">
        <v>15</v>
      </c>
      <c r="C3676" s="0" t="n">
        <v>30879</v>
      </c>
      <c r="E3676" s="0" t="n">
        <v>0</v>
      </c>
      <c r="F3676" s="23" t="s">
        <v>1580</v>
      </c>
      <c r="I3676" s="23" t="s">
        <v>1209</v>
      </c>
      <c r="U3676" s="0" t="n">
        <v>74</v>
      </c>
      <c r="V3676" s="0" t="n">
        <v>0</v>
      </c>
      <c r="W3676" s="0" t="str">
        <f aca="false">IF(OR(AND(B3676&gt;=1,B3676&lt;=6),B3676=10),"Vaca em lactação",IF(I3676="Male","Macho",IF(E3676&gt;=1,"Vaca seca",IF(I3676="Youngstock","Bezerra/recria","Novilha"))))</f>
        <v>Macho</v>
      </c>
      <c r="X3676" s="0" t="str">
        <f aca="false">IF(AND(B3676&gt;=1,B3676&lt;=6),"Tanque",IF(B3676=10,"Descarte",""))</f>
        <v/>
      </c>
    </row>
    <row r="3677" customFormat="false" ht="15" hidden="false" customHeight="false" outlineLevel="0" collapsed="false">
      <c r="A3677" s="22" t="n">
        <v>46309</v>
      </c>
      <c r="B3677" s="0" t="n">
        <v>15</v>
      </c>
      <c r="C3677" s="0" t="n">
        <v>30878</v>
      </c>
      <c r="E3677" s="0" t="n">
        <v>0</v>
      </c>
      <c r="F3677" s="23" t="s">
        <v>1580</v>
      </c>
      <c r="I3677" s="23" t="s">
        <v>1209</v>
      </c>
      <c r="U3677" s="0" t="n">
        <v>74</v>
      </c>
      <c r="V3677" s="0" t="n">
        <v>0</v>
      </c>
      <c r="W3677" s="0" t="str">
        <f aca="false">IF(OR(AND(B3677&gt;=1,B3677&lt;=6),B3677=10),"Vaca em lactação",IF(I3677="Male","Macho",IF(E3677&gt;=1,"Vaca seca",IF(I3677="Youngstock","Bezerra/recria","Novilha"))))</f>
        <v>Macho</v>
      </c>
      <c r="X3677" s="0" t="str">
        <f aca="false">IF(AND(B3677&gt;=1,B3677&lt;=6),"Tanque",IF(B3677=10,"Descarte",""))</f>
        <v/>
      </c>
    </row>
    <row r="3678" customFormat="false" ht="15" hidden="false" customHeight="false" outlineLevel="0" collapsed="false">
      <c r="A3678" s="22" t="n">
        <v>46309</v>
      </c>
      <c r="B3678" s="0" t="n">
        <v>15</v>
      </c>
      <c r="C3678" s="0" t="n">
        <v>30877</v>
      </c>
      <c r="E3678" s="0" t="n">
        <v>0</v>
      </c>
      <c r="F3678" s="23" t="s">
        <v>1580</v>
      </c>
      <c r="I3678" s="23" t="s">
        <v>1209</v>
      </c>
      <c r="U3678" s="0" t="n">
        <v>74</v>
      </c>
      <c r="V3678" s="0" t="n">
        <v>0</v>
      </c>
      <c r="W3678" s="0" t="str">
        <f aca="false">IF(OR(AND(B3678&gt;=1,B3678&lt;=6),B3678=10),"Vaca em lactação",IF(I3678="Male","Macho",IF(E3678&gt;=1,"Vaca seca",IF(I3678="Youngstock","Bezerra/recria","Novilha"))))</f>
        <v>Macho</v>
      </c>
      <c r="X3678" s="0" t="str">
        <f aca="false">IF(AND(B3678&gt;=1,B3678&lt;=6),"Tanque",IF(B3678=10,"Descarte",""))</f>
        <v/>
      </c>
    </row>
    <row r="3679" customFormat="false" ht="15" hidden="false" customHeight="false" outlineLevel="0" collapsed="false">
      <c r="A3679" s="22" t="n">
        <v>46309</v>
      </c>
      <c r="B3679" s="0" t="n">
        <v>15</v>
      </c>
      <c r="C3679" s="0" t="n">
        <v>30919</v>
      </c>
      <c r="E3679" s="0" t="n">
        <v>0</v>
      </c>
      <c r="F3679" s="23" t="s">
        <v>1581</v>
      </c>
      <c r="I3679" s="23" t="s">
        <v>1209</v>
      </c>
      <c r="U3679" s="0" t="n">
        <v>25</v>
      </c>
      <c r="V3679" s="0" t="n">
        <v>0</v>
      </c>
      <c r="W3679" s="0" t="str">
        <f aca="false">IF(OR(AND(B3679&gt;=1,B3679&lt;=6),B3679=10),"Vaca em lactação",IF(I3679="Male","Macho",IF(E3679&gt;=1,"Vaca seca",IF(I3679="Youngstock","Bezerra/recria","Novilha"))))</f>
        <v>Macho</v>
      </c>
      <c r="X3679" s="0" t="str">
        <f aca="false">IF(AND(B3679&gt;=1,B3679&lt;=6),"Tanque",IF(B3679=10,"Descarte",""))</f>
        <v/>
      </c>
    </row>
    <row r="3680" customFormat="false" ht="15" hidden="false" customHeight="false" outlineLevel="0" collapsed="false">
      <c r="A3680" s="22" t="n">
        <v>46309</v>
      </c>
      <c r="B3680" s="0" t="n">
        <v>15</v>
      </c>
      <c r="C3680" s="0" t="n">
        <v>30922</v>
      </c>
      <c r="E3680" s="0" t="n">
        <v>0</v>
      </c>
      <c r="F3680" s="23" t="s">
        <v>1582</v>
      </c>
      <c r="I3680" s="23" t="s">
        <v>1209</v>
      </c>
      <c r="U3680" s="0" t="n">
        <v>23</v>
      </c>
      <c r="V3680" s="0" t="n">
        <v>0</v>
      </c>
      <c r="W3680" s="0" t="str">
        <f aca="false">IF(OR(AND(B3680&gt;=1,B3680&lt;=6),B3680=10),"Vaca em lactação",IF(I3680="Male","Macho",IF(E3680&gt;=1,"Vaca seca",IF(I3680="Youngstock","Bezerra/recria","Novilha"))))</f>
        <v>Macho</v>
      </c>
      <c r="X3680" s="0" t="str">
        <f aca="false">IF(AND(B3680&gt;=1,B3680&lt;=6),"Tanque",IF(B3680=10,"Descarte",""))</f>
        <v/>
      </c>
    </row>
    <row r="3681" customFormat="false" ht="15" hidden="false" customHeight="false" outlineLevel="0" collapsed="false">
      <c r="A3681" s="22" t="n">
        <v>46309</v>
      </c>
      <c r="B3681" s="0" t="n">
        <v>15</v>
      </c>
      <c r="C3681" s="0" t="n">
        <v>30913</v>
      </c>
      <c r="E3681" s="0" t="n">
        <v>0</v>
      </c>
      <c r="F3681" s="23" t="s">
        <v>1583</v>
      </c>
      <c r="I3681" s="23" t="s">
        <v>1209</v>
      </c>
      <c r="U3681" s="0" t="n">
        <v>35</v>
      </c>
      <c r="V3681" s="0" t="n">
        <v>0</v>
      </c>
      <c r="W3681" s="0" t="str">
        <f aca="false">IF(OR(AND(B3681&gt;=1,B3681&lt;=6),B3681=10),"Vaca em lactação",IF(I3681="Male","Macho",IF(E3681&gt;=1,"Vaca seca",IF(I3681="Youngstock","Bezerra/recria","Novilha"))))</f>
        <v>Macho</v>
      </c>
      <c r="X3681" s="0" t="str">
        <f aca="false">IF(AND(B3681&gt;=1,B3681&lt;=6),"Tanque",IF(B3681=10,"Descarte",""))</f>
        <v/>
      </c>
    </row>
    <row r="3682" customFormat="false" ht="15" hidden="false" customHeight="false" outlineLevel="0" collapsed="false">
      <c r="A3682" s="22" t="n">
        <v>46309</v>
      </c>
      <c r="B3682" s="0" t="n">
        <v>15</v>
      </c>
      <c r="C3682" s="0" t="n">
        <v>30914</v>
      </c>
      <c r="E3682" s="0" t="n">
        <v>0</v>
      </c>
      <c r="F3682" s="23" t="s">
        <v>1584</v>
      </c>
      <c r="I3682" s="23" t="s">
        <v>1209</v>
      </c>
      <c r="U3682" s="0" t="n">
        <v>34</v>
      </c>
      <c r="V3682" s="0" t="n">
        <v>0</v>
      </c>
      <c r="W3682" s="0" t="str">
        <f aca="false">IF(OR(AND(B3682&gt;=1,B3682&lt;=6),B3682=10),"Vaca em lactação",IF(I3682="Male","Macho",IF(E3682&gt;=1,"Vaca seca",IF(I3682="Youngstock","Bezerra/recria","Novilha"))))</f>
        <v>Macho</v>
      </c>
      <c r="X3682" s="0" t="str">
        <f aca="false">IF(AND(B3682&gt;=1,B3682&lt;=6),"Tanque",IF(B3682=10,"Descarte",""))</f>
        <v/>
      </c>
    </row>
    <row r="3683" customFormat="false" ht="15" hidden="false" customHeight="false" outlineLevel="0" collapsed="false">
      <c r="A3683" s="22" t="n">
        <v>46309</v>
      </c>
      <c r="B3683" s="0" t="n">
        <v>15</v>
      </c>
      <c r="C3683" s="0" t="n">
        <v>30917</v>
      </c>
      <c r="E3683" s="0" t="n">
        <v>0</v>
      </c>
      <c r="F3683" s="23" t="s">
        <v>1585</v>
      </c>
      <c r="I3683" s="23" t="s">
        <v>1209</v>
      </c>
      <c r="U3683" s="0" t="n">
        <v>30</v>
      </c>
      <c r="V3683" s="0" t="n">
        <v>0</v>
      </c>
      <c r="W3683" s="0" t="str">
        <f aca="false">IF(OR(AND(B3683&gt;=1,B3683&lt;=6),B3683=10),"Vaca em lactação",IF(I3683="Male","Macho",IF(E3683&gt;=1,"Vaca seca",IF(I3683="Youngstock","Bezerra/recria","Novilha"))))</f>
        <v>Macho</v>
      </c>
      <c r="X3683" s="0" t="str">
        <f aca="false">IF(AND(B3683&gt;=1,B3683&lt;=6),"Tanque",IF(B3683=10,"Descarte",""))</f>
        <v/>
      </c>
    </row>
    <row r="3684" customFormat="false" ht="15" hidden="false" customHeight="false" outlineLevel="0" collapsed="false">
      <c r="A3684" s="22" t="n">
        <v>46309</v>
      </c>
      <c r="B3684" s="0" t="n">
        <v>15</v>
      </c>
      <c r="C3684" s="0" t="n">
        <v>30905</v>
      </c>
      <c r="E3684" s="0" t="n">
        <v>0</v>
      </c>
      <c r="F3684" s="23" t="s">
        <v>1586</v>
      </c>
      <c r="I3684" s="23" t="s">
        <v>1209</v>
      </c>
      <c r="U3684" s="0" t="n">
        <v>43</v>
      </c>
      <c r="V3684" s="0" t="n">
        <v>0</v>
      </c>
      <c r="W3684" s="0" t="str">
        <f aca="false">IF(OR(AND(B3684&gt;=1,B3684&lt;=6),B3684=10),"Vaca em lactação",IF(I3684="Male","Macho",IF(E3684&gt;=1,"Vaca seca",IF(I3684="Youngstock","Bezerra/recria","Novilha"))))</f>
        <v>Macho</v>
      </c>
      <c r="X3684" s="0" t="str">
        <f aca="false">IF(AND(B3684&gt;=1,B3684&lt;=6),"Tanque",IF(B3684=10,"Descarte",""))</f>
        <v/>
      </c>
    </row>
    <row r="3685" customFormat="false" ht="15" hidden="false" customHeight="false" outlineLevel="0" collapsed="false">
      <c r="A3685" s="22" t="n">
        <v>46309</v>
      </c>
      <c r="B3685" s="0" t="n">
        <v>15</v>
      </c>
      <c r="C3685" s="0" t="n">
        <v>30907</v>
      </c>
      <c r="E3685" s="0" t="n">
        <v>0</v>
      </c>
      <c r="F3685" s="23" t="s">
        <v>1587</v>
      </c>
      <c r="I3685" s="23" t="s">
        <v>1209</v>
      </c>
      <c r="U3685" s="0" t="n">
        <v>42</v>
      </c>
      <c r="V3685" s="0" t="n">
        <v>0</v>
      </c>
      <c r="W3685" s="0" t="str">
        <f aca="false">IF(OR(AND(B3685&gt;=1,B3685&lt;=6),B3685=10),"Vaca em lactação",IF(I3685="Male","Macho",IF(E3685&gt;=1,"Vaca seca",IF(I3685="Youngstock","Bezerra/recria","Novilha"))))</f>
        <v>Macho</v>
      </c>
      <c r="X3685" s="0" t="str">
        <f aca="false">IF(AND(B3685&gt;=1,B3685&lt;=6),"Tanque",IF(B3685=10,"Descarte",""))</f>
        <v/>
      </c>
    </row>
    <row r="3686" customFormat="false" ht="15" hidden="false" customHeight="false" outlineLevel="0" collapsed="false">
      <c r="A3686" s="22" t="n">
        <v>46309</v>
      </c>
      <c r="B3686" s="0" t="n">
        <v>15</v>
      </c>
      <c r="C3686" s="0" t="n">
        <v>30906</v>
      </c>
      <c r="E3686" s="0" t="n">
        <v>0</v>
      </c>
      <c r="F3686" s="23" t="s">
        <v>1587</v>
      </c>
      <c r="I3686" s="23" t="s">
        <v>1209</v>
      </c>
      <c r="U3686" s="0" t="n">
        <v>42</v>
      </c>
      <c r="V3686" s="0" t="n">
        <v>0</v>
      </c>
      <c r="W3686" s="0" t="str">
        <f aca="false">IF(OR(AND(B3686&gt;=1,B3686&lt;=6),B3686=10),"Vaca em lactação",IF(I3686="Male","Macho",IF(E3686&gt;=1,"Vaca seca",IF(I3686="Youngstock","Bezerra/recria","Novilha"))))</f>
        <v>Macho</v>
      </c>
      <c r="X3686" s="0" t="str">
        <f aca="false">IF(AND(B3686&gt;=1,B3686&lt;=6),"Tanque",IF(B3686=10,"Descarte",""))</f>
        <v/>
      </c>
    </row>
    <row r="3687" customFormat="false" ht="15" hidden="false" customHeight="false" outlineLevel="0" collapsed="false">
      <c r="A3687" s="22" t="n">
        <v>46309</v>
      </c>
      <c r="B3687" s="0" t="n">
        <v>15</v>
      </c>
      <c r="C3687" s="0" t="n">
        <v>30909</v>
      </c>
      <c r="E3687" s="0" t="n">
        <v>0</v>
      </c>
      <c r="F3687" s="23" t="s">
        <v>1588</v>
      </c>
      <c r="I3687" s="23" t="s">
        <v>1209</v>
      </c>
      <c r="U3687" s="0" t="n">
        <v>40</v>
      </c>
      <c r="V3687" s="0" t="n">
        <v>0</v>
      </c>
      <c r="W3687" s="0" t="str">
        <f aca="false">IF(OR(AND(B3687&gt;=1,B3687&lt;=6),B3687=10),"Vaca em lactação",IF(I3687="Male","Macho",IF(E3687&gt;=1,"Vaca seca",IF(I3687="Youngstock","Bezerra/recria","Novilha"))))</f>
        <v>Macho</v>
      </c>
      <c r="X3687" s="0" t="str">
        <f aca="false">IF(AND(B3687&gt;=1,B3687&lt;=6),"Tanque",IF(B3687=10,"Descarte",""))</f>
        <v/>
      </c>
    </row>
    <row r="3688" customFormat="false" ht="15" hidden="false" customHeight="false" outlineLevel="0" collapsed="false">
      <c r="A3688" s="22" t="n">
        <v>46309</v>
      </c>
      <c r="B3688" s="0" t="n">
        <v>15</v>
      </c>
      <c r="C3688" s="0" t="n">
        <v>30912</v>
      </c>
      <c r="E3688" s="0" t="n">
        <v>0</v>
      </c>
      <c r="F3688" s="23" t="s">
        <v>1589</v>
      </c>
      <c r="I3688" s="23" t="s">
        <v>1209</v>
      </c>
      <c r="U3688" s="0" t="n">
        <v>36</v>
      </c>
      <c r="V3688" s="0" t="n">
        <v>0</v>
      </c>
      <c r="W3688" s="0" t="str">
        <f aca="false">IF(OR(AND(B3688&gt;=1,B3688&lt;=6),B3688=10),"Vaca em lactação",IF(I3688="Male","Macho",IF(E3688&gt;=1,"Vaca seca",IF(I3688="Youngstock","Bezerra/recria","Novilha"))))</f>
        <v>Macho</v>
      </c>
      <c r="X3688" s="0" t="str">
        <f aca="false">IF(AND(B3688&gt;=1,B3688&lt;=6),"Tanque",IF(B3688=10,"Descarte",""))</f>
        <v/>
      </c>
    </row>
    <row r="3689" customFormat="false" ht="15" hidden="false" customHeight="false" outlineLevel="0" collapsed="false">
      <c r="A3689" s="22" t="n">
        <v>46309</v>
      </c>
      <c r="B3689" s="0" t="n">
        <v>15</v>
      </c>
      <c r="C3689" s="0" t="n">
        <v>30901</v>
      </c>
      <c r="E3689" s="0" t="n">
        <v>0</v>
      </c>
      <c r="F3689" s="23" t="s">
        <v>1590</v>
      </c>
      <c r="I3689" s="23" t="s">
        <v>1209</v>
      </c>
      <c r="U3689" s="0" t="n">
        <v>46</v>
      </c>
      <c r="V3689" s="0" t="n">
        <v>0</v>
      </c>
      <c r="W3689" s="0" t="str">
        <f aca="false">IF(OR(AND(B3689&gt;=1,B3689&lt;=6),B3689=10),"Vaca em lactação",IF(I3689="Male","Macho",IF(E3689&gt;=1,"Vaca seca",IF(I3689="Youngstock","Bezerra/recria","Novilha"))))</f>
        <v>Macho</v>
      </c>
      <c r="X3689" s="0" t="str">
        <f aca="false">IF(AND(B3689&gt;=1,B3689&lt;=6),"Tanque",IF(B3689=10,"Descarte",""))</f>
        <v/>
      </c>
    </row>
    <row r="3690" customFormat="false" ht="15" hidden="false" customHeight="false" outlineLevel="0" collapsed="false">
      <c r="A3690" s="22" t="n">
        <v>46309</v>
      </c>
      <c r="B3690" s="0" t="n">
        <v>15</v>
      </c>
      <c r="C3690" s="0" t="n">
        <v>30904</v>
      </c>
      <c r="E3690" s="0" t="n">
        <v>0</v>
      </c>
      <c r="F3690" s="23" t="s">
        <v>1591</v>
      </c>
      <c r="I3690" s="23" t="s">
        <v>1209</v>
      </c>
      <c r="U3690" s="0" t="n">
        <v>45</v>
      </c>
      <c r="V3690" s="0" t="n">
        <v>0</v>
      </c>
      <c r="W3690" s="0" t="str">
        <f aca="false">IF(OR(AND(B3690&gt;=1,B3690&lt;=6),B3690=10),"Vaca em lactação",IF(I3690="Male","Macho",IF(E3690&gt;=1,"Vaca seca",IF(I3690="Youngstock","Bezerra/recria","Novilha"))))</f>
        <v>Macho</v>
      </c>
      <c r="X3690" s="0" t="str">
        <f aca="false">IF(AND(B3690&gt;=1,B3690&lt;=6),"Tanque",IF(B3690=10,"Descarte",""))</f>
        <v/>
      </c>
    </row>
    <row r="3691" customFormat="false" ht="15" hidden="false" customHeight="false" outlineLevel="0" collapsed="false">
      <c r="A3691" s="22" t="n">
        <v>46309</v>
      </c>
      <c r="B3691" s="0" t="n">
        <v>15</v>
      </c>
      <c r="C3691" s="0" t="n">
        <v>30938</v>
      </c>
      <c r="E3691" s="0" t="n">
        <v>0</v>
      </c>
      <c r="F3691" s="23" t="s">
        <v>1592</v>
      </c>
      <c r="I3691" s="23" t="s">
        <v>1209</v>
      </c>
      <c r="U3691" s="0" t="n">
        <v>7</v>
      </c>
      <c r="V3691" s="0" t="n">
        <v>0</v>
      </c>
      <c r="W3691" s="0" t="str">
        <f aca="false">IF(OR(AND(B3691&gt;=1,B3691&lt;=6),B3691=10),"Vaca em lactação",IF(I3691="Male","Macho",IF(E3691&gt;=1,"Vaca seca",IF(I3691="Youngstock","Bezerra/recria","Novilha"))))</f>
        <v>Macho</v>
      </c>
      <c r="X3691" s="0" t="str">
        <f aca="false">IF(AND(B3691&gt;=1,B3691&lt;=6),"Tanque",IF(B3691=10,"Descarte",""))</f>
        <v/>
      </c>
    </row>
    <row r="3692" customFormat="false" ht="15" hidden="false" customHeight="false" outlineLevel="0" collapsed="false">
      <c r="A3692" s="22" t="n">
        <v>46309</v>
      </c>
      <c r="B3692" s="0" t="n">
        <v>15</v>
      </c>
      <c r="C3692" s="0" t="n">
        <v>30941</v>
      </c>
      <c r="E3692" s="0" t="n">
        <v>0</v>
      </c>
      <c r="F3692" s="23" t="s">
        <v>1593</v>
      </c>
      <c r="I3692" s="23" t="s">
        <v>1209</v>
      </c>
      <c r="U3692" s="0" t="n">
        <v>6</v>
      </c>
      <c r="V3692" s="0" t="n">
        <v>0</v>
      </c>
      <c r="W3692" s="0" t="str">
        <f aca="false">IF(OR(AND(B3692&gt;=1,B3692&lt;=6),B3692=10),"Vaca em lactação",IF(I3692="Male","Macho",IF(E3692&gt;=1,"Vaca seca",IF(I3692="Youngstock","Bezerra/recria","Novilha"))))</f>
        <v>Macho</v>
      </c>
      <c r="X3692" s="0" t="str">
        <f aca="false">IF(AND(B3692&gt;=1,B3692&lt;=6),"Tanque",IF(B3692=10,"Descarte",""))</f>
        <v/>
      </c>
    </row>
    <row r="3693" customFormat="false" ht="15" hidden="false" customHeight="false" outlineLevel="0" collapsed="false">
      <c r="A3693" s="22" t="n">
        <v>46309</v>
      </c>
      <c r="B3693" s="0" t="n">
        <v>15</v>
      </c>
      <c r="C3693" s="0" t="n">
        <v>30940</v>
      </c>
      <c r="E3693" s="0" t="n">
        <v>0</v>
      </c>
      <c r="F3693" s="23" t="s">
        <v>1593</v>
      </c>
      <c r="I3693" s="23" t="s">
        <v>1209</v>
      </c>
      <c r="U3693" s="0" t="n">
        <v>6</v>
      </c>
      <c r="V3693" s="0" t="n">
        <v>0</v>
      </c>
      <c r="W3693" s="0" t="str">
        <f aca="false">IF(OR(AND(B3693&gt;=1,B3693&lt;=6),B3693=10),"Vaca em lactação",IF(I3693="Male","Macho",IF(E3693&gt;=1,"Vaca seca",IF(I3693="Youngstock","Bezerra/recria","Novilha"))))</f>
        <v>Macho</v>
      </c>
      <c r="X3693" s="0" t="str">
        <f aca="false">IF(AND(B3693&gt;=1,B3693&lt;=6),"Tanque",IF(B3693=10,"Descarte",""))</f>
        <v/>
      </c>
    </row>
    <row r="3694" customFormat="false" ht="15" hidden="false" customHeight="false" outlineLevel="0" collapsed="false">
      <c r="A3694" s="22" t="n">
        <v>46309</v>
      </c>
      <c r="B3694" s="0" t="n">
        <v>15</v>
      </c>
      <c r="C3694" s="0" t="n">
        <v>30939</v>
      </c>
      <c r="E3694" s="0" t="n">
        <v>0</v>
      </c>
      <c r="F3694" s="23" t="s">
        <v>1593</v>
      </c>
      <c r="I3694" s="23" t="s">
        <v>1209</v>
      </c>
      <c r="U3694" s="0" t="n">
        <v>6</v>
      </c>
      <c r="V3694" s="0" t="n">
        <v>0</v>
      </c>
      <c r="W3694" s="0" t="str">
        <f aca="false">IF(OR(AND(B3694&gt;=1,B3694&lt;=6),B3694=10),"Vaca em lactação",IF(I3694="Male","Macho",IF(E3694&gt;=1,"Vaca seca",IF(I3694="Youngstock","Bezerra/recria","Novilha"))))</f>
        <v>Macho</v>
      </c>
      <c r="X3694" s="0" t="str">
        <f aca="false">IF(AND(B3694&gt;=1,B3694&lt;=6),"Tanque",IF(B3694=10,"Descarte",""))</f>
        <v/>
      </c>
    </row>
    <row r="3695" customFormat="false" ht="15" hidden="false" customHeight="false" outlineLevel="0" collapsed="false">
      <c r="A3695" s="22" t="n">
        <v>46309</v>
      </c>
      <c r="B3695" s="0" t="n">
        <v>15</v>
      </c>
      <c r="C3695" s="0" t="n">
        <v>0</v>
      </c>
      <c r="E3695" s="0" t="n">
        <v>0</v>
      </c>
      <c r="F3695" s="23" t="s">
        <v>1594</v>
      </c>
      <c r="I3695" s="23" t="s">
        <v>1209</v>
      </c>
      <c r="U3695" s="0" t="n">
        <v>4</v>
      </c>
      <c r="V3695" s="0" t="n">
        <v>0</v>
      </c>
      <c r="W3695" s="0" t="str">
        <f aca="false">IF(OR(AND(B3695&gt;=1,B3695&lt;=6),B3695=10),"Vaca em lactação",IF(I3695="Male","Macho",IF(E3695&gt;=1,"Vaca seca",IF(I3695="Youngstock","Bezerra/recria","Novilha"))))</f>
        <v>Macho</v>
      </c>
      <c r="X3695" s="0" t="str">
        <f aca="false">IF(AND(B3695&gt;=1,B3695&lt;=6),"Tanque",IF(B3695=10,"Descarte",""))</f>
        <v/>
      </c>
    </row>
    <row r="3696" customFormat="false" ht="15" hidden="false" customHeight="false" outlineLevel="0" collapsed="false">
      <c r="A3696" s="22" t="n">
        <v>46309</v>
      </c>
      <c r="B3696" s="0" t="n">
        <v>15</v>
      </c>
      <c r="C3696" s="0" t="n">
        <v>30943</v>
      </c>
      <c r="E3696" s="0" t="n">
        <v>0</v>
      </c>
      <c r="F3696" s="23" t="s">
        <v>1595</v>
      </c>
      <c r="I3696" s="23" t="s">
        <v>1209</v>
      </c>
      <c r="U3696" s="0" t="n">
        <v>3</v>
      </c>
      <c r="V3696" s="0" t="n">
        <v>0</v>
      </c>
      <c r="W3696" s="0" t="str">
        <f aca="false">IF(OR(AND(B3696&gt;=1,B3696&lt;=6),B3696=10),"Vaca em lactação",IF(I3696="Male","Macho",IF(E3696&gt;=1,"Vaca seca",IF(I3696="Youngstock","Bezerra/recria","Novilha"))))</f>
        <v>Macho</v>
      </c>
      <c r="X3696" s="0" t="str">
        <f aca="false">IF(AND(B3696&gt;=1,B3696&lt;=6),"Tanque",IF(B3696=10,"Descarte",""))</f>
        <v/>
      </c>
    </row>
    <row r="3697" customFormat="false" ht="15" hidden="false" customHeight="false" outlineLevel="0" collapsed="false">
      <c r="A3697" s="22" t="n">
        <v>46309</v>
      </c>
      <c r="B3697" s="0" t="n">
        <v>15</v>
      </c>
      <c r="C3697" s="0" t="n">
        <v>30942</v>
      </c>
      <c r="E3697" s="0" t="n">
        <v>0</v>
      </c>
      <c r="F3697" s="23" t="s">
        <v>1595</v>
      </c>
      <c r="I3697" s="23" t="s">
        <v>1209</v>
      </c>
      <c r="U3697" s="0" t="n">
        <v>3</v>
      </c>
      <c r="V3697" s="0" t="n">
        <v>0</v>
      </c>
      <c r="W3697" s="0" t="str">
        <f aca="false">IF(OR(AND(B3697&gt;=1,B3697&lt;=6),B3697=10),"Vaca em lactação",IF(I3697="Male","Macho",IF(E3697&gt;=1,"Vaca seca",IF(I3697="Youngstock","Bezerra/recria","Novilha"))))</f>
        <v>Macho</v>
      </c>
      <c r="X3697" s="0" t="str">
        <f aca="false">IF(AND(B3697&gt;=1,B3697&lt;=6),"Tanque",IF(B3697=10,"Descarte",""))</f>
        <v/>
      </c>
    </row>
    <row r="3698" customFormat="false" ht="15" hidden="false" customHeight="false" outlineLevel="0" collapsed="false">
      <c r="A3698" s="22" t="n">
        <v>46309</v>
      </c>
      <c r="B3698" s="0" t="n">
        <v>15</v>
      </c>
      <c r="C3698" s="0" t="n">
        <v>30944</v>
      </c>
      <c r="E3698" s="0" t="n">
        <v>0</v>
      </c>
      <c r="F3698" s="23" t="s">
        <v>1596</v>
      </c>
      <c r="I3698" s="23" t="s">
        <v>1209</v>
      </c>
      <c r="U3698" s="0" t="n">
        <v>2</v>
      </c>
      <c r="V3698" s="0" t="n">
        <v>0</v>
      </c>
      <c r="W3698" s="0" t="str">
        <f aca="false">IF(OR(AND(B3698&gt;=1,B3698&lt;=6),B3698=10),"Vaca em lactação",IF(I3698="Male","Macho",IF(E3698&gt;=1,"Vaca seca",IF(I3698="Youngstock","Bezerra/recria","Novilha"))))</f>
        <v>Macho</v>
      </c>
      <c r="X3698" s="0" t="str">
        <f aca="false">IF(AND(B3698&gt;=1,B3698&lt;=6),"Tanque",IF(B3698=10,"Descarte",""))</f>
        <v/>
      </c>
    </row>
    <row r="3699" customFormat="false" ht="15" hidden="false" customHeight="false" outlineLevel="0" collapsed="false">
      <c r="A3699" s="22" t="n">
        <v>46309</v>
      </c>
      <c r="B3699" s="0" t="n">
        <v>15</v>
      </c>
      <c r="C3699" s="0" t="n">
        <v>30935</v>
      </c>
      <c r="E3699" s="0" t="n">
        <v>0</v>
      </c>
      <c r="F3699" s="23" t="s">
        <v>1597</v>
      </c>
      <c r="I3699" s="23" t="s">
        <v>1209</v>
      </c>
      <c r="U3699" s="0" t="n">
        <v>12</v>
      </c>
      <c r="V3699" s="0" t="n">
        <v>0</v>
      </c>
      <c r="W3699" s="0" t="str">
        <f aca="false">IF(OR(AND(B3699&gt;=1,B3699&lt;=6),B3699=10),"Vaca em lactação",IF(I3699="Male","Macho",IF(E3699&gt;=1,"Vaca seca",IF(I3699="Youngstock","Bezerra/recria","Novilha"))))</f>
        <v>Macho</v>
      </c>
      <c r="X3699" s="0" t="str">
        <f aca="false">IF(AND(B3699&gt;=1,B3699&lt;=6),"Tanque",IF(B3699=10,"Descarte",""))</f>
        <v/>
      </c>
    </row>
    <row r="3700" customFormat="false" ht="15" hidden="false" customHeight="false" outlineLevel="0" collapsed="false">
      <c r="A3700" s="22" t="n">
        <v>46309</v>
      </c>
      <c r="B3700" s="0" t="n">
        <v>15</v>
      </c>
      <c r="C3700" s="0" t="n">
        <v>30934</v>
      </c>
      <c r="E3700" s="0" t="n">
        <v>0</v>
      </c>
      <c r="F3700" s="23" t="s">
        <v>1597</v>
      </c>
      <c r="I3700" s="23" t="s">
        <v>1209</v>
      </c>
      <c r="U3700" s="0" t="n">
        <v>12</v>
      </c>
      <c r="V3700" s="0" t="n">
        <v>0</v>
      </c>
      <c r="W3700" s="0" t="str">
        <f aca="false">IF(OR(AND(B3700&gt;=1,B3700&lt;=6),B3700=10),"Vaca em lactação",IF(I3700="Male","Macho",IF(E3700&gt;=1,"Vaca seca",IF(I3700="Youngstock","Bezerra/recria","Novilha"))))</f>
        <v>Macho</v>
      </c>
      <c r="X3700" s="0" t="str">
        <f aca="false">IF(AND(B3700&gt;=1,B3700&lt;=6),"Tanque",IF(B3700=10,"Descarte",""))</f>
        <v/>
      </c>
    </row>
    <row r="3701" customFormat="false" ht="15" hidden="false" customHeight="false" outlineLevel="0" collapsed="false">
      <c r="A3701" s="22" t="n">
        <v>46309</v>
      </c>
      <c r="B3701" s="0" t="n">
        <v>15</v>
      </c>
      <c r="C3701" s="0" t="n">
        <v>30933</v>
      </c>
      <c r="E3701" s="0" t="n">
        <v>0</v>
      </c>
      <c r="F3701" s="23" t="s">
        <v>1597</v>
      </c>
      <c r="I3701" s="23" t="s">
        <v>1209</v>
      </c>
      <c r="U3701" s="0" t="n">
        <v>12</v>
      </c>
      <c r="V3701" s="0" t="n">
        <v>0</v>
      </c>
      <c r="W3701" s="0" t="str">
        <f aca="false">IF(OR(AND(B3701&gt;=1,B3701&lt;=6),B3701=10),"Vaca em lactação",IF(I3701="Male","Macho",IF(E3701&gt;=1,"Vaca seca",IF(I3701="Youngstock","Bezerra/recria","Novilha"))))</f>
        <v>Macho</v>
      </c>
      <c r="X3701" s="0" t="str">
        <f aca="false">IF(AND(B3701&gt;=1,B3701&lt;=6),"Tanque",IF(B3701=10,"Descarte",""))</f>
        <v/>
      </c>
    </row>
    <row r="3702" customFormat="false" ht="15" hidden="false" customHeight="false" outlineLevel="0" collapsed="false">
      <c r="A3702" s="22" t="n">
        <v>46309</v>
      </c>
      <c r="B3702" s="0" t="n">
        <v>15</v>
      </c>
      <c r="C3702" s="0" t="n">
        <v>30925</v>
      </c>
      <c r="E3702" s="0" t="n">
        <v>0</v>
      </c>
      <c r="F3702" s="23" t="s">
        <v>1598</v>
      </c>
      <c r="I3702" s="23" t="s">
        <v>1209</v>
      </c>
      <c r="U3702" s="0" t="n">
        <v>17</v>
      </c>
      <c r="V3702" s="0" t="n">
        <v>0</v>
      </c>
      <c r="W3702" s="0" t="str">
        <f aca="false">IF(OR(AND(B3702&gt;=1,B3702&lt;=6),B3702=10),"Vaca em lactação",IF(I3702="Male","Macho",IF(E3702&gt;=1,"Vaca seca",IF(I3702="Youngstock","Bezerra/recria","Novilha"))))</f>
        <v>Macho</v>
      </c>
      <c r="X3702" s="0" t="str">
        <f aca="false">IF(AND(B3702&gt;=1,B3702&lt;=6),"Tanque",IF(B3702=10,"Descarte",""))</f>
        <v/>
      </c>
    </row>
    <row r="3703" customFormat="false" ht="15" hidden="false" customHeight="false" outlineLevel="0" collapsed="false">
      <c r="A3703" s="22" t="n">
        <v>46309</v>
      </c>
      <c r="B3703" s="0" t="n">
        <v>15</v>
      </c>
      <c r="C3703" s="0" t="n">
        <v>30927</v>
      </c>
      <c r="E3703" s="0" t="n">
        <v>0</v>
      </c>
      <c r="F3703" s="23" t="s">
        <v>1598</v>
      </c>
      <c r="I3703" s="23" t="s">
        <v>1209</v>
      </c>
      <c r="U3703" s="0" t="n">
        <v>17</v>
      </c>
      <c r="V3703" s="0" t="n">
        <v>0</v>
      </c>
      <c r="W3703" s="0" t="str">
        <f aca="false">IF(OR(AND(B3703&gt;=1,B3703&lt;=6),B3703=10),"Vaca em lactação",IF(I3703="Male","Macho",IF(E3703&gt;=1,"Vaca seca",IF(I3703="Youngstock","Bezerra/recria","Novilha"))))</f>
        <v>Macho</v>
      </c>
      <c r="X3703" s="0" t="str">
        <f aca="false">IF(AND(B3703&gt;=1,B3703&lt;=6),"Tanque",IF(B3703=10,"Descarte",""))</f>
        <v/>
      </c>
    </row>
    <row r="3704" customFormat="false" ht="15" hidden="false" customHeight="false" outlineLevel="0" collapsed="false">
      <c r="A3704" s="22" t="n">
        <v>46309</v>
      </c>
      <c r="B3704" s="0" t="n">
        <v>15</v>
      </c>
      <c r="C3704" s="0" t="n">
        <v>30929</v>
      </c>
      <c r="E3704" s="0" t="n">
        <v>0</v>
      </c>
      <c r="F3704" s="23" t="s">
        <v>1599</v>
      </c>
      <c r="I3704" s="23" t="s">
        <v>1209</v>
      </c>
      <c r="U3704" s="0" t="n">
        <v>16</v>
      </c>
      <c r="V3704" s="0" t="n">
        <v>0</v>
      </c>
      <c r="W3704" s="0" t="str">
        <f aca="false">IF(OR(AND(B3704&gt;=1,B3704&lt;=6),B3704=10),"Vaca em lactação",IF(I3704="Male","Macho",IF(E3704&gt;=1,"Vaca seca",IF(I3704="Youngstock","Bezerra/recria","Novilha"))))</f>
        <v>Macho</v>
      </c>
      <c r="X3704" s="0" t="str">
        <f aca="false">IF(AND(B3704&gt;=1,B3704&lt;=6),"Tanque",IF(B3704=10,"Descarte",""))</f>
        <v/>
      </c>
    </row>
    <row r="3705" customFormat="false" ht="15" hidden="false" customHeight="false" outlineLevel="0" collapsed="false">
      <c r="A3705" s="22" t="n">
        <v>46309</v>
      </c>
      <c r="B3705" s="0" t="n">
        <v>16</v>
      </c>
      <c r="C3705" s="0" t="n">
        <v>7973</v>
      </c>
      <c r="E3705" s="0" t="n">
        <v>0</v>
      </c>
      <c r="F3705" s="23" t="s">
        <v>1600</v>
      </c>
      <c r="I3705" s="23" t="s">
        <v>1249</v>
      </c>
      <c r="U3705" s="0" t="n">
        <v>78</v>
      </c>
      <c r="V3705" s="0" t="n">
        <v>0</v>
      </c>
      <c r="W3705" s="0" t="str">
        <f aca="false">IF(OR(AND(B3705&gt;=1,B3705&lt;=6),B3705=10),"Vaca em lactação",IF(I3705="Male","Macho",IF(E3705&gt;=1,"Vaca seca",IF(I3705="Youngstock","Bezerra/recria","Novilha"))))</f>
        <v>Bezerra/recria</v>
      </c>
      <c r="X3705" s="0" t="str">
        <f aca="false">IF(AND(B3705&gt;=1,B3705&lt;=6),"Tanque",IF(B3705=10,"Descarte",""))</f>
        <v/>
      </c>
    </row>
    <row r="3706" customFormat="false" ht="15" hidden="false" customHeight="false" outlineLevel="0" collapsed="false">
      <c r="A3706" s="22" t="n">
        <v>46309</v>
      </c>
      <c r="B3706" s="0" t="n">
        <v>16</v>
      </c>
      <c r="C3706" s="0" t="n">
        <v>7971</v>
      </c>
      <c r="E3706" s="0" t="n">
        <v>0</v>
      </c>
      <c r="F3706" s="23" t="s">
        <v>1561</v>
      </c>
      <c r="I3706" s="23" t="s">
        <v>1249</v>
      </c>
      <c r="U3706" s="0" t="n">
        <v>79</v>
      </c>
      <c r="V3706" s="0" t="n">
        <v>0</v>
      </c>
      <c r="W3706" s="0" t="str">
        <f aca="false">IF(OR(AND(B3706&gt;=1,B3706&lt;=6),B3706=10),"Vaca em lactação",IF(I3706="Male","Macho",IF(E3706&gt;=1,"Vaca seca",IF(I3706="Youngstock","Bezerra/recria","Novilha"))))</f>
        <v>Bezerra/recria</v>
      </c>
      <c r="X3706" s="0" t="str">
        <f aca="false">IF(AND(B3706&gt;=1,B3706&lt;=6),"Tanque",IF(B3706=10,"Descarte",""))</f>
        <v/>
      </c>
    </row>
    <row r="3707" customFormat="false" ht="15" hidden="false" customHeight="false" outlineLevel="0" collapsed="false">
      <c r="A3707" s="22" t="n">
        <v>46309</v>
      </c>
      <c r="B3707" s="0" t="n">
        <v>16</v>
      </c>
      <c r="C3707" s="0" t="n">
        <v>7970</v>
      </c>
      <c r="E3707" s="0" t="n">
        <v>0</v>
      </c>
      <c r="F3707" s="23" t="s">
        <v>1561</v>
      </c>
      <c r="I3707" s="23" t="s">
        <v>1249</v>
      </c>
      <c r="U3707" s="0" t="n">
        <v>79</v>
      </c>
      <c r="V3707" s="0" t="n">
        <v>0</v>
      </c>
      <c r="W3707" s="0" t="str">
        <f aca="false">IF(OR(AND(B3707&gt;=1,B3707&lt;=6),B3707=10),"Vaca em lactação",IF(I3707="Male","Macho",IF(E3707&gt;=1,"Vaca seca",IF(I3707="Youngstock","Bezerra/recria","Novilha"))))</f>
        <v>Bezerra/recria</v>
      </c>
      <c r="X3707" s="0" t="str">
        <f aca="false">IF(AND(B3707&gt;=1,B3707&lt;=6),"Tanque",IF(B3707=10,"Descarte",""))</f>
        <v/>
      </c>
    </row>
    <row r="3708" customFormat="false" ht="15" hidden="false" customHeight="false" outlineLevel="0" collapsed="false">
      <c r="A3708" s="22" t="n">
        <v>46309</v>
      </c>
      <c r="B3708" s="0" t="n">
        <v>16</v>
      </c>
      <c r="C3708" s="0" t="n">
        <v>7977</v>
      </c>
      <c r="E3708" s="0" t="n">
        <v>0</v>
      </c>
      <c r="F3708" s="23" t="s">
        <v>1601</v>
      </c>
      <c r="I3708" s="23" t="s">
        <v>1249</v>
      </c>
      <c r="U3708" s="0" t="n">
        <v>77</v>
      </c>
      <c r="V3708" s="0" t="n">
        <v>0</v>
      </c>
      <c r="W3708" s="0" t="str">
        <f aca="false">IF(OR(AND(B3708&gt;=1,B3708&lt;=6),B3708=10),"Vaca em lactação",IF(I3708="Male","Macho",IF(E3708&gt;=1,"Vaca seca",IF(I3708="Youngstock","Bezerra/recria","Novilha"))))</f>
        <v>Bezerra/recria</v>
      </c>
      <c r="X3708" s="0" t="str">
        <f aca="false">IF(AND(B3708&gt;=1,B3708&lt;=6),"Tanque",IF(B3708=10,"Descarte",""))</f>
        <v/>
      </c>
    </row>
    <row r="3709" customFormat="false" ht="15" hidden="false" customHeight="false" outlineLevel="0" collapsed="false">
      <c r="A3709" s="22" t="n">
        <v>46309</v>
      </c>
      <c r="B3709" s="0" t="n">
        <v>16</v>
      </c>
      <c r="C3709" s="0" t="n">
        <v>7975</v>
      </c>
      <c r="E3709" s="0" t="n">
        <v>0</v>
      </c>
      <c r="F3709" s="23" t="s">
        <v>1600</v>
      </c>
      <c r="I3709" s="23" t="s">
        <v>1249</v>
      </c>
      <c r="U3709" s="0" t="n">
        <v>78</v>
      </c>
      <c r="V3709" s="0" t="n">
        <v>0</v>
      </c>
      <c r="W3709" s="0" t="str">
        <f aca="false">IF(OR(AND(B3709&gt;=1,B3709&lt;=6),B3709=10),"Vaca em lactação",IF(I3709="Male","Macho",IF(E3709&gt;=1,"Vaca seca",IF(I3709="Youngstock","Bezerra/recria","Novilha"))))</f>
        <v>Bezerra/recria</v>
      </c>
      <c r="X3709" s="0" t="str">
        <f aca="false">IF(AND(B3709&gt;=1,B3709&lt;=6),"Tanque",IF(B3709=10,"Descarte",""))</f>
        <v/>
      </c>
    </row>
    <row r="3710" customFormat="false" ht="15" hidden="false" customHeight="false" outlineLevel="0" collapsed="false">
      <c r="A3710" s="22" t="n">
        <v>46309</v>
      </c>
      <c r="B3710" s="0" t="n">
        <v>16</v>
      </c>
      <c r="C3710" s="0" t="n">
        <v>7974</v>
      </c>
      <c r="E3710" s="0" t="n">
        <v>0</v>
      </c>
      <c r="F3710" s="23" t="s">
        <v>1600</v>
      </c>
      <c r="I3710" s="23" t="s">
        <v>1249</v>
      </c>
      <c r="U3710" s="0" t="n">
        <v>78</v>
      </c>
      <c r="V3710" s="0" t="n">
        <v>0</v>
      </c>
      <c r="W3710" s="0" t="str">
        <f aca="false">IF(OR(AND(B3710&gt;=1,B3710&lt;=6),B3710=10),"Vaca em lactação",IF(I3710="Male","Macho",IF(E3710&gt;=1,"Vaca seca",IF(I3710="Youngstock","Bezerra/recria","Novilha"))))</f>
        <v>Bezerra/recria</v>
      </c>
      <c r="X3710" s="0" t="str">
        <f aca="false">IF(AND(B3710&gt;=1,B3710&lt;=6),"Tanque",IF(B3710=10,"Descarte",""))</f>
        <v/>
      </c>
    </row>
    <row r="3711" customFormat="false" ht="15" hidden="false" customHeight="false" outlineLevel="0" collapsed="false">
      <c r="A3711" s="22" t="n">
        <v>46309</v>
      </c>
      <c r="B3711" s="0" t="n">
        <v>16</v>
      </c>
      <c r="C3711" s="0" t="n">
        <v>7964</v>
      </c>
      <c r="E3711" s="0" t="n">
        <v>0</v>
      </c>
      <c r="F3711" s="23" t="s">
        <v>1562</v>
      </c>
      <c r="I3711" s="23" t="s">
        <v>1249</v>
      </c>
      <c r="U3711" s="0" t="n">
        <v>83</v>
      </c>
      <c r="V3711" s="0" t="n">
        <v>0</v>
      </c>
      <c r="W3711" s="0" t="str">
        <f aca="false">IF(OR(AND(B3711&gt;=1,B3711&lt;=6),B3711=10),"Vaca em lactação",IF(I3711="Male","Macho",IF(E3711&gt;=1,"Vaca seca",IF(I3711="Youngstock","Bezerra/recria","Novilha"))))</f>
        <v>Bezerra/recria</v>
      </c>
      <c r="X3711" s="0" t="str">
        <f aca="false">IF(AND(B3711&gt;=1,B3711&lt;=6),"Tanque",IF(B3711=10,"Descarte",""))</f>
        <v/>
      </c>
    </row>
    <row r="3712" customFormat="false" ht="15" hidden="false" customHeight="false" outlineLevel="0" collapsed="false">
      <c r="A3712" s="22" t="n">
        <v>46309</v>
      </c>
      <c r="B3712" s="0" t="n">
        <v>16</v>
      </c>
      <c r="C3712" s="0" t="n">
        <v>7965</v>
      </c>
      <c r="E3712" s="0" t="n">
        <v>0</v>
      </c>
      <c r="F3712" s="23" t="s">
        <v>1562</v>
      </c>
      <c r="I3712" s="23" t="s">
        <v>1249</v>
      </c>
      <c r="U3712" s="0" t="n">
        <v>83</v>
      </c>
      <c r="V3712" s="0" t="n">
        <v>0</v>
      </c>
      <c r="W3712" s="0" t="str">
        <f aca="false">IF(OR(AND(B3712&gt;=1,B3712&lt;=6),B3712=10),"Vaca em lactação",IF(I3712="Male","Macho",IF(E3712&gt;=1,"Vaca seca",IF(I3712="Youngstock","Bezerra/recria","Novilha"))))</f>
        <v>Bezerra/recria</v>
      </c>
      <c r="X3712" s="0" t="str">
        <f aca="false">IF(AND(B3712&gt;=1,B3712&lt;=6),"Tanque",IF(B3712=10,"Descarte",""))</f>
        <v/>
      </c>
    </row>
    <row r="3713" customFormat="false" ht="15" hidden="false" customHeight="false" outlineLevel="0" collapsed="false">
      <c r="A3713" s="22" t="n">
        <v>46309</v>
      </c>
      <c r="B3713" s="0" t="n">
        <v>16</v>
      </c>
      <c r="C3713" s="0" t="n">
        <v>7967</v>
      </c>
      <c r="E3713" s="0" t="n">
        <v>0</v>
      </c>
      <c r="F3713" s="23" t="s">
        <v>1564</v>
      </c>
      <c r="I3713" s="23" t="s">
        <v>1249</v>
      </c>
      <c r="U3713" s="0" t="n">
        <v>82</v>
      </c>
      <c r="V3713" s="0" t="n">
        <v>0</v>
      </c>
      <c r="W3713" s="0" t="str">
        <f aca="false">IF(OR(AND(B3713&gt;=1,B3713&lt;=6),B3713=10),"Vaca em lactação",IF(I3713="Male","Macho",IF(E3713&gt;=1,"Vaca seca",IF(I3713="Youngstock","Bezerra/recria","Novilha"))))</f>
        <v>Bezerra/recria</v>
      </c>
      <c r="X3713" s="0" t="str">
        <f aca="false">IF(AND(B3713&gt;=1,B3713&lt;=6),"Tanque",IF(B3713=10,"Descarte",""))</f>
        <v/>
      </c>
    </row>
    <row r="3714" customFormat="false" ht="15" hidden="false" customHeight="false" outlineLevel="0" collapsed="false">
      <c r="A3714" s="22" t="n">
        <v>46309</v>
      </c>
      <c r="B3714" s="0" t="n">
        <v>16</v>
      </c>
      <c r="C3714" s="0" t="n">
        <v>7966</v>
      </c>
      <c r="E3714" s="0" t="n">
        <v>0</v>
      </c>
      <c r="F3714" s="23" t="s">
        <v>1564</v>
      </c>
      <c r="I3714" s="23" t="s">
        <v>1249</v>
      </c>
      <c r="U3714" s="0" t="n">
        <v>82</v>
      </c>
      <c r="V3714" s="0" t="n">
        <v>0</v>
      </c>
      <c r="W3714" s="0" t="str">
        <f aca="false">IF(OR(AND(B3714&gt;=1,B3714&lt;=6),B3714=10),"Vaca em lactação",IF(I3714="Male","Macho",IF(E3714&gt;=1,"Vaca seca",IF(I3714="Youngstock","Bezerra/recria","Novilha"))))</f>
        <v>Bezerra/recria</v>
      </c>
      <c r="X3714" s="0" t="str">
        <f aca="false">IF(AND(B3714&gt;=1,B3714&lt;=6),"Tanque",IF(B3714=10,"Descarte",""))</f>
        <v/>
      </c>
    </row>
    <row r="3715" customFormat="false" ht="15" hidden="false" customHeight="false" outlineLevel="0" collapsed="false">
      <c r="A3715" s="22" t="n">
        <v>46309</v>
      </c>
      <c r="B3715" s="0" t="n">
        <v>16</v>
      </c>
      <c r="C3715" s="0" t="n">
        <v>7968</v>
      </c>
      <c r="E3715" s="0" t="n">
        <v>0</v>
      </c>
      <c r="F3715" s="23" t="s">
        <v>1602</v>
      </c>
      <c r="I3715" s="23" t="s">
        <v>1249</v>
      </c>
      <c r="U3715" s="0" t="n">
        <v>81</v>
      </c>
      <c r="V3715" s="0" t="n">
        <v>0</v>
      </c>
      <c r="W3715" s="0" t="str">
        <f aca="false">IF(OR(AND(B3715&gt;=1,B3715&lt;=6),B3715=10),"Vaca em lactação",IF(I3715="Male","Macho",IF(E3715&gt;=1,"Vaca seca",IF(I3715="Youngstock","Bezerra/recria","Novilha"))))</f>
        <v>Bezerra/recria</v>
      </c>
      <c r="X3715" s="0" t="str">
        <f aca="false">IF(AND(B3715&gt;=1,B3715&lt;=6),"Tanque",IF(B3715=10,"Descarte",""))</f>
        <v/>
      </c>
    </row>
    <row r="3716" customFormat="false" ht="15" hidden="false" customHeight="false" outlineLevel="0" collapsed="false">
      <c r="A3716" s="22" t="n">
        <v>46309</v>
      </c>
      <c r="B3716" s="0" t="n">
        <v>16</v>
      </c>
      <c r="C3716" s="0" t="n">
        <v>7941</v>
      </c>
      <c r="E3716" s="0" t="n">
        <v>0</v>
      </c>
      <c r="F3716" s="23" t="s">
        <v>1565</v>
      </c>
      <c r="I3716" s="23" t="s">
        <v>1249</v>
      </c>
      <c r="U3716" s="0" t="n">
        <v>92</v>
      </c>
      <c r="V3716" s="0" t="n">
        <v>0</v>
      </c>
      <c r="W3716" s="0" t="str">
        <f aca="false">IF(OR(AND(B3716&gt;=1,B3716&lt;=6),B3716=10),"Vaca em lactação",IF(I3716="Male","Macho",IF(E3716&gt;=1,"Vaca seca",IF(I3716="Youngstock","Bezerra/recria","Novilha"))))</f>
        <v>Bezerra/recria</v>
      </c>
      <c r="X3716" s="0" t="str">
        <f aca="false">IF(AND(B3716&gt;=1,B3716&lt;=6),"Tanque",IF(B3716=10,"Descarte",""))</f>
        <v/>
      </c>
    </row>
    <row r="3717" customFormat="false" ht="15" hidden="false" customHeight="false" outlineLevel="0" collapsed="false">
      <c r="A3717" s="22" t="n">
        <v>46309</v>
      </c>
      <c r="B3717" s="0" t="n">
        <v>16</v>
      </c>
      <c r="C3717" s="0" t="n">
        <v>7940</v>
      </c>
      <c r="E3717" s="0" t="n">
        <v>0</v>
      </c>
      <c r="F3717" s="23" t="s">
        <v>1565</v>
      </c>
      <c r="I3717" s="23" t="s">
        <v>1249</v>
      </c>
      <c r="U3717" s="0" t="n">
        <v>92</v>
      </c>
      <c r="V3717" s="0" t="n">
        <v>0</v>
      </c>
      <c r="W3717" s="0" t="str">
        <f aca="false">IF(OR(AND(B3717&gt;=1,B3717&lt;=6),B3717=10),"Vaca em lactação",IF(I3717="Male","Macho",IF(E3717&gt;=1,"Vaca seca",IF(I3717="Youngstock","Bezerra/recria","Novilha"))))</f>
        <v>Bezerra/recria</v>
      </c>
      <c r="X3717" s="0" t="str">
        <f aca="false">IF(AND(B3717&gt;=1,B3717&lt;=6),"Tanque",IF(B3717=10,"Descarte",""))</f>
        <v/>
      </c>
    </row>
    <row r="3718" customFormat="false" ht="15" hidden="false" customHeight="false" outlineLevel="0" collapsed="false">
      <c r="A3718" s="22" t="n">
        <v>46309</v>
      </c>
      <c r="B3718" s="0" t="n">
        <v>16</v>
      </c>
      <c r="C3718" s="0" t="n">
        <v>7939</v>
      </c>
      <c r="E3718" s="0" t="n">
        <v>0</v>
      </c>
      <c r="F3718" s="23" t="s">
        <v>1603</v>
      </c>
      <c r="I3718" s="23" t="s">
        <v>1249</v>
      </c>
      <c r="U3718" s="0" t="n">
        <v>93</v>
      </c>
      <c r="V3718" s="0" t="n">
        <v>0</v>
      </c>
      <c r="W3718" s="0" t="str">
        <f aca="false">IF(OR(AND(B3718&gt;=1,B3718&lt;=6),B3718=10),"Vaca em lactação",IF(I3718="Male","Macho",IF(E3718&gt;=1,"Vaca seca",IF(I3718="Youngstock","Bezerra/recria","Novilha"))))</f>
        <v>Bezerra/recria</v>
      </c>
      <c r="X3718" s="0" t="str">
        <f aca="false">IF(AND(B3718&gt;=1,B3718&lt;=6),"Tanque",IF(B3718=10,"Descarte",""))</f>
        <v/>
      </c>
    </row>
    <row r="3719" customFormat="false" ht="15" hidden="false" customHeight="false" outlineLevel="0" collapsed="false">
      <c r="A3719" s="22" t="n">
        <v>46309</v>
      </c>
      <c r="B3719" s="0" t="n">
        <v>16</v>
      </c>
      <c r="C3719" s="0" t="n">
        <v>7938</v>
      </c>
      <c r="E3719" s="0" t="n">
        <v>0</v>
      </c>
      <c r="F3719" s="23" t="s">
        <v>1603</v>
      </c>
      <c r="I3719" s="23" t="s">
        <v>1249</v>
      </c>
      <c r="U3719" s="0" t="n">
        <v>93</v>
      </c>
      <c r="V3719" s="0" t="n">
        <v>0</v>
      </c>
      <c r="W3719" s="0" t="str">
        <f aca="false">IF(OR(AND(B3719&gt;=1,B3719&lt;=6),B3719=10),"Vaca em lactação",IF(I3719="Male","Macho",IF(E3719&gt;=1,"Vaca seca",IF(I3719="Youngstock","Bezerra/recria","Novilha"))))</f>
        <v>Bezerra/recria</v>
      </c>
      <c r="X3719" s="0" t="str">
        <f aca="false">IF(AND(B3719&gt;=1,B3719&lt;=6),"Tanque",IF(B3719=10,"Descarte",""))</f>
        <v/>
      </c>
    </row>
    <row r="3720" customFormat="false" ht="15" hidden="false" customHeight="false" outlineLevel="0" collapsed="false">
      <c r="A3720" s="22" t="n">
        <v>46309</v>
      </c>
      <c r="B3720" s="0" t="n">
        <v>16</v>
      </c>
      <c r="C3720" s="0" t="n">
        <v>7937</v>
      </c>
      <c r="E3720" s="0" t="n">
        <v>0</v>
      </c>
      <c r="F3720" s="23" t="s">
        <v>1603</v>
      </c>
      <c r="I3720" s="23" t="s">
        <v>1249</v>
      </c>
      <c r="U3720" s="0" t="n">
        <v>93</v>
      </c>
      <c r="V3720" s="0" t="n">
        <v>0</v>
      </c>
      <c r="W3720" s="0" t="str">
        <f aca="false">IF(OR(AND(B3720&gt;=1,B3720&lt;=6),B3720=10),"Vaca em lactação",IF(I3720="Male","Macho",IF(E3720&gt;=1,"Vaca seca",IF(I3720="Youngstock","Bezerra/recria","Novilha"))))</f>
        <v>Bezerra/recria</v>
      </c>
      <c r="X3720" s="0" t="str">
        <f aca="false">IF(AND(B3720&gt;=1,B3720&lt;=6),"Tanque",IF(B3720=10,"Descarte",""))</f>
        <v/>
      </c>
    </row>
    <row r="3721" customFormat="false" ht="15" hidden="false" customHeight="false" outlineLevel="0" collapsed="false">
      <c r="A3721" s="22" t="n">
        <v>46309</v>
      </c>
      <c r="B3721" s="0" t="n">
        <v>16</v>
      </c>
      <c r="C3721" s="0" t="n">
        <v>7945</v>
      </c>
      <c r="E3721" s="0" t="n">
        <v>0</v>
      </c>
      <c r="F3721" s="23" t="s">
        <v>1604</v>
      </c>
      <c r="I3721" s="23" t="s">
        <v>1249</v>
      </c>
      <c r="U3721" s="0" t="n">
        <v>90</v>
      </c>
      <c r="V3721" s="0" t="n">
        <v>0</v>
      </c>
      <c r="W3721" s="0" t="str">
        <f aca="false">IF(OR(AND(B3721&gt;=1,B3721&lt;=6),B3721=10),"Vaca em lactação",IF(I3721="Male","Macho",IF(E3721&gt;=1,"Vaca seca",IF(I3721="Youngstock","Bezerra/recria","Novilha"))))</f>
        <v>Bezerra/recria</v>
      </c>
      <c r="X3721" s="0" t="str">
        <f aca="false">IF(AND(B3721&gt;=1,B3721&lt;=6),"Tanque",IF(B3721=10,"Descarte",""))</f>
        <v/>
      </c>
    </row>
    <row r="3722" customFormat="false" ht="15" hidden="false" customHeight="false" outlineLevel="0" collapsed="false">
      <c r="A3722" s="22" t="n">
        <v>46309</v>
      </c>
      <c r="B3722" s="0" t="n">
        <v>16</v>
      </c>
      <c r="C3722" s="0" t="n">
        <v>7944</v>
      </c>
      <c r="E3722" s="0" t="n">
        <v>0</v>
      </c>
      <c r="F3722" s="23" t="s">
        <v>1604</v>
      </c>
      <c r="I3722" s="23" t="s">
        <v>1249</v>
      </c>
      <c r="U3722" s="0" t="n">
        <v>90</v>
      </c>
      <c r="V3722" s="0" t="n">
        <v>0</v>
      </c>
      <c r="W3722" s="0" t="str">
        <f aca="false">IF(OR(AND(B3722&gt;=1,B3722&lt;=6),B3722=10),"Vaca em lactação",IF(I3722="Male","Macho",IF(E3722&gt;=1,"Vaca seca",IF(I3722="Youngstock","Bezerra/recria","Novilha"))))</f>
        <v>Bezerra/recria</v>
      </c>
      <c r="X3722" s="0" t="str">
        <f aca="false">IF(AND(B3722&gt;=1,B3722&lt;=6),"Tanque",IF(B3722=10,"Descarte",""))</f>
        <v/>
      </c>
    </row>
    <row r="3723" customFormat="false" ht="15" hidden="false" customHeight="false" outlineLevel="0" collapsed="false">
      <c r="A3723" s="22" t="n">
        <v>46309</v>
      </c>
      <c r="B3723" s="0" t="n">
        <v>16</v>
      </c>
      <c r="C3723" s="0" t="n">
        <v>7943</v>
      </c>
      <c r="E3723" s="0" t="n">
        <v>0</v>
      </c>
      <c r="F3723" s="23" t="s">
        <v>1604</v>
      </c>
      <c r="I3723" s="23" t="s">
        <v>1249</v>
      </c>
      <c r="U3723" s="0" t="n">
        <v>90</v>
      </c>
      <c r="V3723" s="0" t="n">
        <v>0</v>
      </c>
      <c r="W3723" s="0" t="str">
        <f aca="false">IF(OR(AND(B3723&gt;=1,B3723&lt;=6),B3723=10),"Vaca em lactação",IF(I3723="Male","Macho",IF(E3723&gt;=1,"Vaca seca",IF(I3723="Youngstock","Bezerra/recria","Novilha"))))</f>
        <v>Bezerra/recria</v>
      </c>
      <c r="X3723" s="0" t="str">
        <f aca="false">IF(AND(B3723&gt;=1,B3723&lt;=6),"Tanque",IF(B3723=10,"Descarte",""))</f>
        <v/>
      </c>
    </row>
    <row r="3724" customFormat="false" ht="15" hidden="false" customHeight="false" outlineLevel="0" collapsed="false">
      <c r="A3724" s="22" t="n">
        <v>46309</v>
      </c>
      <c r="B3724" s="0" t="n">
        <v>16</v>
      </c>
      <c r="C3724" s="0" t="n">
        <v>7942</v>
      </c>
      <c r="E3724" s="0" t="n">
        <v>0</v>
      </c>
      <c r="F3724" s="23" t="s">
        <v>1566</v>
      </c>
      <c r="I3724" s="23" t="s">
        <v>1249</v>
      </c>
      <c r="U3724" s="0" t="n">
        <v>91</v>
      </c>
      <c r="V3724" s="0" t="n">
        <v>0</v>
      </c>
      <c r="W3724" s="0" t="str">
        <f aca="false">IF(OR(AND(B3724&gt;=1,B3724&lt;=6),B3724=10),"Vaca em lactação",IF(I3724="Male","Macho",IF(E3724&gt;=1,"Vaca seca",IF(I3724="Youngstock","Bezerra/recria","Novilha"))))</f>
        <v>Bezerra/recria</v>
      </c>
      <c r="X3724" s="0" t="str">
        <f aca="false">IF(AND(B3724&gt;=1,B3724&lt;=6),"Tanque",IF(B3724=10,"Descarte",""))</f>
        <v/>
      </c>
    </row>
    <row r="3725" customFormat="false" ht="15" hidden="false" customHeight="false" outlineLevel="0" collapsed="false">
      <c r="A3725" s="22" t="n">
        <v>46309</v>
      </c>
      <c r="B3725" s="0" t="n">
        <v>16</v>
      </c>
      <c r="C3725" s="0" t="n">
        <v>7949</v>
      </c>
      <c r="E3725" s="0" t="n">
        <v>0</v>
      </c>
      <c r="F3725" s="23" t="s">
        <v>1604</v>
      </c>
      <c r="I3725" s="23" t="s">
        <v>1249</v>
      </c>
      <c r="U3725" s="0" t="n">
        <v>90</v>
      </c>
      <c r="V3725" s="0" t="n">
        <v>0</v>
      </c>
      <c r="W3725" s="0" t="str">
        <f aca="false">IF(OR(AND(B3725&gt;=1,B3725&lt;=6),B3725=10),"Vaca em lactação",IF(I3725="Male","Macho",IF(E3725&gt;=1,"Vaca seca",IF(I3725="Youngstock","Bezerra/recria","Novilha"))))</f>
        <v>Bezerra/recria</v>
      </c>
      <c r="X3725" s="0" t="str">
        <f aca="false">IF(AND(B3725&gt;=1,B3725&lt;=6),"Tanque",IF(B3725=10,"Descarte",""))</f>
        <v/>
      </c>
    </row>
    <row r="3726" customFormat="false" ht="15" hidden="false" customHeight="false" outlineLevel="0" collapsed="false">
      <c r="A3726" s="22" t="n">
        <v>46309</v>
      </c>
      <c r="B3726" s="0" t="n">
        <v>16</v>
      </c>
      <c r="C3726" s="0" t="n">
        <v>7948</v>
      </c>
      <c r="E3726" s="0" t="n">
        <v>0</v>
      </c>
      <c r="F3726" s="23" t="s">
        <v>1604</v>
      </c>
      <c r="I3726" s="23" t="s">
        <v>1249</v>
      </c>
      <c r="U3726" s="0" t="n">
        <v>90</v>
      </c>
      <c r="V3726" s="0" t="n">
        <v>0</v>
      </c>
      <c r="W3726" s="0" t="str">
        <f aca="false">IF(OR(AND(B3726&gt;=1,B3726&lt;=6),B3726=10),"Vaca em lactação",IF(I3726="Male","Macho",IF(E3726&gt;=1,"Vaca seca",IF(I3726="Youngstock","Bezerra/recria","Novilha"))))</f>
        <v>Bezerra/recria</v>
      </c>
      <c r="X3726" s="0" t="str">
        <f aca="false">IF(AND(B3726&gt;=1,B3726&lt;=6),"Tanque",IF(B3726=10,"Descarte",""))</f>
        <v/>
      </c>
    </row>
    <row r="3727" customFormat="false" ht="15" hidden="false" customHeight="false" outlineLevel="0" collapsed="false">
      <c r="A3727" s="22" t="n">
        <v>46309</v>
      </c>
      <c r="B3727" s="0" t="n">
        <v>16</v>
      </c>
      <c r="C3727" s="0" t="n">
        <v>7947</v>
      </c>
      <c r="E3727" s="0" t="n">
        <v>0</v>
      </c>
      <c r="F3727" s="23" t="s">
        <v>1604</v>
      </c>
      <c r="I3727" s="23" t="s">
        <v>1249</v>
      </c>
      <c r="U3727" s="0" t="n">
        <v>90</v>
      </c>
      <c r="V3727" s="0" t="n">
        <v>0</v>
      </c>
      <c r="W3727" s="0" t="str">
        <f aca="false">IF(OR(AND(B3727&gt;=1,B3727&lt;=6),B3727=10),"Vaca em lactação",IF(I3727="Male","Macho",IF(E3727&gt;=1,"Vaca seca",IF(I3727="Youngstock","Bezerra/recria","Novilha"))))</f>
        <v>Bezerra/recria</v>
      </c>
      <c r="X3727" s="0" t="str">
        <f aca="false">IF(AND(B3727&gt;=1,B3727&lt;=6),"Tanque",IF(B3727=10,"Descarte",""))</f>
        <v/>
      </c>
    </row>
    <row r="3728" customFormat="false" ht="15" hidden="false" customHeight="false" outlineLevel="0" collapsed="false">
      <c r="A3728" s="22" t="n">
        <v>46309</v>
      </c>
      <c r="B3728" s="0" t="n">
        <v>16</v>
      </c>
      <c r="C3728" s="0" t="n">
        <v>7946</v>
      </c>
      <c r="E3728" s="0" t="n">
        <v>0</v>
      </c>
      <c r="F3728" s="23" t="s">
        <v>1604</v>
      </c>
      <c r="I3728" s="23" t="s">
        <v>1249</v>
      </c>
      <c r="U3728" s="0" t="n">
        <v>90</v>
      </c>
      <c r="V3728" s="0" t="n">
        <v>0</v>
      </c>
      <c r="W3728" s="0" t="str">
        <f aca="false">IF(OR(AND(B3728&gt;=1,B3728&lt;=6),B3728=10),"Vaca em lactação",IF(I3728="Male","Macho",IF(E3728&gt;=1,"Vaca seca",IF(I3728="Youngstock","Bezerra/recria","Novilha"))))</f>
        <v>Bezerra/recria</v>
      </c>
      <c r="X3728" s="0" t="str">
        <f aca="false">IF(AND(B3728&gt;=1,B3728&lt;=6),"Tanque",IF(B3728=10,"Descarte",""))</f>
        <v/>
      </c>
    </row>
    <row r="3729" customFormat="false" ht="15" hidden="false" customHeight="false" outlineLevel="0" collapsed="false">
      <c r="A3729" s="22" t="n">
        <v>46309</v>
      </c>
      <c r="B3729" s="0" t="n">
        <v>16</v>
      </c>
      <c r="C3729" s="0" t="n">
        <v>7951</v>
      </c>
      <c r="E3729" s="0" t="n">
        <v>0</v>
      </c>
      <c r="F3729" s="23" t="s">
        <v>1605</v>
      </c>
      <c r="I3729" s="23" t="s">
        <v>1249</v>
      </c>
      <c r="U3729" s="0" t="n">
        <v>89</v>
      </c>
      <c r="V3729" s="0" t="n">
        <v>0</v>
      </c>
      <c r="W3729" s="0" t="str">
        <f aca="false">IF(OR(AND(B3729&gt;=1,B3729&lt;=6),B3729=10),"Vaca em lactação",IF(I3729="Male","Macho",IF(E3729&gt;=1,"Vaca seca",IF(I3729="Youngstock","Bezerra/recria","Novilha"))))</f>
        <v>Bezerra/recria</v>
      </c>
      <c r="X3729" s="0" t="str">
        <f aca="false">IF(AND(B3729&gt;=1,B3729&lt;=6),"Tanque",IF(B3729=10,"Descarte",""))</f>
        <v/>
      </c>
    </row>
    <row r="3730" customFormat="false" ht="15" hidden="false" customHeight="false" outlineLevel="0" collapsed="false">
      <c r="A3730" s="22" t="n">
        <v>46309</v>
      </c>
      <c r="B3730" s="0" t="n">
        <v>16</v>
      </c>
      <c r="C3730" s="0" t="n">
        <v>7956</v>
      </c>
      <c r="E3730" s="0" t="n">
        <v>0</v>
      </c>
      <c r="F3730" s="23" t="s">
        <v>1606</v>
      </c>
      <c r="I3730" s="23" t="s">
        <v>1249</v>
      </c>
      <c r="U3730" s="0" t="n">
        <v>88</v>
      </c>
      <c r="V3730" s="0" t="n">
        <v>0</v>
      </c>
      <c r="W3730" s="0" t="str">
        <f aca="false">IF(OR(AND(B3730&gt;=1,B3730&lt;=6),B3730=10),"Vaca em lactação",IF(I3730="Male","Macho",IF(E3730&gt;=1,"Vaca seca",IF(I3730="Youngstock","Bezerra/recria","Novilha"))))</f>
        <v>Bezerra/recria</v>
      </c>
      <c r="X3730" s="0" t="str">
        <f aca="false">IF(AND(B3730&gt;=1,B3730&lt;=6),"Tanque",IF(B3730=10,"Descarte",""))</f>
        <v/>
      </c>
    </row>
    <row r="3731" customFormat="false" ht="15" hidden="false" customHeight="false" outlineLevel="0" collapsed="false">
      <c r="A3731" s="22" t="n">
        <v>46309</v>
      </c>
      <c r="B3731" s="0" t="n">
        <v>16</v>
      </c>
      <c r="C3731" s="0" t="n">
        <v>7955</v>
      </c>
      <c r="E3731" s="0" t="n">
        <v>0</v>
      </c>
      <c r="F3731" s="23" t="s">
        <v>1606</v>
      </c>
      <c r="I3731" s="23" t="s">
        <v>1249</v>
      </c>
      <c r="U3731" s="0" t="n">
        <v>88</v>
      </c>
      <c r="V3731" s="0" t="n">
        <v>0</v>
      </c>
      <c r="W3731" s="0" t="str">
        <f aca="false">IF(OR(AND(B3731&gt;=1,B3731&lt;=6),B3731=10),"Vaca em lactação",IF(I3731="Male","Macho",IF(E3731&gt;=1,"Vaca seca",IF(I3731="Youngstock","Bezerra/recria","Novilha"))))</f>
        <v>Bezerra/recria</v>
      </c>
      <c r="X3731" s="0" t="str">
        <f aca="false">IF(AND(B3731&gt;=1,B3731&lt;=6),"Tanque",IF(B3731=10,"Descarte",""))</f>
        <v/>
      </c>
    </row>
    <row r="3732" customFormat="false" ht="15" hidden="false" customHeight="false" outlineLevel="0" collapsed="false">
      <c r="A3732" s="22" t="n">
        <v>46309</v>
      </c>
      <c r="B3732" s="0" t="n">
        <v>16</v>
      </c>
      <c r="C3732" s="0" t="n">
        <v>7954</v>
      </c>
      <c r="E3732" s="0" t="n">
        <v>0</v>
      </c>
      <c r="F3732" s="23" t="s">
        <v>1606</v>
      </c>
      <c r="I3732" s="23" t="s">
        <v>1249</v>
      </c>
      <c r="U3732" s="0" t="n">
        <v>88</v>
      </c>
      <c r="V3732" s="0" t="n">
        <v>0</v>
      </c>
      <c r="W3732" s="0" t="str">
        <f aca="false">IF(OR(AND(B3732&gt;=1,B3732&lt;=6),B3732=10),"Vaca em lactação",IF(I3732="Male","Macho",IF(E3732&gt;=1,"Vaca seca",IF(I3732="Youngstock","Bezerra/recria","Novilha"))))</f>
        <v>Bezerra/recria</v>
      </c>
      <c r="X3732" s="0" t="str">
        <f aca="false">IF(AND(B3732&gt;=1,B3732&lt;=6),"Tanque",IF(B3732=10,"Descarte",""))</f>
        <v/>
      </c>
    </row>
    <row r="3733" customFormat="false" ht="15" hidden="false" customHeight="false" outlineLevel="0" collapsed="false">
      <c r="A3733" s="22" t="n">
        <v>46309</v>
      </c>
      <c r="B3733" s="0" t="n">
        <v>16</v>
      </c>
      <c r="C3733" s="0" t="n">
        <v>7953</v>
      </c>
      <c r="E3733" s="0" t="n">
        <v>0</v>
      </c>
      <c r="F3733" s="23" t="s">
        <v>1606</v>
      </c>
      <c r="I3733" s="23" t="s">
        <v>1249</v>
      </c>
      <c r="U3733" s="0" t="n">
        <v>88</v>
      </c>
      <c r="V3733" s="0" t="n">
        <v>0</v>
      </c>
      <c r="W3733" s="0" t="str">
        <f aca="false">IF(OR(AND(B3733&gt;=1,B3733&lt;=6),B3733=10),"Vaca em lactação",IF(I3733="Male","Macho",IF(E3733&gt;=1,"Vaca seca",IF(I3733="Youngstock","Bezerra/recria","Novilha"))))</f>
        <v>Bezerra/recria</v>
      </c>
      <c r="X3733" s="0" t="str">
        <f aca="false">IF(AND(B3733&gt;=1,B3733&lt;=6),"Tanque",IF(B3733=10,"Descarte",""))</f>
        <v/>
      </c>
    </row>
    <row r="3734" customFormat="false" ht="15" hidden="false" customHeight="false" outlineLevel="0" collapsed="false">
      <c r="A3734" s="22" t="n">
        <v>46309</v>
      </c>
      <c r="B3734" s="0" t="n">
        <v>16</v>
      </c>
      <c r="C3734" s="0" t="n">
        <v>7957</v>
      </c>
      <c r="E3734" s="0" t="n">
        <v>0</v>
      </c>
      <c r="F3734" s="23" t="s">
        <v>1607</v>
      </c>
      <c r="I3734" s="23" t="s">
        <v>1249</v>
      </c>
      <c r="U3734" s="0" t="n">
        <v>87</v>
      </c>
      <c r="V3734" s="0" t="n">
        <v>0</v>
      </c>
      <c r="W3734" s="0" t="str">
        <f aca="false">IF(OR(AND(B3734&gt;=1,B3734&lt;=6),B3734=10),"Vaca em lactação",IF(I3734="Male","Macho",IF(E3734&gt;=1,"Vaca seca",IF(I3734="Youngstock","Bezerra/recria","Novilha"))))</f>
        <v>Bezerra/recria</v>
      </c>
      <c r="X3734" s="0" t="str">
        <f aca="false">IF(AND(B3734&gt;=1,B3734&lt;=6),"Tanque",IF(B3734=10,"Descarte",""))</f>
        <v/>
      </c>
    </row>
    <row r="3735" customFormat="false" ht="15" hidden="false" customHeight="false" outlineLevel="0" collapsed="false">
      <c r="A3735" s="22" t="n">
        <v>46309</v>
      </c>
      <c r="B3735" s="0" t="n">
        <v>16</v>
      </c>
      <c r="C3735" s="0" t="n">
        <v>7960</v>
      </c>
      <c r="E3735" s="0" t="n">
        <v>0</v>
      </c>
      <c r="F3735" s="23" t="s">
        <v>1567</v>
      </c>
      <c r="I3735" s="23" t="s">
        <v>1249</v>
      </c>
      <c r="U3735" s="0" t="n">
        <v>86</v>
      </c>
      <c r="V3735" s="0" t="n">
        <v>0</v>
      </c>
      <c r="W3735" s="0" t="str">
        <f aca="false">IF(OR(AND(B3735&gt;=1,B3735&lt;=6),B3735=10),"Vaca em lactação",IF(I3735="Male","Macho",IF(E3735&gt;=1,"Vaca seca",IF(I3735="Youngstock","Bezerra/recria","Novilha"))))</f>
        <v>Bezerra/recria</v>
      </c>
      <c r="X3735" s="0" t="str">
        <f aca="false">IF(AND(B3735&gt;=1,B3735&lt;=6),"Tanque",IF(B3735=10,"Descarte",""))</f>
        <v/>
      </c>
    </row>
    <row r="3736" customFormat="false" ht="15" hidden="false" customHeight="false" outlineLevel="0" collapsed="false">
      <c r="A3736" s="22" t="n">
        <v>46309</v>
      </c>
      <c r="B3736" s="0" t="n">
        <v>16</v>
      </c>
      <c r="C3736" s="0" t="n">
        <v>7959</v>
      </c>
      <c r="E3736" s="0" t="n">
        <v>0</v>
      </c>
      <c r="F3736" s="23" t="s">
        <v>1567</v>
      </c>
      <c r="I3736" s="23" t="s">
        <v>1249</v>
      </c>
      <c r="U3736" s="0" t="n">
        <v>86</v>
      </c>
      <c r="V3736" s="0" t="n">
        <v>0</v>
      </c>
      <c r="W3736" s="0" t="str">
        <f aca="false">IF(OR(AND(B3736&gt;=1,B3736&lt;=6),B3736=10),"Vaca em lactação",IF(I3736="Male","Macho",IF(E3736&gt;=1,"Vaca seca",IF(I3736="Youngstock","Bezerra/recria","Novilha"))))</f>
        <v>Bezerra/recria</v>
      </c>
      <c r="X3736" s="0" t="str">
        <f aca="false">IF(AND(B3736&gt;=1,B3736&lt;=6),"Tanque",IF(B3736=10,"Descarte",""))</f>
        <v/>
      </c>
    </row>
    <row r="3737" customFormat="false" ht="15" hidden="false" customHeight="false" outlineLevel="0" collapsed="false">
      <c r="A3737" s="22" t="n">
        <v>46309</v>
      </c>
      <c r="B3737" s="0" t="n">
        <v>16</v>
      </c>
      <c r="C3737" s="0" t="n">
        <v>7958</v>
      </c>
      <c r="E3737" s="0" t="n">
        <v>0</v>
      </c>
      <c r="F3737" s="23" t="s">
        <v>1607</v>
      </c>
      <c r="I3737" s="23" t="s">
        <v>1249</v>
      </c>
      <c r="U3737" s="0" t="n">
        <v>87</v>
      </c>
      <c r="V3737" s="0" t="n">
        <v>0</v>
      </c>
      <c r="W3737" s="0" t="str">
        <f aca="false">IF(OR(AND(B3737&gt;=1,B3737&lt;=6),B3737=10),"Vaca em lactação",IF(I3737="Male","Macho",IF(E3737&gt;=1,"Vaca seca",IF(I3737="Youngstock","Bezerra/recria","Novilha"))))</f>
        <v>Bezerra/recria</v>
      </c>
      <c r="X3737" s="0" t="str">
        <f aca="false">IF(AND(B3737&gt;=1,B3737&lt;=6),"Tanque",IF(B3737=10,"Descarte",""))</f>
        <v/>
      </c>
    </row>
    <row r="3738" customFormat="false" ht="15" hidden="false" customHeight="false" outlineLevel="0" collapsed="false">
      <c r="A3738" s="22" t="n">
        <v>46309</v>
      </c>
      <c r="B3738" s="0" t="n">
        <v>16</v>
      </c>
      <c r="C3738" s="0" t="n">
        <v>7963</v>
      </c>
      <c r="E3738" s="0" t="n">
        <v>0</v>
      </c>
      <c r="F3738" s="23" t="s">
        <v>1563</v>
      </c>
      <c r="I3738" s="23" t="s">
        <v>1249</v>
      </c>
      <c r="U3738" s="0" t="n">
        <v>84</v>
      </c>
      <c r="V3738" s="0" t="n">
        <v>0</v>
      </c>
      <c r="W3738" s="0" t="str">
        <f aca="false">IF(OR(AND(B3738&gt;=1,B3738&lt;=6),B3738=10),"Vaca em lactação",IF(I3738="Male","Macho",IF(E3738&gt;=1,"Vaca seca",IF(I3738="Youngstock","Bezerra/recria","Novilha"))))</f>
        <v>Bezerra/recria</v>
      </c>
      <c r="X3738" s="0" t="str">
        <f aca="false">IF(AND(B3738&gt;=1,B3738&lt;=6),"Tanque",IF(B3738=10,"Descarte",""))</f>
        <v/>
      </c>
    </row>
    <row r="3739" customFormat="false" ht="15" hidden="false" customHeight="false" outlineLevel="0" collapsed="false">
      <c r="A3739" s="22" t="n">
        <v>46309</v>
      </c>
      <c r="B3739" s="0" t="n">
        <v>16</v>
      </c>
      <c r="C3739" s="0" t="n">
        <v>7962</v>
      </c>
      <c r="E3739" s="0" t="n">
        <v>0</v>
      </c>
      <c r="F3739" s="23" t="s">
        <v>1563</v>
      </c>
      <c r="I3739" s="23" t="s">
        <v>1249</v>
      </c>
      <c r="U3739" s="0" t="n">
        <v>84</v>
      </c>
      <c r="V3739" s="0" t="n">
        <v>0</v>
      </c>
      <c r="W3739" s="0" t="str">
        <f aca="false">IF(OR(AND(B3739&gt;=1,B3739&lt;=6),B3739=10),"Vaca em lactação",IF(I3739="Male","Macho",IF(E3739&gt;=1,"Vaca seca",IF(I3739="Youngstock","Bezerra/recria","Novilha"))))</f>
        <v>Bezerra/recria</v>
      </c>
      <c r="X3739" s="0" t="str">
        <f aca="false">IF(AND(B3739&gt;=1,B3739&lt;=6),"Tanque",IF(B3739=10,"Descarte",""))</f>
        <v/>
      </c>
    </row>
    <row r="3740" customFormat="false" ht="15" hidden="false" customHeight="false" outlineLevel="0" collapsed="false">
      <c r="A3740" s="22" t="n">
        <v>46309</v>
      </c>
      <c r="B3740" s="0" t="n">
        <v>16</v>
      </c>
      <c r="C3740" s="0" t="n">
        <v>7936</v>
      </c>
      <c r="E3740" s="0" t="n">
        <v>0</v>
      </c>
      <c r="F3740" s="23" t="s">
        <v>1608</v>
      </c>
      <c r="I3740" s="23" t="s">
        <v>1249</v>
      </c>
      <c r="U3740" s="0" t="n">
        <v>94</v>
      </c>
      <c r="V3740" s="0" t="n">
        <v>0</v>
      </c>
      <c r="W3740" s="0" t="str">
        <f aca="false">IF(OR(AND(B3740&gt;=1,B3740&lt;=6),B3740=10),"Vaca em lactação",IF(I3740="Male","Macho",IF(E3740&gt;=1,"Vaca seca",IF(I3740="Youngstock","Bezerra/recria","Novilha"))))</f>
        <v>Bezerra/recria</v>
      </c>
      <c r="X3740" s="0" t="str">
        <f aca="false">IF(AND(B3740&gt;=1,B3740&lt;=6),"Tanque",IF(B3740=10,"Descarte",""))</f>
        <v/>
      </c>
    </row>
    <row r="3741" customFormat="false" ht="15" hidden="false" customHeight="false" outlineLevel="0" collapsed="false">
      <c r="A3741" s="22" t="n">
        <v>46309</v>
      </c>
      <c r="B3741" s="0" t="n">
        <v>16</v>
      </c>
      <c r="C3741" s="0" t="n">
        <v>7930</v>
      </c>
      <c r="E3741" s="0" t="n">
        <v>0</v>
      </c>
      <c r="F3741" s="23" t="s">
        <v>1570</v>
      </c>
      <c r="I3741" s="23" t="s">
        <v>1249</v>
      </c>
      <c r="U3741" s="0" t="n">
        <v>96</v>
      </c>
      <c r="V3741" s="0" t="n">
        <v>0</v>
      </c>
      <c r="W3741" s="0" t="str">
        <f aca="false">IF(OR(AND(B3741&gt;=1,B3741&lt;=6),B3741=10),"Vaca em lactação",IF(I3741="Male","Macho",IF(E3741&gt;=1,"Vaca seca",IF(I3741="Youngstock","Bezerra/recria","Novilha"))))</f>
        <v>Bezerra/recria</v>
      </c>
      <c r="X3741" s="0" t="str">
        <f aca="false">IF(AND(B3741&gt;=1,B3741&lt;=6),"Tanque",IF(B3741=10,"Descarte",""))</f>
        <v/>
      </c>
    </row>
    <row r="3742" customFormat="false" ht="15" hidden="false" customHeight="false" outlineLevel="0" collapsed="false">
      <c r="A3742" s="22" t="n">
        <v>46309</v>
      </c>
      <c r="B3742" s="0" t="n">
        <v>16</v>
      </c>
      <c r="C3742" s="0" t="n">
        <v>7929</v>
      </c>
      <c r="E3742" s="0" t="n">
        <v>0</v>
      </c>
      <c r="F3742" s="23" t="s">
        <v>1524</v>
      </c>
      <c r="I3742" s="23" t="s">
        <v>1249</v>
      </c>
      <c r="U3742" s="0" t="n">
        <v>97</v>
      </c>
      <c r="V3742" s="0" t="n">
        <v>0</v>
      </c>
      <c r="W3742" s="0" t="str">
        <f aca="false">IF(OR(AND(B3742&gt;=1,B3742&lt;=6),B3742=10),"Vaca em lactação",IF(I3742="Male","Macho",IF(E3742&gt;=1,"Vaca seca",IF(I3742="Youngstock","Bezerra/recria","Novilha"))))</f>
        <v>Bezerra/recria</v>
      </c>
      <c r="X3742" s="0" t="str">
        <f aca="false">IF(AND(B3742&gt;=1,B3742&lt;=6),"Tanque",IF(B3742=10,"Descarte",""))</f>
        <v/>
      </c>
    </row>
    <row r="3743" customFormat="false" ht="15" hidden="false" customHeight="false" outlineLevel="0" collapsed="false">
      <c r="A3743" s="22" t="n">
        <v>46309</v>
      </c>
      <c r="B3743" s="0" t="n">
        <v>16</v>
      </c>
      <c r="C3743" s="0" t="n">
        <v>7928</v>
      </c>
      <c r="E3743" s="0" t="n">
        <v>0</v>
      </c>
      <c r="F3743" s="23" t="s">
        <v>1524</v>
      </c>
      <c r="I3743" s="23" t="s">
        <v>1249</v>
      </c>
      <c r="U3743" s="0" t="n">
        <v>97</v>
      </c>
      <c r="V3743" s="0" t="n">
        <v>0</v>
      </c>
      <c r="W3743" s="0" t="str">
        <f aca="false">IF(OR(AND(B3743&gt;=1,B3743&lt;=6),B3743=10),"Vaca em lactação",IF(I3743="Male","Macho",IF(E3743&gt;=1,"Vaca seca",IF(I3743="Youngstock","Bezerra/recria","Novilha"))))</f>
        <v>Bezerra/recria</v>
      </c>
      <c r="X3743" s="0" t="str">
        <f aca="false">IF(AND(B3743&gt;=1,B3743&lt;=6),"Tanque",IF(B3743=10,"Descarte",""))</f>
        <v/>
      </c>
    </row>
    <row r="3744" customFormat="false" ht="15" hidden="false" customHeight="false" outlineLevel="0" collapsed="false">
      <c r="A3744" s="22" t="n">
        <v>46309</v>
      </c>
      <c r="B3744" s="0" t="n">
        <v>16</v>
      </c>
      <c r="C3744" s="0" t="n">
        <v>7935</v>
      </c>
      <c r="E3744" s="0" t="n">
        <v>0</v>
      </c>
      <c r="F3744" s="23" t="s">
        <v>1608</v>
      </c>
      <c r="I3744" s="23" t="s">
        <v>1249</v>
      </c>
      <c r="U3744" s="0" t="n">
        <v>94</v>
      </c>
      <c r="V3744" s="0" t="n">
        <v>0</v>
      </c>
      <c r="W3744" s="0" t="str">
        <f aca="false">IF(OR(AND(B3744&gt;=1,B3744&lt;=6),B3744=10),"Vaca em lactação",IF(I3744="Male","Macho",IF(E3744&gt;=1,"Vaca seca",IF(I3744="Youngstock","Bezerra/recria","Novilha"))))</f>
        <v>Bezerra/recria</v>
      </c>
      <c r="X3744" s="0" t="str">
        <f aca="false">IF(AND(B3744&gt;=1,B3744&lt;=6),"Tanque",IF(B3744=10,"Descarte",""))</f>
        <v/>
      </c>
    </row>
    <row r="3745" customFormat="false" ht="15" hidden="false" customHeight="false" outlineLevel="0" collapsed="false">
      <c r="A3745" s="22" t="n">
        <v>46309</v>
      </c>
      <c r="B3745" s="0" t="n">
        <v>16</v>
      </c>
      <c r="C3745" s="0" t="n">
        <v>7934</v>
      </c>
      <c r="E3745" s="0" t="n">
        <v>0</v>
      </c>
      <c r="F3745" s="23" t="s">
        <v>1571</v>
      </c>
      <c r="I3745" s="23" t="s">
        <v>1249</v>
      </c>
      <c r="U3745" s="0" t="n">
        <v>95</v>
      </c>
      <c r="V3745" s="0" t="n">
        <v>0</v>
      </c>
      <c r="W3745" s="0" t="str">
        <f aca="false">IF(OR(AND(B3745&gt;=1,B3745&lt;=6),B3745=10),"Vaca em lactação",IF(I3745="Male","Macho",IF(E3745&gt;=1,"Vaca seca",IF(I3745="Youngstock","Bezerra/recria","Novilha"))))</f>
        <v>Bezerra/recria</v>
      </c>
      <c r="X3745" s="0" t="str">
        <f aca="false">IF(AND(B3745&gt;=1,B3745&lt;=6),"Tanque",IF(B3745=10,"Descarte",""))</f>
        <v/>
      </c>
    </row>
    <row r="3746" customFormat="false" ht="15" hidden="false" customHeight="false" outlineLevel="0" collapsed="false">
      <c r="A3746" s="22" t="n">
        <v>46309</v>
      </c>
      <c r="B3746" s="0" t="n">
        <v>16</v>
      </c>
      <c r="C3746" s="0" t="n">
        <v>7933</v>
      </c>
      <c r="E3746" s="0" t="n">
        <v>0</v>
      </c>
      <c r="F3746" s="23" t="s">
        <v>1571</v>
      </c>
      <c r="I3746" s="23" t="s">
        <v>1249</v>
      </c>
      <c r="U3746" s="0" t="n">
        <v>95</v>
      </c>
      <c r="V3746" s="0" t="n">
        <v>0</v>
      </c>
      <c r="W3746" s="0" t="str">
        <f aca="false">IF(OR(AND(B3746&gt;=1,B3746&lt;=6),B3746=10),"Vaca em lactação",IF(I3746="Male","Macho",IF(E3746&gt;=1,"Vaca seca",IF(I3746="Youngstock","Bezerra/recria","Novilha"))))</f>
        <v>Bezerra/recria</v>
      </c>
      <c r="X3746" s="0" t="str">
        <f aca="false">IF(AND(B3746&gt;=1,B3746&lt;=6),"Tanque",IF(B3746=10,"Descarte",""))</f>
        <v/>
      </c>
    </row>
    <row r="3747" customFormat="false" ht="15" hidden="false" customHeight="false" outlineLevel="0" collapsed="false">
      <c r="A3747" s="22" t="n">
        <v>46309</v>
      </c>
      <c r="B3747" s="0" t="n">
        <v>16</v>
      </c>
      <c r="C3747" s="0" t="n">
        <v>7932</v>
      </c>
      <c r="E3747" s="0" t="n">
        <v>0</v>
      </c>
      <c r="F3747" s="23" t="s">
        <v>1570</v>
      </c>
      <c r="I3747" s="23" t="s">
        <v>1249</v>
      </c>
      <c r="U3747" s="0" t="n">
        <v>96</v>
      </c>
      <c r="V3747" s="0" t="n">
        <v>0</v>
      </c>
      <c r="W3747" s="0" t="str">
        <f aca="false">IF(OR(AND(B3747&gt;=1,B3747&lt;=6),B3747=10),"Vaca em lactação",IF(I3747="Male","Macho",IF(E3747&gt;=1,"Vaca seca",IF(I3747="Youngstock","Bezerra/recria","Novilha"))))</f>
        <v>Bezerra/recria</v>
      </c>
      <c r="X3747" s="0" t="str">
        <f aca="false">IF(AND(B3747&gt;=1,B3747&lt;=6),"Tanque",IF(B3747=10,"Descarte",""))</f>
        <v/>
      </c>
    </row>
    <row r="3748" customFormat="false" ht="15" hidden="false" customHeight="false" outlineLevel="0" collapsed="false">
      <c r="A3748" s="22" t="n">
        <v>46309</v>
      </c>
      <c r="B3748" s="0" t="n">
        <v>16</v>
      </c>
      <c r="C3748" s="0" t="n">
        <v>7931</v>
      </c>
      <c r="E3748" s="0" t="n">
        <v>0</v>
      </c>
      <c r="F3748" s="23" t="s">
        <v>1570</v>
      </c>
      <c r="I3748" s="23" t="s">
        <v>1249</v>
      </c>
      <c r="U3748" s="0" t="n">
        <v>96</v>
      </c>
      <c r="V3748" s="0" t="n">
        <v>0</v>
      </c>
      <c r="W3748" s="0" t="str">
        <f aca="false">IF(OR(AND(B3748&gt;=1,B3748&lt;=6),B3748=10),"Vaca em lactação",IF(I3748="Male","Macho",IF(E3748&gt;=1,"Vaca seca",IF(I3748="Youngstock","Bezerra/recria","Novilha"))))</f>
        <v>Bezerra/recria</v>
      </c>
      <c r="X3748" s="0" t="str">
        <f aca="false">IF(AND(B3748&gt;=1,B3748&lt;=6),"Tanque",IF(B3748=10,"Descarte",""))</f>
        <v/>
      </c>
    </row>
    <row r="3749" customFormat="false" ht="15" hidden="false" customHeight="false" outlineLevel="0" collapsed="false">
      <c r="A3749" s="22" t="n">
        <v>46309</v>
      </c>
      <c r="B3749" s="0" t="n">
        <v>16</v>
      </c>
      <c r="C3749" s="0" t="n">
        <v>8043</v>
      </c>
      <c r="E3749" s="0" t="n">
        <v>0</v>
      </c>
      <c r="F3749" s="23" t="s">
        <v>1609</v>
      </c>
      <c r="I3749" s="23" t="s">
        <v>1249</v>
      </c>
      <c r="U3749" s="0" t="n">
        <v>59</v>
      </c>
      <c r="V3749" s="0" t="n">
        <v>0</v>
      </c>
      <c r="W3749" s="0" t="str">
        <f aca="false">IF(OR(AND(B3749&gt;=1,B3749&lt;=6),B3749=10),"Vaca em lactação",IF(I3749="Male","Macho",IF(E3749&gt;=1,"Vaca seca",IF(I3749="Youngstock","Bezerra/recria","Novilha"))))</f>
        <v>Bezerra/recria</v>
      </c>
      <c r="X3749" s="0" t="str">
        <f aca="false">IF(AND(B3749&gt;=1,B3749&lt;=6),"Tanque",IF(B3749=10,"Descarte",""))</f>
        <v/>
      </c>
    </row>
    <row r="3750" customFormat="false" ht="15" hidden="false" customHeight="false" outlineLevel="0" collapsed="false">
      <c r="A3750" s="22" t="n">
        <v>46309</v>
      </c>
      <c r="B3750" s="0" t="n">
        <v>16</v>
      </c>
      <c r="C3750" s="0" t="n">
        <v>8045</v>
      </c>
      <c r="E3750" s="0" t="n">
        <v>0</v>
      </c>
      <c r="F3750" s="23" t="s">
        <v>1610</v>
      </c>
      <c r="I3750" s="23" t="s">
        <v>1249</v>
      </c>
      <c r="U3750" s="0" t="n">
        <v>58</v>
      </c>
      <c r="V3750" s="0" t="n">
        <v>0</v>
      </c>
      <c r="W3750" s="0" t="str">
        <f aca="false">IF(OR(AND(B3750&gt;=1,B3750&lt;=6),B3750=10),"Vaca em lactação",IF(I3750="Male","Macho",IF(E3750&gt;=1,"Vaca seca",IF(I3750="Youngstock","Bezerra/recria","Novilha"))))</f>
        <v>Bezerra/recria</v>
      </c>
      <c r="X3750" s="0" t="str">
        <f aca="false">IF(AND(B3750&gt;=1,B3750&lt;=6),"Tanque",IF(B3750=10,"Descarte",""))</f>
        <v/>
      </c>
    </row>
    <row r="3751" customFormat="false" ht="15" hidden="false" customHeight="false" outlineLevel="0" collapsed="false">
      <c r="A3751" s="22" t="n">
        <v>46309</v>
      </c>
      <c r="B3751" s="0" t="n">
        <v>16</v>
      </c>
      <c r="C3751" s="0" t="n">
        <v>8047</v>
      </c>
      <c r="E3751" s="0" t="n">
        <v>0</v>
      </c>
      <c r="F3751" s="23" t="s">
        <v>1610</v>
      </c>
      <c r="I3751" s="23" t="s">
        <v>1249</v>
      </c>
      <c r="U3751" s="0" t="n">
        <v>58</v>
      </c>
      <c r="V3751" s="0" t="n">
        <v>0</v>
      </c>
      <c r="W3751" s="0" t="str">
        <f aca="false">IF(OR(AND(B3751&gt;=1,B3751&lt;=6),B3751=10),"Vaca em lactação",IF(I3751="Male","Macho",IF(E3751&gt;=1,"Vaca seca",IF(I3751="Youngstock","Bezerra/recria","Novilha"))))</f>
        <v>Bezerra/recria</v>
      </c>
      <c r="X3751" s="0" t="str">
        <f aca="false">IF(AND(B3751&gt;=1,B3751&lt;=6),"Tanque",IF(B3751=10,"Descarte",""))</f>
        <v/>
      </c>
    </row>
    <row r="3752" customFormat="false" ht="15" hidden="false" customHeight="false" outlineLevel="0" collapsed="false">
      <c r="A3752" s="22" t="n">
        <v>46309</v>
      </c>
      <c r="B3752" s="0" t="n">
        <v>16</v>
      </c>
      <c r="C3752" s="0" t="n">
        <v>8046</v>
      </c>
      <c r="E3752" s="0" t="n">
        <v>0</v>
      </c>
      <c r="F3752" s="23" t="s">
        <v>1610</v>
      </c>
      <c r="I3752" s="23" t="s">
        <v>1249</v>
      </c>
      <c r="U3752" s="0" t="n">
        <v>58</v>
      </c>
      <c r="V3752" s="0" t="n">
        <v>0</v>
      </c>
      <c r="W3752" s="0" t="str">
        <f aca="false">IF(OR(AND(B3752&gt;=1,B3752&lt;=6),B3752=10),"Vaca em lactação",IF(I3752="Male","Macho",IF(E3752&gt;=1,"Vaca seca",IF(I3752="Youngstock","Bezerra/recria","Novilha"))))</f>
        <v>Bezerra/recria</v>
      </c>
      <c r="X3752" s="0" t="str">
        <f aca="false">IF(AND(B3752&gt;=1,B3752&lt;=6),"Tanque",IF(B3752=10,"Descarte",""))</f>
        <v/>
      </c>
    </row>
    <row r="3753" customFormat="false" ht="15" hidden="false" customHeight="false" outlineLevel="0" collapsed="false">
      <c r="A3753" s="22" t="n">
        <v>46309</v>
      </c>
      <c r="B3753" s="0" t="n">
        <v>16</v>
      </c>
      <c r="C3753" s="0" t="n">
        <v>8049</v>
      </c>
      <c r="E3753" s="0" t="n">
        <v>0</v>
      </c>
      <c r="F3753" s="23" t="s">
        <v>1573</v>
      </c>
      <c r="I3753" s="23" t="s">
        <v>1249</v>
      </c>
      <c r="U3753" s="0" t="n">
        <v>57</v>
      </c>
      <c r="V3753" s="0" t="n">
        <v>0</v>
      </c>
      <c r="W3753" s="0" t="str">
        <f aca="false">IF(OR(AND(B3753&gt;=1,B3753&lt;=6),B3753=10),"Vaca em lactação",IF(I3753="Male","Macho",IF(E3753&gt;=1,"Vaca seca",IF(I3753="Youngstock","Bezerra/recria","Novilha"))))</f>
        <v>Bezerra/recria</v>
      </c>
      <c r="X3753" s="0" t="str">
        <f aca="false">IF(AND(B3753&gt;=1,B3753&lt;=6),"Tanque",IF(B3753=10,"Descarte",""))</f>
        <v/>
      </c>
    </row>
    <row r="3754" customFormat="false" ht="15" hidden="false" customHeight="false" outlineLevel="0" collapsed="false">
      <c r="A3754" s="22" t="n">
        <v>46309</v>
      </c>
      <c r="B3754" s="0" t="n">
        <v>16</v>
      </c>
      <c r="C3754" s="0" t="n">
        <v>8048</v>
      </c>
      <c r="E3754" s="0" t="n">
        <v>0</v>
      </c>
      <c r="F3754" s="23" t="s">
        <v>1610</v>
      </c>
      <c r="I3754" s="23" t="s">
        <v>1249</v>
      </c>
      <c r="U3754" s="0" t="n">
        <v>58</v>
      </c>
      <c r="V3754" s="0" t="n">
        <v>0</v>
      </c>
      <c r="W3754" s="0" t="str">
        <f aca="false">IF(OR(AND(B3754&gt;=1,B3754&lt;=6),B3754=10),"Vaca em lactação",IF(I3754="Male","Macho",IF(E3754&gt;=1,"Vaca seca",IF(I3754="Youngstock","Bezerra/recria","Novilha"))))</f>
        <v>Bezerra/recria</v>
      </c>
      <c r="X3754" s="0" t="str">
        <f aca="false">IF(AND(B3754&gt;=1,B3754&lt;=6),"Tanque",IF(B3754=10,"Descarte",""))</f>
        <v/>
      </c>
    </row>
    <row r="3755" customFormat="false" ht="15" hidden="false" customHeight="false" outlineLevel="0" collapsed="false">
      <c r="A3755" s="22" t="n">
        <v>46309</v>
      </c>
      <c r="B3755" s="0" t="n">
        <v>16</v>
      </c>
      <c r="C3755" s="0" t="n">
        <v>8042</v>
      </c>
      <c r="E3755" s="0" t="n">
        <v>0</v>
      </c>
      <c r="F3755" s="23" t="s">
        <v>1609</v>
      </c>
      <c r="I3755" s="23" t="s">
        <v>1249</v>
      </c>
      <c r="U3755" s="0" t="n">
        <v>59</v>
      </c>
      <c r="V3755" s="0" t="n">
        <v>0</v>
      </c>
      <c r="W3755" s="0" t="str">
        <f aca="false">IF(OR(AND(B3755&gt;=1,B3755&lt;=6),B3755=10),"Vaca em lactação",IF(I3755="Male","Macho",IF(E3755&gt;=1,"Vaca seca",IF(I3755="Youngstock","Bezerra/recria","Novilha"))))</f>
        <v>Bezerra/recria</v>
      </c>
      <c r="X3755" s="0" t="str">
        <f aca="false">IF(AND(B3755&gt;=1,B3755&lt;=6),"Tanque",IF(B3755=10,"Descarte",""))</f>
        <v/>
      </c>
    </row>
    <row r="3756" customFormat="false" ht="15" hidden="false" customHeight="false" outlineLevel="0" collapsed="false">
      <c r="A3756" s="22" t="n">
        <v>46309</v>
      </c>
      <c r="B3756" s="0" t="n">
        <v>16</v>
      </c>
      <c r="C3756" s="0" t="n">
        <v>8041</v>
      </c>
      <c r="E3756" s="0" t="n">
        <v>0</v>
      </c>
      <c r="F3756" s="23" t="s">
        <v>1609</v>
      </c>
      <c r="I3756" s="23" t="s">
        <v>1249</v>
      </c>
      <c r="U3756" s="0" t="n">
        <v>59</v>
      </c>
      <c r="V3756" s="0" t="n">
        <v>0</v>
      </c>
      <c r="W3756" s="0" t="str">
        <f aca="false">IF(OR(AND(B3756&gt;=1,B3756&lt;=6),B3756=10),"Vaca em lactação",IF(I3756="Male","Macho",IF(E3756&gt;=1,"Vaca seca",IF(I3756="Youngstock","Bezerra/recria","Novilha"))))</f>
        <v>Bezerra/recria</v>
      </c>
      <c r="X3756" s="0" t="str">
        <f aca="false">IF(AND(B3756&gt;=1,B3756&lt;=6),"Tanque",IF(B3756=10,"Descarte",""))</f>
        <v/>
      </c>
    </row>
    <row r="3757" customFormat="false" ht="15" hidden="false" customHeight="false" outlineLevel="0" collapsed="false">
      <c r="A3757" s="22" t="n">
        <v>46309</v>
      </c>
      <c r="B3757" s="0" t="n">
        <v>16</v>
      </c>
      <c r="C3757" s="0" t="n">
        <v>8040</v>
      </c>
      <c r="E3757" s="0" t="n">
        <v>0</v>
      </c>
      <c r="F3757" s="23" t="s">
        <v>1609</v>
      </c>
      <c r="I3757" s="23" t="s">
        <v>1249</v>
      </c>
      <c r="U3757" s="0" t="n">
        <v>59</v>
      </c>
      <c r="V3757" s="0" t="n">
        <v>0</v>
      </c>
      <c r="W3757" s="0" t="str">
        <f aca="false">IF(OR(AND(B3757&gt;=1,B3757&lt;=6),B3757=10),"Vaca em lactação",IF(I3757="Male","Macho",IF(E3757&gt;=1,"Vaca seca",IF(I3757="Youngstock","Bezerra/recria","Novilha"))))</f>
        <v>Bezerra/recria</v>
      </c>
      <c r="X3757" s="0" t="str">
        <f aca="false">IF(AND(B3757&gt;=1,B3757&lt;=6),"Tanque",IF(B3757=10,"Descarte",""))</f>
        <v/>
      </c>
    </row>
    <row r="3758" customFormat="false" ht="15" hidden="false" customHeight="false" outlineLevel="0" collapsed="false">
      <c r="A3758" s="22" t="n">
        <v>46309</v>
      </c>
      <c r="B3758" s="0" t="n">
        <v>16</v>
      </c>
      <c r="C3758" s="0" t="n">
        <v>8050</v>
      </c>
      <c r="E3758" s="0" t="n">
        <v>0</v>
      </c>
      <c r="F3758" s="23" t="s">
        <v>1573</v>
      </c>
      <c r="I3758" s="23" t="s">
        <v>1249</v>
      </c>
      <c r="U3758" s="0" t="n">
        <v>57</v>
      </c>
      <c r="V3758" s="0" t="n">
        <v>0</v>
      </c>
      <c r="W3758" s="0" t="str">
        <f aca="false">IF(OR(AND(B3758&gt;=1,B3758&lt;=6),B3758=10),"Vaca em lactação",IF(I3758="Male","Macho",IF(E3758&gt;=1,"Vaca seca",IF(I3758="Youngstock","Bezerra/recria","Novilha"))))</f>
        <v>Bezerra/recria</v>
      </c>
      <c r="X3758" s="0" t="str">
        <f aca="false">IF(AND(B3758&gt;=1,B3758&lt;=6),"Tanque",IF(B3758=10,"Descarte",""))</f>
        <v/>
      </c>
    </row>
    <row r="3759" customFormat="false" ht="15" hidden="false" customHeight="false" outlineLevel="0" collapsed="false">
      <c r="A3759" s="22" t="n">
        <v>46309</v>
      </c>
      <c r="B3759" s="0" t="n">
        <v>16</v>
      </c>
      <c r="C3759" s="0" t="n">
        <v>8058</v>
      </c>
      <c r="E3759" s="0" t="n">
        <v>0</v>
      </c>
      <c r="F3759" s="23" t="s">
        <v>1574</v>
      </c>
      <c r="I3759" s="23" t="s">
        <v>1249</v>
      </c>
      <c r="U3759" s="0" t="n">
        <v>54</v>
      </c>
      <c r="V3759" s="0" t="n">
        <v>0</v>
      </c>
      <c r="W3759" s="0" t="str">
        <f aca="false">IF(OR(AND(B3759&gt;=1,B3759&lt;=6),B3759=10),"Vaca em lactação",IF(I3759="Male","Macho",IF(E3759&gt;=1,"Vaca seca",IF(I3759="Youngstock","Bezerra/recria","Novilha"))))</f>
        <v>Bezerra/recria</v>
      </c>
      <c r="X3759" s="0" t="str">
        <f aca="false">IF(AND(B3759&gt;=1,B3759&lt;=6),"Tanque",IF(B3759=10,"Descarte",""))</f>
        <v/>
      </c>
    </row>
    <row r="3760" customFormat="false" ht="15" hidden="false" customHeight="false" outlineLevel="0" collapsed="false">
      <c r="A3760" s="22" t="n">
        <v>46309</v>
      </c>
      <c r="B3760" s="0" t="n">
        <v>16</v>
      </c>
      <c r="C3760" s="0" t="n">
        <v>8056</v>
      </c>
      <c r="E3760" s="0" t="n">
        <v>0</v>
      </c>
      <c r="F3760" s="23" t="s">
        <v>1572</v>
      </c>
      <c r="I3760" s="23" t="s">
        <v>1249</v>
      </c>
      <c r="U3760" s="0" t="n">
        <v>55</v>
      </c>
      <c r="V3760" s="0" t="n">
        <v>0</v>
      </c>
      <c r="W3760" s="0" t="str">
        <f aca="false">IF(OR(AND(B3760&gt;=1,B3760&lt;=6),B3760=10),"Vaca em lactação",IF(I3760="Male","Macho",IF(E3760&gt;=1,"Vaca seca",IF(I3760="Youngstock","Bezerra/recria","Novilha"))))</f>
        <v>Bezerra/recria</v>
      </c>
      <c r="X3760" s="0" t="str">
        <f aca="false">IF(AND(B3760&gt;=1,B3760&lt;=6),"Tanque",IF(B3760=10,"Descarte",""))</f>
        <v/>
      </c>
    </row>
    <row r="3761" customFormat="false" ht="15" hidden="false" customHeight="false" outlineLevel="0" collapsed="false">
      <c r="A3761" s="22" t="n">
        <v>46309</v>
      </c>
      <c r="B3761" s="0" t="n">
        <v>16</v>
      </c>
      <c r="C3761" s="0" t="n">
        <v>8055</v>
      </c>
      <c r="E3761" s="0" t="n">
        <v>0</v>
      </c>
      <c r="F3761" s="23" t="s">
        <v>1572</v>
      </c>
      <c r="I3761" s="23" t="s">
        <v>1249</v>
      </c>
      <c r="U3761" s="0" t="n">
        <v>55</v>
      </c>
      <c r="V3761" s="0" t="n">
        <v>0</v>
      </c>
      <c r="W3761" s="0" t="str">
        <f aca="false">IF(OR(AND(B3761&gt;=1,B3761&lt;=6),B3761=10),"Vaca em lactação",IF(I3761="Male","Macho",IF(E3761&gt;=1,"Vaca seca",IF(I3761="Youngstock","Bezerra/recria","Novilha"))))</f>
        <v>Bezerra/recria</v>
      </c>
      <c r="X3761" s="0" t="str">
        <f aca="false">IF(AND(B3761&gt;=1,B3761&lt;=6),"Tanque",IF(B3761=10,"Descarte",""))</f>
        <v/>
      </c>
    </row>
    <row r="3762" customFormat="false" ht="15" hidden="false" customHeight="false" outlineLevel="0" collapsed="false">
      <c r="A3762" s="22" t="n">
        <v>46309</v>
      </c>
      <c r="B3762" s="0" t="n">
        <v>16</v>
      </c>
      <c r="C3762" s="0" t="n">
        <v>8054</v>
      </c>
      <c r="E3762" s="0" t="n">
        <v>0</v>
      </c>
      <c r="F3762" s="23" t="s">
        <v>1611</v>
      </c>
      <c r="I3762" s="23" t="s">
        <v>1249</v>
      </c>
      <c r="U3762" s="0" t="n">
        <v>56</v>
      </c>
      <c r="V3762" s="0" t="n">
        <v>0</v>
      </c>
      <c r="W3762" s="0" t="str">
        <f aca="false">IF(OR(AND(B3762&gt;=1,B3762&lt;=6),B3762=10),"Vaca em lactação",IF(I3762="Male","Macho",IF(E3762&gt;=1,"Vaca seca",IF(I3762="Youngstock","Bezerra/recria","Novilha"))))</f>
        <v>Bezerra/recria</v>
      </c>
      <c r="X3762" s="0" t="str">
        <f aca="false">IF(AND(B3762&gt;=1,B3762&lt;=6),"Tanque",IF(B3762=10,"Descarte",""))</f>
        <v/>
      </c>
    </row>
    <row r="3763" customFormat="false" ht="15" hidden="false" customHeight="false" outlineLevel="0" collapsed="false">
      <c r="A3763" s="22" t="n">
        <v>46309</v>
      </c>
      <c r="B3763" s="0" t="n">
        <v>16</v>
      </c>
      <c r="C3763" s="0" t="n">
        <v>8051</v>
      </c>
      <c r="E3763" s="0" t="n">
        <v>0</v>
      </c>
      <c r="F3763" s="23" t="s">
        <v>1573</v>
      </c>
      <c r="I3763" s="23" t="s">
        <v>1249</v>
      </c>
      <c r="U3763" s="0" t="n">
        <v>57</v>
      </c>
      <c r="V3763" s="0" t="n">
        <v>0</v>
      </c>
      <c r="W3763" s="0" t="str">
        <f aca="false">IF(OR(AND(B3763&gt;=1,B3763&lt;=6),B3763=10),"Vaca em lactação",IF(I3763="Male","Macho",IF(E3763&gt;=1,"Vaca seca",IF(I3763="Youngstock","Bezerra/recria","Novilha"))))</f>
        <v>Bezerra/recria</v>
      </c>
      <c r="X3763" s="0" t="str">
        <f aca="false">IF(AND(B3763&gt;=1,B3763&lt;=6),"Tanque",IF(B3763=10,"Descarte",""))</f>
        <v/>
      </c>
    </row>
    <row r="3764" customFormat="false" ht="15" hidden="false" customHeight="false" outlineLevel="0" collapsed="false">
      <c r="A3764" s="22" t="n">
        <v>46309</v>
      </c>
      <c r="B3764" s="0" t="n">
        <v>16</v>
      </c>
      <c r="C3764" s="0" t="n">
        <v>8063</v>
      </c>
      <c r="E3764" s="0" t="n">
        <v>0</v>
      </c>
      <c r="F3764" s="23" t="s">
        <v>1612</v>
      </c>
      <c r="I3764" s="23" t="s">
        <v>1249</v>
      </c>
      <c r="U3764" s="0" t="n">
        <v>53</v>
      </c>
      <c r="V3764" s="0" t="n">
        <v>0</v>
      </c>
      <c r="W3764" s="0" t="str">
        <f aca="false">IF(OR(AND(B3764&gt;=1,B3764&lt;=6),B3764=10),"Vaca em lactação",IF(I3764="Male","Macho",IF(E3764&gt;=1,"Vaca seca",IF(I3764="Youngstock","Bezerra/recria","Novilha"))))</f>
        <v>Bezerra/recria</v>
      </c>
      <c r="X3764" s="0" t="str">
        <f aca="false">IF(AND(B3764&gt;=1,B3764&lt;=6),"Tanque",IF(B3764=10,"Descarte",""))</f>
        <v/>
      </c>
    </row>
    <row r="3765" customFormat="false" ht="15" hidden="false" customHeight="false" outlineLevel="0" collapsed="false">
      <c r="A3765" s="22" t="n">
        <v>46309</v>
      </c>
      <c r="B3765" s="0" t="n">
        <v>16</v>
      </c>
      <c r="C3765" s="0" t="n">
        <v>8062</v>
      </c>
      <c r="E3765" s="0" t="n">
        <v>0</v>
      </c>
      <c r="F3765" s="23" t="s">
        <v>1612</v>
      </c>
      <c r="I3765" s="23" t="s">
        <v>1249</v>
      </c>
      <c r="U3765" s="0" t="n">
        <v>53</v>
      </c>
      <c r="V3765" s="0" t="n">
        <v>0</v>
      </c>
      <c r="W3765" s="0" t="str">
        <f aca="false">IF(OR(AND(B3765&gt;=1,B3765&lt;=6),B3765=10),"Vaca em lactação",IF(I3765="Male","Macho",IF(E3765&gt;=1,"Vaca seca",IF(I3765="Youngstock","Bezerra/recria","Novilha"))))</f>
        <v>Bezerra/recria</v>
      </c>
      <c r="X3765" s="0" t="str">
        <f aca="false">IF(AND(B3765&gt;=1,B3765&lt;=6),"Tanque",IF(B3765=10,"Descarte",""))</f>
        <v/>
      </c>
    </row>
    <row r="3766" customFormat="false" ht="15" hidden="false" customHeight="false" outlineLevel="0" collapsed="false">
      <c r="A3766" s="22" t="n">
        <v>46309</v>
      </c>
      <c r="B3766" s="0" t="n">
        <v>16</v>
      </c>
      <c r="C3766" s="0" t="n">
        <v>8061</v>
      </c>
      <c r="E3766" s="0" t="n">
        <v>0</v>
      </c>
      <c r="F3766" s="23" t="s">
        <v>1612</v>
      </c>
      <c r="I3766" s="23" t="s">
        <v>1249</v>
      </c>
      <c r="U3766" s="0" t="n">
        <v>53</v>
      </c>
      <c r="V3766" s="0" t="n">
        <v>0</v>
      </c>
      <c r="W3766" s="0" t="str">
        <f aca="false">IF(OR(AND(B3766&gt;=1,B3766&lt;=6),B3766=10),"Vaca em lactação",IF(I3766="Male","Macho",IF(E3766&gt;=1,"Vaca seca",IF(I3766="Youngstock","Bezerra/recria","Novilha"))))</f>
        <v>Bezerra/recria</v>
      </c>
      <c r="X3766" s="0" t="str">
        <f aca="false">IF(AND(B3766&gt;=1,B3766&lt;=6),"Tanque",IF(B3766=10,"Descarte",""))</f>
        <v/>
      </c>
    </row>
    <row r="3767" customFormat="false" ht="15" hidden="false" customHeight="false" outlineLevel="0" collapsed="false">
      <c r="A3767" s="22" t="n">
        <v>46309</v>
      </c>
      <c r="B3767" s="0" t="n">
        <v>16</v>
      </c>
      <c r="C3767" s="0" t="n">
        <v>8060</v>
      </c>
      <c r="E3767" s="0" t="n">
        <v>0</v>
      </c>
      <c r="F3767" s="23" t="s">
        <v>1612</v>
      </c>
      <c r="I3767" s="23" t="s">
        <v>1249</v>
      </c>
      <c r="U3767" s="0" t="n">
        <v>53</v>
      </c>
      <c r="V3767" s="0" t="n">
        <v>0</v>
      </c>
      <c r="W3767" s="0" t="str">
        <f aca="false">IF(OR(AND(B3767&gt;=1,B3767&lt;=6),B3767=10),"Vaca em lactação",IF(I3767="Male","Macho",IF(E3767&gt;=1,"Vaca seca",IF(I3767="Youngstock","Bezerra/recria","Novilha"))))</f>
        <v>Bezerra/recria</v>
      </c>
      <c r="X3767" s="0" t="str">
        <f aca="false">IF(AND(B3767&gt;=1,B3767&lt;=6),"Tanque",IF(B3767=10,"Descarte",""))</f>
        <v/>
      </c>
    </row>
    <row r="3768" customFormat="false" ht="15" hidden="false" customHeight="false" outlineLevel="0" collapsed="false">
      <c r="A3768" s="22" t="n">
        <v>46309</v>
      </c>
      <c r="B3768" s="0" t="n">
        <v>16</v>
      </c>
      <c r="C3768" s="0" t="n">
        <v>8066</v>
      </c>
      <c r="E3768" s="0" t="n">
        <v>0</v>
      </c>
      <c r="F3768" s="23" t="s">
        <v>1613</v>
      </c>
      <c r="I3768" s="23" t="s">
        <v>1249</v>
      </c>
      <c r="U3768" s="0" t="n">
        <v>52</v>
      </c>
      <c r="V3768" s="0" t="n">
        <v>0</v>
      </c>
      <c r="W3768" s="0" t="str">
        <f aca="false">IF(OR(AND(B3768&gt;=1,B3768&lt;=6),B3768=10),"Vaca em lactação",IF(I3768="Male","Macho",IF(E3768&gt;=1,"Vaca seca",IF(I3768="Youngstock","Bezerra/recria","Novilha"))))</f>
        <v>Bezerra/recria</v>
      </c>
      <c r="X3768" s="0" t="str">
        <f aca="false">IF(AND(B3768&gt;=1,B3768&lt;=6),"Tanque",IF(B3768=10,"Descarte",""))</f>
        <v/>
      </c>
    </row>
    <row r="3769" customFormat="false" ht="15" hidden="false" customHeight="false" outlineLevel="0" collapsed="false">
      <c r="A3769" s="22" t="n">
        <v>46309</v>
      </c>
      <c r="B3769" s="0" t="n">
        <v>16</v>
      </c>
      <c r="C3769" s="0" t="n">
        <v>8065</v>
      </c>
      <c r="E3769" s="0" t="n">
        <v>0</v>
      </c>
      <c r="F3769" s="23" t="s">
        <v>1612</v>
      </c>
      <c r="I3769" s="23" t="s">
        <v>1249</v>
      </c>
      <c r="U3769" s="0" t="n">
        <v>53</v>
      </c>
      <c r="V3769" s="0" t="n">
        <v>0</v>
      </c>
      <c r="W3769" s="0" t="str">
        <f aca="false">IF(OR(AND(B3769&gt;=1,B3769&lt;=6),B3769=10),"Vaca em lactação",IF(I3769="Male","Macho",IF(E3769&gt;=1,"Vaca seca",IF(I3769="Youngstock","Bezerra/recria","Novilha"))))</f>
        <v>Bezerra/recria</v>
      </c>
      <c r="X3769" s="0" t="str">
        <f aca="false">IF(AND(B3769&gt;=1,B3769&lt;=6),"Tanque",IF(B3769=10,"Descarte",""))</f>
        <v/>
      </c>
    </row>
    <row r="3770" customFormat="false" ht="15" hidden="false" customHeight="false" outlineLevel="0" collapsed="false">
      <c r="A3770" s="22" t="n">
        <v>46309</v>
      </c>
      <c r="B3770" s="0" t="n">
        <v>16</v>
      </c>
      <c r="C3770" s="0" t="n">
        <v>8064</v>
      </c>
      <c r="E3770" s="0" t="n">
        <v>0</v>
      </c>
      <c r="F3770" s="23" t="s">
        <v>1612</v>
      </c>
      <c r="I3770" s="23" t="s">
        <v>1249</v>
      </c>
      <c r="U3770" s="0" t="n">
        <v>53</v>
      </c>
      <c r="V3770" s="0" t="n">
        <v>0</v>
      </c>
      <c r="W3770" s="0" t="str">
        <f aca="false">IF(OR(AND(B3770&gt;=1,B3770&lt;=6),B3770=10),"Vaca em lactação",IF(I3770="Male","Macho",IF(E3770&gt;=1,"Vaca seca",IF(I3770="Youngstock","Bezerra/recria","Novilha"))))</f>
        <v>Bezerra/recria</v>
      </c>
      <c r="X3770" s="0" t="str">
        <f aca="false">IF(AND(B3770&gt;=1,B3770&lt;=6),"Tanque",IF(B3770=10,"Descarte",""))</f>
        <v/>
      </c>
    </row>
    <row r="3771" customFormat="false" ht="15" hidden="false" customHeight="false" outlineLevel="0" collapsed="false">
      <c r="A3771" s="22" t="n">
        <v>46309</v>
      </c>
      <c r="B3771" s="0" t="n">
        <v>16</v>
      </c>
      <c r="C3771" s="0" t="n">
        <v>8023</v>
      </c>
      <c r="E3771" s="0" t="n">
        <v>0</v>
      </c>
      <c r="F3771" s="23" t="s">
        <v>1576</v>
      </c>
      <c r="I3771" s="23" t="s">
        <v>1249</v>
      </c>
      <c r="U3771" s="0" t="n">
        <v>65</v>
      </c>
      <c r="V3771" s="0" t="n">
        <v>0</v>
      </c>
      <c r="W3771" s="0" t="str">
        <f aca="false">IF(OR(AND(B3771&gt;=1,B3771&lt;=6),B3771=10),"Vaca em lactação",IF(I3771="Male","Macho",IF(E3771&gt;=1,"Vaca seca",IF(I3771="Youngstock","Bezerra/recria","Novilha"))))</f>
        <v>Bezerra/recria</v>
      </c>
      <c r="X3771" s="0" t="str">
        <f aca="false">IF(AND(B3771&gt;=1,B3771&lt;=6),"Tanque",IF(B3771=10,"Descarte",""))</f>
        <v/>
      </c>
    </row>
    <row r="3772" customFormat="false" ht="15" hidden="false" customHeight="false" outlineLevel="0" collapsed="false">
      <c r="A3772" s="22" t="n">
        <v>46309</v>
      </c>
      <c r="B3772" s="0" t="n">
        <v>16</v>
      </c>
      <c r="C3772" s="0" t="n">
        <v>8021</v>
      </c>
      <c r="E3772" s="0" t="n">
        <v>0</v>
      </c>
      <c r="F3772" s="23" t="s">
        <v>1576</v>
      </c>
      <c r="I3772" s="23" t="s">
        <v>1249</v>
      </c>
      <c r="U3772" s="0" t="n">
        <v>65</v>
      </c>
      <c r="V3772" s="0" t="n">
        <v>0</v>
      </c>
      <c r="W3772" s="0" t="str">
        <f aca="false">IF(OR(AND(B3772&gt;=1,B3772&lt;=6),B3772=10),"Vaca em lactação",IF(I3772="Male","Macho",IF(E3772&gt;=1,"Vaca seca",IF(I3772="Youngstock","Bezerra/recria","Novilha"))))</f>
        <v>Bezerra/recria</v>
      </c>
      <c r="X3772" s="0" t="str">
        <f aca="false">IF(AND(B3772&gt;=1,B3772&lt;=6),"Tanque",IF(B3772=10,"Descarte",""))</f>
        <v/>
      </c>
    </row>
    <row r="3773" customFormat="false" ht="15" hidden="false" customHeight="false" outlineLevel="0" collapsed="false">
      <c r="A3773" s="22" t="n">
        <v>46309</v>
      </c>
      <c r="B3773" s="0" t="n">
        <v>16</v>
      </c>
      <c r="C3773" s="0" t="n">
        <v>8020</v>
      </c>
      <c r="E3773" s="0" t="n">
        <v>0</v>
      </c>
      <c r="F3773" s="23" t="s">
        <v>1576</v>
      </c>
      <c r="I3773" s="23" t="s">
        <v>1249</v>
      </c>
      <c r="U3773" s="0" t="n">
        <v>65</v>
      </c>
      <c r="V3773" s="0" t="n">
        <v>0</v>
      </c>
      <c r="W3773" s="0" t="str">
        <f aca="false">IF(OR(AND(B3773&gt;=1,B3773&lt;=6),B3773=10),"Vaca em lactação",IF(I3773="Male","Macho",IF(E3773&gt;=1,"Vaca seca",IF(I3773="Youngstock","Bezerra/recria","Novilha"))))</f>
        <v>Bezerra/recria</v>
      </c>
      <c r="X3773" s="0" t="str">
        <f aca="false">IF(AND(B3773&gt;=1,B3773&lt;=6),"Tanque",IF(B3773=10,"Descarte",""))</f>
        <v/>
      </c>
    </row>
    <row r="3774" customFormat="false" ht="15" hidden="false" customHeight="false" outlineLevel="0" collapsed="false">
      <c r="A3774" s="22" t="n">
        <v>46309</v>
      </c>
      <c r="B3774" s="0" t="n">
        <v>16</v>
      </c>
      <c r="C3774" s="0" t="n">
        <v>8019</v>
      </c>
      <c r="E3774" s="0" t="n">
        <v>0</v>
      </c>
      <c r="F3774" s="23" t="s">
        <v>1576</v>
      </c>
      <c r="I3774" s="23" t="s">
        <v>1249</v>
      </c>
      <c r="U3774" s="0" t="n">
        <v>65</v>
      </c>
      <c r="V3774" s="0" t="n">
        <v>0</v>
      </c>
      <c r="W3774" s="0" t="str">
        <f aca="false">IF(OR(AND(B3774&gt;=1,B3774&lt;=6),B3774=10),"Vaca em lactação",IF(I3774="Male","Macho",IF(E3774&gt;=1,"Vaca seca",IF(I3774="Youngstock","Bezerra/recria","Novilha"))))</f>
        <v>Bezerra/recria</v>
      </c>
      <c r="X3774" s="0" t="str">
        <f aca="false">IF(AND(B3774&gt;=1,B3774&lt;=6),"Tanque",IF(B3774=10,"Descarte",""))</f>
        <v/>
      </c>
    </row>
    <row r="3775" customFormat="false" ht="15" hidden="false" customHeight="false" outlineLevel="0" collapsed="false">
      <c r="A3775" s="22" t="n">
        <v>46309</v>
      </c>
      <c r="B3775" s="0" t="n">
        <v>16</v>
      </c>
      <c r="C3775" s="0" t="n">
        <v>8018</v>
      </c>
      <c r="E3775" s="0" t="n">
        <v>0</v>
      </c>
      <c r="F3775" s="23" t="s">
        <v>1576</v>
      </c>
      <c r="I3775" s="23" t="s">
        <v>1249</v>
      </c>
      <c r="U3775" s="0" t="n">
        <v>65</v>
      </c>
      <c r="V3775" s="0" t="n">
        <v>0</v>
      </c>
      <c r="W3775" s="0" t="str">
        <f aca="false">IF(OR(AND(B3775&gt;=1,B3775&lt;=6),B3775=10),"Vaca em lactação",IF(I3775="Male","Macho",IF(E3775&gt;=1,"Vaca seca",IF(I3775="Youngstock","Bezerra/recria","Novilha"))))</f>
        <v>Bezerra/recria</v>
      </c>
      <c r="X3775" s="0" t="str">
        <f aca="false">IF(AND(B3775&gt;=1,B3775&lt;=6),"Tanque",IF(B3775=10,"Descarte",""))</f>
        <v/>
      </c>
    </row>
    <row r="3776" customFormat="false" ht="15" hidden="false" customHeight="false" outlineLevel="0" collapsed="false">
      <c r="A3776" s="22" t="n">
        <v>46309</v>
      </c>
      <c r="B3776" s="0" t="n">
        <v>16</v>
      </c>
      <c r="C3776" s="0" t="n">
        <v>8015</v>
      </c>
      <c r="E3776" s="0" t="n">
        <v>0</v>
      </c>
      <c r="F3776" s="23" t="s">
        <v>1575</v>
      </c>
      <c r="I3776" s="23" t="s">
        <v>1249</v>
      </c>
      <c r="U3776" s="0" t="n">
        <v>66</v>
      </c>
      <c r="V3776" s="0" t="n">
        <v>0</v>
      </c>
      <c r="W3776" s="0" t="str">
        <f aca="false">IF(OR(AND(B3776&gt;=1,B3776&lt;=6),B3776=10),"Vaca em lactação",IF(I3776="Male","Macho",IF(E3776&gt;=1,"Vaca seca",IF(I3776="Youngstock","Bezerra/recria","Novilha"))))</f>
        <v>Bezerra/recria</v>
      </c>
      <c r="X3776" s="0" t="str">
        <f aca="false">IF(AND(B3776&gt;=1,B3776&lt;=6),"Tanque",IF(B3776=10,"Descarte",""))</f>
        <v/>
      </c>
    </row>
    <row r="3777" customFormat="false" ht="15" hidden="false" customHeight="false" outlineLevel="0" collapsed="false">
      <c r="A3777" s="22" t="n">
        <v>46309</v>
      </c>
      <c r="B3777" s="0" t="n">
        <v>16</v>
      </c>
      <c r="C3777" s="0" t="n">
        <v>8014</v>
      </c>
      <c r="E3777" s="0" t="n">
        <v>0</v>
      </c>
      <c r="F3777" s="23" t="s">
        <v>1575</v>
      </c>
      <c r="I3777" s="23" t="s">
        <v>1249</v>
      </c>
      <c r="U3777" s="0" t="n">
        <v>66</v>
      </c>
      <c r="V3777" s="0" t="n">
        <v>0</v>
      </c>
      <c r="W3777" s="0" t="str">
        <f aca="false">IF(OR(AND(B3777&gt;=1,B3777&lt;=6),B3777=10),"Vaca em lactação",IF(I3777="Male","Macho",IF(E3777&gt;=1,"Vaca seca",IF(I3777="Youngstock","Bezerra/recria","Novilha"))))</f>
        <v>Bezerra/recria</v>
      </c>
      <c r="X3777" s="0" t="str">
        <f aca="false">IF(AND(B3777&gt;=1,B3777&lt;=6),"Tanque",IF(B3777=10,"Descarte",""))</f>
        <v/>
      </c>
    </row>
    <row r="3778" customFormat="false" ht="15" hidden="false" customHeight="false" outlineLevel="0" collapsed="false">
      <c r="A3778" s="22" t="n">
        <v>46309</v>
      </c>
      <c r="B3778" s="0" t="n">
        <v>16</v>
      </c>
      <c r="C3778" s="0" t="n">
        <v>8025</v>
      </c>
      <c r="E3778" s="0" t="n">
        <v>0</v>
      </c>
      <c r="F3778" s="23" t="s">
        <v>1614</v>
      </c>
      <c r="I3778" s="23" t="s">
        <v>1249</v>
      </c>
      <c r="U3778" s="0" t="n">
        <v>64</v>
      </c>
      <c r="V3778" s="0" t="n">
        <v>0</v>
      </c>
      <c r="W3778" s="0" t="str">
        <f aca="false">IF(OR(AND(B3778&gt;=1,B3778&lt;=6),B3778=10),"Vaca em lactação",IF(I3778="Male","Macho",IF(E3778&gt;=1,"Vaca seca",IF(I3778="Youngstock","Bezerra/recria","Novilha"))))</f>
        <v>Bezerra/recria</v>
      </c>
      <c r="X3778" s="0" t="str">
        <f aca="false">IF(AND(B3778&gt;=1,B3778&lt;=6),"Tanque",IF(B3778=10,"Descarte",""))</f>
        <v/>
      </c>
    </row>
    <row r="3779" customFormat="false" ht="15" hidden="false" customHeight="false" outlineLevel="0" collapsed="false">
      <c r="A3779" s="22" t="n">
        <v>46309</v>
      </c>
      <c r="B3779" s="0" t="n">
        <v>16</v>
      </c>
      <c r="C3779" s="0" t="n">
        <v>8027</v>
      </c>
      <c r="E3779" s="0" t="n">
        <v>0</v>
      </c>
      <c r="F3779" s="23" t="s">
        <v>1614</v>
      </c>
      <c r="I3779" s="23" t="s">
        <v>1249</v>
      </c>
      <c r="U3779" s="0" t="n">
        <v>64</v>
      </c>
      <c r="V3779" s="0" t="n">
        <v>0</v>
      </c>
      <c r="W3779" s="0" t="str">
        <f aca="false">IF(OR(AND(B3779&gt;=1,B3779&lt;=6),B3779=10),"Vaca em lactação",IF(I3779="Male","Macho",IF(E3779&gt;=1,"Vaca seca",IF(I3779="Youngstock","Bezerra/recria","Novilha"))))</f>
        <v>Bezerra/recria</v>
      </c>
      <c r="X3779" s="0" t="str">
        <f aca="false">IF(AND(B3779&gt;=1,B3779&lt;=6),"Tanque",IF(B3779=10,"Descarte",""))</f>
        <v/>
      </c>
    </row>
    <row r="3780" customFormat="false" ht="15" hidden="false" customHeight="false" outlineLevel="0" collapsed="false">
      <c r="A3780" s="22" t="n">
        <v>46309</v>
      </c>
      <c r="B3780" s="0" t="n">
        <v>16</v>
      </c>
      <c r="C3780" s="0" t="n">
        <v>8026</v>
      </c>
      <c r="E3780" s="0" t="n">
        <v>0</v>
      </c>
      <c r="F3780" s="23" t="s">
        <v>1614</v>
      </c>
      <c r="I3780" s="23" t="s">
        <v>1249</v>
      </c>
      <c r="U3780" s="0" t="n">
        <v>64</v>
      </c>
      <c r="V3780" s="0" t="n">
        <v>0</v>
      </c>
      <c r="W3780" s="0" t="str">
        <f aca="false">IF(OR(AND(B3780&gt;=1,B3780&lt;=6),B3780=10),"Vaca em lactação",IF(I3780="Male","Macho",IF(E3780&gt;=1,"Vaca seca",IF(I3780="Youngstock","Bezerra/recria","Novilha"))))</f>
        <v>Bezerra/recria</v>
      </c>
      <c r="X3780" s="0" t="str">
        <f aca="false">IF(AND(B3780&gt;=1,B3780&lt;=6),"Tanque",IF(B3780=10,"Descarte",""))</f>
        <v/>
      </c>
    </row>
    <row r="3781" customFormat="false" ht="15" hidden="false" customHeight="false" outlineLevel="0" collapsed="false">
      <c r="A3781" s="22" t="n">
        <v>46309</v>
      </c>
      <c r="B3781" s="0" t="n">
        <v>16</v>
      </c>
      <c r="C3781" s="0" t="n">
        <v>8028</v>
      </c>
      <c r="E3781" s="0" t="n">
        <v>0</v>
      </c>
      <c r="F3781" s="23" t="s">
        <v>1577</v>
      </c>
      <c r="I3781" s="23" t="s">
        <v>1249</v>
      </c>
      <c r="U3781" s="0" t="n">
        <v>63</v>
      </c>
      <c r="V3781" s="0" t="n">
        <v>0</v>
      </c>
      <c r="W3781" s="0" t="str">
        <f aca="false">IF(OR(AND(B3781&gt;=1,B3781&lt;=6),B3781=10),"Vaca em lactação",IF(I3781="Male","Macho",IF(E3781&gt;=1,"Vaca seca",IF(I3781="Youngstock","Bezerra/recria","Novilha"))))</f>
        <v>Bezerra/recria</v>
      </c>
      <c r="X3781" s="0" t="str">
        <f aca="false">IF(AND(B3781&gt;=1,B3781&lt;=6),"Tanque",IF(B3781=10,"Descarte",""))</f>
        <v/>
      </c>
    </row>
    <row r="3782" customFormat="false" ht="15" hidden="false" customHeight="false" outlineLevel="0" collapsed="false">
      <c r="A3782" s="22" t="n">
        <v>46309</v>
      </c>
      <c r="B3782" s="0" t="n">
        <v>16</v>
      </c>
      <c r="C3782" s="0" t="n">
        <v>8032</v>
      </c>
      <c r="E3782" s="0" t="n">
        <v>0</v>
      </c>
      <c r="F3782" s="23" t="s">
        <v>1578</v>
      </c>
      <c r="I3782" s="23" t="s">
        <v>1249</v>
      </c>
      <c r="U3782" s="0" t="n">
        <v>62</v>
      </c>
      <c r="V3782" s="0" t="n">
        <v>0</v>
      </c>
      <c r="W3782" s="0" t="str">
        <f aca="false">IF(OR(AND(B3782&gt;=1,B3782&lt;=6),B3782=10),"Vaca em lactação",IF(I3782="Male","Macho",IF(E3782&gt;=1,"Vaca seca",IF(I3782="Youngstock","Bezerra/recria","Novilha"))))</f>
        <v>Bezerra/recria</v>
      </c>
      <c r="X3782" s="0" t="str">
        <f aca="false">IF(AND(B3782&gt;=1,B3782&lt;=6),"Tanque",IF(B3782=10,"Descarte",""))</f>
        <v/>
      </c>
    </row>
    <row r="3783" customFormat="false" ht="15" hidden="false" customHeight="false" outlineLevel="0" collapsed="false">
      <c r="A3783" s="22" t="n">
        <v>46309</v>
      </c>
      <c r="B3783" s="0" t="n">
        <v>16</v>
      </c>
      <c r="C3783" s="0" t="n">
        <v>8031</v>
      </c>
      <c r="E3783" s="0" t="n">
        <v>0</v>
      </c>
      <c r="F3783" s="23" t="s">
        <v>1578</v>
      </c>
      <c r="I3783" s="23" t="s">
        <v>1249</v>
      </c>
      <c r="U3783" s="0" t="n">
        <v>62</v>
      </c>
      <c r="V3783" s="0" t="n">
        <v>0</v>
      </c>
      <c r="W3783" s="0" t="str">
        <f aca="false">IF(OR(AND(B3783&gt;=1,B3783&lt;=6),B3783=10),"Vaca em lactação",IF(I3783="Male","Macho",IF(E3783&gt;=1,"Vaca seca",IF(I3783="Youngstock","Bezerra/recria","Novilha"))))</f>
        <v>Bezerra/recria</v>
      </c>
      <c r="X3783" s="0" t="str">
        <f aca="false">IF(AND(B3783&gt;=1,B3783&lt;=6),"Tanque",IF(B3783=10,"Descarte",""))</f>
        <v/>
      </c>
    </row>
    <row r="3784" customFormat="false" ht="15" hidden="false" customHeight="false" outlineLevel="0" collapsed="false">
      <c r="A3784" s="22" t="n">
        <v>46309</v>
      </c>
      <c r="B3784" s="0" t="n">
        <v>16</v>
      </c>
      <c r="C3784" s="0" t="n">
        <v>8030</v>
      </c>
      <c r="E3784" s="0" t="n">
        <v>0</v>
      </c>
      <c r="F3784" s="23" t="s">
        <v>1578</v>
      </c>
      <c r="I3784" s="23" t="s">
        <v>1249</v>
      </c>
      <c r="U3784" s="0" t="n">
        <v>62</v>
      </c>
      <c r="V3784" s="0" t="n">
        <v>0</v>
      </c>
      <c r="W3784" s="0" t="str">
        <f aca="false">IF(OR(AND(B3784&gt;=1,B3784&lt;=6),B3784=10),"Vaca em lactação",IF(I3784="Male","Macho",IF(E3784&gt;=1,"Vaca seca",IF(I3784="Youngstock","Bezerra/recria","Novilha"))))</f>
        <v>Bezerra/recria</v>
      </c>
      <c r="X3784" s="0" t="str">
        <f aca="false">IF(AND(B3784&gt;=1,B3784&lt;=6),"Tanque",IF(B3784=10,"Descarte",""))</f>
        <v/>
      </c>
    </row>
    <row r="3785" customFormat="false" ht="15" hidden="false" customHeight="false" outlineLevel="0" collapsed="false">
      <c r="A3785" s="22" t="n">
        <v>46309</v>
      </c>
      <c r="B3785" s="0" t="n">
        <v>16</v>
      </c>
      <c r="C3785" s="0" t="n">
        <v>8035</v>
      </c>
      <c r="E3785" s="0" t="n">
        <v>0</v>
      </c>
      <c r="F3785" s="23" t="s">
        <v>1615</v>
      </c>
      <c r="I3785" s="23" t="s">
        <v>1249</v>
      </c>
      <c r="U3785" s="0" t="n">
        <v>60</v>
      </c>
      <c r="V3785" s="0" t="n">
        <v>0</v>
      </c>
      <c r="W3785" s="0" t="str">
        <f aca="false">IF(OR(AND(B3785&gt;=1,B3785&lt;=6),B3785=10),"Vaca em lactação",IF(I3785="Male","Macho",IF(E3785&gt;=1,"Vaca seca",IF(I3785="Youngstock","Bezerra/recria","Novilha"))))</f>
        <v>Bezerra/recria</v>
      </c>
      <c r="X3785" s="0" t="str">
        <f aca="false">IF(AND(B3785&gt;=1,B3785&lt;=6),"Tanque",IF(B3785=10,"Descarte",""))</f>
        <v/>
      </c>
    </row>
    <row r="3786" customFormat="false" ht="15" hidden="false" customHeight="false" outlineLevel="0" collapsed="false">
      <c r="A3786" s="22" t="n">
        <v>46309</v>
      </c>
      <c r="B3786" s="0" t="n">
        <v>16</v>
      </c>
      <c r="C3786" s="0" t="n">
        <v>8034</v>
      </c>
      <c r="E3786" s="0" t="n">
        <v>0</v>
      </c>
      <c r="F3786" s="23" t="s">
        <v>1616</v>
      </c>
      <c r="I3786" s="23" t="s">
        <v>1249</v>
      </c>
      <c r="U3786" s="0" t="n">
        <v>61</v>
      </c>
      <c r="V3786" s="0" t="n">
        <v>0</v>
      </c>
      <c r="W3786" s="0" t="str">
        <f aca="false">IF(OR(AND(B3786&gt;=1,B3786&lt;=6),B3786=10),"Vaca em lactação",IF(I3786="Male","Macho",IF(E3786&gt;=1,"Vaca seca",IF(I3786="Youngstock","Bezerra/recria","Novilha"))))</f>
        <v>Bezerra/recria</v>
      </c>
      <c r="X3786" s="0" t="str">
        <f aca="false">IF(AND(B3786&gt;=1,B3786&lt;=6),"Tanque",IF(B3786=10,"Descarte",""))</f>
        <v/>
      </c>
    </row>
    <row r="3787" customFormat="false" ht="15" hidden="false" customHeight="false" outlineLevel="0" collapsed="false">
      <c r="A3787" s="22" t="n">
        <v>46309</v>
      </c>
      <c r="B3787" s="0" t="n">
        <v>16</v>
      </c>
      <c r="C3787" s="0" t="n">
        <v>8036</v>
      </c>
      <c r="E3787" s="0" t="n">
        <v>0</v>
      </c>
      <c r="F3787" s="23" t="s">
        <v>1615</v>
      </c>
      <c r="I3787" s="23" t="s">
        <v>1249</v>
      </c>
      <c r="U3787" s="0" t="n">
        <v>60</v>
      </c>
      <c r="V3787" s="0" t="n">
        <v>0</v>
      </c>
      <c r="W3787" s="0" t="str">
        <f aca="false">IF(OR(AND(B3787&gt;=1,B3787&lt;=6),B3787=10),"Vaca em lactação",IF(I3787="Male","Macho",IF(E3787&gt;=1,"Vaca seca",IF(I3787="Youngstock","Bezerra/recria","Novilha"))))</f>
        <v>Bezerra/recria</v>
      </c>
      <c r="X3787" s="0" t="str">
        <f aca="false">IF(AND(B3787&gt;=1,B3787&lt;=6),"Tanque",IF(B3787=10,"Descarte",""))</f>
        <v/>
      </c>
    </row>
    <row r="3788" customFormat="false" ht="15" hidden="false" customHeight="false" outlineLevel="0" collapsed="false">
      <c r="A3788" s="22" t="n">
        <v>46309</v>
      </c>
      <c r="B3788" s="0" t="n">
        <v>16</v>
      </c>
      <c r="C3788" s="0" t="n">
        <v>8038</v>
      </c>
      <c r="E3788" s="0" t="n">
        <v>0</v>
      </c>
      <c r="F3788" s="23" t="s">
        <v>1615</v>
      </c>
      <c r="I3788" s="23" t="s">
        <v>1249</v>
      </c>
      <c r="U3788" s="0" t="n">
        <v>60</v>
      </c>
      <c r="V3788" s="0" t="n">
        <v>0</v>
      </c>
      <c r="W3788" s="0" t="str">
        <f aca="false">IF(OR(AND(B3788&gt;=1,B3788&lt;=6),B3788=10),"Vaca em lactação",IF(I3788="Male","Macho",IF(E3788&gt;=1,"Vaca seca",IF(I3788="Youngstock","Bezerra/recria","Novilha"))))</f>
        <v>Bezerra/recria</v>
      </c>
      <c r="X3788" s="0" t="str">
        <f aca="false">IF(AND(B3788&gt;=1,B3788&lt;=6),"Tanque",IF(B3788=10,"Descarte",""))</f>
        <v/>
      </c>
    </row>
    <row r="3789" customFormat="false" ht="15" hidden="false" customHeight="false" outlineLevel="0" collapsed="false">
      <c r="A3789" s="22" t="n">
        <v>46309</v>
      </c>
      <c r="B3789" s="0" t="n">
        <v>16</v>
      </c>
      <c r="C3789" s="0" t="n">
        <v>8037</v>
      </c>
      <c r="E3789" s="0" t="n">
        <v>0</v>
      </c>
      <c r="F3789" s="23" t="s">
        <v>1615</v>
      </c>
      <c r="I3789" s="23" t="s">
        <v>1249</v>
      </c>
      <c r="U3789" s="0" t="n">
        <v>60</v>
      </c>
      <c r="V3789" s="0" t="n">
        <v>0</v>
      </c>
      <c r="W3789" s="0" t="str">
        <f aca="false">IF(OR(AND(B3789&gt;=1,B3789&lt;=6),B3789=10),"Vaca em lactação",IF(I3789="Male","Macho",IF(E3789&gt;=1,"Vaca seca",IF(I3789="Youngstock","Bezerra/recria","Novilha"))))</f>
        <v>Bezerra/recria</v>
      </c>
      <c r="X3789" s="0" t="str">
        <f aca="false">IF(AND(B3789&gt;=1,B3789&lt;=6),"Tanque",IF(B3789=10,"Descarte",""))</f>
        <v/>
      </c>
    </row>
    <row r="3790" customFormat="false" ht="15" hidden="false" customHeight="false" outlineLevel="0" collapsed="false">
      <c r="A3790" s="22" t="n">
        <v>46309</v>
      </c>
      <c r="B3790" s="0" t="n">
        <v>16</v>
      </c>
      <c r="C3790" s="0" t="n">
        <v>7995</v>
      </c>
      <c r="E3790" s="0" t="n">
        <v>0</v>
      </c>
      <c r="F3790" s="23" t="s">
        <v>1617</v>
      </c>
      <c r="I3790" s="23" t="s">
        <v>1249</v>
      </c>
      <c r="U3790" s="0" t="n">
        <v>72</v>
      </c>
      <c r="V3790" s="0" t="n">
        <v>0</v>
      </c>
      <c r="W3790" s="0" t="str">
        <f aca="false">IF(OR(AND(B3790&gt;=1,B3790&lt;=6),B3790=10),"Vaca em lactação",IF(I3790="Male","Macho",IF(E3790&gt;=1,"Vaca seca",IF(I3790="Youngstock","Bezerra/recria","Novilha"))))</f>
        <v>Bezerra/recria</v>
      </c>
      <c r="X3790" s="0" t="str">
        <f aca="false">IF(AND(B3790&gt;=1,B3790&lt;=6),"Tanque",IF(B3790=10,"Descarte",""))</f>
        <v/>
      </c>
    </row>
    <row r="3791" customFormat="false" ht="15" hidden="false" customHeight="false" outlineLevel="0" collapsed="false">
      <c r="A3791" s="22" t="n">
        <v>46309</v>
      </c>
      <c r="B3791" s="0" t="n">
        <v>16</v>
      </c>
      <c r="C3791" s="0" t="n">
        <v>7994</v>
      </c>
      <c r="E3791" s="0" t="n">
        <v>0</v>
      </c>
      <c r="F3791" s="23" t="s">
        <v>1617</v>
      </c>
      <c r="I3791" s="23" t="s">
        <v>1249</v>
      </c>
      <c r="U3791" s="0" t="n">
        <v>72</v>
      </c>
      <c r="V3791" s="0" t="n">
        <v>0</v>
      </c>
      <c r="W3791" s="0" t="str">
        <f aca="false">IF(OR(AND(B3791&gt;=1,B3791&lt;=6),B3791=10),"Vaca em lactação",IF(I3791="Male","Macho",IF(E3791&gt;=1,"Vaca seca",IF(I3791="Youngstock","Bezerra/recria","Novilha"))))</f>
        <v>Bezerra/recria</v>
      </c>
      <c r="X3791" s="0" t="str">
        <f aca="false">IF(AND(B3791&gt;=1,B3791&lt;=6),"Tanque",IF(B3791=10,"Descarte",""))</f>
        <v/>
      </c>
    </row>
    <row r="3792" customFormat="false" ht="15" hidden="false" customHeight="false" outlineLevel="0" collapsed="false">
      <c r="A3792" s="22" t="n">
        <v>46309</v>
      </c>
      <c r="B3792" s="0" t="n">
        <v>16</v>
      </c>
      <c r="C3792" s="0" t="n">
        <v>7993</v>
      </c>
      <c r="E3792" s="0" t="n">
        <v>0</v>
      </c>
      <c r="F3792" s="23" t="s">
        <v>1618</v>
      </c>
      <c r="I3792" s="23" t="s">
        <v>1249</v>
      </c>
      <c r="U3792" s="0" t="n">
        <v>73</v>
      </c>
      <c r="V3792" s="0" t="n">
        <v>0</v>
      </c>
      <c r="W3792" s="0" t="str">
        <f aca="false">IF(OR(AND(B3792&gt;=1,B3792&lt;=6),B3792=10),"Vaca em lactação",IF(I3792="Male","Macho",IF(E3792&gt;=1,"Vaca seca",IF(I3792="Youngstock","Bezerra/recria","Novilha"))))</f>
        <v>Bezerra/recria</v>
      </c>
      <c r="X3792" s="0" t="str">
        <f aca="false">IF(AND(B3792&gt;=1,B3792&lt;=6),"Tanque",IF(B3792=10,"Descarte",""))</f>
        <v/>
      </c>
    </row>
    <row r="3793" customFormat="false" ht="15" hidden="false" customHeight="false" outlineLevel="0" collapsed="false">
      <c r="A3793" s="22" t="n">
        <v>46309</v>
      </c>
      <c r="B3793" s="0" t="n">
        <v>16</v>
      </c>
      <c r="C3793" s="0" t="n">
        <v>7992</v>
      </c>
      <c r="E3793" s="0" t="n">
        <v>0</v>
      </c>
      <c r="F3793" s="23" t="s">
        <v>1618</v>
      </c>
      <c r="I3793" s="23" t="s">
        <v>1249</v>
      </c>
      <c r="U3793" s="0" t="n">
        <v>73</v>
      </c>
      <c r="V3793" s="0" t="n">
        <v>0</v>
      </c>
      <c r="W3793" s="0" t="str">
        <f aca="false">IF(OR(AND(B3793&gt;=1,B3793&lt;=6),B3793=10),"Vaca em lactação",IF(I3793="Male","Macho",IF(E3793&gt;=1,"Vaca seca",IF(I3793="Youngstock","Bezerra/recria","Novilha"))))</f>
        <v>Bezerra/recria</v>
      </c>
      <c r="X3793" s="0" t="str">
        <f aca="false">IF(AND(B3793&gt;=1,B3793&lt;=6),"Tanque",IF(B3793=10,"Descarte",""))</f>
        <v/>
      </c>
    </row>
    <row r="3794" customFormat="false" ht="15" hidden="false" customHeight="false" outlineLevel="0" collapsed="false">
      <c r="A3794" s="22" t="n">
        <v>46309</v>
      </c>
      <c r="B3794" s="0" t="n">
        <v>16</v>
      </c>
      <c r="C3794" s="0" t="n">
        <v>7998</v>
      </c>
      <c r="E3794" s="0" t="n">
        <v>0</v>
      </c>
      <c r="F3794" s="23" t="s">
        <v>1619</v>
      </c>
      <c r="I3794" s="23" t="s">
        <v>1249</v>
      </c>
      <c r="U3794" s="0" t="n">
        <v>71</v>
      </c>
      <c r="V3794" s="0" t="n">
        <v>0</v>
      </c>
      <c r="W3794" s="0" t="str">
        <f aca="false">IF(OR(AND(B3794&gt;=1,B3794&lt;=6),B3794=10),"Vaca em lactação",IF(I3794="Male","Macho",IF(E3794&gt;=1,"Vaca seca",IF(I3794="Youngstock","Bezerra/recria","Novilha"))))</f>
        <v>Bezerra/recria</v>
      </c>
      <c r="X3794" s="0" t="str">
        <f aca="false">IF(AND(B3794&gt;=1,B3794&lt;=6),"Tanque",IF(B3794=10,"Descarte",""))</f>
        <v/>
      </c>
    </row>
    <row r="3795" customFormat="false" ht="15" hidden="false" customHeight="false" outlineLevel="0" collapsed="false">
      <c r="A3795" s="22" t="n">
        <v>46309</v>
      </c>
      <c r="B3795" s="0" t="n">
        <v>16</v>
      </c>
      <c r="C3795" s="0" t="n">
        <v>7997</v>
      </c>
      <c r="E3795" s="0" t="n">
        <v>0</v>
      </c>
      <c r="F3795" s="23" t="s">
        <v>1619</v>
      </c>
      <c r="I3795" s="23" t="s">
        <v>1249</v>
      </c>
      <c r="U3795" s="0" t="n">
        <v>71</v>
      </c>
      <c r="V3795" s="0" t="n">
        <v>0</v>
      </c>
      <c r="W3795" s="0" t="str">
        <f aca="false">IF(OR(AND(B3795&gt;=1,B3795&lt;=6),B3795=10),"Vaca em lactação",IF(I3795="Male","Macho",IF(E3795&gt;=1,"Vaca seca",IF(I3795="Youngstock","Bezerra/recria","Novilha"))))</f>
        <v>Bezerra/recria</v>
      </c>
      <c r="X3795" s="0" t="str">
        <f aca="false">IF(AND(B3795&gt;=1,B3795&lt;=6),"Tanque",IF(B3795=10,"Descarte",""))</f>
        <v/>
      </c>
    </row>
    <row r="3796" customFormat="false" ht="15" hidden="false" customHeight="false" outlineLevel="0" collapsed="false">
      <c r="A3796" s="22" t="n">
        <v>46309</v>
      </c>
      <c r="B3796" s="0" t="n">
        <v>16</v>
      </c>
      <c r="C3796" s="0" t="n">
        <v>7996</v>
      </c>
      <c r="E3796" s="0" t="n">
        <v>0</v>
      </c>
      <c r="F3796" s="23" t="s">
        <v>1617</v>
      </c>
      <c r="I3796" s="23" t="s">
        <v>1249</v>
      </c>
      <c r="U3796" s="0" t="n">
        <v>72</v>
      </c>
      <c r="V3796" s="0" t="n">
        <v>0</v>
      </c>
      <c r="W3796" s="0" t="str">
        <f aca="false">IF(OR(AND(B3796&gt;=1,B3796&lt;=6),B3796=10),"Vaca em lactação",IF(I3796="Male","Macho",IF(E3796&gt;=1,"Vaca seca",IF(I3796="Youngstock","Bezerra/recria","Novilha"))))</f>
        <v>Bezerra/recria</v>
      </c>
      <c r="X3796" s="0" t="str">
        <f aca="false">IF(AND(B3796&gt;=1,B3796&lt;=6),"Tanque",IF(B3796=10,"Descarte",""))</f>
        <v/>
      </c>
    </row>
    <row r="3797" customFormat="false" ht="15" hidden="false" customHeight="false" outlineLevel="0" collapsed="false">
      <c r="A3797" s="22" t="n">
        <v>46309</v>
      </c>
      <c r="B3797" s="0" t="n">
        <v>16</v>
      </c>
      <c r="C3797" s="0" t="n">
        <v>8003</v>
      </c>
      <c r="E3797" s="0" t="n">
        <v>0</v>
      </c>
      <c r="F3797" s="23" t="s">
        <v>1569</v>
      </c>
      <c r="I3797" s="23" t="s">
        <v>1249</v>
      </c>
      <c r="U3797" s="0" t="n">
        <v>69</v>
      </c>
      <c r="V3797" s="0" t="n">
        <v>0</v>
      </c>
      <c r="W3797" s="0" t="str">
        <f aca="false">IF(OR(AND(B3797&gt;=1,B3797&lt;=6),B3797=10),"Vaca em lactação",IF(I3797="Male","Macho",IF(E3797&gt;=1,"Vaca seca",IF(I3797="Youngstock","Bezerra/recria","Novilha"))))</f>
        <v>Bezerra/recria</v>
      </c>
      <c r="X3797" s="0" t="str">
        <f aca="false">IF(AND(B3797&gt;=1,B3797&lt;=6),"Tanque",IF(B3797=10,"Descarte",""))</f>
        <v/>
      </c>
    </row>
    <row r="3798" customFormat="false" ht="15" hidden="false" customHeight="false" outlineLevel="0" collapsed="false">
      <c r="A3798" s="22" t="n">
        <v>46309</v>
      </c>
      <c r="B3798" s="0" t="n">
        <v>16</v>
      </c>
      <c r="C3798" s="0" t="n">
        <v>8002</v>
      </c>
      <c r="E3798" s="0" t="n">
        <v>0</v>
      </c>
      <c r="F3798" s="23" t="s">
        <v>1620</v>
      </c>
      <c r="I3798" s="23" t="s">
        <v>1249</v>
      </c>
      <c r="U3798" s="0" t="n">
        <v>70</v>
      </c>
      <c r="V3798" s="0" t="n">
        <v>0</v>
      </c>
      <c r="W3798" s="0" t="str">
        <f aca="false">IF(OR(AND(B3798&gt;=1,B3798&lt;=6),B3798=10),"Vaca em lactação",IF(I3798="Male","Macho",IF(E3798&gt;=1,"Vaca seca",IF(I3798="Youngstock","Bezerra/recria","Novilha"))))</f>
        <v>Bezerra/recria</v>
      </c>
      <c r="X3798" s="0" t="str">
        <f aca="false">IF(AND(B3798&gt;=1,B3798&lt;=6),"Tanque",IF(B3798=10,"Descarte",""))</f>
        <v/>
      </c>
    </row>
    <row r="3799" customFormat="false" ht="15" hidden="false" customHeight="false" outlineLevel="0" collapsed="false">
      <c r="A3799" s="22" t="n">
        <v>46309</v>
      </c>
      <c r="B3799" s="0" t="n">
        <v>16</v>
      </c>
      <c r="C3799" s="0" t="n">
        <v>8001</v>
      </c>
      <c r="E3799" s="0" t="n">
        <v>0</v>
      </c>
      <c r="F3799" s="23" t="s">
        <v>1620</v>
      </c>
      <c r="I3799" s="23" t="s">
        <v>1249</v>
      </c>
      <c r="U3799" s="0" t="n">
        <v>70</v>
      </c>
      <c r="V3799" s="0" t="n">
        <v>0</v>
      </c>
      <c r="W3799" s="0" t="str">
        <f aca="false">IF(OR(AND(B3799&gt;=1,B3799&lt;=6),B3799=10),"Vaca em lactação",IF(I3799="Male","Macho",IF(E3799&gt;=1,"Vaca seca",IF(I3799="Youngstock","Bezerra/recria","Novilha"))))</f>
        <v>Bezerra/recria</v>
      </c>
      <c r="X3799" s="0" t="str">
        <f aca="false">IF(AND(B3799&gt;=1,B3799&lt;=6),"Tanque",IF(B3799=10,"Descarte",""))</f>
        <v/>
      </c>
    </row>
    <row r="3800" customFormat="false" ht="15" hidden="false" customHeight="false" outlineLevel="0" collapsed="false">
      <c r="A3800" s="22" t="n">
        <v>46309</v>
      </c>
      <c r="B3800" s="0" t="n">
        <v>16</v>
      </c>
      <c r="C3800" s="0" t="n">
        <v>8000</v>
      </c>
      <c r="E3800" s="0" t="n">
        <v>0</v>
      </c>
      <c r="F3800" s="23" t="s">
        <v>1620</v>
      </c>
      <c r="I3800" s="23" t="s">
        <v>1249</v>
      </c>
      <c r="U3800" s="0" t="n">
        <v>70</v>
      </c>
      <c r="V3800" s="0" t="n">
        <v>0</v>
      </c>
      <c r="W3800" s="0" t="str">
        <f aca="false">IF(OR(AND(B3800&gt;=1,B3800&lt;=6),B3800=10),"Vaca em lactação",IF(I3800="Male","Macho",IF(E3800&gt;=1,"Vaca seca",IF(I3800="Youngstock","Bezerra/recria","Novilha"))))</f>
        <v>Bezerra/recria</v>
      </c>
      <c r="X3800" s="0" t="str">
        <f aca="false">IF(AND(B3800&gt;=1,B3800&lt;=6),"Tanque",IF(B3800=10,"Descarte",""))</f>
        <v/>
      </c>
    </row>
    <row r="3801" customFormat="false" ht="15" hidden="false" customHeight="false" outlineLevel="0" collapsed="false">
      <c r="A3801" s="22" t="n">
        <v>46309</v>
      </c>
      <c r="B3801" s="0" t="n">
        <v>16</v>
      </c>
      <c r="C3801" s="0" t="n">
        <v>8007</v>
      </c>
      <c r="E3801" s="0" t="n">
        <v>0</v>
      </c>
      <c r="F3801" s="23" t="s">
        <v>1621</v>
      </c>
      <c r="I3801" s="23" t="s">
        <v>1249</v>
      </c>
      <c r="U3801" s="0" t="n">
        <v>68</v>
      </c>
      <c r="V3801" s="0" t="n">
        <v>0</v>
      </c>
      <c r="W3801" s="0" t="str">
        <f aca="false">IF(OR(AND(B3801&gt;=1,B3801&lt;=6),B3801=10),"Vaca em lactação",IF(I3801="Male","Macho",IF(E3801&gt;=1,"Vaca seca",IF(I3801="Youngstock","Bezerra/recria","Novilha"))))</f>
        <v>Bezerra/recria</v>
      </c>
      <c r="X3801" s="0" t="str">
        <f aca="false">IF(AND(B3801&gt;=1,B3801&lt;=6),"Tanque",IF(B3801=10,"Descarte",""))</f>
        <v/>
      </c>
    </row>
    <row r="3802" customFormat="false" ht="15" hidden="false" customHeight="false" outlineLevel="0" collapsed="false">
      <c r="A3802" s="22" t="n">
        <v>46309</v>
      </c>
      <c r="B3802" s="0" t="n">
        <v>16</v>
      </c>
      <c r="C3802" s="0" t="n">
        <v>8006</v>
      </c>
      <c r="E3802" s="0" t="n">
        <v>0</v>
      </c>
      <c r="F3802" s="23" t="s">
        <v>1621</v>
      </c>
      <c r="I3802" s="23" t="s">
        <v>1249</v>
      </c>
      <c r="U3802" s="0" t="n">
        <v>68</v>
      </c>
      <c r="V3802" s="0" t="n">
        <v>0</v>
      </c>
      <c r="W3802" s="0" t="str">
        <f aca="false">IF(OR(AND(B3802&gt;=1,B3802&lt;=6),B3802=10),"Vaca em lactação",IF(I3802="Male","Macho",IF(E3802&gt;=1,"Vaca seca",IF(I3802="Youngstock","Bezerra/recria","Novilha"))))</f>
        <v>Bezerra/recria</v>
      </c>
      <c r="X3802" s="0" t="str">
        <f aca="false">IF(AND(B3802&gt;=1,B3802&lt;=6),"Tanque",IF(B3802=10,"Descarte",""))</f>
        <v/>
      </c>
    </row>
    <row r="3803" customFormat="false" ht="15" hidden="false" customHeight="false" outlineLevel="0" collapsed="false">
      <c r="A3803" s="22" t="n">
        <v>46309</v>
      </c>
      <c r="B3803" s="0" t="n">
        <v>16</v>
      </c>
      <c r="C3803" s="0" t="n">
        <v>8005</v>
      </c>
      <c r="E3803" s="0" t="n">
        <v>0</v>
      </c>
      <c r="F3803" s="23" t="s">
        <v>1621</v>
      </c>
      <c r="I3803" s="23" t="s">
        <v>1249</v>
      </c>
      <c r="U3803" s="0" t="n">
        <v>68</v>
      </c>
      <c r="V3803" s="0" t="n">
        <v>0</v>
      </c>
      <c r="W3803" s="0" t="str">
        <f aca="false">IF(OR(AND(B3803&gt;=1,B3803&lt;=6),B3803=10),"Vaca em lactação",IF(I3803="Male","Macho",IF(E3803&gt;=1,"Vaca seca",IF(I3803="Youngstock","Bezerra/recria","Novilha"))))</f>
        <v>Bezerra/recria</v>
      </c>
      <c r="X3803" s="0" t="str">
        <f aca="false">IF(AND(B3803&gt;=1,B3803&lt;=6),"Tanque",IF(B3803=10,"Descarte",""))</f>
        <v/>
      </c>
    </row>
    <row r="3804" customFormat="false" ht="15" hidden="false" customHeight="false" outlineLevel="0" collapsed="false">
      <c r="A3804" s="22" t="n">
        <v>46309</v>
      </c>
      <c r="B3804" s="0" t="n">
        <v>16</v>
      </c>
      <c r="C3804" s="0" t="n">
        <v>8004</v>
      </c>
      <c r="E3804" s="0" t="n">
        <v>0</v>
      </c>
      <c r="F3804" s="23" t="s">
        <v>1569</v>
      </c>
      <c r="I3804" s="23" t="s">
        <v>1249</v>
      </c>
      <c r="U3804" s="0" t="n">
        <v>69</v>
      </c>
      <c r="V3804" s="0" t="n">
        <v>0</v>
      </c>
      <c r="W3804" s="0" t="str">
        <f aca="false">IF(OR(AND(B3804&gt;=1,B3804&lt;=6),B3804=10),"Vaca em lactação",IF(I3804="Male","Macho",IF(E3804&gt;=1,"Vaca seca",IF(I3804="Youngstock","Bezerra/recria","Novilha"))))</f>
        <v>Bezerra/recria</v>
      </c>
      <c r="X3804" s="0" t="str">
        <f aca="false">IF(AND(B3804&gt;=1,B3804&lt;=6),"Tanque",IF(B3804=10,"Descarte",""))</f>
        <v/>
      </c>
    </row>
    <row r="3805" customFormat="false" ht="15" hidden="false" customHeight="false" outlineLevel="0" collapsed="false">
      <c r="A3805" s="22" t="n">
        <v>46309</v>
      </c>
      <c r="B3805" s="0" t="n">
        <v>16</v>
      </c>
      <c r="C3805" s="0" t="n">
        <v>8013</v>
      </c>
      <c r="E3805" s="0" t="n">
        <v>0</v>
      </c>
      <c r="F3805" s="23" t="s">
        <v>1575</v>
      </c>
      <c r="I3805" s="23" t="s">
        <v>1249</v>
      </c>
      <c r="U3805" s="0" t="n">
        <v>66</v>
      </c>
      <c r="V3805" s="0" t="n">
        <v>0</v>
      </c>
      <c r="W3805" s="0" t="str">
        <f aca="false">IF(OR(AND(B3805&gt;=1,B3805&lt;=6),B3805=10),"Vaca em lactação",IF(I3805="Male","Macho",IF(E3805&gt;=1,"Vaca seca",IF(I3805="Youngstock","Bezerra/recria","Novilha"))))</f>
        <v>Bezerra/recria</v>
      </c>
      <c r="X3805" s="0" t="str">
        <f aca="false">IF(AND(B3805&gt;=1,B3805&lt;=6),"Tanque",IF(B3805=10,"Descarte",""))</f>
        <v/>
      </c>
    </row>
    <row r="3806" customFormat="false" ht="15" hidden="false" customHeight="false" outlineLevel="0" collapsed="false">
      <c r="A3806" s="22" t="n">
        <v>46309</v>
      </c>
      <c r="B3806" s="0" t="n">
        <v>16</v>
      </c>
      <c r="C3806" s="0" t="n">
        <v>8012</v>
      </c>
      <c r="E3806" s="0" t="n">
        <v>0</v>
      </c>
      <c r="F3806" s="23" t="s">
        <v>1575</v>
      </c>
      <c r="I3806" s="23" t="s">
        <v>1249</v>
      </c>
      <c r="U3806" s="0" t="n">
        <v>66</v>
      </c>
      <c r="V3806" s="0" t="n">
        <v>0</v>
      </c>
      <c r="W3806" s="0" t="str">
        <f aca="false">IF(OR(AND(B3806&gt;=1,B3806&lt;=6),B3806=10),"Vaca em lactação",IF(I3806="Male","Macho",IF(E3806&gt;=1,"Vaca seca",IF(I3806="Youngstock","Bezerra/recria","Novilha"))))</f>
        <v>Bezerra/recria</v>
      </c>
      <c r="X3806" s="0" t="str">
        <f aca="false">IF(AND(B3806&gt;=1,B3806&lt;=6),"Tanque",IF(B3806=10,"Descarte",""))</f>
        <v/>
      </c>
    </row>
    <row r="3807" customFormat="false" ht="15" hidden="false" customHeight="false" outlineLevel="0" collapsed="false">
      <c r="A3807" s="22" t="n">
        <v>46309</v>
      </c>
      <c r="B3807" s="0" t="n">
        <v>16</v>
      </c>
      <c r="C3807" s="0" t="n">
        <v>8011</v>
      </c>
      <c r="E3807" s="0" t="n">
        <v>0</v>
      </c>
      <c r="F3807" s="23" t="s">
        <v>1622</v>
      </c>
      <c r="I3807" s="23" t="s">
        <v>1249</v>
      </c>
      <c r="U3807" s="0" t="n">
        <v>67</v>
      </c>
      <c r="V3807" s="0" t="n">
        <v>0</v>
      </c>
      <c r="W3807" s="0" t="str">
        <f aca="false">IF(OR(AND(B3807&gt;=1,B3807&lt;=6),B3807=10),"Vaca em lactação",IF(I3807="Male","Macho",IF(E3807&gt;=1,"Vaca seca",IF(I3807="Youngstock","Bezerra/recria","Novilha"))))</f>
        <v>Bezerra/recria</v>
      </c>
      <c r="X3807" s="0" t="str">
        <f aca="false">IF(AND(B3807&gt;=1,B3807&lt;=6),"Tanque",IF(B3807=10,"Descarte",""))</f>
        <v/>
      </c>
    </row>
    <row r="3808" customFormat="false" ht="15" hidden="false" customHeight="false" outlineLevel="0" collapsed="false">
      <c r="A3808" s="22" t="n">
        <v>46309</v>
      </c>
      <c r="B3808" s="0" t="n">
        <v>16</v>
      </c>
      <c r="C3808" s="0" t="n">
        <v>8010</v>
      </c>
      <c r="E3808" s="0" t="n">
        <v>0</v>
      </c>
      <c r="F3808" s="23" t="s">
        <v>1621</v>
      </c>
      <c r="I3808" s="23" t="s">
        <v>1249</v>
      </c>
      <c r="U3808" s="0" t="n">
        <v>68</v>
      </c>
      <c r="V3808" s="0" t="n">
        <v>0</v>
      </c>
      <c r="W3808" s="0" t="str">
        <f aca="false">IF(OR(AND(B3808&gt;=1,B3808&lt;=6),B3808=10),"Vaca em lactação",IF(I3808="Male","Macho",IF(E3808&gt;=1,"Vaca seca",IF(I3808="Youngstock","Bezerra/recria","Novilha"))))</f>
        <v>Bezerra/recria</v>
      </c>
      <c r="X3808" s="0" t="str">
        <f aca="false">IF(AND(B3808&gt;=1,B3808&lt;=6),"Tanque",IF(B3808=10,"Descarte",""))</f>
        <v/>
      </c>
    </row>
    <row r="3809" customFormat="false" ht="15" hidden="false" customHeight="false" outlineLevel="0" collapsed="false">
      <c r="A3809" s="22" t="n">
        <v>46309</v>
      </c>
      <c r="B3809" s="0" t="n">
        <v>16</v>
      </c>
      <c r="C3809" s="0" t="n">
        <v>8009</v>
      </c>
      <c r="E3809" s="0" t="n">
        <v>0</v>
      </c>
      <c r="F3809" s="23" t="s">
        <v>1621</v>
      </c>
      <c r="I3809" s="23" t="s">
        <v>1249</v>
      </c>
      <c r="U3809" s="0" t="n">
        <v>68</v>
      </c>
      <c r="V3809" s="0" t="n">
        <v>0</v>
      </c>
      <c r="W3809" s="0" t="str">
        <f aca="false">IF(OR(AND(B3809&gt;=1,B3809&lt;=6),B3809=10),"Vaca em lactação",IF(I3809="Male","Macho",IF(E3809&gt;=1,"Vaca seca",IF(I3809="Youngstock","Bezerra/recria","Novilha"))))</f>
        <v>Bezerra/recria</v>
      </c>
      <c r="X3809" s="0" t="str">
        <f aca="false">IF(AND(B3809&gt;=1,B3809&lt;=6),"Tanque",IF(B3809=10,"Descarte",""))</f>
        <v/>
      </c>
    </row>
    <row r="3810" customFormat="false" ht="15" hidden="false" customHeight="false" outlineLevel="0" collapsed="false">
      <c r="A3810" s="22" t="n">
        <v>46309</v>
      </c>
      <c r="B3810" s="0" t="n">
        <v>16</v>
      </c>
      <c r="C3810" s="0" t="n">
        <v>8008</v>
      </c>
      <c r="E3810" s="0" t="n">
        <v>0</v>
      </c>
      <c r="F3810" s="23" t="s">
        <v>1621</v>
      </c>
      <c r="I3810" s="23" t="s">
        <v>1249</v>
      </c>
      <c r="U3810" s="0" t="n">
        <v>68</v>
      </c>
      <c r="V3810" s="0" t="n">
        <v>0</v>
      </c>
      <c r="W3810" s="0" t="str">
        <f aca="false">IF(OR(AND(B3810&gt;=1,B3810&lt;=6),B3810=10),"Vaca em lactação",IF(I3810="Male","Macho",IF(E3810&gt;=1,"Vaca seca",IF(I3810="Youngstock","Bezerra/recria","Novilha"))))</f>
        <v>Bezerra/recria</v>
      </c>
      <c r="X3810" s="0" t="str">
        <f aca="false">IF(AND(B3810&gt;=1,B3810&lt;=6),"Tanque",IF(B3810=10,"Descarte",""))</f>
        <v/>
      </c>
    </row>
    <row r="3811" customFormat="false" ht="15" hidden="false" customHeight="false" outlineLevel="0" collapsed="false">
      <c r="A3811" s="22" t="n">
        <v>46309</v>
      </c>
      <c r="B3811" s="0" t="n">
        <v>16</v>
      </c>
      <c r="C3811" s="0" t="n">
        <v>7991</v>
      </c>
      <c r="E3811" s="0" t="n">
        <v>0</v>
      </c>
      <c r="F3811" s="23" t="s">
        <v>1580</v>
      </c>
      <c r="I3811" s="23" t="s">
        <v>1249</v>
      </c>
      <c r="U3811" s="0" t="n">
        <v>74</v>
      </c>
      <c r="V3811" s="0" t="n">
        <v>0</v>
      </c>
      <c r="W3811" s="0" t="str">
        <f aca="false">IF(OR(AND(B3811&gt;=1,B3811&lt;=6),B3811=10),"Vaca em lactação",IF(I3811="Male","Macho",IF(E3811&gt;=1,"Vaca seca",IF(I3811="Youngstock","Bezerra/recria","Novilha"))))</f>
        <v>Bezerra/recria</v>
      </c>
      <c r="X3811" s="0" t="str">
        <f aca="false">IF(AND(B3811&gt;=1,B3811&lt;=6),"Tanque",IF(B3811=10,"Descarte",""))</f>
        <v/>
      </c>
    </row>
    <row r="3812" customFormat="false" ht="15" hidden="false" customHeight="false" outlineLevel="0" collapsed="false">
      <c r="A3812" s="22" t="n">
        <v>46309</v>
      </c>
      <c r="B3812" s="0" t="n">
        <v>16</v>
      </c>
      <c r="C3812" s="0" t="n">
        <v>7980</v>
      </c>
      <c r="E3812" s="0" t="n">
        <v>0</v>
      </c>
      <c r="F3812" s="23" t="s">
        <v>1579</v>
      </c>
      <c r="I3812" s="23" t="s">
        <v>1249</v>
      </c>
      <c r="U3812" s="0" t="n">
        <v>75</v>
      </c>
      <c r="V3812" s="0" t="n">
        <v>0</v>
      </c>
      <c r="W3812" s="0" t="str">
        <f aca="false">IF(OR(AND(B3812&gt;=1,B3812&lt;=6),B3812=10),"Vaca em lactação",IF(I3812="Male","Macho",IF(E3812&gt;=1,"Vaca seca",IF(I3812="Youngstock","Bezerra/recria","Novilha"))))</f>
        <v>Bezerra/recria</v>
      </c>
      <c r="X3812" s="0" t="str">
        <f aca="false">IF(AND(B3812&gt;=1,B3812&lt;=6),"Tanque",IF(B3812=10,"Descarte",""))</f>
        <v/>
      </c>
    </row>
    <row r="3813" customFormat="false" ht="15" hidden="false" customHeight="false" outlineLevel="0" collapsed="false">
      <c r="A3813" s="22" t="n">
        <v>46309</v>
      </c>
      <c r="B3813" s="0" t="n">
        <v>16</v>
      </c>
      <c r="C3813" s="0" t="n">
        <v>7979</v>
      </c>
      <c r="E3813" s="0" t="n">
        <v>0</v>
      </c>
      <c r="F3813" s="23" t="s">
        <v>1579</v>
      </c>
      <c r="I3813" s="23" t="s">
        <v>1249</v>
      </c>
      <c r="U3813" s="0" t="n">
        <v>75</v>
      </c>
      <c r="V3813" s="0" t="n">
        <v>0</v>
      </c>
      <c r="W3813" s="0" t="str">
        <f aca="false">IF(OR(AND(B3813&gt;=1,B3813&lt;=6),B3813=10),"Vaca em lactação",IF(I3813="Male","Macho",IF(E3813&gt;=1,"Vaca seca",IF(I3813="Youngstock","Bezerra/recria","Novilha"))))</f>
        <v>Bezerra/recria</v>
      </c>
      <c r="X3813" s="0" t="str">
        <f aca="false">IF(AND(B3813&gt;=1,B3813&lt;=6),"Tanque",IF(B3813=10,"Descarte",""))</f>
        <v/>
      </c>
    </row>
    <row r="3814" customFormat="false" ht="15" hidden="false" customHeight="false" outlineLevel="0" collapsed="false">
      <c r="A3814" s="22" t="n">
        <v>46309</v>
      </c>
      <c r="B3814" s="0" t="n">
        <v>16</v>
      </c>
      <c r="C3814" s="0" t="n">
        <v>7986</v>
      </c>
      <c r="E3814" s="0" t="n">
        <v>0</v>
      </c>
      <c r="F3814" s="23" t="s">
        <v>1579</v>
      </c>
      <c r="I3814" s="23" t="s">
        <v>1249</v>
      </c>
      <c r="U3814" s="0" t="n">
        <v>75</v>
      </c>
      <c r="V3814" s="0" t="n">
        <v>0</v>
      </c>
      <c r="W3814" s="0" t="str">
        <f aca="false">IF(OR(AND(B3814&gt;=1,B3814&lt;=6),B3814=10),"Vaca em lactação",IF(I3814="Male","Macho",IF(E3814&gt;=1,"Vaca seca",IF(I3814="Youngstock","Bezerra/recria","Novilha"))))</f>
        <v>Bezerra/recria</v>
      </c>
      <c r="X3814" s="0" t="str">
        <f aca="false">IF(AND(B3814&gt;=1,B3814&lt;=6),"Tanque",IF(B3814=10,"Descarte",""))</f>
        <v/>
      </c>
    </row>
    <row r="3815" customFormat="false" ht="15" hidden="false" customHeight="false" outlineLevel="0" collapsed="false">
      <c r="A3815" s="22" t="n">
        <v>46309</v>
      </c>
      <c r="B3815" s="0" t="n">
        <v>16</v>
      </c>
      <c r="C3815" s="0" t="n">
        <v>7985</v>
      </c>
      <c r="E3815" s="0" t="n">
        <v>0</v>
      </c>
      <c r="F3815" s="23" t="s">
        <v>1579</v>
      </c>
      <c r="I3815" s="23" t="s">
        <v>1249</v>
      </c>
      <c r="U3815" s="0" t="n">
        <v>75</v>
      </c>
      <c r="V3815" s="0" t="n">
        <v>0</v>
      </c>
      <c r="W3815" s="0" t="str">
        <f aca="false">IF(OR(AND(B3815&gt;=1,B3815&lt;=6),B3815=10),"Vaca em lactação",IF(I3815="Male","Macho",IF(E3815&gt;=1,"Vaca seca",IF(I3815="Youngstock","Bezerra/recria","Novilha"))))</f>
        <v>Bezerra/recria</v>
      </c>
      <c r="X3815" s="0" t="str">
        <f aca="false">IF(AND(B3815&gt;=1,B3815&lt;=6),"Tanque",IF(B3815=10,"Descarte",""))</f>
        <v/>
      </c>
    </row>
    <row r="3816" customFormat="false" ht="15" hidden="false" customHeight="false" outlineLevel="0" collapsed="false">
      <c r="A3816" s="22" t="n">
        <v>46309</v>
      </c>
      <c r="B3816" s="0" t="n">
        <v>16</v>
      </c>
      <c r="C3816" s="0" t="n">
        <v>7984</v>
      </c>
      <c r="E3816" s="0" t="n">
        <v>0</v>
      </c>
      <c r="F3816" s="23" t="s">
        <v>1579</v>
      </c>
      <c r="I3816" s="23" t="s">
        <v>1249</v>
      </c>
      <c r="U3816" s="0" t="n">
        <v>75</v>
      </c>
      <c r="V3816" s="0" t="n">
        <v>0</v>
      </c>
      <c r="W3816" s="0" t="str">
        <f aca="false">IF(OR(AND(B3816&gt;=1,B3816&lt;=6),B3816=10),"Vaca em lactação",IF(I3816="Male","Macho",IF(E3816&gt;=1,"Vaca seca",IF(I3816="Youngstock","Bezerra/recria","Novilha"))))</f>
        <v>Bezerra/recria</v>
      </c>
      <c r="X3816" s="0" t="str">
        <f aca="false">IF(AND(B3816&gt;=1,B3816&lt;=6),"Tanque",IF(B3816=10,"Descarte",""))</f>
        <v/>
      </c>
    </row>
    <row r="3817" customFormat="false" ht="15" hidden="false" customHeight="false" outlineLevel="0" collapsed="false">
      <c r="A3817" s="22" t="n">
        <v>46309</v>
      </c>
      <c r="B3817" s="0" t="n">
        <v>16</v>
      </c>
      <c r="C3817" s="0" t="n">
        <v>7983</v>
      </c>
      <c r="E3817" s="0" t="n">
        <v>0</v>
      </c>
      <c r="F3817" s="23" t="s">
        <v>1579</v>
      </c>
      <c r="I3817" s="23" t="s">
        <v>1249</v>
      </c>
      <c r="U3817" s="0" t="n">
        <v>75</v>
      </c>
      <c r="V3817" s="0" t="n">
        <v>0</v>
      </c>
      <c r="W3817" s="0" t="str">
        <f aca="false">IF(OR(AND(B3817&gt;=1,B3817&lt;=6),B3817=10),"Vaca em lactação",IF(I3817="Male","Macho",IF(E3817&gt;=1,"Vaca seca",IF(I3817="Youngstock","Bezerra/recria","Novilha"))))</f>
        <v>Bezerra/recria</v>
      </c>
      <c r="X3817" s="0" t="str">
        <f aca="false">IF(AND(B3817&gt;=1,B3817&lt;=6),"Tanque",IF(B3817=10,"Descarte",""))</f>
        <v/>
      </c>
    </row>
    <row r="3818" customFormat="false" ht="15" hidden="false" customHeight="false" outlineLevel="0" collapsed="false">
      <c r="A3818" s="22" t="n">
        <v>46309</v>
      </c>
      <c r="B3818" s="0" t="n">
        <v>16</v>
      </c>
      <c r="C3818" s="0" t="n">
        <v>7982</v>
      </c>
      <c r="E3818" s="0" t="n">
        <v>0</v>
      </c>
      <c r="F3818" s="23" t="s">
        <v>1579</v>
      </c>
      <c r="I3818" s="23" t="s">
        <v>1249</v>
      </c>
      <c r="U3818" s="0" t="n">
        <v>75</v>
      </c>
      <c r="V3818" s="0" t="n">
        <v>0</v>
      </c>
      <c r="W3818" s="0" t="str">
        <f aca="false">IF(OR(AND(B3818&gt;=1,B3818&lt;=6),B3818=10),"Vaca em lactação",IF(I3818="Male","Macho",IF(E3818&gt;=1,"Vaca seca",IF(I3818="Youngstock","Bezerra/recria","Novilha"))))</f>
        <v>Bezerra/recria</v>
      </c>
      <c r="X3818" s="0" t="str">
        <f aca="false">IF(AND(B3818&gt;=1,B3818&lt;=6),"Tanque",IF(B3818=10,"Descarte",""))</f>
        <v/>
      </c>
    </row>
    <row r="3819" customFormat="false" ht="15" hidden="false" customHeight="false" outlineLevel="0" collapsed="false">
      <c r="A3819" s="22" t="n">
        <v>46309</v>
      </c>
      <c r="B3819" s="0" t="n">
        <v>16</v>
      </c>
      <c r="C3819" s="0" t="n">
        <v>7981</v>
      </c>
      <c r="E3819" s="0" t="n">
        <v>0</v>
      </c>
      <c r="F3819" s="23" t="s">
        <v>1579</v>
      </c>
      <c r="I3819" s="23" t="s">
        <v>1249</v>
      </c>
      <c r="U3819" s="0" t="n">
        <v>75</v>
      </c>
      <c r="V3819" s="0" t="n">
        <v>0</v>
      </c>
      <c r="W3819" s="0" t="str">
        <f aca="false">IF(OR(AND(B3819&gt;=1,B3819&lt;=6),B3819=10),"Vaca em lactação",IF(I3819="Male","Macho",IF(E3819&gt;=1,"Vaca seca",IF(I3819="Youngstock","Bezerra/recria","Novilha"))))</f>
        <v>Bezerra/recria</v>
      </c>
      <c r="X3819" s="0" t="str">
        <f aca="false">IF(AND(B3819&gt;=1,B3819&lt;=6),"Tanque",IF(B3819=10,"Descarte",""))</f>
        <v/>
      </c>
    </row>
    <row r="3820" customFormat="false" ht="15" hidden="false" customHeight="false" outlineLevel="0" collapsed="false">
      <c r="A3820" s="22" t="n">
        <v>46309</v>
      </c>
      <c r="B3820" s="0" t="n">
        <v>16</v>
      </c>
      <c r="C3820" s="0" t="n">
        <v>7990</v>
      </c>
      <c r="E3820" s="0" t="n">
        <v>0</v>
      </c>
      <c r="F3820" s="23" t="s">
        <v>1580</v>
      </c>
      <c r="I3820" s="23" t="s">
        <v>1249</v>
      </c>
      <c r="U3820" s="0" t="n">
        <v>74</v>
      </c>
      <c r="V3820" s="0" t="n">
        <v>0</v>
      </c>
      <c r="W3820" s="0" t="str">
        <f aca="false">IF(OR(AND(B3820&gt;=1,B3820&lt;=6),B3820=10),"Vaca em lactação",IF(I3820="Male","Macho",IF(E3820&gt;=1,"Vaca seca",IF(I3820="Youngstock","Bezerra/recria","Novilha"))))</f>
        <v>Bezerra/recria</v>
      </c>
      <c r="X3820" s="0" t="str">
        <f aca="false">IF(AND(B3820&gt;=1,B3820&lt;=6),"Tanque",IF(B3820=10,"Descarte",""))</f>
        <v/>
      </c>
    </row>
    <row r="3821" customFormat="false" ht="15" hidden="false" customHeight="false" outlineLevel="0" collapsed="false">
      <c r="A3821" s="22" t="n">
        <v>46309</v>
      </c>
      <c r="B3821" s="0" t="n">
        <v>16</v>
      </c>
      <c r="C3821" s="0" t="n">
        <v>7989</v>
      </c>
      <c r="E3821" s="0" t="n">
        <v>0</v>
      </c>
      <c r="F3821" s="23" t="s">
        <v>1580</v>
      </c>
      <c r="I3821" s="23" t="s">
        <v>1249</v>
      </c>
      <c r="U3821" s="0" t="n">
        <v>74</v>
      </c>
      <c r="V3821" s="0" t="n">
        <v>0</v>
      </c>
      <c r="W3821" s="0" t="str">
        <f aca="false">IF(OR(AND(B3821&gt;=1,B3821&lt;=6),B3821=10),"Vaca em lactação",IF(I3821="Male","Macho",IF(E3821&gt;=1,"Vaca seca",IF(I3821="Youngstock","Bezerra/recria","Novilha"))))</f>
        <v>Bezerra/recria</v>
      </c>
      <c r="X3821" s="0" t="str">
        <f aca="false">IF(AND(B3821&gt;=1,B3821&lt;=6),"Tanque",IF(B3821=10,"Descarte",""))</f>
        <v/>
      </c>
    </row>
    <row r="3822" customFormat="false" ht="15" hidden="false" customHeight="false" outlineLevel="0" collapsed="false">
      <c r="A3822" s="22" t="n">
        <v>46309</v>
      </c>
      <c r="B3822" s="0" t="n">
        <v>16</v>
      </c>
      <c r="C3822" s="0" t="n">
        <v>7988</v>
      </c>
      <c r="E3822" s="0" t="n">
        <v>0</v>
      </c>
      <c r="F3822" s="23" t="s">
        <v>1580</v>
      </c>
      <c r="I3822" s="23" t="s">
        <v>1249</v>
      </c>
      <c r="U3822" s="0" t="n">
        <v>74</v>
      </c>
      <c r="V3822" s="0" t="n">
        <v>0</v>
      </c>
      <c r="W3822" s="0" t="str">
        <f aca="false">IF(OR(AND(B3822&gt;=1,B3822&lt;=6),B3822=10),"Vaca em lactação",IF(I3822="Male","Macho",IF(E3822&gt;=1,"Vaca seca",IF(I3822="Youngstock","Bezerra/recria","Novilha"))))</f>
        <v>Bezerra/recria</v>
      </c>
      <c r="X3822" s="0" t="str">
        <f aca="false">IF(AND(B3822&gt;=1,B3822&lt;=6),"Tanque",IF(B3822=10,"Descarte",""))</f>
        <v/>
      </c>
    </row>
    <row r="3823" customFormat="false" ht="15" hidden="false" customHeight="false" outlineLevel="0" collapsed="false">
      <c r="A3823" s="22" t="n">
        <v>46309</v>
      </c>
      <c r="B3823" s="0" t="n">
        <v>16</v>
      </c>
      <c r="C3823" s="0" t="n">
        <v>7987</v>
      </c>
      <c r="E3823" s="0" t="n">
        <v>0</v>
      </c>
      <c r="F3823" s="23" t="s">
        <v>1580</v>
      </c>
      <c r="I3823" s="23" t="s">
        <v>1249</v>
      </c>
      <c r="U3823" s="0" t="n">
        <v>74</v>
      </c>
      <c r="V3823" s="0" t="n">
        <v>0</v>
      </c>
      <c r="W3823" s="0" t="str">
        <f aca="false">IF(OR(AND(B3823&gt;=1,B3823&lt;=6),B3823=10),"Vaca em lactação",IF(I3823="Male","Macho",IF(E3823&gt;=1,"Vaca seca",IF(I3823="Youngstock","Bezerra/recria","Novilha"))))</f>
        <v>Bezerra/recria</v>
      </c>
      <c r="X3823" s="0" t="str">
        <f aca="false">IF(AND(B3823&gt;=1,B3823&lt;=6),"Tanque",IF(B3823=10,"Descarte",""))</f>
        <v/>
      </c>
    </row>
    <row r="3824" customFormat="false" ht="15" hidden="false" customHeight="false" outlineLevel="0" collapsed="false">
      <c r="A3824" s="22" t="n">
        <v>46309</v>
      </c>
      <c r="B3824" s="0" t="n">
        <v>16</v>
      </c>
      <c r="C3824" s="0" t="n">
        <v>8134</v>
      </c>
      <c r="E3824" s="0" t="n">
        <v>0</v>
      </c>
      <c r="F3824" s="23" t="s">
        <v>1623</v>
      </c>
      <c r="I3824" s="23" t="s">
        <v>1249</v>
      </c>
      <c r="U3824" s="0" t="n">
        <v>26</v>
      </c>
      <c r="V3824" s="0" t="n">
        <v>0</v>
      </c>
      <c r="W3824" s="0" t="str">
        <f aca="false">IF(OR(AND(B3824&gt;=1,B3824&lt;=6),B3824=10),"Vaca em lactação",IF(I3824="Male","Macho",IF(E3824&gt;=1,"Vaca seca",IF(I3824="Youngstock","Bezerra/recria","Novilha"))))</f>
        <v>Bezerra/recria</v>
      </c>
      <c r="X3824" s="0" t="str">
        <f aca="false">IF(AND(B3824&gt;=1,B3824&lt;=6),"Tanque",IF(B3824=10,"Descarte",""))</f>
        <v/>
      </c>
    </row>
    <row r="3825" customFormat="false" ht="15" hidden="false" customHeight="false" outlineLevel="0" collapsed="false">
      <c r="A3825" s="22" t="n">
        <v>46309</v>
      </c>
      <c r="B3825" s="0" t="n">
        <v>16</v>
      </c>
      <c r="C3825" s="0" t="n">
        <v>8148</v>
      </c>
      <c r="E3825" s="0" t="n">
        <v>0</v>
      </c>
      <c r="F3825" s="23" t="s">
        <v>1624</v>
      </c>
      <c r="I3825" s="23" t="s">
        <v>1249</v>
      </c>
      <c r="U3825" s="0" t="n">
        <v>24</v>
      </c>
      <c r="V3825" s="0" t="n">
        <v>0</v>
      </c>
      <c r="W3825" s="0" t="str">
        <f aca="false">IF(OR(AND(B3825&gt;=1,B3825&lt;=6),B3825=10),"Vaca em lactação",IF(I3825="Male","Macho",IF(E3825&gt;=1,"Vaca seca",IF(I3825="Youngstock","Bezerra/recria","Novilha"))))</f>
        <v>Bezerra/recria</v>
      </c>
      <c r="X3825" s="0" t="str">
        <f aca="false">IF(AND(B3825&gt;=1,B3825&lt;=6),"Tanque",IF(B3825=10,"Descarte",""))</f>
        <v/>
      </c>
    </row>
    <row r="3826" customFormat="false" ht="15" hidden="false" customHeight="false" outlineLevel="0" collapsed="false">
      <c r="A3826" s="22" t="n">
        <v>46309</v>
      </c>
      <c r="B3826" s="0" t="n">
        <v>16</v>
      </c>
      <c r="C3826" s="0" t="n">
        <v>8147</v>
      </c>
      <c r="E3826" s="0" t="n">
        <v>0</v>
      </c>
      <c r="F3826" s="23" t="s">
        <v>1624</v>
      </c>
      <c r="I3826" s="23" t="s">
        <v>1249</v>
      </c>
      <c r="U3826" s="0" t="n">
        <v>24</v>
      </c>
      <c r="V3826" s="0" t="n">
        <v>0</v>
      </c>
      <c r="W3826" s="0" t="str">
        <f aca="false">IF(OR(AND(B3826&gt;=1,B3826&lt;=6),B3826=10),"Vaca em lactação",IF(I3826="Male","Macho",IF(E3826&gt;=1,"Vaca seca",IF(I3826="Youngstock","Bezerra/recria","Novilha"))))</f>
        <v>Bezerra/recria</v>
      </c>
      <c r="X3826" s="0" t="str">
        <f aca="false">IF(AND(B3826&gt;=1,B3826&lt;=6),"Tanque",IF(B3826=10,"Descarte",""))</f>
        <v/>
      </c>
    </row>
    <row r="3827" customFormat="false" ht="15" hidden="false" customHeight="false" outlineLevel="0" collapsed="false">
      <c r="A3827" s="22" t="n">
        <v>46309</v>
      </c>
      <c r="B3827" s="0" t="n">
        <v>16</v>
      </c>
      <c r="C3827" s="0" t="n">
        <v>8146</v>
      </c>
      <c r="E3827" s="0" t="n">
        <v>0</v>
      </c>
      <c r="F3827" s="23" t="s">
        <v>1624</v>
      </c>
      <c r="I3827" s="23" t="s">
        <v>1249</v>
      </c>
      <c r="U3827" s="0" t="n">
        <v>24</v>
      </c>
      <c r="V3827" s="0" t="n">
        <v>0</v>
      </c>
      <c r="W3827" s="0" t="str">
        <f aca="false">IF(OR(AND(B3827&gt;=1,B3827&lt;=6),B3827=10),"Vaca em lactação",IF(I3827="Male","Macho",IF(E3827&gt;=1,"Vaca seca",IF(I3827="Youngstock","Bezerra/recria","Novilha"))))</f>
        <v>Bezerra/recria</v>
      </c>
      <c r="X3827" s="0" t="str">
        <f aca="false">IF(AND(B3827&gt;=1,B3827&lt;=6),"Tanque",IF(B3827=10,"Descarte",""))</f>
        <v/>
      </c>
    </row>
    <row r="3828" customFormat="false" ht="15" hidden="false" customHeight="false" outlineLevel="0" collapsed="false">
      <c r="A3828" s="22" t="n">
        <v>46309</v>
      </c>
      <c r="B3828" s="0" t="n">
        <v>16</v>
      </c>
      <c r="C3828" s="0" t="n">
        <v>8137</v>
      </c>
      <c r="E3828" s="0" t="n">
        <v>0</v>
      </c>
      <c r="F3828" s="23" t="s">
        <v>1623</v>
      </c>
      <c r="I3828" s="23" t="s">
        <v>1249</v>
      </c>
      <c r="U3828" s="0" t="n">
        <v>26</v>
      </c>
      <c r="V3828" s="0" t="n">
        <v>0</v>
      </c>
      <c r="W3828" s="0" t="str">
        <f aca="false">IF(OR(AND(B3828&gt;=1,B3828&lt;=6),B3828=10),"Vaca em lactação",IF(I3828="Male","Macho",IF(E3828&gt;=1,"Vaca seca",IF(I3828="Youngstock","Bezerra/recria","Novilha"))))</f>
        <v>Bezerra/recria</v>
      </c>
      <c r="X3828" s="0" t="str">
        <f aca="false">IF(AND(B3828&gt;=1,B3828&lt;=6),"Tanque",IF(B3828=10,"Descarte",""))</f>
        <v/>
      </c>
    </row>
    <row r="3829" customFormat="false" ht="15" hidden="false" customHeight="false" outlineLevel="0" collapsed="false">
      <c r="A3829" s="22" t="n">
        <v>46309</v>
      </c>
      <c r="B3829" s="0" t="n">
        <v>16</v>
      </c>
      <c r="C3829" s="0" t="n">
        <v>8136</v>
      </c>
      <c r="E3829" s="0" t="n">
        <v>0</v>
      </c>
      <c r="F3829" s="23" t="s">
        <v>1623</v>
      </c>
      <c r="I3829" s="23" t="s">
        <v>1249</v>
      </c>
      <c r="U3829" s="0" t="n">
        <v>26</v>
      </c>
      <c r="V3829" s="0" t="n">
        <v>0</v>
      </c>
      <c r="W3829" s="0" t="str">
        <f aca="false">IF(OR(AND(B3829&gt;=1,B3829&lt;=6),B3829=10),"Vaca em lactação",IF(I3829="Male","Macho",IF(E3829&gt;=1,"Vaca seca",IF(I3829="Youngstock","Bezerra/recria","Novilha"))))</f>
        <v>Bezerra/recria</v>
      </c>
      <c r="X3829" s="0" t="str">
        <f aca="false">IF(AND(B3829&gt;=1,B3829&lt;=6),"Tanque",IF(B3829=10,"Descarte",""))</f>
        <v/>
      </c>
    </row>
    <row r="3830" customFormat="false" ht="15" hidden="false" customHeight="false" outlineLevel="0" collapsed="false">
      <c r="A3830" s="22" t="n">
        <v>46309</v>
      </c>
      <c r="B3830" s="0" t="n">
        <v>16</v>
      </c>
      <c r="C3830" s="0" t="n">
        <v>8135</v>
      </c>
      <c r="E3830" s="0" t="n">
        <v>0</v>
      </c>
      <c r="F3830" s="23" t="s">
        <v>1623</v>
      </c>
      <c r="I3830" s="23" t="s">
        <v>1249</v>
      </c>
      <c r="U3830" s="0" t="n">
        <v>26</v>
      </c>
      <c r="V3830" s="0" t="n">
        <v>0</v>
      </c>
      <c r="W3830" s="0" t="str">
        <f aca="false">IF(OR(AND(B3830&gt;=1,B3830&lt;=6),B3830=10),"Vaca em lactação",IF(I3830="Male","Macho",IF(E3830&gt;=1,"Vaca seca",IF(I3830="Youngstock","Bezerra/recria","Novilha"))))</f>
        <v>Bezerra/recria</v>
      </c>
      <c r="X3830" s="0" t="str">
        <f aca="false">IF(AND(B3830&gt;=1,B3830&lt;=6),"Tanque",IF(B3830=10,"Descarte",""))</f>
        <v/>
      </c>
    </row>
    <row r="3831" customFormat="false" ht="15" hidden="false" customHeight="false" outlineLevel="0" collapsed="false">
      <c r="A3831" s="22" t="n">
        <v>46309</v>
      </c>
      <c r="B3831" s="0" t="n">
        <v>16</v>
      </c>
      <c r="C3831" s="0" t="n">
        <v>8142</v>
      </c>
      <c r="E3831" s="0" t="n">
        <v>0</v>
      </c>
      <c r="F3831" s="23" t="s">
        <v>1581</v>
      </c>
      <c r="I3831" s="23" t="s">
        <v>1249</v>
      </c>
      <c r="U3831" s="0" t="n">
        <v>25</v>
      </c>
      <c r="V3831" s="0" t="n">
        <v>0</v>
      </c>
      <c r="W3831" s="0" t="str">
        <f aca="false">IF(OR(AND(B3831&gt;=1,B3831&lt;=6),B3831=10),"Vaca em lactação",IF(I3831="Male","Macho",IF(E3831&gt;=1,"Vaca seca",IF(I3831="Youngstock","Bezerra/recria","Novilha"))))</f>
        <v>Bezerra/recria</v>
      </c>
      <c r="X3831" s="0" t="str">
        <f aca="false">IF(AND(B3831&gt;=1,B3831&lt;=6),"Tanque",IF(B3831=10,"Descarte",""))</f>
        <v/>
      </c>
    </row>
    <row r="3832" customFormat="false" ht="15" hidden="false" customHeight="false" outlineLevel="0" collapsed="false">
      <c r="A3832" s="22" t="n">
        <v>46309</v>
      </c>
      <c r="B3832" s="0" t="n">
        <v>16</v>
      </c>
      <c r="C3832" s="0" t="n">
        <v>8141</v>
      </c>
      <c r="E3832" s="0" t="n">
        <v>0</v>
      </c>
      <c r="F3832" s="23" t="s">
        <v>1581</v>
      </c>
      <c r="I3832" s="23" t="s">
        <v>1249</v>
      </c>
      <c r="U3832" s="0" t="n">
        <v>25</v>
      </c>
      <c r="V3832" s="0" t="n">
        <v>0</v>
      </c>
      <c r="W3832" s="0" t="str">
        <f aca="false">IF(OR(AND(B3832&gt;=1,B3832&lt;=6),B3832=10),"Vaca em lactação",IF(I3832="Male","Macho",IF(E3832&gt;=1,"Vaca seca",IF(I3832="Youngstock","Bezerra/recria","Novilha"))))</f>
        <v>Bezerra/recria</v>
      </c>
      <c r="X3832" s="0" t="str">
        <f aca="false">IF(AND(B3832&gt;=1,B3832&lt;=6),"Tanque",IF(B3832=10,"Descarte",""))</f>
        <v/>
      </c>
    </row>
    <row r="3833" customFormat="false" ht="15" hidden="false" customHeight="false" outlineLevel="0" collapsed="false">
      <c r="A3833" s="22" t="n">
        <v>46309</v>
      </c>
      <c r="B3833" s="0" t="n">
        <v>16</v>
      </c>
      <c r="C3833" s="0" t="n">
        <v>8140</v>
      </c>
      <c r="E3833" s="0" t="n">
        <v>0</v>
      </c>
      <c r="F3833" s="23" t="s">
        <v>1581</v>
      </c>
      <c r="I3833" s="23" t="s">
        <v>1249</v>
      </c>
      <c r="U3833" s="0" t="n">
        <v>25</v>
      </c>
      <c r="V3833" s="0" t="n">
        <v>0</v>
      </c>
      <c r="W3833" s="0" t="str">
        <f aca="false">IF(OR(AND(B3833&gt;=1,B3833&lt;=6),B3833=10),"Vaca em lactação",IF(I3833="Male","Macho",IF(E3833&gt;=1,"Vaca seca",IF(I3833="Youngstock","Bezerra/recria","Novilha"))))</f>
        <v>Bezerra/recria</v>
      </c>
      <c r="X3833" s="0" t="str">
        <f aca="false">IF(AND(B3833&gt;=1,B3833&lt;=6),"Tanque",IF(B3833=10,"Descarte",""))</f>
        <v/>
      </c>
    </row>
    <row r="3834" customFormat="false" ht="15" hidden="false" customHeight="false" outlineLevel="0" collapsed="false">
      <c r="A3834" s="22" t="n">
        <v>46309</v>
      </c>
      <c r="B3834" s="0" t="n">
        <v>16</v>
      </c>
      <c r="C3834" s="0" t="n">
        <v>8139</v>
      </c>
      <c r="E3834" s="0" t="n">
        <v>0</v>
      </c>
      <c r="F3834" s="23" t="s">
        <v>1581</v>
      </c>
      <c r="I3834" s="23" t="s">
        <v>1249</v>
      </c>
      <c r="U3834" s="0" t="n">
        <v>25</v>
      </c>
      <c r="V3834" s="0" t="n">
        <v>0</v>
      </c>
      <c r="W3834" s="0" t="str">
        <f aca="false">IF(OR(AND(B3834&gt;=1,B3834&lt;=6),B3834=10),"Vaca em lactação",IF(I3834="Male","Macho",IF(E3834&gt;=1,"Vaca seca",IF(I3834="Youngstock","Bezerra/recria","Novilha"))))</f>
        <v>Bezerra/recria</v>
      </c>
      <c r="X3834" s="0" t="str">
        <f aca="false">IF(AND(B3834&gt;=1,B3834&lt;=6),"Tanque",IF(B3834=10,"Descarte",""))</f>
        <v/>
      </c>
    </row>
    <row r="3835" customFormat="false" ht="15" hidden="false" customHeight="false" outlineLevel="0" collapsed="false">
      <c r="A3835" s="22" t="n">
        <v>46309</v>
      </c>
      <c r="B3835" s="0" t="n">
        <v>16</v>
      </c>
      <c r="C3835" s="0" t="n">
        <v>8138</v>
      </c>
      <c r="E3835" s="0" t="n">
        <v>0</v>
      </c>
      <c r="F3835" s="23" t="s">
        <v>1623</v>
      </c>
      <c r="I3835" s="23" t="s">
        <v>1249</v>
      </c>
      <c r="U3835" s="0" t="n">
        <v>26</v>
      </c>
      <c r="V3835" s="0" t="n">
        <v>0</v>
      </c>
      <c r="W3835" s="0" t="str">
        <f aca="false">IF(OR(AND(B3835&gt;=1,B3835&lt;=6),B3835=10),"Vaca em lactação",IF(I3835="Male","Macho",IF(E3835&gt;=1,"Vaca seca",IF(I3835="Youngstock","Bezerra/recria","Novilha"))))</f>
        <v>Bezerra/recria</v>
      </c>
      <c r="X3835" s="0" t="str">
        <f aca="false">IF(AND(B3835&gt;=1,B3835&lt;=6),"Tanque",IF(B3835=10,"Descarte",""))</f>
        <v/>
      </c>
    </row>
    <row r="3836" customFormat="false" ht="15" hidden="false" customHeight="false" outlineLevel="0" collapsed="false">
      <c r="A3836" s="22" t="n">
        <v>46309</v>
      </c>
      <c r="B3836" s="0" t="n">
        <v>16</v>
      </c>
      <c r="C3836" s="0" t="n">
        <v>8145</v>
      </c>
      <c r="E3836" s="0" t="n">
        <v>0</v>
      </c>
      <c r="F3836" s="23" t="s">
        <v>1581</v>
      </c>
      <c r="I3836" s="23" t="s">
        <v>1249</v>
      </c>
      <c r="U3836" s="0" t="n">
        <v>25</v>
      </c>
      <c r="V3836" s="0" t="n">
        <v>0</v>
      </c>
      <c r="W3836" s="0" t="str">
        <f aca="false">IF(OR(AND(B3836&gt;=1,B3836&lt;=6),B3836=10),"Vaca em lactação",IF(I3836="Male","Macho",IF(E3836&gt;=1,"Vaca seca",IF(I3836="Youngstock","Bezerra/recria","Novilha"))))</f>
        <v>Bezerra/recria</v>
      </c>
      <c r="X3836" s="0" t="str">
        <f aca="false">IF(AND(B3836&gt;=1,B3836&lt;=6),"Tanque",IF(B3836=10,"Descarte",""))</f>
        <v/>
      </c>
    </row>
    <row r="3837" customFormat="false" ht="15" hidden="false" customHeight="false" outlineLevel="0" collapsed="false">
      <c r="A3837" s="22" t="n">
        <v>46309</v>
      </c>
      <c r="B3837" s="0" t="n">
        <v>16</v>
      </c>
      <c r="C3837" s="0" t="n">
        <v>8144</v>
      </c>
      <c r="E3837" s="0" t="n">
        <v>0</v>
      </c>
      <c r="F3837" s="23" t="s">
        <v>1581</v>
      </c>
      <c r="I3837" s="23" t="s">
        <v>1249</v>
      </c>
      <c r="U3837" s="0" t="n">
        <v>25</v>
      </c>
      <c r="V3837" s="0" t="n">
        <v>0</v>
      </c>
      <c r="W3837" s="0" t="str">
        <f aca="false">IF(OR(AND(B3837&gt;=1,B3837&lt;=6),B3837=10),"Vaca em lactação",IF(I3837="Male","Macho",IF(E3837&gt;=1,"Vaca seca",IF(I3837="Youngstock","Bezerra/recria","Novilha"))))</f>
        <v>Bezerra/recria</v>
      </c>
      <c r="X3837" s="0" t="str">
        <f aca="false">IF(AND(B3837&gt;=1,B3837&lt;=6),"Tanque",IF(B3837=10,"Descarte",""))</f>
        <v/>
      </c>
    </row>
    <row r="3838" customFormat="false" ht="15" hidden="false" customHeight="false" outlineLevel="0" collapsed="false">
      <c r="A3838" s="22" t="n">
        <v>46309</v>
      </c>
      <c r="B3838" s="0" t="n">
        <v>16</v>
      </c>
      <c r="C3838" s="0" t="n">
        <v>8143</v>
      </c>
      <c r="E3838" s="0" t="n">
        <v>0</v>
      </c>
      <c r="F3838" s="23" t="s">
        <v>1581</v>
      </c>
      <c r="I3838" s="23" t="s">
        <v>1249</v>
      </c>
      <c r="U3838" s="0" t="n">
        <v>25</v>
      </c>
      <c r="V3838" s="0" t="n">
        <v>0</v>
      </c>
      <c r="W3838" s="0" t="str">
        <f aca="false">IF(OR(AND(B3838&gt;=1,B3838&lt;=6),B3838=10),"Vaca em lactação",IF(I3838="Male","Macho",IF(E3838&gt;=1,"Vaca seca",IF(I3838="Youngstock","Bezerra/recria","Novilha"))))</f>
        <v>Bezerra/recria</v>
      </c>
      <c r="X3838" s="0" t="str">
        <f aca="false">IF(AND(B3838&gt;=1,B3838&lt;=6),"Tanque",IF(B3838=10,"Descarte",""))</f>
        <v/>
      </c>
    </row>
    <row r="3839" customFormat="false" ht="15" hidden="false" customHeight="false" outlineLevel="0" collapsed="false">
      <c r="A3839" s="22" t="n">
        <v>46309</v>
      </c>
      <c r="B3839" s="0" t="n">
        <v>16</v>
      </c>
      <c r="C3839" s="0" t="n">
        <v>8150</v>
      </c>
      <c r="E3839" s="0" t="n">
        <v>0</v>
      </c>
      <c r="F3839" s="23" t="s">
        <v>1625</v>
      </c>
      <c r="I3839" s="23" t="s">
        <v>1249</v>
      </c>
      <c r="U3839" s="0" t="n">
        <v>22</v>
      </c>
      <c r="V3839" s="0" t="n">
        <v>0</v>
      </c>
      <c r="W3839" s="0" t="str">
        <f aca="false">IF(OR(AND(B3839&gt;=1,B3839&lt;=6),B3839=10),"Vaca em lactação",IF(I3839="Male","Macho",IF(E3839&gt;=1,"Vaca seca",IF(I3839="Youngstock","Bezerra/recria","Novilha"))))</f>
        <v>Bezerra/recria</v>
      </c>
      <c r="X3839" s="0" t="str">
        <f aca="false">IF(AND(B3839&gt;=1,B3839&lt;=6),"Tanque",IF(B3839=10,"Descarte",""))</f>
        <v/>
      </c>
    </row>
    <row r="3840" customFormat="false" ht="15" hidden="false" customHeight="false" outlineLevel="0" collapsed="false">
      <c r="A3840" s="22" t="n">
        <v>46309</v>
      </c>
      <c r="B3840" s="0" t="n">
        <v>16</v>
      </c>
      <c r="C3840" s="0" t="n">
        <v>8149</v>
      </c>
      <c r="E3840" s="0" t="n">
        <v>0</v>
      </c>
      <c r="F3840" s="23" t="s">
        <v>1624</v>
      </c>
      <c r="I3840" s="23" t="s">
        <v>1249</v>
      </c>
      <c r="U3840" s="0" t="n">
        <v>24</v>
      </c>
      <c r="V3840" s="0" t="n">
        <v>0</v>
      </c>
      <c r="W3840" s="0" t="str">
        <f aca="false">IF(OR(AND(B3840&gt;=1,B3840&lt;=6),B3840=10),"Vaca em lactação",IF(I3840="Male","Macho",IF(E3840&gt;=1,"Vaca seca",IF(I3840="Youngstock","Bezerra/recria","Novilha"))))</f>
        <v>Bezerra/recria</v>
      </c>
      <c r="X3840" s="0" t="str">
        <f aca="false">IF(AND(B3840&gt;=1,B3840&lt;=6),"Tanque",IF(B3840=10,"Descarte",""))</f>
        <v/>
      </c>
    </row>
    <row r="3841" customFormat="false" ht="15" hidden="false" customHeight="false" outlineLevel="0" collapsed="false">
      <c r="A3841" s="22" t="n">
        <v>46309</v>
      </c>
      <c r="B3841" s="0" t="n">
        <v>16</v>
      </c>
      <c r="C3841" s="0" t="n">
        <v>8154</v>
      </c>
      <c r="E3841" s="0" t="n">
        <v>0</v>
      </c>
      <c r="F3841" s="23" t="s">
        <v>1626</v>
      </c>
      <c r="I3841" s="23" t="s">
        <v>1249</v>
      </c>
      <c r="U3841" s="0" t="n">
        <v>21</v>
      </c>
      <c r="V3841" s="0" t="n">
        <v>0</v>
      </c>
      <c r="W3841" s="0" t="str">
        <f aca="false">IF(OR(AND(B3841&gt;=1,B3841&lt;=6),B3841=10),"Vaca em lactação",IF(I3841="Male","Macho",IF(E3841&gt;=1,"Vaca seca",IF(I3841="Youngstock","Bezerra/recria","Novilha"))))</f>
        <v>Bezerra/recria</v>
      </c>
      <c r="X3841" s="0" t="str">
        <f aca="false">IF(AND(B3841&gt;=1,B3841&lt;=6),"Tanque",IF(B3841=10,"Descarte",""))</f>
        <v/>
      </c>
    </row>
    <row r="3842" customFormat="false" ht="15" hidden="false" customHeight="false" outlineLevel="0" collapsed="false">
      <c r="A3842" s="22" t="n">
        <v>46309</v>
      </c>
      <c r="B3842" s="0" t="n">
        <v>16</v>
      </c>
      <c r="C3842" s="0" t="n">
        <v>8153</v>
      </c>
      <c r="E3842" s="0" t="n">
        <v>0</v>
      </c>
      <c r="F3842" s="23" t="s">
        <v>1626</v>
      </c>
      <c r="I3842" s="23" t="s">
        <v>1249</v>
      </c>
      <c r="U3842" s="0" t="n">
        <v>21</v>
      </c>
      <c r="V3842" s="0" t="n">
        <v>0</v>
      </c>
      <c r="W3842" s="0" t="str">
        <f aca="false">IF(OR(AND(B3842&gt;=1,B3842&lt;=6),B3842=10),"Vaca em lactação",IF(I3842="Male","Macho",IF(E3842&gt;=1,"Vaca seca",IF(I3842="Youngstock","Bezerra/recria","Novilha"))))</f>
        <v>Bezerra/recria</v>
      </c>
      <c r="X3842" s="0" t="str">
        <f aca="false">IF(AND(B3842&gt;=1,B3842&lt;=6),"Tanque",IF(B3842=10,"Descarte",""))</f>
        <v/>
      </c>
    </row>
    <row r="3843" customFormat="false" ht="15" hidden="false" customHeight="false" outlineLevel="0" collapsed="false">
      <c r="A3843" s="22" t="n">
        <v>46309</v>
      </c>
      <c r="B3843" s="0" t="n">
        <v>16</v>
      </c>
      <c r="C3843" s="0" t="n">
        <v>8152</v>
      </c>
      <c r="E3843" s="0" t="n">
        <v>0</v>
      </c>
      <c r="F3843" s="23" t="s">
        <v>1626</v>
      </c>
      <c r="I3843" s="23" t="s">
        <v>1249</v>
      </c>
      <c r="U3843" s="0" t="n">
        <v>21</v>
      </c>
      <c r="V3843" s="0" t="n">
        <v>0</v>
      </c>
      <c r="W3843" s="0" t="str">
        <f aca="false">IF(OR(AND(B3843&gt;=1,B3843&lt;=6),B3843=10),"Vaca em lactação",IF(I3843="Male","Macho",IF(E3843&gt;=1,"Vaca seca",IF(I3843="Youngstock","Bezerra/recria","Novilha"))))</f>
        <v>Bezerra/recria</v>
      </c>
      <c r="X3843" s="0" t="str">
        <f aca="false">IF(AND(B3843&gt;=1,B3843&lt;=6),"Tanque",IF(B3843=10,"Descarte",""))</f>
        <v/>
      </c>
    </row>
    <row r="3844" customFormat="false" ht="15" hidden="false" customHeight="false" outlineLevel="0" collapsed="false">
      <c r="A3844" s="22" t="n">
        <v>46309</v>
      </c>
      <c r="B3844" s="0" t="n">
        <v>16</v>
      </c>
      <c r="C3844" s="0" t="n">
        <v>8151</v>
      </c>
      <c r="E3844" s="0" t="n">
        <v>0</v>
      </c>
      <c r="F3844" s="23" t="s">
        <v>1625</v>
      </c>
      <c r="I3844" s="23" t="s">
        <v>1249</v>
      </c>
      <c r="U3844" s="0" t="n">
        <v>22</v>
      </c>
      <c r="V3844" s="0" t="n">
        <v>0</v>
      </c>
      <c r="W3844" s="0" t="str">
        <f aca="false">IF(OR(AND(B3844&gt;=1,B3844&lt;=6),B3844=10),"Vaca em lactação",IF(I3844="Male","Macho",IF(E3844&gt;=1,"Vaca seca",IF(I3844="Youngstock","Bezerra/recria","Novilha"))))</f>
        <v>Bezerra/recria</v>
      </c>
      <c r="X3844" s="0" t="str">
        <f aca="false">IF(AND(B3844&gt;=1,B3844&lt;=6),"Tanque",IF(B3844=10,"Descarte",""))</f>
        <v/>
      </c>
    </row>
    <row r="3845" customFormat="false" ht="15" hidden="false" customHeight="false" outlineLevel="0" collapsed="false">
      <c r="A3845" s="22" t="n">
        <v>46309</v>
      </c>
      <c r="B3845" s="0" t="n">
        <v>16</v>
      </c>
      <c r="C3845" s="0" t="n">
        <v>8116</v>
      </c>
      <c r="E3845" s="0" t="n">
        <v>0</v>
      </c>
      <c r="F3845" s="23" t="s">
        <v>1584</v>
      </c>
      <c r="I3845" s="23" t="s">
        <v>1249</v>
      </c>
      <c r="U3845" s="0" t="n">
        <v>34</v>
      </c>
      <c r="V3845" s="0" t="n">
        <v>0</v>
      </c>
      <c r="W3845" s="0" t="str">
        <f aca="false">IF(OR(AND(B3845&gt;=1,B3845&lt;=6),B3845=10),"Vaca em lactação",IF(I3845="Male","Macho",IF(E3845&gt;=1,"Vaca seca",IF(I3845="Youngstock","Bezerra/recria","Novilha"))))</f>
        <v>Bezerra/recria</v>
      </c>
      <c r="X3845" s="0" t="str">
        <f aca="false">IF(AND(B3845&gt;=1,B3845&lt;=6),"Tanque",IF(B3845=10,"Descarte",""))</f>
        <v/>
      </c>
    </row>
    <row r="3846" customFormat="false" ht="15" hidden="false" customHeight="false" outlineLevel="0" collapsed="false">
      <c r="A3846" s="22" t="n">
        <v>46309</v>
      </c>
      <c r="B3846" s="0" t="n">
        <v>16</v>
      </c>
      <c r="C3846" s="0" t="n">
        <v>8115</v>
      </c>
      <c r="E3846" s="0" t="n">
        <v>0</v>
      </c>
      <c r="F3846" s="23" t="s">
        <v>1584</v>
      </c>
      <c r="I3846" s="23" t="s">
        <v>1249</v>
      </c>
      <c r="U3846" s="0" t="n">
        <v>34</v>
      </c>
      <c r="V3846" s="0" t="n">
        <v>0</v>
      </c>
      <c r="W3846" s="0" t="str">
        <f aca="false">IF(OR(AND(B3846&gt;=1,B3846&lt;=6),B3846=10),"Vaca em lactação",IF(I3846="Male","Macho",IF(E3846&gt;=1,"Vaca seca",IF(I3846="Youngstock","Bezerra/recria","Novilha"))))</f>
        <v>Bezerra/recria</v>
      </c>
      <c r="X3846" s="0" t="str">
        <f aca="false">IF(AND(B3846&gt;=1,B3846&lt;=6),"Tanque",IF(B3846=10,"Descarte",""))</f>
        <v/>
      </c>
    </row>
    <row r="3847" customFormat="false" ht="15" hidden="false" customHeight="false" outlineLevel="0" collapsed="false">
      <c r="A3847" s="22" t="n">
        <v>46309</v>
      </c>
      <c r="B3847" s="0" t="n">
        <v>16</v>
      </c>
      <c r="C3847" s="0" t="n">
        <v>8114</v>
      </c>
      <c r="E3847" s="0" t="n">
        <v>0</v>
      </c>
      <c r="F3847" s="23" t="s">
        <v>1583</v>
      </c>
      <c r="I3847" s="23" t="s">
        <v>1249</v>
      </c>
      <c r="U3847" s="0" t="n">
        <v>35</v>
      </c>
      <c r="V3847" s="0" t="n">
        <v>0</v>
      </c>
      <c r="W3847" s="0" t="str">
        <f aca="false">IF(OR(AND(B3847&gt;=1,B3847&lt;=6),B3847=10),"Vaca em lactação",IF(I3847="Male","Macho",IF(E3847&gt;=1,"Vaca seca",IF(I3847="Youngstock","Bezerra/recria","Novilha"))))</f>
        <v>Bezerra/recria</v>
      </c>
      <c r="X3847" s="0" t="str">
        <f aca="false">IF(AND(B3847&gt;=1,B3847&lt;=6),"Tanque",IF(B3847=10,"Descarte",""))</f>
        <v/>
      </c>
    </row>
    <row r="3848" customFormat="false" ht="15" hidden="false" customHeight="false" outlineLevel="0" collapsed="false">
      <c r="A3848" s="22" t="n">
        <v>46309</v>
      </c>
      <c r="B3848" s="0" t="n">
        <v>16</v>
      </c>
      <c r="C3848" s="0" t="n">
        <v>8124</v>
      </c>
      <c r="E3848" s="0" t="n">
        <v>0</v>
      </c>
      <c r="F3848" s="23" t="s">
        <v>1627</v>
      </c>
      <c r="I3848" s="23" t="s">
        <v>1249</v>
      </c>
      <c r="U3848" s="0" t="n">
        <v>31</v>
      </c>
      <c r="V3848" s="0" t="n">
        <v>0</v>
      </c>
      <c r="W3848" s="0" t="str">
        <f aca="false">IF(OR(AND(B3848&gt;=1,B3848&lt;=6),B3848=10),"Vaca em lactação",IF(I3848="Male","Macho",IF(E3848&gt;=1,"Vaca seca",IF(I3848="Youngstock","Bezerra/recria","Novilha"))))</f>
        <v>Bezerra/recria</v>
      </c>
      <c r="X3848" s="0" t="str">
        <f aca="false">IF(AND(B3848&gt;=1,B3848&lt;=6),"Tanque",IF(B3848=10,"Descarte",""))</f>
        <v/>
      </c>
    </row>
    <row r="3849" customFormat="false" ht="15" hidden="false" customHeight="false" outlineLevel="0" collapsed="false">
      <c r="A3849" s="22" t="n">
        <v>46309</v>
      </c>
      <c r="B3849" s="0" t="n">
        <v>16</v>
      </c>
      <c r="C3849" s="0" t="n">
        <v>8122</v>
      </c>
      <c r="E3849" s="0" t="n">
        <v>0</v>
      </c>
      <c r="F3849" s="23" t="s">
        <v>1628</v>
      </c>
      <c r="I3849" s="23" t="s">
        <v>1249</v>
      </c>
      <c r="U3849" s="0" t="n">
        <v>32</v>
      </c>
      <c r="V3849" s="0" t="n">
        <v>0</v>
      </c>
      <c r="W3849" s="0" t="str">
        <f aca="false">IF(OR(AND(B3849&gt;=1,B3849&lt;=6),B3849=10),"Vaca em lactação",IF(I3849="Male","Macho",IF(E3849&gt;=1,"Vaca seca",IF(I3849="Youngstock","Bezerra/recria","Novilha"))))</f>
        <v>Bezerra/recria</v>
      </c>
      <c r="X3849" s="0" t="str">
        <f aca="false">IF(AND(B3849&gt;=1,B3849&lt;=6),"Tanque",IF(B3849=10,"Descarte",""))</f>
        <v/>
      </c>
    </row>
    <row r="3850" customFormat="false" ht="15" hidden="false" customHeight="false" outlineLevel="0" collapsed="false">
      <c r="A3850" s="22" t="n">
        <v>46309</v>
      </c>
      <c r="B3850" s="0" t="n">
        <v>16</v>
      </c>
      <c r="C3850" s="0" t="n">
        <v>8121</v>
      </c>
      <c r="E3850" s="0" t="n">
        <v>0</v>
      </c>
      <c r="F3850" s="23" t="s">
        <v>1628</v>
      </c>
      <c r="I3850" s="23" t="s">
        <v>1249</v>
      </c>
      <c r="U3850" s="0" t="n">
        <v>32</v>
      </c>
      <c r="V3850" s="0" t="n">
        <v>0</v>
      </c>
      <c r="W3850" s="0" t="str">
        <f aca="false">IF(OR(AND(B3850&gt;=1,B3850&lt;=6),B3850=10),"Vaca em lactação",IF(I3850="Male","Macho",IF(E3850&gt;=1,"Vaca seca",IF(I3850="Youngstock","Bezerra/recria","Novilha"))))</f>
        <v>Bezerra/recria</v>
      </c>
      <c r="X3850" s="0" t="str">
        <f aca="false">IF(AND(B3850&gt;=1,B3850&lt;=6),"Tanque",IF(B3850=10,"Descarte",""))</f>
        <v/>
      </c>
    </row>
    <row r="3851" customFormat="false" ht="15" hidden="false" customHeight="false" outlineLevel="0" collapsed="false">
      <c r="A3851" s="22" t="n">
        <v>46309</v>
      </c>
      <c r="B3851" s="0" t="n">
        <v>16</v>
      </c>
      <c r="C3851" s="0" t="n">
        <v>8120</v>
      </c>
      <c r="E3851" s="0" t="n">
        <v>0</v>
      </c>
      <c r="F3851" s="23" t="s">
        <v>1629</v>
      </c>
      <c r="I3851" s="23" t="s">
        <v>1249</v>
      </c>
      <c r="U3851" s="0" t="n">
        <v>33</v>
      </c>
      <c r="V3851" s="0" t="n">
        <v>0</v>
      </c>
      <c r="W3851" s="0" t="str">
        <f aca="false">IF(OR(AND(B3851&gt;=1,B3851&lt;=6),B3851=10),"Vaca em lactação",IF(I3851="Male","Macho",IF(E3851&gt;=1,"Vaca seca",IF(I3851="Youngstock","Bezerra/recria","Novilha"))))</f>
        <v>Bezerra/recria</v>
      </c>
      <c r="X3851" s="0" t="str">
        <f aca="false">IF(AND(B3851&gt;=1,B3851&lt;=6),"Tanque",IF(B3851=10,"Descarte",""))</f>
        <v/>
      </c>
    </row>
    <row r="3852" customFormat="false" ht="15" hidden="false" customHeight="false" outlineLevel="0" collapsed="false">
      <c r="A3852" s="22" t="n">
        <v>46309</v>
      </c>
      <c r="B3852" s="0" t="n">
        <v>16</v>
      </c>
      <c r="C3852" s="0" t="n">
        <v>8119</v>
      </c>
      <c r="E3852" s="0" t="n">
        <v>0</v>
      </c>
      <c r="F3852" s="23" t="s">
        <v>1629</v>
      </c>
      <c r="I3852" s="23" t="s">
        <v>1249</v>
      </c>
      <c r="U3852" s="0" t="n">
        <v>33</v>
      </c>
      <c r="V3852" s="0" t="n">
        <v>0</v>
      </c>
      <c r="W3852" s="0" t="str">
        <f aca="false">IF(OR(AND(B3852&gt;=1,B3852&lt;=6),B3852=10),"Vaca em lactação",IF(I3852="Male","Macho",IF(E3852&gt;=1,"Vaca seca",IF(I3852="Youngstock","Bezerra/recria","Novilha"))))</f>
        <v>Bezerra/recria</v>
      </c>
      <c r="X3852" s="0" t="str">
        <f aca="false">IF(AND(B3852&gt;=1,B3852&lt;=6),"Tanque",IF(B3852=10,"Descarte",""))</f>
        <v/>
      </c>
    </row>
    <row r="3853" customFormat="false" ht="15" hidden="false" customHeight="false" outlineLevel="0" collapsed="false">
      <c r="A3853" s="22" t="n">
        <v>46309</v>
      </c>
      <c r="B3853" s="0" t="n">
        <v>16</v>
      </c>
      <c r="C3853" s="0" t="n">
        <v>8118</v>
      </c>
      <c r="E3853" s="0" t="n">
        <v>0</v>
      </c>
      <c r="F3853" s="23" t="s">
        <v>1629</v>
      </c>
      <c r="I3853" s="23" t="s">
        <v>1249</v>
      </c>
      <c r="U3853" s="0" t="n">
        <v>33</v>
      </c>
      <c r="V3853" s="0" t="n">
        <v>0</v>
      </c>
      <c r="W3853" s="0" t="str">
        <f aca="false">IF(OR(AND(B3853&gt;=1,B3853&lt;=6),B3853=10),"Vaca em lactação",IF(I3853="Male","Macho",IF(E3853&gt;=1,"Vaca seca",IF(I3853="Youngstock","Bezerra/recria","Novilha"))))</f>
        <v>Bezerra/recria</v>
      </c>
      <c r="X3853" s="0" t="str">
        <f aca="false">IF(AND(B3853&gt;=1,B3853&lt;=6),"Tanque",IF(B3853=10,"Descarte",""))</f>
        <v/>
      </c>
    </row>
    <row r="3854" customFormat="false" ht="15" hidden="false" customHeight="false" outlineLevel="0" collapsed="false">
      <c r="A3854" s="22" t="n">
        <v>46309</v>
      </c>
      <c r="B3854" s="0" t="n">
        <v>16</v>
      </c>
      <c r="C3854" s="0" t="n">
        <v>8117</v>
      </c>
      <c r="E3854" s="0" t="n">
        <v>0</v>
      </c>
      <c r="F3854" s="23" t="s">
        <v>1629</v>
      </c>
      <c r="I3854" s="23" t="s">
        <v>1249</v>
      </c>
      <c r="U3854" s="0" t="n">
        <v>33</v>
      </c>
      <c r="V3854" s="0" t="n">
        <v>0</v>
      </c>
      <c r="W3854" s="0" t="str">
        <f aca="false">IF(OR(AND(B3854&gt;=1,B3854&lt;=6),B3854=10),"Vaca em lactação",IF(I3854="Male","Macho",IF(E3854&gt;=1,"Vaca seca",IF(I3854="Youngstock","Bezerra/recria","Novilha"))))</f>
        <v>Bezerra/recria</v>
      </c>
      <c r="X3854" s="0" t="str">
        <f aca="false">IF(AND(B3854&gt;=1,B3854&lt;=6),"Tanque",IF(B3854=10,"Descarte",""))</f>
        <v/>
      </c>
    </row>
    <row r="3855" customFormat="false" ht="15" hidden="false" customHeight="false" outlineLevel="0" collapsed="false">
      <c r="A3855" s="22" t="n">
        <v>46309</v>
      </c>
      <c r="B3855" s="0" t="n">
        <v>16</v>
      </c>
      <c r="C3855" s="0" t="n">
        <v>8128</v>
      </c>
      <c r="E3855" s="0" t="n">
        <v>0</v>
      </c>
      <c r="F3855" s="23" t="s">
        <v>1585</v>
      </c>
      <c r="I3855" s="23" t="s">
        <v>1249</v>
      </c>
      <c r="U3855" s="0" t="n">
        <v>30</v>
      </c>
      <c r="V3855" s="0" t="n">
        <v>0</v>
      </c>
      <c r="W3855" s="0" t="str">
        <f aca="false">IF(OR(AND(B3855&gt;=1,B3855&lt;=6),B3855=10),"Vaca em lactação",IF(I3855="Male","Macho",IF(E3855&gt;=1,"Vaca seca",IF(I3855="Youngstock","Bezerra/recria","Novilha"))))</f>
        <v>Bezerra/recria</v>
      </c>
      <c r="X3855" s="0" t="str">
        <f aca="false">IF(AND(B3855&gt;=1,B3855&lt;=6),"Tanque",IF(B3855=10,"Descarte",""))</f>
        <v/>
      </c>
    </row>
    <row r="3856" customFormat="false" ht="15" hidden="false" customHeight="false" outlineLevel="0" collapsed="false">
      <c r="A3856" s="22" t="n">
        <v>46309</v>
      </c>
      <c r="B3856" s="0" t="n">
        <v>16</v>
      </c>
      <c r="C3856" s="0" t="n">
        <v>8127</v>
      </c>
      <c r="E3856" s="0" t="n">
        <v>0</v>
      </c>
      <c r="F3856" s="23" t="s">
        <v>1585</v>
      </c>
      <c r="I3856" s="23" t="s">
        <v>1249</v>
      </c>
      <c r="U3856" s="0" t="n">
        <v>30</v>
      </c>
      <c r="V3856" s="0" t="n">
        <v>0</v>
      </c>
      <c r="W3856" s="0" t="str">
        <f aca="false">IF(OR(AND(B3856&gt;=1,B3856&lt;=6),B3856=10),"Vaca em lactação",IF(I3856="Male","Macho",IF(E3856&gt;=1,"Vaca seca",IF(I3856="Youngstock","Bezerra/recria","Novilha"))))</f>
        <v>Bezerra/recria</v>
      </c>
      <c r="X3856" s="0" t="str">
        <f aca="false">IF(AND(B3856&gt;=1,B3856&lt;=6),"Tanque",IF(B3856=10,"Descarte",""))</f>
        <v/>
      </c>
    </row>
    <row r="3857" customFormat="false" ht="15" hidden="false" customHeight="false" outlineLevel="0" collapsed="false">
      <c r="A3857" s="22" t="n">
        <v>46309</v>
      </c>
      <c r="B3857" s="0" t="n">
        <v>16</v>
      </c>
      <c r="C3857" s="0" t="n">
        <v>8126</v>
      </c>
      <c r="E3857" s="0" t="n">
        <v>0</v>
      </c>
      <c r="F3857" s="23" t="s">
        <v>1627</v>
      </c>
      <c r="I3857" s="23" t="s">
        <v>1249</v>
      </c>
      <c r="U3857" s="0" t="n">
        <v>31</v>
      </c>
      <c r="V3857" s="0" t="n">
        <v>0</v>
      </c>
      <c r="W3857" s="0" t="str">
        <f aca="false">IF(OR(AND(B3857&gt;=1,B3857&lt;=6),B3857=10),"Vaca em lactação",IF(I3857="Male","Macho",IF(E3857&gt;=1,"Vaca seca",IF(I3857="Youngstock","Bezerra/recria","Novilha"))))</f>
        <v>Bezerra/recria</v>
      </c>
      <c r="X3857" s="0" t="str">
        <f aca="false">IF(AND(B3857&gt;=1,B3857&lt;=6),"Tanque",IF(B3857=10,"Descarte",""))</f>
        <v/>
      </c>
    </row>
    <row r="3858" customFormat="false" ht="15" hidden="false" customHeight="false" outlineLevel="0" collapsed="false">
      <c r="A3858" s="22" t="n">
        <v>46309</v>
      </c>
      <c r="B3858" s="0" t="n">
        <v>16</v>
      </c>
      <c r="C3858" s="0" t="n">
        <v>8125</v>
      </c>
      <c r="E3858" s="0" t="n">
        <v>0</v>
      </c>
      <c r="F3858" s="23" t="s">
        <v>1627</v>
      </c>
      <c r="I3858" s="23" t="s">
        <v>1249</v>
      </c>
      <c r="U3858" s="0" t="n">
        <v>31</v>
      </c>
      <c r="V3858" s="0" t="n">
        <v>0</v>
      </c>
      <c r="W3858" s="0" t="str">
        <f aca="false">IF(OR(AND(B3858&gt;=1,B3858&lt;=6),B3858=10),"Vaca em lactação",IF(I3858="Male","Macho",IF(E3858&gt;=1,"Vaca seca",IF(I3858="Youngstock","Bezerra/recria","Novilha"))))</f>
        <v>Bezerra/recria</v>
      </c>
      <c r="X3858" s="0" t="str">
        <f aca="false">IF(AND(B3858&gt;=1,B3858&lt;=6),"Tanque",IF(B3858=10,"Descarte",""))</f>
        <v/>
      </c>
    </row>
    <row r="3859" customFormat="false" ht="15" hidden="false" customHeight="false" outlineLevel="0" collapsed="false">
      <c r="A3859" s="22" t="n">
        <v>46309</v>
      </c>
      <c r="B3859" s="0" t="n">
        <v>16</v>
      </c>
      <c r="C3859" s="0" t="n">
        <v>8131</v>
      </c>
      <c r="E3859" s="0" t="n">
        <v>0</v>
      </c>
      <c r="F3859" s="23" t="s">
        <v>1630</v>
      </c>
      <c r="I3859" s="23" t="s">
        <v>1249</v>
      </c>
      <c r="U3859" s="0" t="n">
        <v>29</v>
      </c>
      <c r="V3859" s="0" t="n">
        <v>0</v>
      </c>
      <c r="W3859" s="0" t="str">
        <f aca="false">IF(OR(AND(B3859&gt;=1,B3859&lt;=6),B3859=10),"Vaca em lactação",IF(I3859="Male","Macho",IF(E3859&gt;=1,"Vaca seca",IF(I3859="Youngstock","Bezerra/recria","Novilha"))))</f>
        <v>Bezerra/recria</v>
      </c>
      <c r="X3859" s="0" t="str">
        <f aca="false">IF(AND(B3859&gt;=1,B3859&lt;=6),"Tanque",IF(B3859=10,"Descarte",""))</f>
        <v/>
      </c>
    </row>
    <row r="3860" customFormat="false" ht="15" hidden="false" customHeight="false" outlineLevel="0" collapsed="false">
      <c r="A3860" s="22" t="n">
        <v>46309</v>
      </c>
      <c r="B3860" s="0" t="n">
        <v>16</v>
      </c>
      <c r="C3860" s="0" t="n">
        <v>8130</v>
      </c>
      <c r="E3860" s="0" t="n">
        <v>0</v>
      </c>
      <c r="F3860" s="23" t="s">
        <v>1585</v>
      </c>
      <c r="I3860" s="23" t="s">
        <v>1249</v>
      </c>
      <c r="U3860" s="0" t="n">
        <v>30</v>
      </c>
      <c r="V3860" s="0" t="n">
        <v>0</v>
      </c>
      <c r="W3860" s="0" t="str">
        <f aca="false">IF(OR(AND(B3860&gt;=1,B3860&lt;=6),B3860=10),"Vaca em lactação",IF(I3860="Male","Macho",IF(E3860&gt;=1,"Vaca seca",IF(I3860="Youngstock","Bezerra/recria","Novilha"))))</f>
        <v>Bezerra/recria</v>
      </c>
      <c r="X3860" s="0" t="str">
        <f aca="false">IF(AND(B3860&gt;=1,B3860&lt;=6),"Tanque",IF(B3860=10,"Descarte",""))</f>
        <v/>
      </c>
    </row>
    <row r="3861" customFormat="false" ht="15" hidden="false" customHeight="false" outlineLevel="0" collapsed="false">
      <c r="A3861" s="22" t="n">
        <v>46309</v>
      </c>
      <c r="B3861" s="0" t="n">
        <v>16</v>
      </c>
      <c r="C3861" s="0" t="n">
        <v>8129</v>
      </c>
      <c r="E3861" s="0" t="n">
        <v>0</v>
      </c>
      <c r="F3861" s="23" t="s">
        <v>1585</v>
      </c>
      <c r="I3861" s="23" t="s">
        <v>1249</v>
      </c>
      <c r="U3861" s="0" t="n">
        <v>30</v>
      </c>
      <c r="V3861" s="0" t="n">
        <v>0</v>
      </c>
      <c r="W3861" s="0" t="str">
        <f aca="false">IF(OR(AND(B3861&gt;=1,B3861&lt;=6),B3861=10),"Vaca em lactação",IF(I3861="Male","Macho",IF(E3861&gt;=1,"Vaca seca",IF(I3861="Youngstock","Bezerra/recria","Novilha"))))</f>
        <v>Bezerra/recria</v>
      </c>
      <c r="X3861" s="0" t="str">
        <f aca="false">IF(AND(B3861&gt;=1,B3861&lt;=6),"Tanque",IF(B3861=10,"Descarte",""))</f>
        <v/>
      </c>
    </row>
    <row r="3862" customFormat="false" ht="15" hidden="false" customHeight="false" outlineLevel="0" collapsed="false">
      <c r="A3862" s="22" t="n">
        <v>46309</v>
      </c>
      <c r="B3862" s="0" t="n">
        <v>16</v>
      </c>
      <c r="C3862" s="0" t="n">
        <v>8133</v>
      </c>
      <c r="E3862" s="0" t="n">
        <v>0</v>
      </c>
      <c r="F3862" s="23" t="s">
        <v>1631</v>
      </c>
      <c r="I3862" s="23" t="s">
        <v>1249</v>
      </c>
      <c r="U3862" s="0" t="n">
        <v>28</v>
      </c>
      <c r="V3862" s="0" t="n">
        <v>0</v>
      </c>
      <c r="W3862" s="0" t="str">
        <f aca="false">IF(OR(AND(B3862&gt;=1,B3862&lt;=6),B3862=10),"Vaca em lactação",IF(I3862="Male","Macho",IF(E3862&gt;=1,"Vaca seca",IF(I3862="Youngstock","Bezerra/recria","Novilha"))))</f>
        <v>Bezerra/recria</v>
      </c>
      <c r="X3862" s="0" t="str">
        <f aca="false">IF(AND(B3862&gt;=1,B3862&lt;=6),"Tanque",IF(B3862=10,"Descarte",""))</f>
        <v/>
      </c>
    </row>
    <row r="3863" customFormat="false" ht="15" hidden="false" customHeight="false" outlineLevel="0" collapsed="false">
      <c r="A3863" s="22" t="n">
        <v>46309</v>
      </c>
      <c r="B3863" s="0" t="n">
        <v>16</v>
      </c>
      <c r="C3863" s="0" t="n">
        <v>8132</v>
      </c>
      <c r="E3863" s="0" t="n">
        <v>0</v>
      </c>
      <c r="F3863" s="23" t="s">
        <v>1630</v>
      </c>
      <c r="I3863" s="23" t="s">
        <v>1249</v>
      </c>
      <c r="U3863" s="0" t="n">
        <v>29</v>
      </c>
      <c r="V3863" s="0" t="n">
        <v>0</v>
      </c>
      <c r="W3863" s="0" t="str">
        <f aca="false">IF(OR(AND(B3863&gt;=1,B3863&lt;=6),B3863=10),"Vaca em lactação",IF(I3863="Male","Macho",IF(E3863&gt;=1,"Vaca seca",IF(I3863="Youngstock","Bezerra/recria","Novilha"))))</f>
        <v>Bezerra/recria</v>
      </c>
      <c r="X3863" s="0" t="str">
        <f aca="false">IF(AND(B3863&gt;=1,B3863&lt;=6),"Tanque",IF(B3863=10,"Descarte",""))</f>
        <v/>
      </c>
    </row>
    <row r="3864" customFormat="false" ht="15" hidden="false" customHeight="false" outlineLevel="0" collapsed="false">
      <c r="A3864" s="22" t="n">
        <v>46309</v>
      </c>
      <c r="B3864" s="0" t="n">
        <v>16</v>
      </c>
      <c r="C3864" s="0" t="n">
        <v>8100</v>
      </c>
      <c r="E3864" s="0" t="n">
        <v>0</v>
      </c>
      <c r="F3864" s="23" t="s">
        <v>1632</v>
      </c>
      <c r="I3864" s="23" t="s">
        <v>1249</v>
      </c>
      <c r="U3864" s="0" t="n">
        <v>41</v>
      </c>
      <c r="V3864" s="0" t="n">
        <v>0</v>
      </c>
      <c r="W3864" s="0" t="str">
        <f aca="false">IF(OR(AND(B3864&gt;=1,B3864&lt;=6),B3864=10),"Vaca em lactação",IF(I3864="Male","Macho",IF(E3864&gt;=1,"Vaca seca",IF(I3864="Youngstock","Bezerra/recria","Novilha"))))</f>
        <v>Bezerra/recria</v>
      </c>
      <c r="X3864" s="0" t="str">
        <f aca="false">IF(AND(B3864&gt;=1,B3864&lt;=6),"Tanque",IF(B3864=10,"Descarte",""))</f>
        <v/>
      </c>
    </row>
    <row r="3865" customFormat="false" ht="15" hidden="false" customHeight="false" outlineLevel="0" collapsed="false">
      <c r="A3865" s="22" t="n">
        <v>46309</v>
      </c>
      <c r="B3865" s="0" t="n">
        <v>16</v>
      </c>
      <c r="C3865" s="0" t="n">
        <v>8099</v>
      </c>
      <c r="E3865" s="0" t="n">
        <v>0</v>
      </c>
      <c r="F3865" s="23" t="s">
        <v>1632</v>
      </c>
      <c r="I3865" s="23" t="s">
        <v>1249</v>
      </c>
      <c r="U3865" s="0" t="n">
        <v>41</v>
      </c>
      <c r="V3865" s="0" t="n">
        <v>0</v>
      </c>
      <c r="W3865" s="0" t="str">
        <f aca="false">IF(OR(AND(B3865&gt;=1,B3865&lt;=6),B3865=10),"Vaca em lactação",IF(I3865="Male","Macho",IF(E3865&gt;=1,"Vaca seca",IF(I3865="Youngstock","Bezerra/recria","Novilha"))))</f>
        <v>Bezerra/recria</v>
      </c>
      <c r="X3865" s="0" t="str">
        <f aca="false">IF(AND(B3865&gt;=1,B3865&lt;=6),"Tanque",IF(B3865=10,"Descarte",""))</f>
        <v/>
      </c>
    </row>
    <row r="3866" customFormat="false" ht="15" hidden="false" customHeight="false" outlineLevel="0" collapsed="false">
      <c r="A3866" s="22" t="n">
        <v>46309</v>
      </c>
      <c r="B3866" s="0" t="n">
        <v>16</v>
      </c>
      <c r="C3866" s="0" t="n">
        <v>8098</v>
      </c>
      <c r="E3866" s="0" t="n">
        <v>0</v>
      </c>
      <c r="F3866" s="23" t="s">
        <v>1587</v>
      </c>
      <c r="I3866" s="23" t="s">
        <v>1249</v>
      </c>
      <c r="U3866" s="0" t="n">
        <v>42</v>
      </c>
      <c r="V3866" s="0" t="n">
        <v>0</v>
      </c>
      <c r="W3866" s="0" t="str">
        <f aca="false">IF(OR(AND(B3866&gt;=1,B3866&lt;=6),B3866=10),"Vaca em lactação",IF(I3866="Male","Macho",IF(E3866&gt;=1,"Vaca seca",IF(I3866="Youngstock","Bezerra/recria","Novilha"))))</f>
        <v>Bezerra/recria</v>
      </c>
      <c r="X3866" s="0" t="str">
        <f aca="false">IF(AND(B3866&gt;=1,B3866&lt;=6),"Tanque",IF(B3866=10,"Descarte",""))</f>
        <v/>
      </c>
    </row>
    <row r="3867" customFormat="false" ht="15" hidden="false" customHeight="false" outlineLevel="0" collapsed="false">
      <c r="A3867" s="22" t="n">
        <v>46309</v>
      </c>
      <c r="B3867" s="0" t="n">
        <v>16</v>
      </c>
      <c r="C3867" s="0" t="n">
        <v>8102</v>
      </c>
      <c r="E3867" s="0" t="n">
        <v>0</v>
      </c>
      <c r="F3867" s="23" t="s">
        <v>1633</v>
      </c>
      <c r="I3867" s="23" t="s">
        <v>1249</v>
      </c>
      <c r="U3867" s="0" t="n">
        <v>39</v>
      </c>
      <c r="V3867" s="0" t="n">
        <v>0</v>
      </c>
      <c r="W3867" s="0" t="str">
        <f aca="false">IF(OR(AND(B3867&gt;=1,B3867&lt;=6),B3867=10),"Vaca em lactação",IF(I3867="Male","Macho",IF(E3867&gt;=1,"Vaca seca",IF(I3867="Youngstock","Bezerra/recria","Novilha"))))</f>
        <v>Bezerra/recria</v>
      </c>
      <c r="X3867" s="0" t="str">
        <f aca="false">IF(AND(B3867&gt;=1,B3867&lt;=6),"Tanque",IF(B3867=10,"Descarte",""))</f>
        <v/>
      </c>
    </row>
    <row r="3868" customFormat="false" ht="15" hidden="false" customHeight="false" outlineLevel="0" collapsed="false">
      <c r="A3868" s="22" t="n">
        <v>46309</v>
      </c>
      <c r="B3868" s="0" t="n">
        <v>16</v>
      </c>
      <c r="C3868" s="0" t="n">
        <v>8101</v>
      </c>
      <c r="E3868" s="0" t="n">
        <v>0</v>
      </c>
      <c r="F3868" s="23" t="s">
        <v>1588</v>
      </c>
      <c r="I3868" s="23" t="s">
        <v>1249</v>
      </c>
      <c r="U3868" s="0" t="n">
        <v>40</v>
      </c>
      <c r="V3868" s="0" t="n">
        <v>0</v>
      </c>
      <c r="W3868" s="0" t="str">
        <f aca="false">IF(OR(AND(B3868&gt;=1,B3868&lt;=6),B3868=10),"Vaca em lactação",IF(I3868="Male","Macho",IF(E3868&gt;=1,"Vaca seca",IF(I3868="Youngstock","Bezerra/recria","Novilha"))))</f>
        <v>Bezerra/recria</v>
      </c>
      <c r="X3868" s="0" t="str">
        <f aca="false">IF(AND(B3868&gt;=1,B3868&lt;=6),"Tanque",IF(B3868=10,"Descarte",""))</f>
        <v/>
      </c>
    </row>
    <row r="3869" customFormat="false" ht="15" hidden="false" customHeight="false" outlineLevel="0" collapsed="false">
      <c r="A3869" s="22" t="n">
        <v>46309</v>
      </c>
      <c r="B3869" s="0" t="n">
        <v>16</v>
      </c>
      <c r="C3869" s="0" t="n">
        <v>8097</v>
      </c>
      <c r="E3869" s="0" t="n">
        <v>0</v>
      </c>
      <c r="F3869" s="23" t="s">
        <v>1587</v>
      </c>
      <c r="I3869" s="23" t="s">
        <v>1249</v>
      </c>
      <c r="U3869" s="0" t="n">
        <v>42</v>
      </c>
      <c r="V3869" s="0" t="n">
        <v>0</v>
      </c>
      <c r="W3869" s="0" t="str">
        <f aca="false">IF(OR(AND(B3869&gt;=1,B3869&lt;=6),B3869=10),"Vaca em lactação",IF(I3869="Male","Macho",IF(E3869&gt;=1,"Vaca seca",IF(I3869="Youngstock","Bezerra/recria","Novilha"))))</f>
        <v>Bezerra/recria</v>
      </c>
      <c r="X3869" s="0" t="str">
        <f aca="false">IF(AND(B3869&gt;=1,B3869&lt;=6),"Tanque",IF(B3869=10,"Descarte",""))</f>
        <v/>
      </c>
    </row>
    <row r="3870" customFormat="false" ht="15" hidden="false" customHeight="false" outlineLevel="0" collapsed="false">
      <c r="A3870" s="22" t="n">
        <v>46309</v>
      </c>
      <c r="B3870" s="0" t="n">
        <v>16</v>
      </c>
      <c r="C3870" s="0" t="n">
        <v>8096</v>
      </c>
      <c r="E3870" s="0" t="n">
        <v>0</v>
      </c>
      <c r="F3870" s="23" t="s">
        <v>1587</v>
      </c>
      <c r="I3870" s="23" t="s">
        <v>1249</v>
      </c>
      <c r="U3870" s="0" t="n">
        <v>42</v>
      </c>
      <c r="V3870" s="0" t="n">
        <v>0</v>
      </c>
      <c r="W3870" s="0" t="str">
        <f aca="false">IF(OR(AND(B3870&gt;=1,B3870&lt;=6),B3870=10),"Vaca em lactação",IF(I3870="Male","Macho",IF(E3870&gt;=1,"Vaca seca",IF(I3870="Youngstock","Bezerra/recria","Novilha"))))</f>
        <v>Bezerra/recria</v>
      </c>
      <c r="X3870" s="0" t="str">
        <f aca="false">IF(AND(B3870&gt;=1,B3870&lt;=6),"Tanque",IF(B3870=10,"Descarte",""))</f>
        <v/>
      </c>
    </row>
    <row r="3871" customFormat="false" ht="15" hidden="false" customHeight="false" outlineLevel="0" collapsed="false">
      <c r="A3871" s="22" t="n">
        <v>46309</v>
      </c>
      <c r="B3871" s="0" t="n">
        <v>16</v>
      </c>
      <c r="C3871" s="0" t="n">
        <v>8095</v>
      </c>
      <c r="E3871" s="0" t="n">
        <v>0</v>
      </c>
      <c r="F3871" s="23" t="s">
        <v>1587</v>
      </c>
      <c r="I3871" s="23" t="s">
        <v>1249</v>
      </c>
      <c r="U3871" s="0" t="n">
        <v>42</v>
      </c>
      <c r="V3871" s="0" t="n">
        <v>0</v>
      </c>
      <c r="W3871" s="0" t="str">
        <f aca="false">IF(OR(AND(B3871&gt;=1,B3871&lt;=6),B3871=10),"Vaca em lactação",IF(I3871="Male","Macho",IF(E3871&gt;=1,"Vaca seca",IF(I3871="Youngstock","Bezerra/recria","Novilha"))))</f>
        <v>Bezerra/recria</v>
      </c>
      <c r="X3871" s="0" t="str">
        <f aca="false">IF(AND(B3871&gt;=1,B3871&lt;=6),"Tanque",IF(B3871=10,"Descarte",""))</f>
        <v/>
      </c>
    </row>
    <row r="3872" customFormat="false" ht="15" hidden="false" customHeight="false" outlineLevel="0" collapsed="false">
      <c r="A3872" s="22" t="n">
        <v>46309</v>
      </c>
      <c r="B3872" s="0" t="n">
        <v>16</v>
      </c>
      <c r="C3872" s="0" t="n">
        <v>8094</v>
      </c>
      <c r="E3872" s="0" t="n">
        <v>0</v>
      </c>
      <c r="F3872" s="23" t="s">
        <v>1586</v>
      </c>
      <c r="I3872" s="23" t="s">
        <v>1249</v>
      </c>
      <c r="U3872" s="0" t="n">
        <v>43</v>
      </c>
      <c r="V3872" s="0" t="n">
        <v>0</v>
      </c>
      <c r="W3872" s="0" t="str">
        <f aca="false">IF(OR(AND(B3872&gt;=1,B3872&lt;=6),B3872=10),"Vaca em lactação",IF(I3872="Male","Macho",IF(E3872&gt;=1,"Vaca seca",IF(I3872="Youngstock","Bezerra/recria","Novilha"))))</f>
        <v>Bezerra/recria</v>
      </c>
      <c r="X3872" s="0" t="str">
        <f aca="false">IF(AND(B3872&gt;=1,B3872&lt;=6),"Tanque",IF(B3872=10,"Descarte",""))</f>
        <v/>
      </c>
    </row>
    <row r="3873" customFormat="false" ht="15" hidden="false" customHeight="false" outlineLevel="0" collapsed="false">
      <c r="A3873" s="22" t="n">
        <v>46309</v>
      </c>
      <c r="B3873" s="0" t="n">
        <v>16</v>
      </c>
      <c r="C3873" s="0" t="n">
        <v>8109</v>
      </c>
      <c r="E3873" s="0" t="n">
        <v>0</v>
      </c>
      <c r="F3873" s="23" t="s">
        <v>1589</v>
      </c>
      <c r="I3873" s="23" t="s">
        <v>1249</v>
      </c>
      <c r="U3873" s="0" t="n">
        <v>36</v>
      </c>
      <c r="V3873" s="0" t="n">
        <v>0</v>
      </c>
      <c r="W3873" s="0" t="str">
        <f aca="false">IF(OR(AND(B3873&gt;=1,B3873&lt;=6),B3873=10),"Vaca em lactação",IF(I3873="Male","Macho",IF(E3873&gt;=1,"Vaca seca",IF(I3873="Youngstock","Bezerra/recria","Novilha"))))</f>
        <v>Bezerra/recria</v>
      </c>
      <c r="X3873" s="0" t="str">
        <f aca="false">IF(AND(B3873&gt;=1,B3873&lt;=6),"Tanque",IF(B3873=10,"Descarte",""))</f>
        <v/>
      </c>
    </row>
    <row r="3874" customFormat="false" ht="15" hidden="false" customHeight="false" outlineLevel="0" collapsed="false">
      <c r="A3874" s="22" t="n">
        <v>46309</v>
      </c>
      <c r="B3874" s="0" t="n">
        <v>16</v>
      </c>
      <c r="C3874" s="0" t="n">
        <v>8108</v>
      </c>
      <c r="E3874" s="0" t="n">
        <v>0</v>
      </c>
      <c r="F3874" s="23" t="s">
        <v>1634</v>
      </c>
      <c r="I3874" s="23" t="s">
        <v>1249</v>
      </c>
      <c r="U3874" s="0" t="n">
        <v>37</v>
      </c>
      <c r="V3874" s="0" t="n">
        <v>0</v>
      </c>
      <c r="W3874" s="0" t="str">
        <f aca="false">IF(OR(AND(B3874&gt;=1,B3874&lt;=6),B3874=10),"Vaca em lactação",IF(I3874="Male","Macho",IF(E3874&gt;=1,"Vaca seca",IF(I3874="Youngstock","Bezerra/recria","Novilha"))))</f>
        <v>Bezerra/recria</v>
      </c>
      <c r="X3874" s="0" t="str">
        <f aca="false">IF(AND(B3874&gt;=1,B3874&lt;=6),"Tanque",IF(B3874=10,"Descarte",""))</f>
        <v/>
      </c>
    </row>
    <row r="3875" customFormat="false" ht="15" hidden="false" customHeight="false" outlineLevel="0" collapsed="false">
      <c r="A3875" s="22" t="n">
        <v>46309</v>
      </c>
      <c r="B3875" s="0" t="n">
        <v>16</v>
      </c>
      <c r="C3875" s="0" t="n">
        <v>8107</v>
      </c>
      <c r="E3875" s="0" t="n">
        <v>0</v>
      </c>
      <c r="F3875" s="23" t="s">
        <v>1634</v>
      </c>
      <c r="I3875" s="23" t="s">
        <v>1249</v>
      </c>
      <c r="U3875" s="0" t="n">
        <v>37</v>
      </c>
      <c r="V3875" s="0" t="n">
        <v>0</v>
      </c>
      <c r="W3875" s="0" t="str">
        <f aca="false">IF(OR(AND(B3875&gt;=1,B3875&lt;=6),B3875=10),"Vaca em lactação",IF(I3875="Male","Macho",IF(E3875&gt;=1,"Vaca seca",IF(I3875="Youngstock","Bezerra/recria","Novilha"))))</f>
        <v>Bezerra/recria</v>
      </c>
      <c r="X3875" s="0" t="str">
        <f aca="false">IF(AND(B3875&gt;=1,B3875&lt;=6),"Tanque",IF(B3875=10,"Descarte",""))</f>
        <v/>
      </c>
    </row>
    <row r="3876" customFormat="false" ht="15" hidden="false" customHeight="false" outlineLevel="0" collapsed="false">
      <c r="A3876" s="22" t="n">
        <v>46309</v>
      </c>
      <c r="B3876" s="0" t="n">
        <v>16</v>
      </c>
      <c r="C3876" s="0" t="n">
        <v>8106</v>
      </c>
      <c r="E3876" s="0" t="n">
        <v>0</v>
      </c>
      <c r="F3876" s="23" t="s">
        <v>1634</v>
      </c>
      <c r="I3876" s="23" t="s">
        <v>1249</v>
      </c>
      <c r="U3876" s="0" t="n">
        <v>37</v>
      </c>
      <c r="V3876" s="0" t="n">
        <v>0</v>
      </c>
      <c r="W3876" s="0" t="str">
        <f aca="false">IF(OR(AND(B3876&gt;=1,B3876&lt;=6),B3876=10),"Vaca em lactação",IF(I3876="Male","Macho",IF(E3876&gt;=1,"Vaca seca",IF(I3876="Youngstock","Bezerra/recria","Novilha"))))</f>
        <v>Bezerra/recria</v>
      </c>
      <c r="X3876" s="0" t="str">
        <f aca="false">IF(AND(B3876&gt;=1,B3876&lt;=6),"Tanque",IF(B3876=10,"Descarte",""))</f>
        <v/>
      </c>
    </row>
    <row r="3877" customFormat="false" ht="15" hidden="false" customHeight="false" outlineLevel="0" collapsed="false">
      <c r="A3877" s="22" t="n">
        <v>46309</v>
      </c>
      <c r="B3877" s="0" t="n">
        <v>16</v>
      </c>
      <c r="C3877" s="0" t="n">
        <v>8104</v>
      </c>
      <c r="E3877" s="0" t="n">
        <v>0</v>
      </c>
      <c r="F3877" s="23" t="s">
        <v>1635</v>
      </c>
      <c r="I3877" s="23" t="s">
        <v>1249</v>
      </c>
      <c r="U3877" s="0" t="n">
        <v>38</v>
      </c>
      <c r="V3877" s="0" t="n">
        <v>0</v>
      </c>
      <c r="W3877" s="0" t="str">
        <f aca="false">IF(OR(AND(B3877&gt;=1,B3877&lt;=6),B3877=10),"Vaca em lactação",IF(I3877="Male","Macho",IF(E3877&gt;=1,"Vaca seca",IF(I3877="Youngstock","Bezerra/recria","Novilha"))))</f>
        <v>Bezerra/recria</v>
      </c>
      <c r="X3877" s="0" t="str">
        <f aca="false">IF(AND(B3877&gt;=1,B3877&lt;=6),"Tanque",IF(B3877=10,"Descarte",""))</f>
        <v/>
      </c>
    </row>
    <row r="3878" customFormat="false" ht="15" hidden="false" customHeight="false" outlineLevel="0" collapsed="false">
      <c r="A3878" s="22" t="n">
        <v>46309</v>
      </c>
      <c r="B3878" s="0" t="n">
        <v>16</v>
      </c>
      <c r="C3878" s="0" t="n">
        <v>8103</v>
      </c>
      <c r="E3878" s="0" t="n">
        <v>0</v>
      </c>
      <c r="F3878" s="23" t="s">
        <v>1635</v>
      </c>
      <c r="I3878" s="23" t="s">
        <v>1249</v>
      </c>
      <c r="U3878" s="0" t="n">
        <v>38</v>
      </c>
      <c r="V3878" s="0" t="n">
        <v>0</v>
      </c>
      <c r="W3878" s="0" t="str">
        <f aca="false">IF(OR(AND(B3878&gt;=1,B3878&lt;=6),B3878=10),"Vaca em lactação",IF(I3878="Male","Macho",IF(E3878&gt;=1,"Vaca seca",IF(I3878="Youngstock","Bezerra/recria","Novilha"))))</f>
        <v>Bezerra/recria</v>
      </c>
      <c r="X3878" s="0" t="str">
        <f aca="false">IF(AND(B3878&gt;=1,B3878&lt;=6),"Tanque",IF(B3878=10,"Descarte",""))</f>
        <v/>
      </c>
    </row>
    <row r="3879" customFormat="false" ht="15" hidden="false" customHeight="false" outlineLevel="0" collapsed="false">
      <c r="A3879" s="22" t="n">
        <v>46309</v>
      </c>
      <c r="B3879" s="0" t="n">
        <v>16</v>
      </c>
      <c r="C3879" s="0" t="n">
        <v>8113</v>
      </c>
      <c r="E3879" s="0" t="n">
        <v>0</v>
      </c>
      <c r="F3879" s="23" t="s">
        <v>1583</v>
      </c>
      <c r="I3879" s="23" t="s">
        <v>1249</v>
      </c>
      <c r="U3879" s="0" t="n">
        <v>35</v>
      </c>
      <c r="V3879" s="0" t="n">
        <v>0</v>
      </c>
      <c r="W3879" s="0" t="str">
        <f aca="false">IF(OR(AND(B3879&gt;=1,B3879&lt;=6),B3879=10),"Vaca em lactação",IF(I3879="Male","Macho",IF(E3879&gt;=1,"Vaca seca",IF(I3879="Youngstock","Bezerra/recria","Novilha"))))</f>
        <v>Bezerra/recria</v>
      </c>
      <c r="X3879" s="0" t="str">
        <f aca="false">IF(AND(B3879&gt;=1,B3879&lt;=6),"Tanque",IF(B3879=10,"Descarte",""))</f>
        <v/>
      </c>
    </row>
    <row r="3880" customFormat="false" ht="15" hidden="false" customHeight="false" outlineLevel="0" collapsed="false">
      <c r="A3880" s="22" t="n">
        <v>46309</v>
      </c>
      <c r="B3880" s="0" t="n">
        <v>16</v>
      </c>
      <c r="C3880" s="0" t="n">
        <v>8112</v>
      </c>
      <c r="E3880" s="0" t="n">
        <v>0</v>
      </c>
      <c r="F3880" s="23" t="s">
        <v>1583</v>
      </c>
      <c r="I3880" s="23" t="s">
        <v>1249</v>
      </c>
      <c r="U3880" s="0" t="n">
        <v>35</v>
      </c>
      <c r="V3880" s="0" t="n">
        <v>0</v>
      </c>
      <c r="W3880" s="0" t="str">
        <f aca="false">IF(OR(AND(B3880&gt;=1,B3880&lt;=6),B3880=10),"Vaca em lactação",IF(I3880="Male","Macho",IF(E3880&gt;=1,"Vaca seca",IF(I3880="Youngstock","Bezerra/recria","Novilha"))))</f>
        <v>Bezerra/recria</v>
      </c>
      <c r="X3880" s="0" t="str">
        <f aca="false">IF(AND(B3880&gt;=1,B3880&lt;=6),"Tanque",IF(B3880=10,"Descarte",""))</f>
        <v/>
      </c>
    </row>
    <row r="3881" customFormat="false" ht="15" hidden="false" customHeight="false" outlineLevel="0" collapsed="false">
      <c r="A3881" s="22" t="n">
        <v>46309</v>
      </c>
      <c r="B3881" s="0" t="n">
        <v>16</v>
      </c>
      <c r="C3881" s="0" t="n">
        <v>8111</v>
      </c>
      <c r="E3881" s="0" t="n">
        <v>0</v>
      </c>
      <c r="F3881" s="23" t="s">
        <v>1589</v>
      </c>
      <c r="I3881" s="23" t="s">
        <v>1249</v>
      </c>
      <c r="U3881" s="0" t="n">
        <v>36</v>
      </c>
      <c r="V3881" s="0" t="n">
        <v>0</v>
      </c>
      <c r="W3881" s="0" t="str">
        <f aca="false">IF(OR(AND(B3881&gt;=1,B3881&lt;=6),B3881=10),"Vaca em lactação",IF(I3881="Male","Macho",IF(E3881&gt;=1,"Vaca seca",IF(I3881="Youngstock","Bezerra/recria","Novilha"))))</f>
        <v>Bezerra/recria</v>
      </c>
      <c r="X3881" s="0" t="str">
        <f aca="false">IF(AND(B3881&gt;=1,B3881&lt;=6),"Tanque",IF(B3881=10,"Descarte",""))</f>
        <v/>
      </c>
    </row>
    <row r="3882" customFormat="false" ht="15" hidden="false" customHeight="false" outlineLevel="0" collapsed="false">
      <c r="A3882" s="22" t="n">
        <v>46309</v>
      </c>
      <c r="B3882" s="0" t="n">
        <v>16</v>
      </c>
      <c r="C3882" s="0" t="n">
        <v>8110</v>
      </c>
      <c r="E3882" s="0" t="n">
        <v>0</v>
      </c>
      <c r="F3882" s="23" t="s">
        <v>1589</v>
      </c>
      <c r="I3882" s="23" t="s">
        <v>1249</v>
      </c>
      <c r="U3882" s="0" t="n">
        <v>36</v>
      </c>
      <c r="V3882" s="0" t="n">
        <v>0</v>
      </c>
      <c r="W3882" s="0" t="str">
        <f aca="false">IF(OR(AND(B3882&gt;=1,B3882&lt;=6),B3882=10),"Vaca em lactação",IF(I3882="Male","Macho",IF(E3882&gt;=1,"Vaca seca",IF(I3882="Youngstock","Bezerra/recria","Novilha"))))</f>
        <v>Bezerra/recria</v>
      </c>
      <c r="X3882" s="0" t="str">
        <f aca="false">IF(AND(B3882&gt;=1,B3882&lt;=6),"Tanque",IF(B3882=10,"Descarte",""))</f>
        <v/>
      </c>
    </row>
    <row r="3883" customFormat="false" ht="15" hidden="false" customHeight="false" outlineLevel="0" collapsed="false">
      <c r="A3883" s="22" t="n">
        <v>46309</v>
      </c>
      <c r="B3883" s="0" t="n">
        <v>16</v>
      </c>
      <c r="C3883" s="0" t="n">
        <v>8105</v>
      </c>
      <c r="E3883" s="0" t="n">
        <v>0</v>
      </c>
      <c r="F3883" s="23" t="s">
        <v>1634</v>
      </c>
      <c r="I3883" s="23" t="s">
        <v>1249</v>
      </c>
      <c r="U3883" s="0" t="n">
        <v>37</v>
      </c>
      <c r="V3883" s="0" t="n">
        <v>0</v>
      </c>
      <c r="W3883" s="0" t="str">
        <f aca="false">IF(OR(AND(B3883&gt;=1,B3883&lt;=6),B3883=10),"Vaca em lactação",IF(I3883="Male","Macho",IF(E3883&gt;=1,"Vaca seca",IF(I3883="Youngstock","Bezerra/recria","Novilha"))))</f>
        <v>Bezerra/recria</v>
      </c>
      <c r="X3883" s="0" t="str">
        <f aca="false">IF(AND(B3883&gt;=1,B3883&lt;=6),"Tanque",IF(B3883=10,"Descarte",""))</f>
        <v/>
      </c>
    </row>
    <row r="3884" customFormat="false" ht="15" hidden="false" customHeight="false" outlineLevel="0" collapsed="false">
      <c r="A3884" s="22" t="n">
        <v>46309</v>
      </c>
      <c r="B3884" s="0" t="n">
        <v>16</v>
      </c>
      <c r="C3884" s="0" t="n">
        <v>8070</v>
      </c>
      <c r="E3884" s="0" t="n">
        <v>0</v>
      </c>
      <c r="F3884" s="23" t="s">
        <v>1636</v>
      </c>
      <c r="I3884" s="23" t="s">
        <v>1249</v>
      </c>
      <c r="U3884" s="0" t="n">
        <v>51</v>
      </c>
      <c r="V3884" s="0" t="n">
        <v>0</v>
      </c>
      <c r="W3884" s="0" t="str">
        <f aca="false">IF(OR(AND(B3884&gt;=1,B3884&lt;=6),B3884=10),"Vaca em lactação",IF(I3884="Male","Macho",IF(E3884&gt;=1,"Vaca seca",IF(I3884="Youngstock","Bezerra/recria","Novilha"))))</f>
        <v>Bezerra/recria</v>
      </c>
      <c r="X3884" s="0" t="str">
        <f aca="false">IF(AND(B3884&gt;=1,B3884&lt;=6),"Tanque",IF(B3884=10,"Descarte",""))</f>
        <v/>
      </c>
    </row>
    <row r="3885" customFormat="false" ht="15" hidden="false" customHeight="false" outlineLevel="0" collapsed="false">
      <c r="A3885" s="22" t="n">
        <v>46309</v>
      </c>
      <c r="B3885" s="0" t="n">
        <v>16</v>
      </c>
      <c r="C3885" s="0" t="n">
        <v>8069</v>
      </c>
      <c r="E3885" s="0" t="n">
        <v>0</v>
      </c>
      <c r="F3885" s="23" t="s">
        <v>1573</v>
      </c>
      <c r="I3885" s="23" t="s">
        <v>1249</v>
      </c>
      <c r="U3885" s="0" t="n">
        <v>57</v>
      </c>
      <c r="V3885" s="0" t="n">
        <v>0</v>
      </c>
      <c r="W3885" s="0" t="str">
        <f aca="false">IF(OR(AND(B3885&gt;=1,B3885&lt;=6),B3885=10),"Vaca em lactação",IF(I3885="Male","Macho",IF(E3885&gt;=1,"Vaca seca",IF(I3885="Youngstock","Bezerra/recria","Novilha"))))</f>
        <v>Bezerra/recria</v>
      </c>
      <c r="X3885" s="0" t="str">
        <f aca="false">IF(AND(B3885&gt;=1,B3885&lt;=6),"Tanque",IF(B3885=10,"Descarte",""))</f>
        <v/>
      </c>
    </row>
    <row r="3886" customFormat="false" ht="15" hidden="false" customHeight="false" outlineLevel="0" collapsed="false">
      <c r="A3886" s="22" t="n">
        <v>46309</v>
      </c>
      <c r="B3886" s="0" t="n">
        <v>16</v>
      </c>
      <c r="C3886" s="0" t="n">
        <v>8068</v>
      </c>
      <c r="E3886" s="0" t="n">
        <v>0</v>
      </c>
      <c r="F3886" s="23" t="s">
        <v>1636</v>
      </c>
      <c r="I3886" s="23" t="s">
        <v>1249</v>
      </c>
      <c r="U3886" s="0" t="n">
        <v>51</v>
      </c>
      <c r="V3886" s="0" t="n">
        <v>0</v>
      </c>
      <c r="W3886" s="0" t="str">
        <f aca="false">IF(OR(AND(B3886&gt;=1,B3886&lt;=6),B3886=10),"Vaca em lactação",IF(I3886="Male","Macho",IF(E3886&gt;=1,"Vaca seca",IF(I3886="Youngstock","Bezerra/recria","Novilha"))))</f>
        <v>Bezerra/recria</v>
      </c>
      <c r="X3886" s="0" t="str">
        <f aca="false">IF(AND(B3886&gt;=1,B3886&lt;=6),"Tanque",IF(B3886=10,"Descarte",""))</f>
        <v/>
      </c>
    </row>
    <row r="3887" customFormat="false" ht="15" hidden="false" customHeight="false" outlineLevel="0" collapsed="false">
      <c r="A3887" s="22" t="n">
        <v>46309</v>
      </c>
      <c r="B3887" s="0" t="n">
        <v>16</v>
      </c>
      <c r="C3887" s="0" t="n">
        <v>8067</v>
      </c>
      <c r="E3887" s="0" t="n">
        <v>0</v>
      </c>
      <c r="F3887" s="23" t="s">
        <v>1636</v>
      </c>
      <c r="I3887" s="23" t="s">
        <v>1249</v>
      </c>
      <c r="U3887" s="0" t="n">
        <v>51</v>
      </c>
      <c r="V3887" s="0" t="n">
        <v>0</v>
      </c>
      <c r="W3887" s="0" t="str">
        <f aca="false">IF(OR(AND(B3887&gt;=1,B3887&lt;=6),B3887=10),"Vaca em lactação",IF(I3887="Male","Macho",IF(E3887&gt;=1,"Vaca seca",IF(I3887="Youngstock","Bezerra/recria","Novilha"))))</f>
        <v>Bezerra/recria</v>
      </c>
      <c r="X3887" s="0" t="str">
        <f aca="false">IF(AND(B3887&gt;=1,B3887&lt;=6),"Tanque",IF(B3887=10,"Descarte",""))</f>
        <v/>
      </c>
    </row>
    <row r="3888" customFormat="false" ht="15" hidden="false" customHeight="false" outlineLevel="0" collapsed="false">
      <c r="A3888" s="22" t="n">
        <v>46309</v>
      </c>
      <c r="B3888" s="0" t="n">
        <v>16</v>
      </c>
      <c r="C3888" s="0" t="n">
        <v>8071</v>
      </c>
      <c r="E3888" s="0" t="n">
        <v>0</v>
      </c>
      <c r="F3888" s="23" t="s">
        <v>1636</v>
      </c>
      <c r="I3888" s="23" t="s">
        <v>1249</v>
      </c>
      <c r="U3888" s="0" t="n">
        <v>51</v>
      </c>
      <c r="V3888" s="0" t="n">
        <v>0</v>
      </c>
      <c r="W3888" s="0" t="str">
        <f aca="false">IF(OR(AND(B3888&gt;=1,B3888&lt;=6),B3888=10),"Vaca em lactação",IF(I3888="Male","Macho",IF(E3888&gt;=1,"Vaca seca",IF(I3888="Youngstock","Bezerra/recria","Novilha"))))</f>
        <v>Bezerra/recria</v>
      </c>
      <c r="X3888" s="0" t="str">
        <f aca="false">IF(AND(B3888&gt;=1,B3888&lt;=6),"Tanque",IF(B3888=10,"Descarte",""))</f>
        <v/>
      </c>
    </row>
    <row r="3889" customFormat="false" ht="15" hidden="false" customHeight="false" outlineLevel="0" collapsed="false">
      <c r="A3889" s="22" t="n">
        <v>46309</v>
      </c>
      <c r="B3889" s="0" t="n">
        <v>16</v>
      </c>
      <c r="C3889" s="0" t="n">
        <v>8074</v>
      </c>
      <c r="E3889" s="0" t="n">
        <v>0</v>
      </c>
      <c r="F3889" s="23" t="s">
        <v>1637</v>
      </c>
      <c r="I3889" s="23" t="s">
        <v>1249</v>
      </c>
      <c r="U3889" s="0" t="n">
        <v>50</v>
      </c>
      <c r="V3889" s="0" t="n">
        <v>0</v>
      </c>
      <c r="W3889" s="0" t="str">
        <f aca="false">IF(OR(AND(B3889&gt;=1,B3889&lt;=6),B3889=10),"Vaca em lactação",IF(I3889="Male","Macho",IF(E3889&gt;=1,"Vaca seca",IF(I3889="Youngstock","Bezerra/recria","Novilha"))))</f>
        <v>Bezerra/recria</v>
      </c>
      <c r="X3889" s="0" t="str">
        <f aca="false">IF(AND(B3889&gt;=1,B3889&lt;=6),"Tanque",IF(B3889=10,"Descarte",""))</f>
        <v/>
      </c>
    </row>
    <row r="3890" customFormat="false" ht="15" hidden="false" customHeight="false" outlineLevel="0" collapsed="false">
      <c r="A3890" s="22" t="n">
        <v>46309</v>
      </c>
      <c r="B3890" s="0" t="n">
        <v>16</v>
      </c>
      <c r="C3890" s="0" t="n">
        <v>8073</v>
      </c>
      <c r="E3890" s="0" t="n">
        <v>0</v>
      </c>
      <c r="F3890" s="23" t="s">
        <v>1636</v>
      </c>
      <c r="I3890" s="23" t="s">
        <v>1249</v>
      </c>
      <c r="U3890" s="0" t="n">
        <v>51</v>
      </c>
      <c r="V3890" s="0" t="n">
        <v>0</v>
      </c>
      <c r="W3890" s="0" t="str">
        <f aca="false">IF(OR(AND(B3890&gt;=1,B3890&lt;=6),B3890=10),"Vaca em lactação",IF(I3890="Male","Macho",IF(E3890&gt;=1,"Vaca seca",IF(I3890="Youngstock","Bezerra/recria","Novilha"))))</f>
        <v>Bezerra/recria</v>
      </c>
      <c r="X3890" s="0" t="str">
        <f aca="false">IF(AND(B3890&gt;=1,B3890&lt;=6),"Tanque",IF(B3890=10,"Descarte",""))</f>
        <v/>
      </c>
    </row>
    <row r="3891" customFormat="false" ht="15" hidden="false" customHeight="false" outlineLevel="0" collapsed="false">
      <c r="A3891" s="22" t="n">
        <v>46309</v>
      </c>
      <c r="B3891" s="0" t="n">
        <v>16</v>
      </c>
      <c r="C3891" s="0" t="n">
        <v>8072</v>
      </c>
      <c r="E3891" s="0" t="n">
        <v>0</v>
      </c>
      <c r="F3891" s="23" t="s">
        <v>1636</v>
      </c>
      <c r="I3891" s="23" t="s">
        <v>1249</v>
      </c>
      <c r="U3891" s="0" t="n">
        <v>51</v>
      </c>
      <c r="V3891" s="0" t="n">
        <v>0</v>
      </c>
      <c r="W3891" s="0" t="str">
        <f aca="false">IF(OR(AND(B3891&gt;=1,B3891&lt;=6),B3891=10),"Vaca em lactação",IF(I3891="Male","Macho",IF(E3891&gt;=1,"Vaca seca",IF(I3891="Youngstock","Bezerra/recria","Novilha"))))</f>
        <v>Bezerra/recria</v>
      </c>
      <c r="X3891" s="0" t="str">
        <f aca="false">IF(AND(B3891&gt;=1,B3891&lt;=6),"Tanque",IF(B3891=10,"Descarte",""))</f>
        <v/>
      </c>
    </row>
    <row r="3892" customFormat="false" ht="15" hidden="false" customHeight="false" outlineLevel="0" collapsed="false">
      <c r="A3892" s="22" t="n">
        <v>46309</v>
      </c>
      <c r="B3892" s="0" t="n">
        <v>16</v>
      </c>
      <c r="C3892" s="0" t="n">
        <v>8079</v>
      </c>
      <c r="E3892" s="0" t="n">
        <v>0</v>
      </c>
      <c r="F3892" s="23" t="s">
        <v>1638</v>
      </c>
      <c r="I3892" s="23" t="s">
        <v>1249</v>
      </c>
      <c r="U3892" s="0" t="n">
        <v>49</v>
      </c>
      <c r="V3892" s="0" t="n">
        <v>0</v>
      </c>
      <c r="W3892" s="0" t="str">
        <f aca="false">IF(OR(AND(B3892&gt;=1,B3892&lt;=6),B3892=10),"Vaca em lactação",IF(I3892="Male","Macho",IF(E3892&gt;=1,"Vaca seca",IF(I3892="Youngstock","Bezerra/recria","Novilha"))))</f>
        <v>Bezerra/recria</v>
      </c>
      <c r="X3892" s="0" t="str">
        <f aca="false">IF(AND(B3892&gt;=1,B3892&lt;=6),"Tanque",IF(B3892=10,"Descarte",""))</f>
        <v/>
      </c>
    </row>
    <row r="3893" customFormat="false" ht="15" hidden="false" customHeight="false" outlineLevel="0" collapsed="false">
      <c r="A3893" s="22" t="n">
        <v>46309</v>
      </c>
      <c r="B3893" s="0" t="n">
        <v>16</v>
      </c>
      <c r="C3893" s="0" t="n">
        <v>8078</v>
      </c>
      <c r="E3893" s="0" t="n">
        <v>0</v>
      </c>
      <c r="F3893" s="23" t="s">
        <v>1638</v>
      </c>
      <c r="I3893" s="23" t="s">
        <v>1249</v>
      </c>
      <c r="U3893" s="0" t="n">
        <v>49</v>
      </c>
      <c r="V3893" s="0" t="n">
        <v>0</v>
      </c>
      <c r="W3893" s="0" t="str">
        <f aca="false">IF(OR(AND(B3893&gt;=1,B3893&lt;=6),B3893=10),"Vaca em lactação",IF(I3893="Male","Macho",IF(E3893&gt;=1,"Vaca seca",IF(I3893="Youngstock","Bezerra/recria","Novilha"))))</f>
        <v>Bezerra/recria</v>
      </c>
      <c r="X3893" s="0" t="str">
        <f aca="false">IF(AND(B3893&gt;=1,B3893&lt;=6),"Tanque",IF(B3893=10,"Descarte",""))</f>
        <v/>
      </c>
    </row>
    <row r="3894" customFormat="false" ht="15" hidden="false" customHeight="false" outlineLevel="0" collapsed="false">
      <c r="A3894" s="22" t="n">
        <v>46309</v>
      </c>
      <c r="B3894" s="0" t="n">
        <v>16</v>
      </c>
      <c r="C3894" s="0" t="n">
        <v>8077</v>
      </c>
      <c r="E3894" s="0" t="n">
        <v>0</v>
      </c>
      <c r="F3894" s="23" t="s">
        <v>1638</v>
      </c>
      <c r="I3894" s="23" t="s">
        <v>1249</v>
      </c>
      <c r="U3894" s="0" t="n">
        <v>49</v>
      </c>
      <c r="V3894" s="0" t="n">
        <v>0</v>
      </c>
      <c r="W3894" s="0" t="str">
        <f aca="false">IF(OR(AND(B3894&gt;=1,B3894&lt;=6),B3894=10),"Vaca em lactação",IF(I3894="Male","Macho",IF(E3894&gt;=1,"Vaca seca",IF(I3894="Youngstock","Bezerra/recria","Novilha"))))</f>
        <v>Bezerra/recria</v>
      </c>
      <c r="X3894" s="0" t="str">
        <f aca="false">IF(AND(B3894&gt;=1,B3894&lt;=6),"Tanque",IF(B3894=10,"Descarte",""))</f>
        <v/>
      </c>
    </row>
    <row r="3895" customFormat="false" ht="15" hidden="false" customHeight="false" outlineLevel="0" collapsed="false">
      <c r="A3895" s="22" t="n">
        <v>46309</v>
      </c>
      <c r="B3895" s="0" t="n">
        <v>16</v>
      </c>
      <c r="C3895" s="0" t="n">
        <v>8076</v>
      </c>
      <c r="E3895" s="0" t="n">
        <v>0</v>
      </c>
      <c r="F3895" s="23" t="s">
        <v>1637</v>
      </c>
      <c r="I3895" s="23" t="s">
        <v>1249</v>
      </c>
      <c r="U3895" s="0" t="n">
        <v>50</v>
      </c>
      <c r="V3895" s="0" t="n">
        <v>0</v>
      </c>
      <c r="W3895" s="0" t="str">
        <f aca="false">IF(OR(AND(B3895&gt;=1,B3895&lt;=6),B3895=10),"Vaca em lactação",IF(I3895="Male","Macho",IF(E3895&gt;=1,"Vaca seca",IF(I3895="Youngstock","Bezerra/recria","Novilha"))))</f>
        <v>Bezerra/recria</v>
      </c>
      <c r="X3895" s="0" t="str">
        <f aca="false">IF(AND(B3895&gt;=1,B3895&lt;=6),"Tanque",IF(B3895=10,"Descarte",""))</f>
        <v/>
      </c>
    </row>
    <row r="3896" customFormat="false" ht="15" hidden="false" customHeight="false" outlineLevel="0" collapsed="false">
      <c r="A3896" s="22" t="n">
        <v>46309</v>
      </c>
      <c r="B3896" s="0" t="n">
        <v>16</v>
      </c>
      <c r="C3896" s="0" t="n">
        <v>8081</v>
      </c>
      <c r="E3896" s="0" t="n">
        <v>0</v>
      </c>
      <c r="F3896" s="23" t="s">
        <v>1639</v>
      </c>
      <c r="I3896" s="23" t="s">
        <v>1249</v>
      </c>
      <c r="U3896" s="0" t="n">
        <v>48</v>
      </c>
      <c r="V3896" s="0" t="n">
        <v>0</v>
      </c>
      <c r="W3896" s="0" t="str">
        <f aca="false">IF(OR(AND(B3896&gt;=1,B3896&lt;=6),B3896=10),"Vaca em lactação",IF(I3896="Male","Macho",IF(E3896&gt;=1,"Vaca seca",IF(I3896="Youngstock","Bezerra/recria","Novilha"))))</f>
        <v>Bezerra/recria</v>
      </c>
      <c r="X3896" s="0" t="str">
        <f aca="false">IF(AND(B3896&gt;=1,B3896&lt;=6),"Tanque",IF(B3896=10,"Descarte",""))</f>
        <v/>
      </c>
    </row>
    <row r="3897" customFormat="false" ht="15" hidden="false" customHeight="false" outlineLevel="0" collapsed="false">
      <c r="A3897" s="22" t="n">
        <v>46309</v>
      </c>
      <c r="B3897" s="0" t="n">
        <v>16</v>
      </c>
      <c r="C3897" s="0" t="n">
        <v>8080</v>
      </c>
      <c r="E3897" s="0" t="n">
        <v>0</v>
      </c>
      <c r="F3897" s="23" t="s">
        <v>1638</v>
      </c>
      <c r="I3897" s="23" t="s">
        <v>1249</v>
      </c>
      <c r="U3897" s="0" t="n">
        <v>49</v>
      </c>
      <c r="V3897" s="0" t="n">
        <v>0</v>
      </c>
      <c r="W3897" s="0" t="str">
        <f aca="false">IF(OR(AND(B3897&gt;=1,B3897&lt;=6),B3897=10),"Vaca em lactação",IF(I3897="Male","Macho",IF(E3897&gt;=1,"Vaca seca",IF(I3897="Youngstock","Bezerra/recria","Novilha"))))</f>
        <v>Bezerra/recria</v>
      </c>
      <c r="X3897" s="0" t="str">
        <f aca="false">IF(AND(B3897&gt;=1,B3897&lt;=6),"Tanque",IF(B3897=10,"Descarte",""))</f>
        <v/>
      </c>
    </row>
    <row r="3898" customFormat="false" ht="15" hidden="false" customHeight="false" outlineLevel="0" collapsed="false">
      <c r="A3898" s="22" t="n">
        <v>46309</v>
      </c>
      <c r="B3898" s="0" t="n">
        <v>16</v>
      </c>
      <c r="C3898" s="0" t="n">
        <v>8082</v>
      </c>
      <c r="E3898" s="0" t="n">
        <v>0</v>
      </c>
      <c r="F3898" s="23" t="s">
        <v>1639</v>
      </c>
      <c r="I3898" s="23" t="s">
        <v>1249</v>
      </c>
      <c r="U3898" s="0" t="n">
        <v>48</v>
      </c>
      <c r="V3898" s="0" t="n">
        <v>0</v>
      </c>
      <c r="W3898" s="0" t="str">
        <f aca="false">IF(OR(AND(B3898&gt;=1,B3898&lt;=6),B3898=10),"Vaca em lactação",IF(I3898="Male","Macho",IF(E3898&gt;=1,"Vaca seca",IF(I3898="Youngstock","Bezerra/recria","Novilha"))))</f>
        <v>Bezerra/recria</v>
      </c>
      <c r="X3898" s="0" t="str">
        <f aca="false">IF(AND(B3898&gt;=1,B3898&lt;=6),"Tanque",IF(B3898=10,"Descarte",""))</f>
        <v/>
      </c>
    </row>
    <row r="3899" customFormat="false" ht="15" hidden="false" customHeight="false" outlineLevel="0" collapsed="false">
      <c r="A3899" s="22" t="n">
        <v>46309</v>
      </c>
      <c r="B3899" s="0" t="n">
        <v>16</v>
      </c>
      <c r="C3899" s="0" t="n">
        <v>8083</v>
      </c>
      <c r="E3899" s="0" t="n">
        <v>0</v>
      </c>
      <c r="F3899" s="23" t="s">
        <v>1639</v>
      </c>
      <c r="I3899" s="23" t="s">
        <v>1249</v>
      </c>
      <c r="U3899" s="0" t="n">
        <v>48</v>
      </c>
      <c r="V3899" s="0" t="n">
        <v>0</v>
      </c>
      <c r="W3899" s="0" t="str">
        <f aca="false">IF(OR(AND(B3899&gt;=1,B3899&lt;=6),B3899=10),"Vaca em lactação",IF(I3899="Male","Macho",IF(E3899&gt;=1,"Vaca seca",IF(I3899="Youngstock","Bezerra/recria","Novilha"))))</f>
        <v>Bezerra/recria</v>
      </c>
      <c r="X3899" s="0" t="str">
        <f aca="false">IF(AND(B3899&gt;=1,B3899&lt;=6),"Tanque",IF(B3899=10,"Descarte",""))</f>
        <v/>
      </c>
    </row>
    <row r="3900" customFormat="false" ht="15" hidden="false" customHeight="false" outlineLevel="0" collapsed="false">
      <c r="A3900" s="22" t="n">
        <v>46309</v>
      </c>
      <c r="B3900" s="0" t="n">
        <v>16</v>
      </c>
      <c r="C3900" s="0" t="n">
        <v>8085</v>
      </c>
      <c r="E3900" s="0" t="n">
        <v>0</v>
      </c>
      <c r="F3900" s="23" t="s">
        <v>1590</v>
      </c>
      <c r="I3900" s="23" t="s">
        <v>1249</v>
      </c>
      <c r="U3900" s="0" t="n">
        <v>46</v>
      </c>
      <c r="V3900" s="0" t="n">
        <v>0</v>
      </c>
      <c r="W3900" s="0" t="str">
        <f aca="false">IF(OR(AND(B3900&gt;=1,B3900&lt;=6),B3900=10),"Vaca em lactação",IF(I3900="Male","Macho",IF(E3900&gt;=1,"Vaca seca",IF(I3900="Youngstock","Bezerra/recria","Novilha"))))</f>
        <v>Bezerra/recria</v>
      </c>
      <c r="X3900" s="0" t="str">
        <f aca="false">IF(AND(B3900&gt;=1,B3900&lt;=6),"Tanque",IF(B3900=10,"Descarte",""))</f>
        <v/>
      </c>
    </row>
    <row r="3901" customFormat="false" ht="15" hidden="false" customHeight="false" outlineLevel="0" collapsed="false">
      <c r="A3901" s="22" t="n">
        <v>46309</v>
      </c>
      <c r="B3901" s="0" t="n">
        <v>16</v>
      </c>
      <c r="C3901" s="0" t="n">
        <v>8084</v>
      </c>
      <c r="E3901" s="0" t="n">
        <v>0</v>
      </c>
      <c r="F3901" s="23" t="s">
        <v>1590</v>
      </c>
      <c r="I3901" s="23" t="s">
        <v>1249</v>
      </c>
      <c r="U3901" s="0" t="n">
        <v>46</v>
      </c>
      <c r="V3901" s="0" t="n">
        <v>0</v>
      </c>
      <c r="W3901" s="0" t="str">
        <f aca="false">IF(OR(AND(B3901&gt;=1,B3901&lt;=6),B3901=10),"Vaca em lactação",IF(I3901="Male","Macho",IF(E3901&gt;=1,"Vaca seca",IF(I3901="Youngstock","Bezerra/recria","Novilha"))))</f>
        <v>Bezerra/recria</v>
      </c>
      <c r="X3901" s="0" t="str">
        <f aca="false">IF(AND(B3901&gt;=1,B3901&lt;=6),"Tanque",IF(B3901=10,"Descarte",""))</f>
        <v/>
      </c>
    </row>
    <row r="3902" customFormat="false" ht="15" hidden="false" customHeight="false" outlineLevel="0" collapsed="false">
      <c r="A3902" s="22" t="n">
        <v>46309</v>
      </c>
      <c r="B3902" s="0" t="n">
        <v>16</v>
      </c>
      <c r="C3902" s="0" t="n">
        <v>8039</v>
      </c>
      <c r="E3902" s="0" t="n">
        <v>0</v>
      </c>
      <c r="F3902" s="23" t="s">
        <v>1609</v>
      </c>
      <c r="I3902" s="23" t="s">
        <v>1249</v>
      </c>
      <c r="U3902" s="0" t="n">
        <v>59</v>
      </c>
      <c r="V3902" s="0" t="n">
        <v>0</v>
      </c>
      <c r="W3902" s="0" t="str">
        <f aca="false">IF(OR(AND(B3902&gt;=1,B3902&lt;=6),B3902=10),"Vaca em lactação",IF(I3902="Male","Macho",IF(E3902&gt;=1,"Vaca seca",IF(I3902="Youngstock","Bezerra/recria","Novilha"))))</f>
        <v>Bezerra/recria</v>
      </c>
      <c r="X3902" s="0" t="str">
        <f aca="false">IF(AND(B3902&gt;=1,B3902&lt;=6),"Tanque",IF(B3902=10,"Descarte",""))</f>
        <v/>
      </c>
    </row>
    <row r="3903" customFormat="false" ht="15" hidden="false" customHeight="false" outlineLevel="0" collapsed="false">
      <c r="A3903" s="22" t="n">
        <v>46309</v>
      </c>
      <c r="B3903" s="0" t="n">
        <v>16</v>
      </c>
      <c r="C3903" s="0" t="n">
        <v>8087</v>
      </c>
      <c r="E3903" s="0" t="n">
        <v>0</v>
      </c>
      <c r="F3903" s="23" t="s">
        <v>1590</v>
      </c>
      <c r="I3903" s="23" t="s">
        <v>1249</v>
      </c>
      <c r="U3903" s="0" t="n">
        <v>46</v>
      </c>
      <c r="V3903" s="0" t="n">
        <v>0</v>
      </c>
      <c r="W3903" s="0" t="str">
        <f aca="false">IF(OR(AND(B3903&gt;=1,B3903&lt;=6),B3903=10),"Vaca em lactação",IF(I3903="Male","Macho",IF(E3903&gt;=1,"Vaca seca",IF(I3903="Youngstock","Bezerra/recria","Novilha"))))</f>
        <v>Bezerra/recria</v>
      </c>
      <c r="X3903" s="0" t="str">
        <f aca="false">IF(AND(B3903&gt;=1,B3903&lt;=6),"Tanque",IF(B3903=10,"Descarte",""))</f>
        <v/>
      </c>
    </row>
    <row r="3904" customFormat="false" ht="15" hidden="false" customHeight="false" outlineLevel="0" collapsed="false">
      <c r="A3904" s="22" t="n">
        <v>46309</v>
      </c>
      <c r="B3904" s="0" t="n">
        <v>16</v>
      </c>
      <c r="C3904" s="0" t="n">
        <v>8088</v>
      </c>
      <c r="E3904" s="0" t="n">
        <v>0</v>
      </c>
      <c r="F3904" s="23" t="s">
        <v>1590</v>
      </c>
      <c r="I3904" s="23" t="s">
        <v>1249</v>
      </c>
      <c r="U3904" s="0" t="n">
        <v>46</v>
      </c>
      <c r="V3904" s="0" t="n">
        <v>0</v>
      </c>
      <c r="W3904" s="0" t="str">
        <f aca="false">IF(OR(AND(B3904&gt;=1,B3904&lt;=6),B3904=10),"Vaca em lactação",IF(I3904="Male","Macho",IF(E3904&gt;=1,"Vaca seca",IF(I3904="Youngstock","Bezerra/recria","Novilha"))))</f>
        <v>Bezerra/recria</v>
      </c>
      <c r="X3904" s="0" t="str">
        <f aca="false">IF(AND(B3904&gt;=1,B3904&lt;=6),"Tanque",IF(B3904=10,"Descarte",""))</f>
        <v/>
      </c>
    </row>
    <row r="3905" customFormat="false" ht="15" hidden="false" customHeight="false" outlineLevel="0" collapsed="false">
      <c r="A3905" s="22" t="n">
        <v>46309</v>
      </c>
      <c r="B3905" s="0" t="n">
        <v>16</v>
      </c>
      <c r="C3905" s="0" t="n">
        <v>8090</v>
      </c>
      <c r="E3905" s="0" t="n">
        <v>0</v>
      </c>
      <c r="F3905" s="23" t="s">
        <v>1591</v>
      </c>
      <c r="I3905" s="23" t="s">
        <v>1249</v>
      </c>
      <c r="U3905" s="0" t="n">
        <v>45</v>
      </c>
      <c r="V3905" s="0" t="n">
        <v>0</v>
      </c>
      <c r="W3905" s="0" t="str">
        <f aca="false">IF(OR(AND(B3905&gt;=1,B3905&lt;=6),B3905=10),"Vaca em lactação",IF(I3905="Male","Macho",IF(E3905&gt;=1,"Vaca seca",IF(I3905="Youngstock","Bezerra/recria","Novilha"))))</f>
        <v>Bezerra/recria</v>
      </c>
      <c r="X3905" s="0" t="str">
        <f aca="false">IF(AND(B3905&gt;=1,B3905&lt;=6),"Tanque",IF(B3905=10,"Descarte",""))</f>
        <v/>
      </c>
    </row>
    <row r="3906" customFormat="false" ht="15" hidden="false" customHeight="false" outlineLevel="0" collapsed="false">
      <c r="A3906" s="22" t="n">
        <v>46309</v>
      </c>
      <c r="B3906" s="0" t="n">
        <v>16</v>
      </c>
      <c r="C3906" s="0" t="n">
        <v>8089</v>
      </c>
      <c r="E3906" s="0" t="n">
        <v>0</v>
      </c>
      <c r="F3906" s="23" t="s">
        <v>1591</v>
      </c>
      <c r="I3906" s="23" t="s">
        <v>1249</v>
      </c>
      <c r="U3906" s="0" t="n">
        <v>45</v>
      </c>
      <c r="V3906" s="0" t="n">
        <v>0</v>
      </c>
      <c r="W3906" s="0" t="str">
        <f aca="false">IF(OR(AND(B3906&gt;=1,B3906&lt;=6),B3906=10),"Vaca em lactação",IF(I3906="Male","Macho",IF(E3906&gt;=1,"Vaca seca",IF(I3906="Youngstock","Bezerra/recria","Novilha"))))</f>
        <v>Bezerra/recria</v>
      </c>
      <c r="X3906" s="0" t="str">
        <f aca="false">IF(AND(B3906&gt;=1,B3906&lt;=6),"Tanque",IF(B3906=10,"Descarte",""))</f>
        <v/>
      </c>
    </row>
    <row r="3907" customFormat="false" ht="15" hidden="false" customHeight="false" outlineLevel="0" collapsed="false">
      <c r="A3907" s="22" t="n">
        <v>46309</v>
      </c>
      <c r="B3907" s="0" t="n">
        <v>16</v>
      </c>
      <c r="C3907" s="0" t="n">
        <v>8093</v>
      </c>
      <c r="E3907" s="0" t="n">
        <v>0</v>
      </c>
      <c r="F3907" s="23" t="s">
        <v>1640</v>
      </c>
      <c r="I3907" s="23" t="s">
        <v>1249</v>
      </c>
      <c r="U3907" s="0" t="n">
        <v>44</v>
      </c>
      <c r="V3907" s="0" t="n">
        <v>0</v>
      </c>
      <c r="W3907" s="0" t="str">
        <f aca="false">IF(OR(AND(B3907&gt;=1,B3907&lt;=6),B3907=10),"Vaca em lactação",IF(I3907="Male","Macho",IF(E3907&gt;=1,"Vaca seca",IF(I3907="Youngstock","Bezerra/recria","Novilha"))))</f>
        <v>Bezerra/recria</v>
      </c>
      <c r="X3907" s="0" t="str">
        <f aca="false">IF(AND(B3907&gt;=1,B3907&lt;=6),"Tanque",IF(B3907=10,"Descarte",""))</f>
        <v/>
      </c>
    </row>
    <row r="3908" customFormat="false" ht="15" hidden="false" customHeight="false" outlineLevel="0" collapsed="false">
      <c r="A3908" s="22" t="n">
        <v>46309</v>
      </c>
      <c r="B3908" s="0" t="n">
        <v>16</v>
      </c>
      <c r="C3908" s="0" t="n">
        <v>8092</v>
      </c>
      <c r="E3908" s="0" t="n">
        <v>0</v>
      </c>
      <c r="F3908" s="23" t="s">
        <v>1640</v>
      </c>
      <c r="I3908" s="23" t="s">
        <v>1249</v>
      </c>
      <c r="U3908" s="0" t="n">
        <v>44</v>
      </c>
      <c r="V3908" s="0" t="n">
        <v>0</v>
      </c>
      <c r="W3908" s="0" t="str">
        <f aca="false">IF(OR(AND(B3908&gt;=1,B3908&lt;=6),B3908=10),"Vaca em lactação",IF(I3908="Male","Macho",IF(E3908&gt;=1,"Vaca seca",IF(I3908="Youngstock","Bezerra/recria","Novilha"))))</f>
        <v>Bezerra/recria</v>
      </c>
      <c r="X3908" s="0" t="str">
        <f aca="false">IF(AND(B3908&gt;=1,B3908&lt;=6),"Tanque",IF(B3908=10,"Descarte",""))</f>
        <v/>
      </c>
    </row>
    <row r="3909" customFormat="false" ht="15" hidden="false" customHeight="false" outlineLevel="0" collapsed="false">
      <c r="A3909" s="22" t="n">
        <v>46309</v>
      </c>
      <c r="B3909" s="0" t="n">
        <v>16</v>
      </c>
      <c r="C3909" s="0" t="n">
        <v>8091</v>
      </c>
      <c r="E3909" s="0" t="n">
        <v>0</v>
      </c>
      <c r="F3909" s="23" t="s">
        <v>1640</v>
      </c>
      <c r="I3909" s="23" t="s">
        <v>1249</v>
      </c>
      <c r="U3909" s="0" t="n">
        <v>44</v>
      </c>
      <c r="V3909" s="0" t="n">
        <v>0</v>
      </c>
      <c r="W3909" s="0" t="str">
        <f aca="false">IF(OR(AND(B3909&gt;=1,B3909&lt;=6),B3909=10),"Vaca em lactação",IF(I3909="Male","Macho",IF(E3909&gt;=1,"Vaca seca",IF(I3909="Youngstock","Bezerra/recria","Novilha"))))</f>
        <v>Bezerra/recria</v>
      </c>
      <c r="X3909" s="0" t="str">
        <f aca="false">IF(AND(B3909&gt;=1,B3909&lt;=6),"Tanque",IF(B3909=10,"Descarte",""))</f>
        <v/>
      </c>
    </row>
    <row r="3910" customFormat="false" ht="15" hidden="false" customHeight="false" outlineLevel="0" collapsed="false">
      <c r="A3910" s="22" t="n">
        <v>46309</v>
      </c>
      <c r="B3910" s="0" t="n">
        <v>16</v>
      </c>
      <c r="C3910" s="0" t="n">
        <v>8086</v>
      </c>
      <c r="E3910" s="0" t="n">
        <v>0</v>
      </c>
      <c r="F3910" s="23" t="s">
        <v>1640</v>
      </c>
      <c r="I3910" s="23" t="s">
        <v>1249</v>
      </c>
      <c r="U3910" s="0" t="n">
        <v>44</v>
      </c>
      <c r="V3910" s="0" t="n">
        <v>0</v>
      </c>
      <c r="W3910" s="0" t="str">
        <f aca="false">IF(OR(AND(B3910&gt;=1,B3910&lt;=6),B3910=10),"Vaca em lactação",IF(I3910="Male","Macho",IF(E3910&gt;=1,"Vaca seca",IF(I3910="Youngstock","Bezerra/recria","Novilha"))))</f>
        <v>Bezerra/recria</v>
      </c>
      <c r="X3910" s="0" t="str">
        <f aca="false">IF(AND(B3910&gt;=1,B3910&lt;=6),"Tanque",IF(B3910=10,"Descarte",""))</f>
        <v/>
      </c>
    </row>
    <row r="3911" customFormat="false" ht="15" hidden="false" customHeight="false" outlineLevel="0" collapsed="false">
      <c r="A3911" s="22" t="n">
        <v>46309</v>
      </c>
      <c r="B3911" s="0" t="n">
        <v>16</v>
      </c>
      <c r="C3911" s="0" t="n">
        <v>8208</v>
      </c>
      <c r="E3911" s="0" t="n">
        <v>0</v>
      </c>
      <c r="F3911" s="23" t="s">
        <v>1593</v>
      </c>
      <c r="I3911" s="23" t="s">
        <v>1249</v>
      </c>
      <c r="U3911" s="0" t="n">
        <v>6</v>
      </c>
      <c r="V3911" s="0" t="n">
        <v>0</v>
      </c>
      <c r="W3911" s="0" t="str">
        <f aca="false">IF(OR(AND(B3911&gt;=1,B3911&lt;=6),B3911=10),"Vaca em lactação",IF(I3911="Male","Macho",IF(E3911&gt;=1,"Vaca seca",IF(I3911="Youngstock","Bezerra/recria","Novilha"))))</f>
        <v>Bezerra/recria</v>
      </c>
      <c r="X3911" s="0" t="str">
        <f aca="false">IF(AND(B3911&gt;=1,B3911&lt;=6),"Tanque",IF(B3911=10,"Descarte",""))</f>
        <v/>
      </c>
    </row>
    <row r="3912" customFormat="false" ht="15" hidden="false" customHeight="false" outlineLevel="0" collapsed="false">
      <c r="A3912" s="22" t="n">
        <v>46309</v>
      </c>
      <c r="B3912" s="0" t="n">
        <v>16</v>
      </c>
      <c r="C3912" s="0" t="n">
        <v>8207</v>
      </c>
      <c r="E3912" s="0" t="n">
        <v>0</v>
      </c>
      <c r="F3912" s="23" t="s">
        <v>1592</v>
      </c>
      <c r="I3912" s="23" t="s">
        <v>1249</v>
      </c>
      <c r="U3912" s="0" t="n">
        <v>7</v>
      </c>
      <c r="V3912" s="0" t="n">
        <v>0</v>
      </c>
      <c r="W3912" s="0" t="str">
        <f aca="false">IF(OR(AND(B3912&gt;=1,B3912&lt;=6),B3912=10),"Vaca em lactação",IF(I3912="Male","Macho",IF(E3912&gt;=1,"Vaca seca",IF(I3912="Youngstock","Bezerra/recria","Novilha"))))</f>
        <v>Bezerra/recria</v>
      </c>
      <c r="X3912" s="0" t="str">
        <f aca="false">IF(AND(B3912&gt;=1,B3912&lt;=6),"Tanque",IF(B3912=10,"Descarte",""))</f>
        <v/>
      </c>
    </row>
    <row r="3913" customFormat="false" ht="15" hidden="false" customHeight="false" outlineLevel="0" collapsed="false">
      <c r="A3913" s="22" t="n">
        <v>46309</v>
      </c>
      <c r="B3913" s="0" t="n">
        <v>16</v>
      </c>
      <c r="C3913" s="0" t="n">
        <v>8206</v>
      </c>
      <c r="E3913" s="0" t="n">
        <v>0</v>
      </c>
      <c r="F3913" s="23" t="s">
        <v>1641</v>
      </c>
      <c r="I3913" s="23" t="s">
        <v>1249</v>
      </c>
      <c r="U3913" s="0" t="n">
        <v>8</v>
      </c>
      <c r="V3913" s="0" t="n">
        <v>0</v>
      </c>
      <c r="W3913" s="0" t="str">
        <f aca="false">IF(OR(AND(B3913&gt;=1,B3913&lt;=6),B3913=10),"Vaca em lactação",IF(I3913="Male","Macho",IF(E3913&gt;=1,"Vaca seca",IF(I3913="Youngstock","Bezerra/recria","Novilha"))))</f>
        <v>Bezerra/recria</v>
      </c>
      <c r="X3913" s="0" t="str">
        <f aca="false">IF(AND(B3913&gt;=1,B3913&lt;=6),"Tanque",IF(B3913=10,"Descarte",""))</f>
        <v/>
      </c>
    </row>
    <row r="3914" customFormat="false" ht="15" hidden="false" customHeight="false" outlineLevel="0" collapsed="false">
      <c r="A3914" s="22" t="n">
        <v>46309</v>
      </c>
      <c r="B3914" s="0" t="n">
        <v>16</v>
      </c>
      <c r="C3914" s="0" t="n">
        <v>8210</v>
      </c>
      <c r="E3914" s="0" t="n">
        <v>0</v>
      </c>
      <c r="F3914" s="23" t="s">
        <v>1642</v>
      </c>
      <c r="I3914" s="23" t="s">
        <v>1249</v>
      </c>
      <c r="U3914" s="0" t="n">
        <v>5</v>
      </c>
      <c r="V3914" s="0" t="n">
        <v>0</v>
      </c>
      <c r="W3914" s="0" t="str">
        <f aca="false">IF(OR(AND(B3914&gt;=1,B3914&lt;=6),B3914=10),"Vaca em lactação",IF(I3914="Male","Macho",IF(E3914&gt;=1,"Vaca seca",IF(I3914="Youngstock","Bezerra/recria","Novilha"))))</f>
        <v>Bezerra/recria</v>
      </c>
      <c r="X3914" s="0" t="str">
        <f aca="false">IF(AND(B3914&gt;=1,B3914&lt;=6),"Tanque",IF(B3914=10,"Descarte",""))</f>
        <v/>
      </c>
    </row>
    <row r="3915" customFormat="false" ht="15" hidden="false" customHeight="false" outlineLevel="0" collapsed="false">
      <c r="A3915" s="22" t="n">
        <v>46309</v>
      </c>
      <c r="B3915" s="0" t="n">
        <v>16</v>
      </c>
      <c r="C3915" s="0" t="n">
        <v>8209</v>
      </c>
      <c r="E3915" s="0" t="n">
        <v>0</v>
      </c>
      <c r="F3915" s="23" t="s">
        <v>1593</v>
      </c>
      <c r="I3915" s="23" t="s">
        <v>1249</v>
      </c>
      <c r="U3915" s="0" t="n">
        <v>6</v>
      </c>
      <c r="V3915" s="0" t="n">
        <v>0</v>
      </c>
      <c r="W3915" s="0" t="str">
        <f aca="false">IF(OR(AND(B3915&gt;=1,B3915&lt;=6),B3915=10),"Vaca em lactação",IF(I3915="Male","Macho",IF(E3915&gt;=1,"Vaca seca",IF(I3915="Youngstock","Bezerra/recria","Novilha"))))</f>
        <v>Bezerra/recria</v>
      </c>
      <c r="X3915" s="0" t="str">
        <f aca="false">IF(AND(B3915&gt;=1,B3915&lt;=6),"Tanque",IF(B3915=10,"Descarte",""))</f>
        <v/>
      </c>
    </row>
    <row r="3916" customFormat="false" ht="15" hidden="false" customHeight="false" outlineLevel="0" collapsed="false">
      <c r="A3916" s="22" t="n">
        <v>46309</v>
      </c>
      <c r="B3916" s="0" t="n">
        <v>16</v>
      </c>
      <c r="C3916" s="0" t="n">
        <v>8213</v>
      </c>
      <c r="E3916" s="0" t="n">
        <v>0</v>
      </c>
      <c r="F3916" s="23" t="s">
        <v>1642</v>
      </c>
      <c r="I3916" s="23" t="s">
        <v>1249</v>
      </c>
      <c r="U3916" s="0" t="n">
        <v>5</v>
      </c>
      <c r="V3916" s="0" t="n">
        <v>0</v>
      </c>
      <c r="W3916" s="0" t="str">
        <f aca="false">IF(OR(AND(B3916&gt;=1,B3916&lt;=6),B3916=10),"Vaca em lactação",IF(I3916="Male","Macho",IF(E3916&gt;=1,"Vaca seca",IF(I3916="Youngstock","Bezerra/recria","Novilha"))))</f>
        <v>Bezerra/recria</v>
      </c>
      <c r="X3916" s="0" t="str">
        <f aca="false">IF(AND(B3916&gt;=1,B3916&lt;=6),"Tanque",IF(B3916=10,"Descarte",""))</f>
        <v/>
      </c>
    </row>
    <row r="3917" customFormat="false" ht="15" hidden="false" customHeight="false" outlineLevel="0" collapsed="false">
      <c r="A3917" s="22" t="n">
        <v>46309</v>
      </c>
      <c r="B3917" s="0" t="n">
        <v>16</v>
      </c>
      <c r="C3917" s="0" t="n">
        <v>8212</v>
      </c>
      <c r="E3917" s="0" t="n">
        <v>0</v>
      </c>
      <c r="F3917" s="23" t="s">
        <v>1642</v>
      </c>
      <c r="I3917" s="23" t="s">
        <v>1249</v>
      </c>
      <c r="U3917" s="0" t="n">
        <v>5</v>
      </c>
      <c r="V3917" s="0" t="n">
        <v>0</v>
      </c>
      <c r="W3917" s="0" t="str">
        <f aca="false">IF(OR(AND(B3917&gt;=1,B3917&lt;=6),B3917=10),"Vaca em lactação",IF(I3917="Male","Macho",IF(E3917&gt;=1,"Vaca seca",IF(I3917="Youngstock","Bezerra/recria","Novilha"))))</f>
        <v>Bezerra/recria</v>
      </c>
      <c r="X3917" s="0" t="str">
        <f aca="false">IF(AND(B3917&gt;=1,B3917&lt;=6),"Tanque",IF(B3917=10,"Descarte",""))</f>
        <v/>
      </c>
    </row>
    <row r="3918" customFormat="false" ht="15" hidden="false" customHeight="false" outlineLevel="0" collapsed="false">
      <c r="A3918" s="22" t="n">
        <v>46309</v>
      </c>
      <c r="B3918" s="0" t="n">
        <v>16</v>
      </c>
      <c r="C3918" s="0" t="n">
        <v>8211</v>
      </c>
      <c r="E3918" s="0" t="n">
        <v>0</v>
      </c>
      <c r="F3918" s="23" t="s">
        <v>1642</v>
      </c>
      <c r="I3918" s="23" t="s">
        <v>1249</v>
      </c>
      <c r="U3918" s="0" t="n">
        <v>5</v>
      </c>
      <c r="V3918" s="0" t="n">
        <v>0</v>
      </c>
      <c r="W3918" s="0" t="str">
        <f aca="false">IF(OR(AND(B3918&gt;=1,B3918&lt;=6),B3918=10),"Vaca em lactação",IF(I3918="Male","Macho",IF(E3918&gt;=1,"Vaca seca",IF(I3918="Youngstock","Bezerra/recria","Novilha"))))</f>
        <v>Bezerra/recria</v>
      </c>
      <c r="X3918" s="0" t="str">
        <f aca="false">IF(AND(B3918&gt;=1,B3918&lt;=6),"Tanque",IF(B3918=10,"Descarte",""))</f>
        <v/>
      </c>
    </row>
    <row r="3919" customFormat="false" ht="15" hidden="false" customHeight="false" outlineLevel="0" collapsed="false">
      <c r="A3919" s="22" t="n">
        <v>46309</v>
      </c>
      <c r="B3919" s="0" t="n">
        <v>16</v>
      </c>
      <c r="C3919" s="0" t="n">
        <v>8216</v>
      </c>
      <c r="E3919" s="0" t="n">
        <v>0</v>
      </c>
      <c r="F3919" s="23" t="s">
        <v>1595</v>
      </c>
      <c r="I3919" s="23" t="s">
        <v>1249</v>
      </c>
      <c r="U3919" s="0" t="n">
        <v>3</v>
      </c>
      <c r="V3919" s="0" t="n">
        <v>0</v>
      </c>
      <c r="W3919" s="0" t="str">
        <f aca="false">IF(OR(AND(B3919&gt;=1,B3919&lt;=6),B3919=10),"Vaca em lactação",IF(I3919="Male","Macho",IF(E3919&gt;=1,"Vaca seca",IF(I3919="Youngstock","Bezerra/recria","Novilha"))))</f>
        <v>Bezerra/recria</v>
      </c>
      <c r="X3919" s="0" t="str">
        <f aca="false">IF(AND(B3919&gt;=1,B3919&lt;=6),"Tanque",IF(B3919=10,"Descarte",""))</f>
        <v/>
      </c>
    </row>
    <row r="3920" customFormat="false" ht="15" hidden="false" customHeight="false" outlineLevel="0" collapsed="false">
      <c r="A3920" s="22" t="n">
        <v>46309</v>
      </c>
      <c r="B3920" s="0" t="n">
        <v>16</v>
      </c>
      <c r="C3920" s="0" t="n">
        <v>8215</v>
      </c>
      <c r="E3920" s="0" t="n">
        <v>0</v>
      </c>
      <c r="F3920" s="23" t="s">
        <v>1594</v>
      </c>
      <c r="I3920" s="23" t="s">
        <v>1249</v>
      </c>
      <c r="U3920" s="0" t="n">
        <v>4</v>
      </c>
      <c r="V3920" s="0" t="n">
        <v>0</v>
      </c>
      <c r="W3920" s="0" t="str">
        <f aca="false">IF(OR(AND(B3920&gt;=1,B3920&lt;=6),B3920=10),"Vaca em lactação",IF(I3920="Male","Macho",IF(E3920&gt;=1,"Vaca seca",IF(I3920="Youngstock","Bezerra/recria","Novilha"))))</f>
        <v>Bezerra/recria</v>
      </c>
      <c r="X3920" s="0" t="str">
        <f aca="false">IF(AND(B3920&gt;=1,B3920&lt;=6),"Tanque",IF(B3920=10,"Descarte",""))</f>
        <v/>
      </c>
    </row>
    <row r="3921" customFormat="false" ht="15" hidden="false" customHeight="false" outlineLevel="0" collapsed="false">
      <c r="A3921" s="22" t="n">
        <v>46309</v>
      </c>
      <c r="B3921" s="0" t="n">
        <v>16</v>
      </c>
      <c r="C3921" s="0" t="n">
        <v>8214</v>
      </c>
      <c r="E3921" s="0" t="n">
        <v>0</v>
      </c>
      <c r="F3921" s="23" t="s">
        <v>1594</v>
      </c>
      <c r="I3921" s="23" t="s">
        <v>1249</v>
      </c>
      <c r="U3921" s="0" t="n">
        <v>4</v>
      </c>
      <c r="V3921" s="0" t="n">
        <v>0</v>
      </c>
      <c r="W3921" s="0" t="str">
        <f aca="false">IF(OR(AND(B3921&gt;=1,B3921&lt;=6),B3921=10),"Vaca em lactação",IF(I3921="Male","Macho",IF(E3921&gt;=1,"Vaca seca",IF(I3921="Youngstock","Bezerra/recria","Novilha"))))</f>
        <v>Bezerra/recria</v>
      </c>
      <c r="X3921" s="0" t="str">
        <f aca="false">IF(AND(B3921&gt;=1,B3921&lt;=6),"Tanque",IF(B3921=10,"Descarte",""))</f>
        <v/>
      </c>
    </row>
    <row r="3922" customFormat="false" ht="15" hidden="false" customHeight="false" outlineLevel="0" collapsed="false">
      <c r="A3922" s="22" t="n">
        <v>46309</v>
      </c>
      <c r="B3922" s="0" t="n">
        <v>16</v>
      </c>
      <c r="C3922" s="0" t="n">
        <v>8217</v>
      </c>
      <c r="E3922" s="0" t="n">
        <v>0</v>
      </c>
      <c r="F3922" s="23" t="s">
        <v>1595</v>
      </c>
      <c r="I3922" s="23" t="s">
        <v>1249</v>
      </c>
      <c r="U3922" s="0" t="n">
        <v>3</v>
      </c>
      <c r="V3922" s="0" t="n">
        <v>0</v>
      </c>
      <c r="W3922" s="0" t="str">
        <f aca="false">IF(OR(AND(B3922&gt;=1,B3922&lt;=6),B3922=10),"Vaca em lactação",IF(I3922="Male","Macho",IF(E3922&gt;=1,"Vaca seca",IF(I3922="Youngstock","Bezerra/recria","Novilha"))))</f>
        <v>Bezerra/recria</v>
      </c>
      <c r="X3922" s="0" t="str">
        <f aca="false">IF(AND(B3922&gt;=1,B3922&lt;=6),"Tanque",IF(B3922=10,"Descarte",""))</f>
        <v/>
      </c>
    </row>
    <row r="3923" customFormat="false" ht="15" hidden="false" customHeight="false" outlineLevel="0" collapsed="false">
      <c r="A3923" s="22" t="n">
        <v>46309</v>
      </c>
      <c r="B3923" s="0" t="n">
        <v>16</v>
      </c>
      <c r="C3923" s="0" t="n">
        <v>8218</v>
      </c>
      <c r="E3923" s="0" t="n">
        <v>0</v>
      </c>
      <c r="F3923" s="23" t="s">
        <v>1596</v>
      </c>
      <c r="I3923" s="23" t="s">
        <v>1249</v>
      </c>
      <c r="U3923" s="0" t="n">
        <v>2</v>
      </c>
      <c r="V3923" s="0" t="n">
        <v>0</v>
      </c>
      <c r="W3923" s="0" t="str">
        <f aca="false">IF(OR(AND(B3923&gt;=1,B3923&lt;=6),B3923=10),"Vaca em lactação",IF(I3923="Male","Macho",IF(E3923&gt;=1,"Vaca seca",IF(I3923="Youngstock","Bezerra/recria","Novilha"))))</f>
        <v>Bezerra/recria</v>
      </c>
      <c r="X3923" s="0" t="str">
        <f aca="false">IF(AND(B3923&gt;=1,B3923&lt;=6),"Tanque",IF(B3923=10,"Descarte",""))</f>
        <v/>
      </c>
    </row>
    <row r="3924" customFormat="false" ht="15" hidden="false" customHeight="false" outlineLevel="0" collapsed="false">
      <c r="A3924" s="22" t="n">
        <v>46309</v>
      </c>
      <c r="B3924" s="0" t="n">
        <v>16</v>
      </c>
      <c r="C3924" s="0" t="n">
        <v>8221</v>
      </c>
      <c r="E3924" s="0" t="n">
        <v>0</v>
      </c>
      <c r="F3924" s="23" t="s">
        <v>1643</v>
      </c>
      <c r="I3924" s="23" t="s">
        <v>1249</v>
      </c>
      <c r="U3924" s="0" t="n">
        <v>1</v>
      </c>
      <c r="V3924" s="0" t="n">
        <v>0</v>
      </c>
      <c r="W3924" s="0" t="str">
        <f aca="false">IF(OR(AND(B3924&gt;=1,B3924&lt;=6),B3924=10),"Vaca em lactação",IF(I3924="Male","Macho",IF(E3924&gt;=1,"Vaca seca",IF(I3924="Youngstock","Bezerra/recria","Novilha"))))</f>
        <v>Bezerra/recria</v>
      </c>
      <c r="X3924" s="0" t="str">
        <f aca="false">IF(AND(B3924&gt;=1,B3924&lt;=6),"Tanque",IF(B3924=10,"Descarte",""))</f>
        <v/>
      </c>
    </row>
    <row r="3925" customFormat="false" ht="15" hidden="false" customHeight="false" outlineLevel="0" collapsed="false">
      <c r="A3925" s="22" t="n">
        <v>46309</v>
      </c>
      <c r="B3925" s="0" t="n">
        <v>16</v>
      </c>
      <c r="C3925" s="0" t="n">
        <v>8220</v>
      </c>
      <c r="E3925" s="0" t="n">
        <v>0</v>
      </c>
      <c r="F3925" s="23" t="s">
        <v>1643</v>
      </c>
      <c r="I3925" s="23" t="s">
        <v>1249</v>
      </c>
      <c r="U3925" s="0" t="n">
        <v>1</v>
      </c>
      <c r="V3925" s="0" t="n">
        <v>0</v>
      </c>
      <c r="W3925" s="0" t="str">
        <f aca="false">IF(OR(AND(B3925&gt;=1,B3925&lt;=6),B3925=10),"Vaca em lactação",IF(I3925="Male","Macho",IF(E3925&gt;=1,"Vaca seca",IF(I3925="Youngstock","Bezerra/recria","Novilha"))))</f>
        <v>Bezerra/recria</v>
      </c>
      <c r="X3925" s="0" t="str">
        <f aca="false">IF(AND(B3925&gt;=1,B3925&lt;=6),"Tanque",IF(B3925=10,"Descarte",""))</f>
        <v/>
      </c>
    </row>
    <row r="3926" customFormat="false" ht="15" hidden="false" customHeight="false" outlineLevel="0" collapsed="false">
      <c r="A3926" s="22" t="n">
        <v>46309</v>
      </c>
      <c r="B3926" s="0" t="n">
        <v>16</v>
      </c>
      <c r="C3926" s="0" t="n">
        <v>8219</v>
      </c>
      <c r="E3926" s="0" t="n">
        <v>0</v>
      </c>
      <c r="F3926" s="23" t="s">
        <v>1596</v>
      </c>
      <c r="I3926" s="23" t="s">
        <v>1249</v>
      </c>
      <c r="U3926" s="0" t="n">
        <v>2</v>
      </c>
      <c r="V3926" s="0" t="n">
        <v>0</v>
      </c>
      <c r="W3926" s="0" t="str">
        <f aca="false">IF(OR(AND(B3926&gt;=1,B3926&lt;=6),B3926=10),"Vaca em lactação",IF(I3926="Male","Macho",IF(E3926&gt;=1,"Vaca seca",IF(I3926="Youngstock","Bezerra/recria","Novilha"))))</f>
        <v>Bezerra/recria</v>
      </c>
      <c r="X3926" s="0" t="str">
        <f aca="false">IF(AND(B3926&gt;=1,B3926&lt;=6),"Tanque",IF(B3926=10,"Descarte",""))</f>
        <v/>
      </c>
    </row>
    <row r="3927" customFormat="false" ht="15" hidden="false" customHeight="false" outlineLevel="0" collapsed="false">
      <c r="A3927" s="22" t="n">
        <v>46309</v>
      </c>
      <c r="B3927" s="0" t="n">
        <v>16</v>
      </c>
      <c r="C3927" s="0" t="n">
        <v>8183</v>
      </c>
      <c r="E3927" s="0" t="n">
        <v>0</v>
      </c>
      <c r="F3927" s="23" t="s">
        <v>1597</v>
      </c>
      <c r="I3927" s="23" t="s">
        <v>1249</v>
      </c>
      <c r="U3927" s="0" t="n">
        <v>12</v>
      </c>
      <c r="V3927" s="0" t="n">
        <v>0</v>
      </c>
      <c r="W3927" s="0" t="str">
        <f aca="false">IF(OR(AND(B3927&gt;=1,B3927&lt;=6),B3927=10),"Vaca em lactação",IF(I3927="Male","Macho",IF(E3927&gt;=1,"Vaca seca",IF(I3927="Youngstock","Bezerra/recria","Novilha"))))</f>
        <v>Bezerra/recria</v>
      </c>
      <c r="X3927" s="0" t="str">
        <f aca="false">IF(AND(B3927&gt;=1,B3927&lt;=6),"Tanque",IF(B3927=10,"Descarte",""))</f>
        <v/>
      </c>
    </row>
    <row r="3928" customFormat="false" ht="15" hidden="false" customHeight="false" outlineLevel="0" collapsed="false">
      <c r="A3928" s="22" t="n">
        <v>46309</v>
      </c>
      <c r="B3928" s="0" t="n">
        <v>16</v>
      </c>
      <c r="C3928" s="0" t="n">
        <v>8182</v>
      </c>
      <c r="E3928" s="0" t="n">
        <v>0</v>
      </c>
      <c r="F3928" s="23" t="s">
        <v>1644</v>
      </c>
      <c r="I3928" s="23" t="s">
        <v>1249</v>
      </c>
      <c r="U3928" s="0" t="n">
        <v>13</v>
      </c>
      <c r="V3928" s="0" t="n">
        <v>0</v>
      </c>
      <c r="W3928" s="0" t="str">
        <f aca="false">IF(OR(AND(B3928&gt;=1,B3928&lt;=6),B3928=10),"Vaca em lactação",IF(I3928="Male","Macho",IF(E3928&gt;=1,"Vaca seca",IF(I3928="Youngstock","Bezerra/recria","Novilha"))))</f>
        <v>Bezerra/recria</v>
      </c>
      <c r="X3928" s="0" t="str">
        <f aca="false">IF(AND(B3928&gt;=1,B3928&lt;=6),"Tanque",IF(B3928=10,"Descarte",""))</f>
        <v/>
      </c>
    </row>
    <row r="3929" customFormat="false" ht="15" hidden="false" customHeight="false" outlineLevel="0" collapsed="false">
      <c r="A3929" s="22" t="n">
        <v>46309</v>
      </c>
      <c r="B3929" s="0" t="n">
        <v>16</v>
      </c>
      <c r="C3929" s="0" t="n">
        <v>8194</v>
      </c>
      <c r="E3929" s="0" t="n">
        <v>0</v>
      </c>
      <c r="F3929" s="23" t="s">
        <v>1645</v>
      </c>
      <c r="I3929" s="23" t="s">
        <v>1249</v>
      </c>
      <c r="U3929" s="0" t="n">
        <v>10</v>
      </c>
      <c r="V3929" s="0" t="n">
        <v>0</v>
      </c>
      <c r="W3929" s="0" t="str">
        <f aca="false">IF(OR(AND(B3929&gt;=1,B3929&lt;=6),B3929=10),"Vaca em lactação",IF(I3929="Male","Macho",IF(E3929&gt;=1,"Vaca seca",IF(I3929="Youngstock","Bezerra/recria","Novilha"))))</f>
        <v>Bezerra/recria</v>
      </c>
      <c r="X3929" s="0" t="str">
        <f aca="false">IF(AND(B3929&gt;=1,B3929&lt;=6),"Tanque",IF(B3929=10,"Descarte",""))</f>
        <v/>
      </c>
    </row>
    <row r="3930" customFormat="false" ht="15" hidden="false" customHeight="false" outlineLevel="0" collapsed="false">
      <c r="A3930" s="22" t="n">
        <v>46309</v>
      </c>
      <c r="B3930" s="0" t="n">
        <v>16</v>
      </c>
      <c r="C3930" s="0" t="n">
        <v>8193</v>
      </c>
      <c r="E3930" s="0" t="n">
        <v>0</v>
      </c>
      <c r="F3930" s="23" t="s">
        <v>1645</v>
      </c>
      <c r="I3930" s="23" t="s">
        <v>1249</v>
      </c>
      <c r="U3930" s="0" t="n">
        <v>10</v>
      </c>
      <c r="V3930" s="0" t="n">
        <v>0</v>
      </c>
      <c r="W3930" s="0" t="str">
        <f aca="false">IF(OR(AND(B3930&gt;=1,B3930&lt;=6),B3930=10),"Vaca em lactação",IF(I3930="Male","Macho",IF(E3930&gt;=1,"Vaca seca",IF(I3930="Youngstock","Bezerra/recria","Novilha"))))</f>
        <v>Bezerra/recria</v>
      </c>
      <c r="X3930" s="0" t="str">
        <f aca="false">IF(AND(B3930&gt;=1,B3930&lt;=6),"Tanque",IF(B3930=10,"Descarte",""))</f>
        <v/>
      </c>
    </row>
    <row r="3931" customFormat="false" ht="15" hidden="false" customHeight="false" outlineLevel="0" collapsed="false">
      <c r="A3931" s="22" t="n">
        <v>46309</v>
      </c>
      <c r="B3931" s="0" t="n">
        <v>16</v>
      </c>
      <c r="C3931" s="0" t="n">
        <v>8195</v>
      </c>
      <c r="E3931" s="0" t="n">
        <v>0</v>
      </c>
      <c r="F3931" s="23" t="s">
        <v>1645</v>
      </c>
      <c r="I3931" s="23" t="s">
        <v>1249</v>
      </c>
      <c r="U3931" s="0" t="n">
        <v>10</v>
      </c>
      <c r="V3931" s="0" t="n">
        <v>0</v>
      </c>
      <c r="W3931" s="0" t="str">
        <f aca="false">IF(OR(AND(B3931&gt;=1,B3931&lt;=6),B3931=10),"Vaca em lactação",IF(I3931="Male","Macho",IF(E3931&gt;=1,"Vaca seca",IF(I3931="Youngstock","Bezerra/recria","Novilha"))))</f>
        <v>Bezerra/recria</v>
      </c>
      <c r="X3931" s="0" t="str">
        <f aca="false">IF(AND(B3931&gt;=1,B3931&lt;=6),"Tanque",IF(B3931=10,"Descarte",""))</f>
        <v/>
      </c>
    </row>
    <row r="3932" customFormat="false" ht="15" hidden="false" customHeight="false" outlineLevel="0" collapsed="false">
      <c r="A3932" s="22" t="n">
        <v>46309</v>
      </c>
      <c r="B3932" s="0" t="n">
        <v>16</v>
      </c>
      <c r="C3932" s="0" t="n">
        <v>8192</v>
      </c>
      <c r="E3932" s="0" t="n">
        <v>0</v>
      </c>
      <c r="F3932" s="23" t="s">
        <v>1646</v>
      </c>
      <c r="I3932" s="23" t="s">
        <v>1249</v>
      </c>
      <c r="U3932" s="0" t="n">
        <v>11</v>
      </c>
      <c r="V3932" s="0" t="n">
        <v>0</v>
      </c>
      <c r="W3932" s="0" t="str">
        <f aca="false">IF(OR(AND(B3932&gt;=1,B3932&lt;=6),B3932=10),"Vaca em lactação",IF(I3932="Male","Macho",IF(E3932&gt;=1,"Vaca seca",IF(I3932="Youngstock","Bezerra/recria","Novilha"))))</f>
        <v>Bezerra/recria</v>
      </c>
      <c r="X3932" s="0" t="str">
        <f aca="false">IF(AND(B3932&gt;=1,B3932&lt;=6),"Tanque",IF(B3932=10,"Descarte",""))</f>
        <v/>
      </c>
    </row>
    <row r="3933" customFormat="false" ht="15" hidden="false" customHeight="false" outlineLevel="0" collapsed="false">
      <c r="A3933" s="22" t="n">
        <v>46309</v>
      </c>
      <c r="B3933" s="0" t="n">
        <v>16</v>
      </c>
      <c r="C3933" s="0" t="n">
        <v>8190</v>
      </c>
      <c r="E3933" s="0" t="n">
        <v>0</v>
      </c>
      <c r="F3933" s="23" t="s">
        <v>1646</v>
      </c>
      <c r="I3933" s="23" t="s">
        <v>1249</v>
      </c>
      <c r="U3933" s="0" t="n">
        <v>11</v>
      </c>
      <c r="V3933" s="0" t="n">
        <v>0</v>
      </c>
      <c r="W3933" s="0" t="str">
        <f aca="false">IF(OR(AND(B3933&gt;=1,B3933&lt;=6),B3933=10),"Vaca em lactação",IF(I3933="Male","Macho",IF(E3933&gt;=1,"Vaca seca",IF(I3933="Youngstock","Bezerra/recria","Novilha"))))</f>
        <v>Bezerra/recria</v>
      </c>
      <c r="X3933" s="0" t="str">
        <f aca="false">IF(AND(B3933&gt;=1,B3933&lt;=6),"Tanque",IF(B3933=10,"Descarte",""))</f>
        <v/>
      </c>
    </row>
    <row r="3934" customFormat="false" ht="15" hidden="false" customHeight="false" outlineLevel="0" collapsed="false">
      <c r="A3934" s="22" t="n">
        <v>46309</v>
      </c>
      <c r="B3934" s="0" t="n">
        <v>16</v>
      </c>
      <c r="C3934" s="0" t="n">
        <v>8189</v>
      </c>
      <c r="E3934" s="0" t="n">
        <v>0</v>
      </c>
      <c r="F3934" s="23" t="s">
        <v>1646</v>
      </c>
      <c r="I3934" s="23" t="s">
        <v>1249</v>
      </c>
      <c r="U3934" s="0" t="n">
        <v>11</v>
      </c>
      <c r="V3934" s="0" t="n">
        <v>0</v>
      </c>
      <c r="W3934" s="0" t="str">
        <f aca="false">IF(OR(AND(B3934&gt;=1,B3934&lt;=6),B3934=10),"Vaca em lactação",IF(I3934="Male","Macho",IF(E3934&gt;=1,"Vaca seca",IF(I3934="Youngstock","Bezerra/recria","Novilha"))))</f>
        <v>Bezerra/recria</v>
      </c>
      <c r="X3934" s="0" t="str">
        <f aca="false">IF(AND(B3934&gt;=1,B3934&lt;=6),"Tanque",IF(B3934=10,"Descarte",""))</f>
        <v/>
      </c>
    </row>
    <row r="3935" customFormat="false" ht="15" hidden="false" customHeight="false" outlineLevel="0" collapsed="false">
      <c r="A3935" s="22" t="n">
        <v>46309</v>
      </c>
      <c r="B3935" s="0" t="n">
        <v>16</v>
      </c>
      <c r="C3935" s="0" t="n">
        <v>8188</v>
      </c>
      <c r="E3935" s="0" t="n">
        <v>0</v>
      </c>
      <c r="F3935" s="23" t="s">
        <v>1646</v>
      </c>
      <c r="I3935" s="23" t="s">
        <v>1249</v>
      </c>
      <c r="U3935" s="0" t="n">
        <v>11</v>
      </c>
      <c r="V3935" s="0" t="n">
        <v>0</v>
      </c>
      <c r="W3935" s="0" t="str">
        <f aca="false">IF(OR(AND(B3935&gt;=1,B3935&lt;=6),B3935=10),"Vaca em lactação",IF(I3935="Male","Macho",IF(E3935&gt;=1,"Vaca seca",IF(I3935="Youngstock","Bezerra/recria","Novilha"))))</f>
        <v>Bezerra/recria</v>
      </c>
      <c r="X3935" s="0" t="str">
        <f aca="false">IF(AND(B3935&gt;=1,B3935&lt;=6),"Tanque",IF(B3935=10,"Descarte",""))</f>
        <v/>
      </c>
    </row>
    <row r="3936" customFormat="false" ht="15" hidden="false" customHeight="false" outlineLevel="0" collapsed="false">
      <c r="A3936" s="22" t="n">
        <v>46309</v>
      </c>
      <c r="B3936" s="0" t="n">
        <v>16</v>
      </c>
      <c r="C3936" s="0" t="n">
        <v>8191</v>
      </c>
      <c r="E3936" s="0" t="n">
        <v>0</v>
      </c>
      <c r="F3936" s="23" t="s">
        <v>1646</v>
      </c>
      <c r="I3936" s="23" t="s">
        <v>1249</v>
      </c>
      <c r="U3936" s="0" t="n">
        <v>11</v>
      </c>
      <c r="V3936" s="0" t="n">
        <v>0</v>
      </c>
      <c r="W3936" s="0" t="str">
        <f aca="false">IF(OR(AND(B3936&gt;=1,B3936&lt;=6),B3936=10),"Vaca em lactação",IF(I3936="Male","Macho",IF(E3936&gt;=1,"Vaca seca",IF(I3936="Youngstock","Bezerra/recria","Novilha"))))</f>
        <v>Bezerra/recria</v>
      </c>
      <c r="X3936" s="0" t="str">
        <f aca="false">IF(AND(B3936&gt;=1,B3936&lt;=6),"Tanque",IF(B3936=10,"Descarte",""))</f>
        <v/>
      </c>
    </row>
    <row r="3937" customFormat="false" ht="15" hidden="false" customHeight="false" outlineLevel="0" collapsed="false">
      <c r="A3937" s="22" t="n">
        <v>46309</v>
      </c>
      <c r="B3937" s="0" t="n">
        <v>16</v>
      </c>
      <c r="C3937" s="0" t="n">
        <v>8187</v>
      </c>
      <c r="E3937" s="0" t="n">
        <v>0</v>
      </c>
      <c r="F3937" s="23" t="s">
        <v>1646</v>
      </c>
      <c r="I3937" s="23" t="s">
        <v>1249</v>
      </c>
      <c r="U3937" s="0" t="n">
        <v>11</v>
      </c>
      <c r="V3937" s="0" t="n">
        <v>0</v>
      </c>
      <c r="W3937" s="0" t="str">
        <f aca="false">IF(OR(AND(B3937&gt;=1,B3937&lt;=6),B3937=10),"Vaca em lactação",IF(I3937="Male","Macho",IF(E3937&gt;=1,"Vaca seca",IF(I3937="Youngstock","Bezerra/recria","Novilha"))))</f>
        <v>Bezerra/recria</v>
      </c>
      <c r="X3937" s="0" t="str">
        <f aca="false">IF(AND(B3937&gt;=1,B3937&lt;=6),"Tanque",IF(B3937=10,"Descarte",""))</f>
        <v/>
      </c>
    </row>
    <row r="3938" customFormat="false" ht="15" hidden="false" customHeight="false" outlineLevel="0" collapsed="false">
      <c r="A3938" s="22" t="n">
        <v>46309</v>
      </c>
      <c r="B3938" s="0" t="n">
        <v>16</v>
      </c>
      <c r="C3938" s="0" t="n">
        <v>8186</v>
      </c>
      <c r="E3938" s="0" t="n">
        <v>0</v>
      </c>
      <c r="F3938" s="23" t="s">
        <v>1646</v>
      </c>
      <c r="I3938" s="23" t="s">
        <v>1249</v>
      </c>
      <c r="U3938" s="0" t="n">
        <v>11</v>
      </c>
      <c r="V3938" s="0" t="n">
        <v>0</v>
      </c>
      <c r="W3938" s="0" t="str">
        <f aca="false">IF(OR(AND(B3938&gt;=1,B3938&lt;=6),B3938=10),"Vaca em lactação",IF(I3938="Male","Macho",IF(E3938&gt;=1,"Vaca seca",IF(I3938="Youngstock","Bezerra/recria","Novilha"))))</f>
        <v>Bezerra/recria</v>
      </c>
      <c r="X3938" s="0" t="str">
        <f aca="false">IF(AND(B3938&gt;=1,B3938&lt;=6),"Tanque",IF(B3938=10,"Descarte",""))</f>
        <v/>
      </c>
    </row>
    <row r="3939" customFormat="false" ht="15" hidden="false" customHeight="false" outlineLevel="0" collapsed="false">
      <c r="A3939" s="22" t="n">
        <v>46309</v>
      </c>
      <c r="B3939" s="0" t="n">
        <v>16</v>
      </c>
      <c r="C3939" s="0" t="n">
        <v>8185</v>
      </c>
      <c r="E3939" s="0" t="n">
        <v>0</v>
      </c>
      <c r="F3939" s="23" t="s">
        <v>1597</v>
      </c>
      <c r="I3939" s="23" t="s">
        <v>1249</v>
      </c>
      <c r="U3939" s="0" t="n">
        <v>12</v>
      </c>
      <c r="V3939" s="0" t="n">
        <v>0</v>
      </c>
      <c r="W3939" s="0" t="str">
        <f aca="false">IF(OR(AND(B3939&gt;=1,B3939&lt;=6),B3939=10),"Vaca em lactação",IF(I3939="Male","Macho",IF(E3939&gt;=1,"Vaca seca",IF(I3939="Youngstock","Bezerra/recria","Novilha"))))</f>
        <v>Bezerra/recria</v>
      </c>
      <c r="X3939" s="0" t="str">
        <f aca="false">IF(AND(B3939&gt;=1,B3939&lt;=6),"Tanque",IF(B3939=10,"Descarte",""))</f>
        <v/>
      </c>
    </row>
    <row r="3940" customFormat="false" ht="15" hidden="false" customHeight="false" outlineLevel="0" collapsed="false">
      <c r="A3940" s="22" t="n">
        <v>46309</v>
      </c>
      <c r="B3940" s="0" t="n">
        <v>16</v>
      </c>
      <c r="C3940" s="0" t="n">
        <v>8184</v>
      </c>
      <c r="E3940" s="0" t="n">
        <v>0</v>
      </c>
      <c r="F3940" s="23" t="s">
        <v>1597</v>
      </c>
      <c r="I3940" s="23" t="s">
        <v>1249</v>
      </c>
      <c r="U3940" s="0" t="n">
        <v>12</v>
      </c>
      <c r="V3940" s="0" t="n">
        <v>0</v>
      </c>
      <c r="W3940" s="0" t="str">
        <f aca="false">IF(OR(AND(B3940&gt;=1,B3940&lt;=6),B3940=10),"Vaca em lactação",IF(I3940="Male","Macho",IF(E3940&gt;=1,"Vaca seca",IF(I3940="Youngstock","Bezerra/recria","Novilha"))))</f>
        <v>Bezerra/recria</v>
      </c>
      <c r="X3940" s="0" t="str">
        <f aca="false">IF(AND(B3940&gt;=1,B3940&lt;=6),"Tanque",IF(B3940=10,"Descarte",""))</f>
        <v/>
      </c>
    </row>
    <row r="3941" customFormat="false" ht="15" hidden="false" customHeight="false" outlineLevel="0" collapsed="false">
      <c r="A3941" s="22" t="n">
        <v>46309</v>
      </c>
      <c r="B3941" s="0" t="n">
        <v>16</v>
      </c>
      <c r="C3941" s="0" t="n">
        <v>8205</v>
      </c>
      <c r="E3941" s="0" t="n">
        <v>0</v>
      </c>
      <c r="F3941" s="23" t="s">
        <v>1641</v>
      </c>
      <c r="I3941" s="23" t="s">
        <v>1249</v>
      </c>
      <c r="U3941" s="0" t="n">
        <v>8</v>
      </c>
      <c r="V3941" s="0" t="n">
        <v>0</v>
      </c>
      <c r="W3941" s="0" t="str">
        <f aca="false">IF(OR(AND(B3941&gt;=1,B3941&lt;=6),B3941=10),"Vaca em lactação",IF(I3941="Male","Macho",IF(E3941&gt;=1,"Vaca seca",IF(I3941="Youngstock","Bezerra/recria","Novilha"))))</f>
        <v>Bezerra/recria</v>
      </c>
      <c r="X3941" s="0" t="str">
        <f aca="false">IF(AND(B3941&gt;=1,B3941&lt;=6),"Tanque",IF(B3941=10,"Descarte",""))</f>
        <v/>
      </c>
    </row>
    <row r="3942" customFormat="false" ht="15" hidden="false" customHeight="false" outlineLevel="0" collapsed="false">
      <c r="A3942" s="22" t="n">
        <v>46309</v>
      </c>
      <c r="B3942" s="0" t="n">
        <v>16</v>
      </c>
      <c r="C3942" s="0" t="n">
        <v>8204</v>
      </c>
      <c r="E3942" s="0" t="n">
        <v>0</v>
      </c>
      <c r="F3942" s="23" t="s">
        <v>1641</v>
      </c>
      <c r="I3942" s="23" t="s">
        <v>1249</v>
      </c>
      <c r="U3942" s="0" t="n">
        <v>8</v>
      </c>
      <c r="V3942" s="0" t="n">
        <v>0</v>
      </c>
      <c r="W3942" s="0" t="str">
        <f aca="false">IF(OR(AND(B3942&gt;=1,B3942&lt;=6),B3942=10),"Vaca em lactação",IF(I3942="Male","Macho",IF(E3942&gt;=1,"Vaca seca",IF(I3942="Youngstock","Bezerra/recria","Novilha"))))</f>
        <v>Bezerra/recria</v>
      </c>
      <c r="X3942" s="0" t="str">
        <f aca="false">IF(AND(B3942&gt;=1,B3942&lt;=6),"Tanque",IF(B3942=10,"Descarte",""))</f>
        <v/>
      </c>
    </row>
    <row r="3943" customFormat="false" ht="15" hidden="false" customHeight="false" outlineLevel="0" collapsed="false">
      <c r="A3943" s="22" t="n">
        <v>46309</v>
      </c>
      <c r="B3943" s="0" t="n">
        <v>16</v>
      </c>
      <c r="C3943" s="0" t="n">
        <v>8199</v>
      </c>
      <c r="E3943" s="0" t="n">
        <v>0</v>
      </c>
      <c r="F3943" s="23" t="s">
        <v>1647</v>
      </c>
      <c r="I3943" s="23" t="s">
        <v>1249</v>
      </c>
      <c r="U3943" s="0" t="n">
        <v>9</v>
      </c>
      <c r="V3943" s="0" t="n">
        <v>0</v>
      </c>
      <c r="W3943" s="0" t="str">
        <f aca="false">IF(OR(AND(B3943&gt;=1,B3943&lt;=6),B3943=10),"Vaca em lactação",IF(I3943="Male","Macho",IF(E3943&gt;=1,"Vaca seca",IF(I3943="Youngstock","Bezerra/recria","Novilha"))))</f>
        <v>Bezerra/recria</v>
      </c>
      <c r="X3943" s="0" t="str">
        <f aca="false">IF(AND(B3943&gt;=1,B3943&lt;=6),"Tanque",IF(B3943=10,"Descarte",""))</f>
        <v/>
      </c>
    </row>
    <row r="3944" customFormat="false" ht="15" hidden="false" customHeight="false" outlineLevel="0" collapsed="false">
      <c r="A3944" s="22" t="n">
        <v>46309</v>
      </c>
      <c r="B3944" s="0" t="n">
        <v>16</v>
      </c>
      <c r="C3944" s="0" t="n">
        <v>8202</v>
      </c>
      <c r="E3944" s="0" t="n">
        <v>0</v>
      </c>
      <c r="F3944" s="23" t="s">
        <v>1641</v>
      </c>
      <c r="I3944" s="23" t="s">
        <v>1249</v>
      </c>
      <c r="U3944" s="0" t="n">
        <v>8</v>
      </c>
      <c r="V3944" s="0" t="n">
        <v>0</v>
      </c>
      <c r="W3944" s="0" t="str">
        <f aca="false">IF(OR(AND(B3944&gt;=1,B3944&lt;=6),B3944=10),"Vaca em lactação",IF(I3944="Male","Macho",IF(E3944&gt;=1,"Vaca seca",IF(I3944="Youngstock","Bezerra/recria","Novilha"))))</f>
        <v>Bezerra/recria</v>
      </c>
      <c r="X3944" s="0" t="str">
        <f aca="false">IF(AND(B3944&gt;=1,B3944&lt;=6),"Tanque",IF(B3944=10,"Descarte",""))</f>
        <v/>
      </c>
    </row>
    <row r="3945" customFormat="false" ht="15" hidden="false" customHeight="false" outlineLevel="0" collapsed="false">
      <c r="A3945" s="22" t="n">
        <v>46309</v>
      </c>
      <c r="B3945" s="0" t="n">
        <v>16</v>
      </c>
      <c r="C3945" s="0" t="n">
        <v>8201</v>
      </c>
      <c r="E3945" s="0" t="n">
        <v>0</v>
      </c>
      <c r="F3945" s="23" t="s">
        <v>1647</v>
      </c>
      <c r="I3945" s="23" t="s">
        <v>1249</v>
      </c>
      <c r="U3945" s="0" t="n">
        <v>9</v>
      </c>
      <c r="V3945" s="0" t="n">
        <v>0</v>
      </c>
      <c r="W3945" s="0" t="str">
        <f aca="false">IF(OR(AND(B3945&gt;=1,B3945&lt;=6),B3945=10),"Vaca em lactação",IF(I3945="Male","Macho",IF(E3945&gt;=1,"Vaca seca",IF(I3945="Youngstock","Bezerra/recria","Novilha"))))</f>
        <v>Bezerra/recria</v>
      </c>
      <c r="X3945" s="0" t="str">
        <f aca="false">IF(AND(B3945&gt;=1,B3945&lt;=6),"Tanque",IF(B3945=10,"Descarte",""))</f>
        <v/>
      </c>
    </row>
    <row r="3946" customFormat="false" ht="15" hidden="false" customHeight="false" outlineLevel="0" collapsed="false">
      <c r="A3946" s="22" t="n">
        <v>46309</v>
      </c>
      <c r="B3946" s="0" t="n">
        <v>16</v>
      </c>
      <c r="C3946" s="0" t="n">
        <v>8200</v>
      </c>
      <c r="E3946" s="0" t="n">
        <v>0</v>
      </c>
      <c r="F3946" s="23" t="s">
        <v>1647</v>
      </c>
      <c r="I3946" s="23" t="s">
        <v>1249</v>
      </c>
      <c r="U3946" s="0" t="n">
        <v>9</v>
      </c>
      <c r="V3946" s="0" t="n">
        <v>0</v>
      </c>
      <c r="W3946" s="0" t="str">
        <f aca="false">IF(OR(AND(B3946&gt;=1,B3946&lt;=6),B3946=10),"Vaca em lactação",IF(I3946="Male","Macho",IF(E3946&gt;=1,"Vaca seca",IF(I3946="Youngstock","Bezerra/recria","Novilha"))))</f>
        <v>Bezerra/recria</v>
      </c>
      <c r="X3946" s="0" t="str">
        <f aca="false">IF(AND(B3946&gt;=1,B3946&lt;=6),"Tanque",IF(B3946=10,"Descarte",""))</f>
        <v/>
      </c>
    </row>
    <row r="3947" customFormat="false" ht="15" hidden="false" customHeight="false" outlineLevel="0" collapsed="false">
      <c r="A3947" s="22" t="n">
        <v>46309</v>
      </c>
      <c r="B3947" s="0" t="n">
        <v>16</v>
      </c>
      <c r="C3947" s="0" t="n">
        <v>8203</v>
      </c>
      <c r="E3947" s="0" t="n">
        <v>0</v>
      </c>
      <c r="F3947" s="23" t="s">
        <v>1641</v>
      </c>
      <c r="I3947" s="23" t="s">
        <v>1249</v>
      </c>
      <c r="U3947" s="0" t="n">
        <v>8</v>
      </c>
      <c r="V3947" s="0" t="n">
        <v>0</v>
      </c>
      <c r="W3947" s="0" t="str">
        <f aca="false">IF(OR(AND(B3947&gt;=1,B3947&lt;=6),B3947=10),"Vaca em lactação",IF(I3947="Male","Macho",IF(E3947&gt;=1,"Vaca seca",IF(I3947="Youngstock","Bezerra/recria","Novilha"))))</f>
        <v>Bezerra/recria</v>
      </c>
      <c r="X3947" s="0" t="str">
        <f aca="false">IF(AND(B3947&gt;=1,B3947&lt;=6),"Tanque",IF(B3947=10,"Descarte",""))</f>
        <v/>
      </c>
    </row>
    <row r="3948" customFormat="false" ht="15" hidden="false" customHeight="false" outlineLevel="0" collapsed="false">
      <c r="A3948" s="22" t="n">
        <v>46309</v>
      </c>
      <c r="B3948" s="0" t="n">
        <v>16</v>
      </c>
      <c r="C3948" s="0" t="n">
        <v>8196</v>
      </c>
      <c r="E3948" s="0" t="n">
        <v>0</v>
      </c>
      <c r="F3948" s="23" t="s">
        <v>1645</v>
      </c>
      <c r="I3948" s="23" t="s">
        <v>1249</v>
      </c>
      <c r="U3948" s="0" t="n">
        <v>10</v>
      </c>
      <c r="V3948" s="0" t="n">
        <v>0</v>
      </c>
      <c r="W3948" s="0" t="str">
        <f aca="false">IF(OR(AND(B3948&gt;=1,B3948&lt;=6),B3948=10),"Vaca em lactação",IF(I3948="Male","Macho",IF(E3948&gt;=1,"Vaca seca",IF(I3948="Youngstock","Bezerra/recria","Novilha"))))</f>
        <v>Bezerra/recria</v>
      </c>
      <c r="X3948" s="0" t="str">
        <f aca="false">IF(AND(B3948&gt;=1,B3948&lt;=6),"Tanque",IF(B3948=10,"Descarte",""))</f>
        <v/>
      </c>
    </row>
    <row r="3949" customFormat="false" ht="15" hidden="false" customHeight="false" outlineLevel="0" collapsed="false">
      <c r="A3949" s="22" t="n">
        <v>46309</v>
      </c>
      <c r="B3949" s="0" t="n">
        <v>16</v>
      </c>
      <c r="C3949" s="0" t="n">
        <v>8198</v>
      </c>
      <c r="E3949" s="0" t="n">
        <v>0</v>
      </c>
      <c r="F3949" s="23" t="s">
        <v>1645</v>
      </c>
      <c r="I3949" s="23" t="s">
        <v>1249</v>
      </c>
      <c r="U3949" s="0" t="n">
        <v>10</v>
      </c>
      <c r="V3949" s="0" t="n">
        <v>0</v>
      </c>
      <c r="W3949" s="0" t="str">
        <f aca="false">IF(OR(AND(B3949&gt;=1,B3949&lt;=6),B3949=10),"Vaca em lactação",IF(I3949="Male","Macho",IF(E3949&gt;=1,"Vaca seca",IF(I3949="Youngstock","Bezerra/recria","Novilha"))))</f>
        <v>Bezerra/recria</v>
      </c>
      <c r="X3949" s="0" t="str">
        <f aca="false">IF(AND(B3949&gt;=1,B3949&lt;=6),"Tanque",IF(B3949=10,"Descarte",""))</f>
        <v/>
      </c>
    </row>
    <row r="3950" customFormat="false" ht="15" hidden="false" customHeight="false" outlineLevel="0" collapsed="false">
      <c r="A3950" s="22" t="n">
        <v>46309</v>
      </c>
      <c r="B3950" s="0" t="n">
        <v>16</v>
      </c>
      <c r="C3950" s="0" t="n">
        <v>8159</v>
      </c>
      <c r="E3950" s="0" t="n">
        <v>0</v>
      </c>
      <c r="F3950" s="23" t="s">
        <v>1648</v>
      </c>
      <c r="I3950" s="23" t="s">
        <v>1249</v>
      </c>
      <c r="U3950" s="0" t="n">
        <v>19</v>
      </c>
      <c r="V3950" s="0" t="n">
        <v>0</v>
      </c>
      <c r="W3950" s="0" t="str">
        <f aca="false">IF(OR(AND(B3950&gt;=1,B3950&lt;=6),B3950=10),"Vaca em lactação",IF(I3950="Male","Macho",IF(E3950&gt;=1,"Vaca seca",IF(I3950="Youngstock","Bezerra/recria","Novilha"))))</f>
        <v>Bezerra/recria</v>
      </c>
      <c r="X3950" s="0" t="str">
        <f aca="false">IF(AND(B3950&gt;=1,B3950&lt;=6),"Tanque",IF(B3950=10,"Descarte",""))</f>
        <v/>
      </c>
    </row>
    <row r="3951" customFormat="false" ht="15" hidden="false" customHeight="false" outlineLevel="0" collapsed="false">
      <c r="A3951" s="22" t="n">
        <v>46309</v>
      </c>
      <c r="B3951" s="0" t="n">
        <v>16</v>
      </c>
      <c r="C3951" s="0" t="n">
        <v>8158</v>
      </c>
      <c r="E3951" s="0" t="n">
        <v>0</v>
      </c>
      <c r="F3951" s="23" t="s">
        <v>1648</v>
      </c>
      <c r="I3951" s="23" t="s">
        <v>1249</v>
      </c>
      <c r="U3951" s="0" t="n">
        <v>19</v>
      </c>
      <c r="V3951" s="0" t="n">
        <v>0</v>
      </c>
      <c r="W3951" s="0" t="str">
        <f aca="false">IF(OR(AND(B3951&gt;=1,B3951&lt;=6),B3951=10),"Vaca em lactação",IF(I3951="Male","Macho",IF(E3951&gt;=1,"Vaca seca",IF(I3951="Youngstock","Bezerra/recria","Novilha"))))</f>
        <v>Bezerra/recria</v>
      </c>
      <c r="X3951" s="0" t="str">
        <f aca="false">IF(AND(B3951&gt;=1,B3951&lt;=6),"Tanque",IF(B3951=10,"Descarte",""))</f>
        <v/>
      </c>
    </row>
    <row r="3952" customFormat="false" ht="15" hidden="false" customHeight="false" outlineLevel="0" collapsed="false">
      <c r="A3952" s="22" t="n">
        <v>46309</v>
      </c>
      <c r="B3952" s="0" t="n">
        <v>16</v>
      </c>
      <c r="C3952" s="0" t="n">
        <v>8157</v>
      </c>
      <c r="E3952" s="0" t="n">
        <v>0</v>
      </c>
      <c r="F3952" s="23" t="s">
        <v>1649</v>
      </c>
      <c r="I3952" s="23" t="s">
        <v>1249</v>
      </c>
      <c r="U3952" s="0" t="n">
        <v>20</v>
      </c>
      <c r="V3952" s="0" t="n">
        <v>0</v>
      </c>
      <c r="W3952" s="0" t="str">
        <f aca="false">IF(OR(AND(B3952&gt;=1,B3952&lt;=6),B3952=10),"Vaca em lactação",IF(I3952="Male","Macho",IF(E3952&gt;=1,"Vaca seca",IF(I3952="Youngstock","Bezerra/recria","Novilha"))))</f>
        <v>Bezerra/recria</v>
      </c>
      <c r="X3952" s="0" t="str">
        <f aca="false">IF(AND(B3952&gt;=1,B3952&lt;=6),"Tanque",IF(B3952=10,"Descarte",""))</f>
        <v/>
      </c>
    </row>
    <row r="3953" customFormat="false" ht="15" hidden="false" customHeight="false" outlineLevel="0" collapsed="false">
      <c r="A3953" s="22" t="n">
        <v>46309</v>
      </c>
      <c r="B3953" s="0" t="n">
        <v>16</v>
      </c>
      <c r="C3953" s="0" t="n">
        <v>8156</v>
      </c>
      <c r="E3953" s="0" t="n">
        <v>0</v>
      </c>
      <c r="F3953" s="23" t="s">
        <v>1649</v>
      </c>
      <c r="I3953" s="23" t="s">
        <v>1249</v>
      </c>
      <c r="U3953" s="0" t="n">
        <v>20</v>
      </c>
      <c r="V3953" s="0" t="n">
        <v>0</v>
      </c>
      <c r="W3953" s="0" t="str">
        <f aca="false">IF(OR(AND(B3953&gt;=1,B3953&lt;=6),B3953=10),"Vaca em lactação",IF(I3953="Male","Macho",IF(E3953&gt;=1,"Vaca seca",IF(I3953="Youngstock","Bezerra/recria","Novilha"))))</f>
        <v>Bezerra/recria</v>
      </c>
      <c r="X3953" s="0" t="str">
        <f aca="false">IF(AND(B3953&gt;=1,B3953&lt;=6),"Tanque",IF(B3953=10,"Descarte",""))</f>
        <v/>
      </c>
    </row>
    <row r="3954" customFormat="false" ht="15" hidden="false" customHeight="false" outlineLevel="0" collapsed="false">
      <c r="A3954" s="22" t="n">
        <v>46309</v>
      </c>
      <c r="B3954" s="0" t="n">
        <v>16</v>
      </c>
      <c r="C3954" s="0" t="n">
        <v>8155</v>
      </c>
      <c r="E3954" s="0" t="n">
        <v>0</v>
      </c>
      <c r="F3954" s="23" t="s">
        <v>1649</v>
      </c>
      <c r="I3954" s="23" t="s">
        <v>1249</v>
      </c>
      <c r="U3954" s="0" t="n">
        <v>20</v>
      </c>
      <c r="V3954" s="0" t="n">
        <v>0</v>
      </c>
      <c r="W3954" s="0" t="str">
        <f aca="false">IF(OR(AND(B3954&gt;=1,B3954&lt;=6),B3954=10),"Vaca em lactação",IF(I3954="Male","Macho",IF(E3954&gt;=1,"Vaca seca",IF(I3954="Youngstock","Bezerra/recria","Novilha"))))</f>
        <v>Bezerra/recria</v>
      </c>
      <c r="X3954" s="0" t="str">
        <f aca="false">IF(AND(B3954&gt;=1,B3954&lt;=6),"Tanque",IF(B3954=10,"Descarte",""))</f>
        <v/>
      </c>
    </row>
    <row r="3955" customFormat="false" ht="15" hidden="false" customHeight="false" outlineLevel="0" collapsed="false">
      <c r="A3955" s="22" t="n">
        <v>46309</v>
      </c>
      <c r="B3955" s="0" t="n">
        <v>16</v>
      </c>
      <c r="C3955" s="0" t="n">
        <v>8162</v>
      </c>
      <c r="E3955" s="0" t="n">
        <v>0</v>
      </c>
      <c r="F3955" s="23" t="s">
        <v>1650</v>
      </c>
      <c r="I3955" s="23" t="s">
        <v>1249</v>
      </c>
      <c r="U3955" s="0" t="n">
        <v>18</v>
      </c>
      <c r="V3955" s="0" t="n">
        <v>0</v>
      </c>
      <c r="W3955" s="0" t="str">
        <f aca="false">IF(OR(AND(B3955&gt;=1,B3955&lt;=6),B3955=10),"Vaca em lactação",IF(I3955="Male","Macho",IF(E3955&gt;=1,"Vaca seca",IF(I3955="Youngstock","Bezerra/recria","Novilha"))))</f>
        <v>Bezerra/recria</v>
      </c>
      <c r="X3955" s="0" t="str">
        <f aca="false">IF(AND(B3955&gt;=1,B3955&lt;=6),"Tanque",IF(B3955=10,"Descarte",""))</f>
        <v/>
      </c>
    </row>
    <row r="3956" customFormat="false" ht="15" hidden="false" customHeight="false" outlineLevel="0" collapsed="false">
      <c r="A3956" s="22" t="n">
        <v>46309</v>
      </c>
      <c r="B3956" s="0" t="n">
        <v>16</v>
      </c>
      <c r="C3956" s="0" t="n">
        <v>8161</v>
      </c>
      <c r="E3956" s="0" t="n">
        <v>0</v>
      </c>
      <c r="F3956" s="23" t="s">
        <v>1648</v>
      </c>
      <c r="I3956" s="23" t="s">
        <v>1249</v>
      </c>
      <c r="U3956" s="0" t="n">
        <v>19</v>
      </c>
      <c r="V3956" s="0" t="n">
        <v>0</v>
      </c>
      <c r="W3956" s="0" t="str">
        <f aca="false">IF(OR(AND(B3956&gt;=1,B3956&lt;=6),B3956=10),"Vaca em lactação",IF(I3956="Male","Macho",IF(E3956&gt;=1,"Vaca seca",IF(I3956="Youngstock","Bezerra/recria","Novilha"))))</f>
        <v>Bezerra/recria</v>
      </c>
      <c r="X3956" s="0" t="str">
        <f aca="false">IF(AND(B3956&gt;=1,B3956&lt;=6),"Tanque",IF(B3956=10,"Descarte",""))</f>
        <v/>
      </c>
    </row>
    <row r="3957" customFormat="false" ht="15" hidden="false" customHeight="false" outlineLevel="0" collapsed="false">
      <c r="A3957" s="22" t="n">
        <v>46309</v>
      </c>
      <c r="B3957" s="0" t="n">
        <v>16</v>
      </c>
      <c r="C3957" s="0" t="n">
        <v>8160</v>
      </c>
      <c r="E3957" s="0" t="n">
        <v>0</v>
      </c>
      <c r="F3957" s="23" t="s">
        <v>1648</v>
      </c>
      <c r="I3957" s="23" t="s">
        <v>1249</v>
      </c>
      <c r="U3957" s="0" t="n">
        <v>19</v>
      </c>
      <c r="V3957" s="0" t="n">
        <v>0</v>
      </c>
      <c r="W3957" s="0" t="str">
        <f aca="false">IF(OR(AND(B3957&gt;=1,B3957&lt;=6),B3957=10),"Vaca em lactação",IF(I3957="Male","Macho",IF(E3957&gt;=1,"Vaca seca",IF(I3957="Youngstock","Bezerra/recria","Novilha"))))</f>
        <v>Bezerra/recria</v>
      </c>
      <c r="X3957" s="0" t="str">
        <f aca="false">IF(AND(B3957&gt;=1,B3957&lt;=6),"Tanque",IF(B3957=10,"Descarte",""))</f>
        <v/>
      </c>
    </row>
    <row r="3958" customFormat="false" ht="15" hidden="false" customHeight="false" outlineLevel="0" collapsed="false">
      <c r="A3958" s="22" t="n">
        <v>46309</v>
      </c>
      <c r="B3958" s="0" t="n">
        <v>16</v>
      </c>
      <c r="C3958" s="0" t="n">
        <v>8165</v>
      </c>
      <c r="E3958" s="0" t="n">
        <v>0</v>
      </c>
      <c r="F3958" s="23" t="s">
        <v>1650</v>
      </c>
      <c r="I3958" s="23" t="s">
        <v>1249</v>
      </c>
      <c r="U3958" s="0" t="n">
        <v>18</v>
      </c>
      <c r="V3958" s="0" t="n">
        <v>0</v>
      </c>
      <c r="W3958" s="0" t="str">
        <f aca="false">IF(OR(AND(B3958&gt;=1,B3958&lt;=6),B3958=10),"Vaca em lactação",IF(I3958="Male","Macho",IF(E3958&gt;=1,"Vaca seca",IF(I3958="Youngstock","Bezerra/recria","Novilha"))))</f>
        <v>Bezerra/recria</v>
      </c>
      <c r="X3958" s="0" t="str">
        <f aca="false">IF(AND(B3958&gt;=1,B3958&lt;=6),"Tanque",IF(B3958=10,"Descarte",""))</f>
        <v/>
      </c>
    </row>
    <row r="3959" customFormat="false" ht="15" hidden="false" customHeight="false" outlineLevel="0" collapsed="false">
      <c r="A3959" s="22" t="n">
        <v>46309</v>
      </c>
      <c r="B3959" s="0" t="n">
        <v>16</v>
      </c>
      <c r="C3959" s="0" t="n">
        <v>8164</v>
      </c>
      <c r="E3959" s="0" t="n">
        <v>0</v>
      </c>
      <c r="F3959" s="23" t="s">
        <v>1650</v>
      </c>
      <c r="I3959" s="23" t="s">
        <v>1249</v>
      </c>
      <c r="U3959" s="0" t="n">
        <v>18</v>
      </c>
      <c r="V3959" s="0" t="n">
        <v>0</v>
      </c>
      <c r="W3959" s="0" t="str">
        <f aca="false">IF(OR(AND(B3959&gt;=1,B3959&lt;=6),B3959=10),"Vaca em lactação",IF(I3959="Male","Macho",IF(E3959&gt;=1,"Vaca seca",IF(I3959="Youngstock","Bezerra/recria","Novilha"))))</f>
        <v>Bezerra/recria</v>
      </c>
      <c r="X3959" s="0" t="str">
        <f aca="false">IF(AND(B3959&gt;=1,B3959&lt;=6),"Tanque",IF(B3959=10,"Descarte",""))</f>
        <v/>
      </c>
    </row>
    <row r="3960" customFormat="false" ht="15" hidden="false" customHeight="false" outlineLevel="0" collapsed="false">
      <c r="A3960" s="22" t="n">
        <v>46309</v>
      </c>
      <c r="B3960" s="0" t="n">
        <v>16</v>
      </c>
      <c r="C3960" s="0" t="n">
        <v>8166</v>
      </c>
      <c r="E3960" s="0" t="n">
        <v>0</v>
      </c>
      <c r="F3960" s="23" t="s">
        <v>1598</v>
      </c>
      <c r="I3960" s="23" t="s">
        <v>1249</v>
      </c>
      <c r="U3960" s="0" t="n">
        <v>17</v>
      </c>
      <c r="V3960" s="0" t="n">
        <v>0</v>
      </c>
      <c r="W3960" s="0" t="str">
        <f aca="false">IF(OR(AND(B3960&gt;=1,B3960&lt;=6),B3960=10),"Vaca em lactação",IF(I3960="Male","Macho",IF(E3960&gt;=1,"Vaca seca",IF(I3960="Youngstock","Bezerra/recria","Novilha"))))</f>
        <v>Bezerra/recria</v>
      </c>
      <c r="X3960" s="0" t="str">
        <f aca="false">IF(AND(B3960&gt;=1,B3960&lt;=6),"Tanque",IF(B3960=10,"Descarte",""))</f>
        <v/>
      </c>
    </row>
    <row r="3961" customFormat="false" ht="15" hidden="false" customHeight="false" outlineLevel="0" collapsed="false">
      <c r="A3961" s="22" t="n">
        <v>46309</v>
      </c>
      <c r="B3961" s="0" t="n">
        <v>16</v>
      </c>
      <c r="C3961" s="0" t="n">
        <v>8167</v>
      </c>
      <c r="E3961" s="0" t="n">
        <v>0</v>
      </c>
      <c r="F3961" s="23" t="s">
        <v>1598</v>
      </c>
      <c r="I3961" s="23" t="s">
        <v>1249</v>
      </c>
      <c r="U3961" s="0" t="n">
        <v>17</v>
      </c>
      <c r="V3961" s="0" t="n">
        <v>0</v>
      </c>
      <c r="W3961" s="0" t="str">
        <f aca="false">IF(OR(AND(B3961&gt;=1,B3961&lt;=6),B3961=10),"Vaca em lactação",IF(I3961="Male","Macho",IF(E3961&gt;=1,"Vaca seca",IF(I3961="Youngstock","Bezerra/recria","Novilha"))))</f>
        <v>Bezerra/recria</v>
      </c>
      <c r="X3961" s="0" t="str">
        <f aca="false">IF(AND(B3961&gt;=1,B3961&lt;=6),"Tanque",IF(B3961=10,"Descarte",""))</f>
        <v/>
      </c>
    </row>
    <row r="3962" customFormat="false" ht="15" hidden="false" customHeight="false" outlineLevel="0" collapsed="false">
      <c r="A3962" s="22" t="n">
        <v>46309</v>
      </c>
      <c r="B3962" s="0" t="n">
        <v>16</v>
      </c>
      <c r="C3962" s="0" t="n">
        <v>8170</v>
      </c>
      <c r="E3962" s="0" t="n">
        <v>0</v>
      </c>
      <c r="F3962" s="23" t="s">
        <v>1651</v>
      </c>
      <c r="I3962" s="23" t="s">
        <v>1249</v>
      </c>
      <c r="U3962" s="0" t="n">
        <v>15</v>
      </c>
      <c r="V3962" s="0" t="n">
        <v>0</v>
      </c>
      <c r="W3962" s="0" t="str">
        <f aca="false">IF(OR(AND(B3962&gt;=1,B3962&lt;=6),B3962=10),"Vaca em lactação",IF(I3962="Male","Macho",IF(E3962&gt;=1,"Vaca seca",IF(I3962="Youngstock","Bezerra/recria","Novilha"))))</f>
        <v>Bezerra/recria</v>
      </c>
      <c r="X3962" s="0" t="str">
        <f aca="false">IF(AND(B3962&gt;=1,B3962&lt;=6),"Tanque",IF(B3962=10,"Descarte",""))</f>
        <v/>
      </c>
    </row>
    <row r="3963" customFormat="false" ht="15" hidden="false" customHeight="false" outlineLevel="0" collapsed="false">
      <c r="A3963" s="22" t="n">
        <v>46309</v>
      </c>
      <c r="B3963" s="0" t="n">
        <v>16</v>
      </c>
      <c r="C3963" s="0" t="n">
        <v>8173</v>
      </c>
      <c r="E3963" s="0" t="n">
        <v>0</v>
      </c>
      <c r="F3963" s="23" t="s">
        <v>1651</v>
      </c>
      <c r="I3963" s="23" t="s">
        <v>1249</v>
      </c>
      <c r="U3963" s="0" t="n">
        <v>15</v>
      </c>
      <c r="V3963" s="0" t="n">
        <v>0</v>
      </c>
      <c r="W3963" s="0" t="str">
        <f aca="false">IF(OR(AND(B3963&gt;=1,B3963&lt;=6),B3963=10),"Vaca em lactação",IF(I3963="Male","Macho",IF(E3963&gt;=1,"Vaca seca",IF(I3963="Youngstock","Bezerra/recria","Novilha"))))</f>
        <v>Bezerra/recria</v>
      </c>
      <c r="X3963" s="0" t="str">
        <f aca="false">IF(AND(B3963&gt;=1,B3963&lt;=6),"Tanque",IF(B3963=10,"Descarte",""))</f>
        <v/>
      </c>
    </row>
    <row r="3964" customFormat="false" ht="15" hidden="false" customHeight="false" outlineLevel="0" collapsed="false">
      <c r="A3964" s="22" t="n">
        <v>46309</v>
      </c>
      <c r="B3964" s="0" t="n">
        <v>16</v>
      </c>
      <c r="C3964" s="0" t="n">
        <v>8175</v>
      </c>
      <c r="E3964" s="0" t="n">
        <v>0</v>
      </c>
      <c r="F3964" s="23" t="s">
        <v>1651</v>
      </c>
      <c r="I3964" s="23" t="s">
        <v>1249</v>
      </c>
      <c r="U3964" s="0" t="n">
        <v>15</v>
      </c>
      <c r="V3964" s="0" t="n">
        <v>0</v>
      </c>
      <c r="W3964" s="0" t="str">
        <f aca="false">IF(OR(AND(B3964&gt;=1,B3964&lt;=6),B3964=10),"Vaca em lactação",IF(I3964="Male","Macho",IF(E3964&gt;=1,"Vaca seca",IF(I3964="Youngstock","Bezerra/recria","Novilha"))))</f>
        <v>Bezerra/recria</v>
      </c>
      <c r="X3964" s="0" t="str">
        <f aca="false">IF(AND(B3964&gt;=1,B3964&lt;=6),"Tanque",IF(B3964=10,"Descarte",""))</f>
        <v/>
      </c>
    </row>
    <row r="3965" customFormat="false" ht="15" hidden="false" customHeight="false" outlineLevel="0" collapsed="false">
      <c r="A3965" s="22" t="n">
        <v>46309</v>
      </c>
      <c r="B3965" s="0" t="n">
        <v>16</v>
      </c>
      <c r="C3965" s="0" t="n">
        <v>8174</v>
      </c>
      <c r="E3965" s="0" t="n">
        <v>0</v>
      </c>
      <c r="F3965" s="23" t="s">
        <v>1651</v>
      </c>
      <c r="I3965" s="23" t="s">
        <v>1249</v>
      </c>
      <c r="U3965" s="0" t="n">
        <v>15</v>
      </c>
      <c r="V3965" s="0" t="n">
        <v>0</v>
      </c>
      <c r="W3965" s="0" t="str">
        <f aca="false">IF(OR(AND(B3965&gt;=1,B3965&lt;=6),B3965=10),"Vaca em lactação",IF(I3965="Male","Macho",IF(E3965&gt;=1,"Vaca seca",IF(I3965="Youngstock","Bezerra/recria","Novilha"))))</f>
        <v>Bezerra/recria</v>
      </c>
      <c r="X3965" s="0" t="str">
        <f aca="false">IF(AND(B3965&gt;=1,B3965&lt;=6),"Tanque",IF(B3965=10,"Descarte",""))</f>
        <v/>
      </c>
    </row>
    <row r="3966" customFormat="false" ht="15" hidden="false" customHeight="false" outlineLevel="0" collapsed="false">
      <c r="A3966" s="22" t="n">
        <v>46309</v>
      </c>
      <c r="B3966" s="0" t="n">
        <v>16</v>
      </c>
      <c r="C3966" s="0" t="n">
        <v>8176</v>
      </c>
      <c r="E3966" s="0" t="n">
        <v>0</v>
      </c>
      <c r="F3966" s="23" t="s">
        <v>1651</v>
      </c>
      <c r="I3966" s="23" t="s">
        <v>1249</v>
      </c>
      <c r="U3966" s="0" t="n">
        <v>15</v>
      </c>
      <c r="V3966" s="0" t="n">
        <v>0</v>
      </c>
      <c r="W3966" s="0" t="str">
        <f aca="false">IF(OR(AND(B3966&gt;=1,B3966&lt;=6),B3966=10),"Vaca em lactação",IF(I3966="Male","Macho",IF(E3966&gt;=1,"Vaca seca",IF(I3966="Youngstock","Bezerra/recria","Novilha"))))</f>
        <v>Bezerra/recria</v>
      </c>
      <c r="X3966" s="0" t="str">
        <f aca="false">IF(AND(B3966&gt;=1,B3966&lt;=6),"Tanque",IF(B3966=10,"Descarte",""))</f>
        <v/>
      </c>
    </row>
    <row r="3967" customFormat="false" ht="15" hidden="false" customHeight="false" outlineLevel="0" collapsed="false">
      <c r="A3967" s="22" t="n">
        <v>46309</v>
      </c>
      <c r="B3967" s="0" t="n">
        <v>16</v>
      </c>
      <c r="C3967" s="0" t="n">
        <v>8177</v>
      </c>
      <c r="E3967" s="0" t="n">
        <v>0</v>
      </c>
      <c r="F3967" s="23" t="s">
        <v>1652</v>
      </c>
      <c r="I3967" s="23" t="s">
        <v>1249</v>
      </c>
      <c r="U3967" s="0" t="n">
        <v>14</v>
      </c>
      <c r="V3967" s="0" t="n">
        <v>0</v>
      </c>
      <c r="W3967" s="0" t="str">
        <f aca="false">IF(OR(AND(B3967&gt;=1,B3967&lt;=6),B3967=10),"Vaca em lactação",IF(I3967="Male","Macho",IF(E3967&gt;=1,"Vaca seca",IF(I3967="Youngstock","Bezerra/recria","Novilha"))))</f>
        <v>Bezerra/recria</v>
      </c>
      <c r="X3967" s="0" t="str">
        <f aca="false">IF(AND(B3967&gt;=1,B3967&lt;=6),"Tanque",IF(B3967=10,"Descarte",""))</f>
        <v/>
      </c>
    </row>
    <row r="3968" customFormat="false" ht="15" hidden="false" customHeight="false" outlineLevel="0" collapsed="false">
      <c r="A3968" s="22" t="n">
        <v>46309</v>
      </c>
      <c r="B3968" s="0" t="n">
        <v>16</v>
      </c>
      <c r="C3968" s="0" t="n">
        <v>8180</v>
      </c>
      <c r="E3968" s="0" t="n">
        <v>0</v>
      </c>
      <c r="F3968" s="23" t="s">
        <v>1644</v>
      </c>
      <c r="I3968" s="23" t="s">
        <v>1249</v>
      </c>
      <c r="U3968" s="0" t="n">
        <v>13</v>
      </c>
      <c r="V3968" s="0" t="n">
        <v>0</v>
      </c>
      <c r="W3968" s="0" t="str">
        <f aca="false">IF(OR(AND(B3968&gt;=1,B3968&lt;=6),B3968=10),"Vaca em lactação",IF(I3968="Male","Macho",IF(E3968&gt;=1,"Vaca seca",IF(I3968="Youngstock","Bezerra/recria","Novilha"))))</f>
        <v>Bezerra/recria</v>
      </c>
      <c r="X3968" s="0" t="str">
        <f aca="false">IF(AND(B3968&gt;=1,B3968&lt;=6),"Tanque",IF(B3968=10,"Descarte",""))</f>
        <v/>
      </c>
    </row>
    <row r="3969" customFormat="false" ht="15" hidden="false" customHeight="false" outlineLevel="0" collapsed="false">
      <c r="A3969" s="22" t="n">
        <v>46309</v>
      </c>
      <c r="B3969" s="0" t="n">
        <v>16</v>
      </c>
      <c r="C3969" s="0" t="n">
        <v>8179</v>
      </c>
      <c r="E3969" s="0" t="n">
        <v>0</v>
      </c>
      <c r="F3969" s="23" t="s">
        <v>1652</v>
      </c>
      <c r="I3969" s="23" t="s">
        <v>1249</v>
      </c>
      <c r="U3969" s="0" t="n">
        <v>14</v>
      </c>
      <c r="V3969" s="0" t="n">
        <v>0</v>
      </c>
      <c r="W3969" s="0" t="str">
        <f aca="false">IF(OR(AND(B3969&gt;=1,B3969&lt;=6),B3969=10),"Vaca em lactação",IF(I3969="Male","Macho",IF(E3969&gt;=1,"Vaca seca",IF(I3969="Youngstock","Bezerra/recria","Novilha"))))</f>
        <v>Bezerra/recria</v>
      </c>
      <c r="X3969" s="0" t="str">
        <f aca="false">IF(AND(B3969&gt;=1,B3969&lt;=6),"Tanque",IF(B3969=10,"Descarte",""))</f>
        <v/>
      </c>
    </row>
    <row r="3970" customFormat="false" ht="15" hidden="false" customHeight="false" outlineLevel="0" collapsed="false">
      <c r="A3970" s="22" t="n">
        <v>46309</v>
      </c>
      <c r="B3970" s="0" t="n">
        <v>16</v>
      </c>
      <c r="C3970" s="0" t="n">
        <v>8178</v>
      </c>
      <c r="E3970" s="0" t="n">
        <v>0</v>
      </c>
      <c r="F3970" s="23" t="s">
        <v>1652</v>
      </c>
      <c r="I3970" s="23" t="s">
        <v>1249</v>
      </c>
      <c r="U3970" s="0" t="n">
        <v>14</v>
      </c>
      <c r="V3970" s="0" t="n">
        <v>0</v>
      </c>
      <c r="W3970" s="0" t="str">
        <f aca="false">IF(OR(AND(B3970&gt;=1,B3970&lt;=6),B3970=10),"Vaca em lactação",IF(I3970="Male","Macho",IF(E3970&gt;=1,"Vaca seca",IF(I3970="Youngstock","Bezerra/recria","Novilha"))))</f>
        <v>Bezerra/recria</v>
      </c>
      <c r="X3970" s="0" t="str">
        <f aca="false">IF(AND(B3970&gt;=1,B3970&lt;=6),"Tanque",IF(B3970=10,"Descarte",""))</f>
        <v/>
      </c>
    </row>
    <row r="3971" customFormat="false" ht="15" hidden="false" customHeight="false" outlineLevel="0" collapsed="false">
      <c r="A3971" s="22" t="n">
        <v>46309</v>
      </c>
      <c r="B3971" s="0" t="n">
        <v>16</v>
      </c>
      <c r="C3971" s="0" t="n">
        <v>8181</v>
      </c>
      <c r="E3971" s="0" t="n">
        <v>0</v>
      </c>
      <c r="F3971" s="23" t="s">
        <v>1644</v>
      </c>
      <c r="I3971" s="23" t="s">
        <v>1249</v>
      </c>
      <c r="U3971" s="0" t="n">
        <v>13</v>
      </c>
      <c r="V3971" s="0" t="n">
        <v>0</v>
      </c>
      <c r="W3971" s="0" t="str">
        <f aca="false">IF(OR(AND(B3971&gt;=1,B3971&lt;=6),B3971=10),"Vaca em lactação",IF(I3971="Male","Macho",IF(E3971&gt;=1,"Vaca seca",IF(I3971="Youngstock","Bezerra/recria","Novilha"))))</f>
        <v>Bezerra/recria</v>
      </c>
      <c r="X3971" s="0" t="str">
        <f aca="false">IF(AND(B3971&gt;=1,B3971&lt;=6),"Tanque",IF(B3971=10,"Descarte",""))</f>
        <v/>
      </c>
    </row>
  </sheetData>
  <autoFilter ref="A1:X39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1653</v>
      </c>
    </row>
    <row r="3" customFormat="false" ht="23.85" hidden="false" customHeight="false" outlineLevel="0" collapsed="false">
      <c r="A3" s="24" t="s">
        <v>1654</v>
      </c>
      <c r="B3" s="25" t="s">
        <v>1655</v>
      </c>
    </row>
    <row r="4" customFormat="false" ht="23.85" hidden="false" customHeight="false" outlineLevel="0" collapsed="false">
      <c r="A4" s="24" t="s">
        <v>1656</v>
      </c>
      <c r="B4" s="25" t="s">
        <v>1657</v>
      </c>
    </row>
    <row r="5" customFormat="false" ht="23.85" hidden="false" customHeight="false" outlineLevel="0" collapsed="false">
      <c r="A5" s="24" t="s">
        <v>1658</v>
      </c>
      <c r="B5" s="25" t="s">
        <v>1659</v>
      </c>
    </row>
    <row r="6" customFormat="false" ht="23.85" hidden="false" customHeight="false" outlineLevel="0" collapsed="false">
      <c r="A6" s="24" t="s">
        <v>1660</v>
      </c>
      <c r="B6" s="25" t="s">
        <v>1661</v>
      </c>
    </row>
    <row r="7" customFormat="false" ht="23.85" hidden="false" customHeight="false" outlineLevel="0" collapsed="false">
      <c r="A7" s="24" t="s">
        <v>1662</v>
      </c>
      <c r="B7" s="25" t="s">
        <v>1663</v>
      </c>
    </row>
    <row r="8" customFormat="false" ht="23.85" hidden="false" customHeight="false" outlineLevel="0" collapsed="false">
      <c r="A8" s="24" t="s">
        <v>89</v>
      </c>
      <c r="B8" s="25" t="s">
        <v>1664</v>
      </c>
    </row>
    <row r="9" customFormat="false" ht="23.85" hidden="false" customHeight="false" outlineLevel="0" collapsed="false">
      <c r="A9" s="24" t="s">
        <v>1665</v>
      </c>
      <c r="B9" s="25" t="s">
        <v>1666</v>
      </c>
    </row>
    <row r="10" customFormat="false" ht="15" hidden="false" customHeight="false" outlineLevel="0" collapsed="false">
      <c r="A10" s="24" t="s">
        <v>1667</v>
      </c>
      <c r="B10" s="25" t="s">
        <v>1668</v>
      </c>
    </row>
    <row r="11" customFormat="false" ht="15" hidden="false" customHeight="false" outlineLevel="0" collapsed="false">
      <c r="A11" s="24" t="s">
        <v>1669</v>
      </c>
      <c r="B11" s="25" t="s">
        <v>1670</v>
      </c>
    </row>
    <row r="12" customFormat="false" ht="15" hidden="false" customHeight="false" outlineLevel="0" collapsed="false">
      <c r="A12" s="24" t="s">
        <v>1671</v>
      </c>
      <c r="B12" s="25" t="s">
        <v>1672</v>
      </c>
    </row>
    <row r="13" customFormat="false" ht="15" hidden="false" customHeight="false" outlineLevel="0" collapsed="false">
      <c r="A13" s="24" t="s">
        <v>1673</v>
      </c>
      <c r="B13" s="25" t="s">
        <v>1674</v>
      </c>
    </row>
    <row r="14" customFormat="false" ht="15" hidden="false" customHeight="false" outlineLevel="0" collapsed="false">
      <c r="A14" s="24" t="s">
        <v>1675</v>
      </c>
      <c r="B14" s="25" t="s">
        <v>1676</v>
      </c>
    </row>
    <row r="15" customFormat="false" ht="15" hidden="false" customHeight="false" outlineLevel="0" collapsed="false">
      <c r="A15" s="24" t="s">
        <v>1677</v>
      </c>
      <c r="B15" s="25" t="s">
        <v>1678</v>
      </c>
    </row>
    <row r="17" customFormat="false" ht="15" hidden="false" customHeight="false" outlineLevel="0" collapsed="false">
      <c r="A17" s="26" t="s">
        <v>1679</v>
      </c>
    </row>
    <row r="18" customFormat="false" ht="15" hidden="false" customHeight="false" outlineLevel="0" collapsed="false">
      <c r="A18" s="22" t="n">
        <v>46309</v>
      </c>
      <c r="B18" s="23" t="s">
        <v>1680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2026-10-15T15:01:56Z</dcterms:created>
  <dc:creator>openpyxl</dc:creator>
  <dc:description/>
  <dc:language>en-US</dc:language>
  <cp:lastModifiedBy/>
  <dcterms:modified xsi:type="dcterms:W3CDTF">2026-10-15T15:01:56Z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